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bffd95e7b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cb101f8d4e45b6"/>
    <x:sheet xmlns:r="http://schemas.openxmlformats.org/officeDocument/2006/relationships" name="Data" sheetId="2" r:id="R0a536d47f6ec4a41"/>
    <x:sheet xmlns:r="http://schemas.openxmlformats.org/officeDocument/2006/relationships" name="Exceptions" sheetId="3" r:id="Rf52c2176aa2d4c75"/>
    <x:sheet xmlns:r="http://schemas.openxmlformats.org/officeDocument/2006/relationships" name="Dashboard" sheetId="4" r:id="R43798099ba50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.0%"/>
    <x:numFmt numFmtId="203" formatCode="$#,##0"/>
    <x:numFmt numFmtId="204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horizontal="right"/>
    </x:xf>
    <x:xf numFmtId="204" fontId="4" fillId="0" borderId="0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/>
    <x:xf numFmtId="204" fontId="4" fillId="0" borderId="1" xfId="0" applyNumberFormat="1" applyFont="1" applyFill="1" applyBorder="1"/>
    <x:xf numFmtId="203" fontId="4" fillId="0" borderId="1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1fc974ca1467c" /><Relationship Type="http://schemas.openxmlformats.org/officeDocument/2006/relationships/theme" Target="/xl/theme/theme1.xml" Id="R3a43ca39279f4ca9" /><Relationship Type="http://schemas.openxmlformats.org/officeDocument/2006/relationships/sharedStrings" Target="/xl/sharedStrings.xml" Id="Rf3982aff456145c9" /><Relationship Type="http://schemas.openxmlformats.org/officeDocument/2006/relationships/worksheet" Target="/xl/worksheets/sheet1.xml" Id="R08cb101f8d4e45b6" /><Relationship Type="http://schemas.openxmlformats.org/officeDocument/2006/relationships/worksheet" Target="/xl/worksheets/sheet2.xml" Id="R0a536d47f6ec4a41" /><Relationship Type="http://schemas.openxmlformats.org/officeDocument/2006/relationships/worksheet" Target="/xl/worksheets/sheet3.xml" Id="Rf52c2176aa2d4c75" /><Relationship Type="http://schemas.openxmlformats.org/officeDocument/2006/relationships/worksheet" Target="/xl/worksheets/sheet4.xml" Id="R43798099ba5040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0609348cca4df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0609348cca4d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22614fa0a094e8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Budget vs Actual Variance Analyzer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Finance teams need to compare actual results to budget and highlight material variances by department and category.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SUMIFS, variance $, variance %, materiality flags, department summaries, dashboard chart.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the tool finds overspending and helps prepare monthly management reporting.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  <x:col min="9" max="9" width="34" hidden="0" customWidth="1"/>
  </x:cols>
  <x:sheetData>
    <x:row r="1" ht="30" customHeight="1">
      <x:c r="A1" s="38" t="str">
        <x:v>Month</x:v>
      </x:c>
      <x:c r="B1" s="39" t="str">
        <x:v>Department</x:v>
      </x:c>
      <x:c r="C1" s="39" t="str">
        <x:v>Category</x:v>
      </x:c>
      <x:c r="D1" s="39" t="str">
        <x:v>Budget</x:v>
      </x:c>
      <x:c r="E1" s="39" t="str">
        <x:v>Actual</x:v>
      </x:c>
      <x:c r="F1" s="39" t="str">
        <x:v>Variance_$</x:v>
      </x:c>
      <x:c r="G1" s="39" t="str">
        <x:v>Variance_%</x:v>
      </x:c>
      <x:c r="H1" s="39" t="str">
        <x:v>Flag</x:v>
      </x:c>
      <x:c r="I1" s="40" t="str">
        <x:v>Comment</x:v>
      </x:c>
    </x:row>
    <x:row r="2">
      <x:c r="A2" s="68" t="n">
        <x:v>46023</x:v>
      </x:c>
      <x:c r="B2" s="48" t="str">
        <x:v>Accounting</x:v>
      </x:c>
      <x:c r="C2" s="48" t="str">
        <x:v>Revenue</x:v>
      </x:c>
      <x:c r="D2" s="72" t="n">
        <x:v>143718.17</x:v>
      </x:c>
      <x:c r="E2" s="72" t="n">
        <x:v>113941.32</x:v>
      </x:c>
      <x:c r="F2" s="72" t="n">
        <x:f>E2-D2</x:f>
        <x:v>-29776.850000000006</x:v>
      </x:c>
      <x:c r="G2" s="76" t="n">
        <x:f>IF(D2=0,0,F2/D2)</x:f>
        <x:v>-0.20718918143753154</x:v>
      </x:c>
      <x:c r="H2" s="48" t="str">
        <x:f>IF(ABS(F2)&gt;10000,"Material",IF(ABS(G2)&gt;0.1,"Review","OK"))</x:f>
        <x:v>Material</x:v>
      </x:c>
      <x:c r="I2" s="49" t="str">
        <x:f>IF(H2="Material","Explain with department owner",IF(H2="Review","Review trend","No action"))</x:f>
        <x:v>Explain with department owner</x:v>
      </x:c>
    </x:row>
    <x:row r="3">
      <x:c r="A3" s="68" t="n">
        <x:v>46023</x:v>
      </x:c>
      <x:c r="B3" s="48" t="str">
        <x:v>Accounting</x:v>
      </x:c>
      <x:c r="C3" s="48" t="str">
        <x:v>Salaries</x:v>
      </x:c>
      <x:c r="D3" s="72" t="n">
        <x:v>5821.53</x:v>
      </x:c>
      <x:c r="E3" s="72" t="n">
        <x:v>6117.7</x:v>
      </x:c>
      <x:c r="F3" s="72" t="n">
        <x:f>E3-D3</x:f>
        <x:v>296.1700000000001</x:v>
      </x:c>
      <x:c r="G3" s="76" t="n">
        <x:f>IF(D3=0,0,F3/D3)</x:f>
        <x:v>0.05087494181082981</x:v>
      </x:c>
      <x:c r="H3" s="48" t="str">
        <x:f>IF(ABS(F3)&gt;10000,"Material",IF(ABS(G3)&gt;0.1,"Review","OK"))</x:f>
        <x:v>OK</x:v>
      </x:c>
      <x:c r="I3" s="49" t="str">
        <x:f>IF(H3="Material","Explain with department owner",IF(H3="Review","Review trend","No action"))</x:f>
        <x:v>No action</x:v>
      </x:c>
    </x:row>
    <x:row r="4">
      <x:c r="A4" s="68" t="n">
        <x:v>46023</x:v>
      </x:c>
      <x:c r="B4" s="48" t="str">
        <x:v>Accounting</x:v>
      </x:c>
      <x:c r="C4" s="48" t="str">
        <x:v>Rent</x:v>
      </x:c>
      <x:c r="D4" s="72" t="n">
        <x:v>33891.2</x:v>
      </x:c>
      <x:c r="E4" s="72" t="n">
        <x:v>34380.27</x:v>
      </x:c>
      <x:c r="F4" s="72" t="n">
        <x:f>E4-D4</x:f>
        <x:v>489.0699999999997</x:v>
      </x:c>
      <x:c r="G4" s="76" t="n">
        <x:f>IF(D4=0,0,F4/D4)</x:f>
        <x:v>0.014430589651590966</x:v>
      </x:c>
      <x:c r="H4" s="48" t="str">
        <x:f>IF(ABS(F4)&gt;10000,"Material",IF(ABS(G4)&gt;0.1,"Review","OK"))</x:f>
        <x:v>OK</x:v>
      </x:c>
      <x:c r="I4" s="49" t="str">
        <x:f>IF(H4="Material","Explain with department owner",IF(H4="Review","Review trend","No action"))</x:f>
        <x:v>No action</x:v>
      </x:c>
    </x:row>
    <x:row r="5">
      <x:c r="A5" s="68" t="n">
        <x:v>46023</x:v>
      </x:c>
      <x:c r="B5" s="48" t="str">
        <x:v>Accounting</x:v>
      </x:c>
      <x:c r="C5" s="48" t="str">
        <x:v>Software</x:v>
      </x:c>
      <x:c r="D5" s="72" t="n">
        <x:v>19603.48</x:v>
      </x:c>
      <x:c r="E5" s="72" t="n">
        <x:v>23531.48</x:v>
      </x:c>
      <x:c r="F5" s="72" t="n">
        <x:f>E5-D5</x:f>
        <x:v>3928</x:v>
      </x:c>
      <x:c r="G5" s="76" t="n">
        <x:f>IF(D5=0,0,F5/D5)</x:f>
        <x:v>0.20037258690803877</x:v>
      </x:c>
      <x:c r="H5" s="48" t="str">
        <x:f>IF(ABS(F5)&gt;10000,"Material",IF(ABS(G5)&gt;0.1,"Review","OK"))</x:f>
        <x:v>Review</x:v>
      </x:c>
      <x:c r="I5" s="49" t="str">
        <x:f>IF(H5="Material","Explain with department owner",IF(H5="Review","Review trend","No action"))</x:f>
        <x:v>Review trend</x:v>
      </x:c>
    </x:row>
    <x:row r="6">
      <x:c r="A6" s="68" t="n">
        <x:v>46023</x:v>
      </x:c>
      <x:c r="B6" s="48" t="str">
        <x:v>Accounting</x:v>
      </x:c>
      <x:c r="C6" s="48" t="str">
        <x:v>Supplies</x:v>
      </x:c>
      <x:c r="D6" s="72" t="n">
        <x:v>24242.93</x:v>
      </x:c>
      <x:c r="E6" s="72" t="n">
        <x:v>26892.09</x:v>
      </x:c>
      <x:c r="F6" s="72" t="n">
        <x:f>E6-D6</x:f>
        <x:v>2649.16</x:v>
      </x:c>
      <x:c r="G6" s="76" t="n">
        <x:f>IF(D6=0,0,F6/D6)</x:f>
        <x:v>0.1092755702384159</x:v>
      </x:c>
      <x:c r="H6" s="48" t="str">
        <x:f>IF(ABS(F6)&gt;10000,"Material",IF(ABS(G6)&gt;0.1,"Review","OK"))</x:f>
        <x:v>Review</x:v>
      </x:c>
      <x:c r="I6" s="49" t="str">
        <x:f>IF(H6="Material","Explain with department owner",IF(H6="Review","Review trend","No action"))</x:f>
        <x:v>Review trend</x:v>
      </x:c>
    </x:row>
    <x:row r="7">
      <x:c r="A7" s="68" t="n">
        <x:v>46023</x:v>
      </x:c>
      <x:c r="B7" s="48" t="str">
        <x:v>Accounting</x:v>
      </x:c>
      <x:c r="C7" s="48" t="str">
        <x:v>Utilities</x:v>
      </x:c>
      <x:c r="D7" s="72" t="n">
        <x:v>10539.98</x:v>
      </x:c>
      <x:c r="E7" s="72" t="n">
        <x:v>11591.35</x:v>
      </x:c>
      <x:c r="F7" s="72" t="n">
        <x:f>E7-D7</x:f>
        <x:v>1051.3700000000008</x:v>
      </x:c>
      <x:c r="G7" s="76" t="n">
        <x:f>IF(D7=0,0,F7/D7)</x:f>
        <x:v>0.0997506636634985</x:v>
      </x:c>
      <x:c r="H7" s="48" t="str">
        <x:f>IF(ABS(F7)&gt;10000,"Material",IF(ABS(G7)&gt;0.1,"Review","OK"))</x:f>
        <x:v>OK</x:v>
      </x:c>
      <x:c r="I7" s="49" t="str">
        <x:f>IF(H7="Material","Explain with department owner",IF(H7="Review","Review trend","No action"))</x:f>
        <x:v>No action</x:v>
      </x:c>
    </x:row>
    <x:row r="8">
      <x:c r="A8" s="68" t="n">
        <x:v>46023</x:v>
      </x:c>
      <x:c r="B8" s="48" t="str">
        <x:v>Operations</x:v>
      </x:c>
      <x:c r="C8" s="48" t="str">
        <x:v>Revenue</x:v>
      </x:c>
      <x:c r="D8" s="72" t="n">
        <x:v>157582.99</x:v>
      </x:c>
      <x:c r="E8" s="72" t="n">
        <x:v>174878.14</x:v>
      </x:c>
      <x:c r="F8" s="72" t="n">
        <x:f>E8-D8</x:f>
        <x:v>17295.150000000023</x:v>
      </x:c>
      <x:c r="G8" s="76" t="n">
        <x:f>IF(D8=0,0,F8/D8)</x:f>
        <x:v>0.10975264525695333</x:v>
      </x:c>
      <x:c r="H8" s="48" t="str">
        <x:f>IF(ABS(F8)&gt;10000,"Material",IF(ABS(G8)&gt;0.1,"Review","OK"))</x:f>
        <x:v>Material</x:v>
      </x:c>
      <x:c r="I8" s="49" t="str">
        <x:f>IF(H8="Material","Explain with department owner",IF(H8="Review","Review trend","No action"))</x:f>
        <x:v>Explain with department owner</x:v>
      </x:c>
    </x:row>
    <x:row r="9">
      <x:c r="A9" s="68" t="n">
        <x:v>46023</x:v>
      </x:c>
      <x:c r="B9" s="48" t="str">
        <x:v>Operations</x:v>
      </x:c>
      <x:c r="C9" s="48" t="str">
        <x:v>Salaries</x:v>
      </x:c>
      <x:c r="D9" s="72" t="n">
        <x:v>15027.93</x:v>
      </x:c>
      <x:c r="E9" s="72" t="n">
        <x:v>17464.68</x:v>
      </x:c>
      <x:c r="F9" s="72" t="n">
        <x:f>E9-D9</x:f>
        <x:v>2436.75</x:v>
      </x:c>
      <x:c r="G9" s="76" t="n">
        <x:f>IF(D9=0,0,F9/D9)</x:f>
        <x:v>0.16214808027452882</x:v>
      </x:c>
      <x:c r="H9" s="48" t="str">
        <x:f>IF(ABS(F9)&gt;10000,"Material",IF(ABS(G9)&gt;0.1,"Review","OK"))</x:f>
        <x:v>Review</x:v>
      </x:c>
      <x:c r="I9" s="49" t="str">
        <x:f>IF(H9="Material","Explain with department owner",IF(H9="Review","Review trend","No action"))</x:f>
        <x:v>Review trend</x:v>
      </x:c>
    </x:row>
    <x:row r="10">
      <x:c r="A10" s="68" t="n">
        <x:v>46023</x:v>
      </x:c>
      <x:c r="B10" s="48" t="str">
        <x:v>Operations</x:v>
      </x:c>
      <x:c r="C10" s="48" t="str">
        <x:v>Rent</x:v>
      </x:c>
      <x:c r="D10" s="72" t="n">
        <x:v>11700.26</x:v>
      </x:c>
      <x:c r="E10" s="72" t="n">
        <x:v>14348.72</x:v>
      </x:c>
      <x:c r="F10" s="72" t="n">
        <x:f>E10-D10</x:f>
        <x:v>2648.459999999999</x:v>
      </x:c>
      <x:c r="G10" s="76" t="n">
        <x:f>IF(D10=0,0,F10/D10)</x:f>
        <x:v>0.22635907236249442</x:v>
      </x:c>
      <x:c r="H10" s="48" t="str">
        <x:f>IF(ABS(F10)&gt;10000,"Material",IF(ABS(G10)&gt;0.1,"Review","OK"))</x:f>
        <x:v>Review</x:v>
      </x:c>
      <x:c r="I10" s="49" t="str">
        <x:f>IF(H10="Material","Explain with department owner",IF(H10="Review","Review trend","No action"))</x:f>
        <x:v>Review trend</x:v>
      </x:c>
    </x:row>
    <x:row r="11">
      <x:c r="A11" s="68" t="n">
        <x:v>46023</x:v>
      </x:c>
      <x:c r="B11" s="48" t="str">
        <x:v>Operations</x:v>
      </x:c>
      <x:c r="C11" s="48" t="str">
        <x:v>Software</x:v>
      </x:c>
      <x:c r="D11" s="72" t="n">
        <x:v>41546.37</x:v>
      </x:c>
      <x:c r="E11" s="72" t="n">
        <x:v>44152.1</x:v>
      </x:c>
      <x:c r="F11" s="72" t="n">
        <x:f>E11-D11</x:f>
        <x:v>2605.729999999996</x:v>
      </x:c>
      <x:c r="G11" s="76" t="n">
        <x:f>IF(D11=0,0,F11/D11)</x:f>
        <x:v>0.06271859611321028</x:v>
      </x:c>
      <x:c r="H11" s="48" t="str">
        <x:f>IF(ABS(F11)&gt;10000,"Material",IF(ABS(G11)&gt;0.1,"Review","OK"))</x:f>
        <x:v>OK</x:v>
      </x:c>
      <x:c r="I11" s="49" t="str">
        <x:f>IF(H11="Material","Explain with department owner",IF(H11="Review","Review trend","No action"))</x:f>
        <x:v>No action</x:v>
      </x:c>
    </x:row>
    <x:row r="12">
      <x:c r="A12" s="68" t="n">
        <x:v>46023</x:v>
      </x:c>
      <x:c r="B12" s="48" t="str">
        <x:v>Operations</x:v>
      </x:c>
      <x:c r="C12" s="48" t="str">
        <x:v>Supplies</x:v>
      </x:c>
      <x:c r="D12" s="72" t="n">
        <x:v>24361.19</x:v>
      </x:c>
      <x:c r="E12" s="72" t="n">
        <x:v>27051.61</x:v>
      </x:c>
      <x:c r="F12" s="72" t="n">
        <x:f>E12-D12</x:f>
        <x:v>2690.420000000002</x:v>
      </x:c>
      <x:c r="G12" s="76" t="n">
        <x:f>IF(D12=0,0,F12/D12)</x:f>
        <x:v>0.11043877577408993</x:v>
      </x:c>
      <x:c r="H12" s="48" t="str">
        <x:f>IF(ABS(F12)&gt;10000,"Material",IF(ABS(G12)&gt;0.1,"Review","OK"))</x:f>
        <x:v>Review</x:v>
      </x:c>
      <x:c r="I12" s="49" t="str">
        <x:f>IF(H12="Material","Explain with department owner",IF(H12="Review","Review trend","No action"))</x:f>
        <x:v>Review trend</x:v>
      </x:c>
    </x:row>
    <x:row r="13">
      <x:c r="A13" s="68" t="n">
        <x:v>46023</x:v>
      </x:c>
      <x:c r="B13" s="48" t="str">
        <x:v>Operations</x:v>
      </x:c>
      <x:c r="C13" s="48" t="str">
        <x:v>Utilities</x:v>
      </x:c>
      <x:c r="D13" s="72" t="n">
        <x:v>23698.84</x:v>
      </x:c>
      <x:c r="E13" s="72" t="n">
        <x:v>25873.71</x:v>
      </x:c>
      <x:c r="F13" s="72" t="n">
        <x:f>E13-D13</x:f>
        <x:v>2174.869999999999</x:v>
      </x:c>
      <x:c r="G13" s="76" t="n">
        <x:f>IF(D13=0,0,F13/D13)</x:f>
        <x:v>0.09177115841956818</x:v>
      </x:c>
      <x:c r="H13" s="48" t="str">
        <x:f>IF(ABS(F13)&gt;10000,"Material",IF(ABS(G13)&gt;0.1,"Review","OK"))</x:f>
        <x:v>OK</x:v>
      </x:c>
      <x:c r="I13" s="49" t="str">
        <x:f>IF(H13="Material","Explain with department owner",IF(H13="Review","Review trend","No action"))</x:f>
        <x:v>No action</x:v>
      </x:c>
    </x:row>
    <x:row r="14">
      <x:c r="A14" s="68" t="n">
        <x:v>46023</x:v>
      </x:c>
      <x:c r="B14" s="48" t="str">
        <x:v>IT</x:v>
      </x:c>
      <x:c r="C14" s="48" t="str">
        <x:v>Revenue</x:v>
      </x:c>
      <x:c r="D14" s="72" t="n">
        <x:v>137338.69</x:v>
      </x:c>
      <x:c r="E14" s="72" t="n">
        <x:v>148574.13</x:v>
      </x:c>
      <x:c r="F14" s="72" t="n">
        <x:f>E14-D14</x:f>
        <x:v>11235.440000000002</x:v>
      </x:c>
      <x:c r="G14" s="76" t="n">
        <x:f>IF(D14=0,0,F14/D14)</x:f>
        <x:v>0.08180826539120187</x:v>
      </x:c>
      <x:c r="H14" s="48" t="str">
        <x:f>IF(ABS(F14)&gt;10000,"Material",IF(ABS(G14)&gt;0.1,"Review","OK"))</x:f>
        <x:v>Material</x:v>
      </x:c>
      <x:c r="I14" s="49" t="str">
        <x:f>IF(H14="Material","Explain with department owner",IF(H14="Review","Review trend","No action"))</x:f>
        <x:v>Explain with department owner</x:v>
      </x:c>
    </x:row>
    <x:row r="15">
      <x:c r="A15" s="68" t="n">
        <x:v>46023</x:v>
      </x:c>
      <x:c r="B15" s="48" t="str">
        <x:v>IT</x:v>
      </x:c>
      <x:c r="C15" s="48" t="str">
        <x:v>Salaries</x:v>
      </x:c>
      <x:c r="D15" s="72" t="n">
        <x:v>4916.78</x:v>
      </x:c>
      <x:c r="E15" s="72" t="n">
        <x:v>4803.48</x:v>
      </x:c>
      <x:c r="F15" s="72" t="n">
        <x:f>E15-D15</x:f>
        <x:v>-113.30000000000018</x:v>
      </x:c>
      <x:c r="G15" s="76" t="n">
        <x:f>IF(D15=0,0,F15/D15)</x:f>
        <x:v>-0.023043536623562615</x:v>
      </x:c>
      <x:c r="H15" s="48" t="str">
        <x:f>IF(ABS(F15)&gt;10000,"Material",IF(ABS(G15)&gt;0.1,"Review","OK"))</x:f>
        <x:v>OK</x:v>
      </x:c>
      <x:c r="I15" s="49" t="str">
        <x:f>IF(H15="Material","Explain with department owner",IF(H15="Review","Review trend","No action"))</x:f>
        <x:v>No action</x:v>
      </x:c>
    </x:row>
    <x:row r="16">
      <x:c r="A16" s="68" t="n">
        <x:v>46023</x:v>
      </x:c>
      <x:c r="B16" s="48" t="str">
        <x:v>IT</x:v>
      </x:c>
      <x:c r="C16" s="48" t="str">
        <x:v>Rent</x:v>
      </x:c>
      <x:c r="D16" s="72" t="n">
        <x:v>22361.37</x:v>
      </x:c>
      <x:c r="E16" s="72" t="n">
        <x:v>23133.98</x:v>
      </x:c>
      <x:c r="F16" s="72" t="n">
        <x:f>E16-D16</x:f>
        <x:v>772.6100000000006</x:v>
      </x:c>
      <x:c r="G16" s="76" t="n">
        <x:f>IF(D16=0,0,F16/D16)</x:f>
        <x:v>0.03455110308536555</x:v>
      </x:c>
      <x:c r="H16" s="48" t="str">
        <x:f>IF(ABS(F16)&gt;10000,"Material",IF(ABS(G16)&gt;0.1,"Review","OK"))</x:f>
        <x:v>OK</x:v>
      </x:c>
      <x:c r="I16" s="49" t="str">
        <x:f>IF(H16="Material","Explain with department owner",IF(H16="Review","Review trend","No action"))</x:f>
        <x:v>No action</x:v>
      </x:c>
    </x:row>
    <x:row r="17">
      <x:c r="A17" s="68" t="n">
        <x:v>46023</x:v>
      </x:c>
      <x:c r="B17" s="48" t="str">
        <x:v>IT</x:v>
      </x:c>
      <x:c r="C17" s="48" t="str">
        <x:v>Software</x:v>
      </x:c>
      <x:c r="D17" s="72" t="n">
        <x:v>11795.51</x:v>
      </x:c>
      <x:c r="E17" s="72" t="n">
        <x:v>11250.09</x:v>
      </x:c>
      <x:c r="F17" s="72" t="n">
        <x:f>E17-D17</x:f>
        <x:v>-545.4200000000001</x:v>
      </x:c>
      <x:c r="G17" s="76" t="n">
        <x:f>IF(D17=0,0,F17/D17)</x:f>
        <x:v>-0.04623962846879873</x:v>
      </x:c>
      <x:c r="H17" s="48" t="str">
        <x:f>IF(ABS(F17)&gt;10000,"Material",IF(ABS(G17)&gt;0.1,"Review","OK"))</x:f>
        <x:v>OK</x:v>
      </x:c>
      <x:c r="I17" s="49" t="str">
        <x:f>IF(H17="Material","Explain with department owner",IF(H17="Review","Review trend","No action"))</x:f>
        <x:v>No action</x:v>
      </x:c>
    </x:row>
    <x:row r="18">
      <x:c r="A18" s="68" t="n">
        <x:v>46023</x:v>
      </x:c>
      <x:c r="B18" s="48" t="str">
        <x:v>IT</x:v>
      </x:c>
      <x:c r="C18" s="48" t="str">
        <x:v>Supplies</x:v>
      </x:c>
      <x:c r="D18" s="72" t="n">
        <x:v>48207.31</x:v>
      </x:c>
      <x:c r="E18" s="72" t="n">
        <x:v>44353.39</x:v>
      </x:c>
      <x:c r="F18" s="72" t="n">
        <x:f>E18-D18</x:f>
        <x:v>-3853.9199999999983</x:v>
      </x:c>
      <x:c r="G18" s="76" t="n">
        <x:f>IF(D18=0,0,F18/D18)</x:f>
        <x:v>-0.07994472207638216</x:v>
      </x:c>
      <x:c r="H18" s="48" t="str">
        <x:f>IF(ABS(F18)&gt;10000,"Material",IF(ABS(G18)&gt;0.1,"Review","OK"))</x:f>
        <x:v>OK</x:v>
      </x:c>
      <x:c r="I18" s="49" t="str">
        <x:f>IF(H18="Material","Explain with department owner",IF(H18="Review","Review trend","No action"))</x:f>
        <x:v>No action</x:v>
      </x:c>
    </x:row>
    <x:row r="19">
      <x:c r="A19" s="68" t="n">
        <x:v>46023</x:v>
      </x:c>
      <x:c r="B19" s="48" t="str">
        <x:v>IT</x:v>
      </x:c>
      <x:c r="C19" s="48" t="str">
        <x:v>Utilities</x:v>
      </x:c>
      <x:c r="D19" s="72" t="n">
        <x:v>31931.42</x:v>
      </x:c>
      <x:c r="E19" s="72" t="n">
        <x:v>36207.77</x:v>
      </x:c>
      <x:c r="F19" s="72" t="n">
        <x:f>E19-D19</x:f>
        <x:v>4276.3499999999985</x:v>
      </x:c>
      <x:c r="G19" s="76" t="n">
        <x:f>IF(D19=0,0,F19/D19)</x:f>
        <x:v>0.13392295112462893</x:v>
      </x:c>
      <x:c r="H19" s="48" t="str">
        <x:f>IF(ABS(F19)&gt;10000,"Material",IF(ABS(G19)&gt;0.1,"Review","OK"))</x:f>
        <x:v>Review</x:v>
      </x:c>
      <x:c r="I19" s="49" t="str">
        <x:f>IF(H19="Material","Explain with department owner",IF(H19="Review","Review trend","No action"))</x:f>
        <x:v>Review trend</x:v>
      </x:c>
    </x:row>
    <x:row r="20">
      <x:c r="A20" s="68" t="n">
        <x:v>46023</x:v>
      </x:c>
      <x:c r="B20" s="48" t="str">
        <x:v>Sales</x:v>
      </x:c>
      <x:c r="C20" s="48" t="str">
        <x:v>Revenue</x:v>
      </x:c>
      <x:c r="D20" s="72" t="n">
        <x:v>83019.21</x:v>
      </x:c>
      <x:c r="E20" s="72" t="n">
        <x:v>91556.04</x:v>
      </x:c>
      <x:c r="F20" s="72" t="n">
        <x:f>E20-D20</x:f>
        <x:v>8536.829999999987</x:v>
      </x:c>
      <x:c r="G20" s="76" t="n">
        <x:f>IF(D20=0,0,F20/D20)</x:f>
        <x:v>0.10282957402268687</x:v>
      </x:c>
      <x:c r="H20" s="48" t="str">
        <x:f>IF(ABS(F20)&gt;10000,"Material",IF(ABS(G20)&gt;0.1,"Review","OK"))</x:f>
        <x:v>Review</x:v>
      </x:c>
      <x:c r="I20" s="49" t="str">
        <x:f>IF(H20="Material","Explain with department owner",IF(H20="Review","Review trend","No action"))</x:f>
        <x:v>Review trend</x:v>
      </x:c>
    </x:row>
    <x:row r="21">
      <x:c r="A21" s="68" t="n">
        <x:v>46023</x:v>
      </x:c>
      <x:c r="B21" s="48" t="str">
        <x:v>Sales</x:v>
      </x:c>
      <x:c r="C21" s="48" t="str">
        <x:v>Salaries</x:v>
      </x:c>
      <x:c r="D21" s="72" t="n">
        <x:v>24230.12</x:v>
      </x:c>
      <x:c r="E21" s="72" t="n">
        <x:v>29873.43</x:v>
      </x:c>
      <x:c r="F21" s="72" t="n">
        <x:f>E21-D21</x:f>
        <x:v>5643.310000000001</x:v>
      </x:c>
      <x:c r="G21" s="76" t="n">
        <x:f>IF(D21=0,0,F21/D21)</x:f>
        <x:v>0.23290474830500227</x:v>
      </x:c>
      <x:c r="H21" s="48" t="str">
        <x:f>IF(ABS(F21)&gt;10000,"Material",IF(ABS(G21)&gt;0.1,"Review","OK"))</x:f>
        <x:v>Review</x:v>
      </x:c>
      <x:c r="I21" s="49" t="str">
        <x:f>IF(H21="Material","Explain with department owner",IF(H21="Review","Review trend","No action"))</x:f>
        <x:v>Review trend</x:v>
      </x:c>
    </x:row>
    <x:row r="22">
      <x:c r="A22" s="68" t="n">
        <x:v>46023</x:v>
      </x:c>
      <x:c r="B22" s="48" t="str">
        <x:v>Sales</x:v>
      </x:c>
      <x:c r="C22" s="48" t="str">
        <x:v>Rent</x:v>
      </x:c>
      <x:c r="D22" s="72" t="n">
        <x:v>41398.14</x:v>
      </x:c>
      <x:c r="E22" s="72" t="n">
        <x:v>51483.35</x:v>
      </x:c>
      <x:c r="F22" s="72" t="n">
        <x:f>E22-D22</x:f>
        <x:v>10085.21</x:v>
      </x:c>
      <x:c r="G22" s="76" t="n">
        <x:f>IF(D22=0,0,F22/D22)</x:f>
        <x:v>0.24361505130423733</x:v>
      </x:c>
      <x:c r="H22" s="48" t="str">
        <x:f>IF(ABS(F22)&gt;10000,"Material",IF(ABS(G22)&gt;0.1,"Review","OK"))</x:f>
        <x:v>Material</x:v>
      </x:c>
      <x:c r="I22" s="49" t="str">
        <x:f>IF(H22="Material","Explain with department owner",IF(H22="Review","Review trend","No action"))</x:f>
        <x:v>Explain with department owner</x:v>
      </x:c>
    </x:row>
    <x:row r="23">
      <x:c r="A23" s="68" t="n">
        <x:v>46023</x:v>
      </x:c>
      <x:c r="B23" s="48" t="str">
        <x:v>Sales</x:v>
      </x:c>
      <x:c r="C23" s="48" t="str">
        <x:v>Software</x:v>
      </x:c>
      <x:c r="D23" s="72" t="n">
        <x:v>22544.26</x:v>
      </x:c>
      <x:c r="E23" s="72" t="n">
        <x:v>27949.77</x:v>
      </x:c>
      <x:c r="F23" s="72" t="n">
        <x:f>E23-D23</x:f>
        <x:v>5405.510000000002</x:v>
      </x:c>
      <x:c r="G23" s="76" t="n">
        <x:f>IF(D23=0,0,F23/D23)</x:f>
        <x:v>0.23977322830733866</x:v>
      </x:c>
      <x:c r="H23" s="48" t="str">
        <x:f>IF(ABS(F23)&gt;10000,"Material",IF(ABS(G23)&gt;0.1,"Review","OK"))</x:f>
        <x:v>Review</x:v>
      </x:c>
      <x:c r="I23" s="49" t="str">
        <x:f>IF(H23="Material","Explain with department owner",IF(H23="Review","Review trend","No action"))</x:f>
        <x:v>Review trend</x:v>
      </x:c>
    </x:row>
    <x:row r="24">
      <x:c r="A24" s="68" t="n">
        <x:v>46023</x:v>
      </x:c>
      <x:c r="B24" s="48" t="str">
        <x:v>Sales</x:v>
      </x:c>
      <x:c r="C24" s="48" t="str">
        <x:v>Supplies</x:v>
      </x:c>
      <x:c r="D24" s="72" t="n">
        <x:v>11138.55</x:v>
      </x:c>
      <x:c r="E24" s="72" t="n">
        <x:v>12052.99</x:v>
      </x:c>
      <x:c r="F24" s="72" t="n">
        <x:f>E24-D24</x:f>
        <x:v>914.4400000000005</x:v>
      </x:c>
      <x:c r="G24" s="76" t="n">
        <x:f>IF(D24=0,0,F24/D24)</x:f>
        <x:v>0.08209686179978548</x:v>
      </x:c>
      <x:c r="H24" s="48" t="str">
        <x:f>IF(ABS(F24)&gt;10000,"Material",IF(ABS(G24)&gt;0.1,"Review","OK"))</x:f>
        <x:v>OK</x:v>
      </x:c>
      <x:c r="I24" s="49" t="str">
        <x:f>IF(H24="Material","Explain with department owner",IF(H24="Review","Review trend","No action"))</x:f>
        <x:v>No action</x:v>
      </x:c>
    </x:row>
    <x:row r="25">
      <x:c r="A25" s="68" t="n">
        <x:v>46023</x:v>
      </x:c>
      <x:c r="B25" s="48" t="str">
        <x:v>Sales</x:v>
      </x:c>
      <x:c r="C25" s="48" t="str">
        <x:v>Utilities</x:v>
      </x:c>
      <x:c r="D25" s="72" t="n">
        <x:v>15794.13</x:v>
      </x:c>
      <x:c r="E25" s="72" t="n">
        <x:v>14737.12</x:v>
      </x:c>
      <x:c r="F25" s="72" t="n">
        <x:f>E25-D25</x:f>
        <x:v>-1057.0099999999984</x:v>
      </x:c>
      <x:c r="G25" s="76" t="n">
        <x:f>IF(D25=0,0,F25/D25)</x:f>
        <x:v>-0.06692423071102989</x:v>
      </x:c>
      <x:c r="H25" s="48" t="str">
        <x:f>IF(ABS(F25)&gt;10000,"Material",IF(ABS(G25)&gt;0.1,"Review","OK"))</x:f>
        <x:v>OK</x:v>
      </x:c>
      <x:c r="I25" s="49" t="str">
        <x:f>IF(H25="Material","Explain with department owner",IF(H25="Review","Review trend","No action"))</x:f>
        <x:v>No action</x:v>
      </x:c>
    </x:row>
    <x:row r="26">
      <x:c r="A26" s="68" t="n">
        <x:v>46023</x:v>
      </x:c>
      <x:c r="B26" s="48" t="str">
        <x:v>Warehouse</x:v>
      </x:c>
      <x:c r="C26" s="48" t="str">
        <x:v>Revenue</x:v>
      </x:c>
      <x:c r="D26" s="72" t="n">
        <x:v>170528.43</x:v>
      </x:c>
      <x:c r="E26" s="72" t="n">
        <x:v>161716.27</x:v>
      </x:c>
      <x:c r="F26" s="72" t="n">
        <x:f>E26-D26</x:f>
        <x:v>-8812.160000000003</x:v>
      </x:c>
      <x:c r="G26" s="76" t="n">
        <x:f>IF(D26=0,0,F26/D26)</x:f>
        <x:v>-0.05167560623175856</x:v>
      </x:c>
      <x:c r="H26" s="48" t="str">
        <x:f>IF(ABS(F26)&gt;10000,"Material",IF(ABS(G26)&gt;0.1,"Review","OK"))</x:f>
        <x:v>OK</x:v>
      </x:c>
      <x:c r="I26" s="49" t="str">
        <x:f>IF(H26="Material","Explain with department owner",IF(H26="Review","Review trend","No action"))</x:f>
        <x:v>No action</x:v>
      </x:c>
    </x:row>
    <x:row r="27">
      <x:c r="A27" s="68" t="n">
        <x:v>46023</x:v>
      </x:c>
      <x:c r="B27" s="48" t="str">
        <x:v>Warehouse</x:v>
      </x:c>
      <x:c r="C27" s="48" t="str">
        <x:v>Salaries</x:v>
      </x:c>
      <x:c r="D27" s="72" t="n">
        <x:v>47842.36</x:v>
      </x:c>
      <x:c r="E27" s="72" t="n">
        <x:v>49856.9</x:v>
      </x:c>
      <x:c r="F27" s="72" t="n">
        <x:f>E27-D27</x:f>
        <x:v>2014.5400000000009</x:v>
      </x:c>
      <x:c r="G27" s="76" t="n">
        <x:f>IF(D27=0,0,F27/D27)</x:f>
        <x:v>0.042107872604946764</x:v>
      </x:c>
      <x:c r="H27" s="48" t="str">
        <x:f>IF(ABS(F27)&gt;10000,"Material",IF(ABS(G27)&gt;0.1,"Review","OK"))</x:f>
        <x:v>OK</x:v>
      </x:c>
      <x:c r="I27" s="49" t="str">
        <x:f>IF(H27="Material","Explain with department owner",IF(H27="Review","Review trend","No action"))</x:f>
        <x:v>No action</x:v>
      </x:c>
    </x:row>
    <x:row r="28">
      <x:c r="A28" s="68" t="n">
        <x:v>46023</x:v>
      </x:c>
      <x:c r="B28" s="48" t="str">
        <x:v>Warehouse</x:v>
      </x:c>
      <x:c r="C28" s="48" t="str">
        <x:v>Rent</x:v>
      </x:c>
      <x:c r="D28" s="72" t="n">
        <x:v>11946.54</x:v>
      </x:c>
      <x:c r="E28" s="72" t="n">
        <x:v>12687.93</x:v>
      </x:c>
      <x:c r="F28" s="72" t="n">
        <x:f>E28-D28</x:f>
        <x:v>741.3899999999994</x:v>
      </x:c>
      <x:c r="G28" s="76" t="n">
        <x:f>IF(D28=0,0,F28/D28)</x:f>
        <x:v>0.06205897272348306</x:v>
      </x:c>
      <x:c r="H28" s="48" t="str">
        <x:f>IF(ABS(F28)&gt;10000,"Material",IF(ABS(G28)&gt;0.1,"Review","OK"))</x:f>
        <x:v>OK</x:v>
      </x:c>
      <x:c r="I28" s="49" t="str">
        <x:f>IF(H28="Material","Explain with department owner",IF(H28="Review","Review trend","No action"))</x:f>
        <x:v>No action</x:v>
      </x:c>
    </x:row>
    <x:row r="29">
      <x:c r="A29" s="68" t="n">
        <x:v>46023</x:v>
      </x:c>
      <x:c r="B29" s="48" t="str">
        <x:v>Warehouse</x:v>
      </x:c>
      <x:c r="C29" s="48" t="str">
        <x:v>Software</x:v>
      </x:c>
      <x:c r="D29" s="72" t="n">
        <x:v>17762.98</x:v>
      </x:c>
      <x:c r="E29" s="72" t="n">
        <x:v>20672.09</x:v>
      </x:c>
      <x:c r="F29" s="72" t="n">
        <x:f>E29-D29</x:f>
        <x:v>2909.1100000000006</x:v>
      </x:c>
      <x:c r="G29" s="76" t="n">
        <x:f>IF(D29=0,0,F29/D29)</x:f>
        <x:v>0.16377375868238328</x:v>
      </x:c>
      <x:c r="H29" s="48" t="str">
        <x:f>IF(ABS(F29)&gt;10000,"Material",IF(ABS(G29)&gt;0.1,"Review","OK"))</x:f>
        <x:v>Review</x:v>
      </x:c>
      <x:c r="I29" s="49" t="str">
        <x:f>IF(H29="Material","Explain with department owner",IF(H29="Review","Review trend","No action"))</x:f>
        <x:v>Review trend</x:v>
      </x:c>
    </x:row>
    <x:row r="30">
      <x:c r="A30" s="68" t="n">
        <x:v>46023</x:v>
      </x:c>
      <x:c r="B30" s="48" t="str">
        <x:v>Warehouse</x:v>
      </x:c>
      <x:c r="C30" s="48" t="str">
        <x:v>Supplies</x:v>
      </x:c>
      <x:c r="D30" s="72" t="n">
        <x:v>20778.74</x:v>
      </x:c>
      <x:c r="E30" s="72" t="n">
        <x:v>22381.5</x:v>
      </x:c>
      <x:c r="F30" s="72" t="n">
        <x:f>E30-D30</x:f>
        <x:v>1602.7599999999984</x:v>
      </x:c>
      <x:c r="G30" s="76" t="n">
        <x:f>IF(D30=0,0,F30/D30)</x:f>
        <x:v>0.0771346097020319</x:v>
      </x:c>
      <x:c r="H30" s="48" t="str">
        <x:f>IF(ABS(F30)&gt;10000,"Material",IF(ABS(G30)&gt;0.1,"Review","OK"))</x:f>
        <x:v>OK</x:v>
      </x:c>
      <x:c r="I30" s="49" t="str">
        <x:f>IF(H30="Material","Explain with department owner",IF(H30="Review","Review trend","No action"))</x:f>
        <x:v>No action</x:v>
      </x:c>
    </x:row>
    <x:row r="31">
      <x:c r="A31" s="68" t="n">
        <x:v>46023</x:v>
      </x:c>
      <x:c r="B31" s="48" t="str">
        <x:v>Warehouse</x:v>
      </x:c>
      <x:c r="C31" s="48" t="str">
        <x:v>Utilities</x:v>
      </x:c>
      <x:c r="D31" s="72" t="n">
        <x:v>41780.5</x:v>
      </x:c>
      <x:c r="E31" s="72" t="n">
        <x:v>34171.17</x:v>
      </x:c>
      <x:c r="F31" s="72" t="n">
        <x:f>E31-D31</x:f>
        <x:v>-7609.330000000002</x:v>
      </x:c>
      <x:c r="G31" s="76" t="n">
        <x:f>IF(D31=0,0,F31/D31)</x:f>
        <x:v>-0.18212635080958825</x:v>
      </x:c>
      <x:c r="H31" s="48" t="str">
        <x:f>IF(ABS(F31)&gt;10000,"Material",IF(ABS(G31)&gt;0.1,"Review","OK"))</x:f>
        <x:v>Review</x:v>
      </x:c>
      <x:c r="I31" s="49" t="str">
        <x:f>IF(H31="Material","Explain with department owner",IF(H31="Review","Review trend","No action"))</x:f>
        <x:v>Review trend</x:v>
      </x:c>
    </x:row>
    <x:row r="32">
      <x:c r="A32" s="68" t="n">
        <x:v>46054</x:v>
      </x:c>
      <x:c r="B32" s="48" t="str">
        <x:v>Accounting</x:v>
      </x:c>
      <x:c r="C32" s="48" t="str">
        <x:v>Revenue</x:v>
      </x:c>
      <x:c r="D32" s="72" t="n">
        <x:v>114608.13</x:v>
      </x:c>
      <x:c r="E32" s="72" t="n">
        <x:v>117086.65</x:v>
      </x:c>
      <x:c r="F32" s="72" t="n">
        <x:f>E32-D32</x:f>
        <x:v>2478.5199999999895</x:v>
      </x:c>
      <x:c r="G32" s="76" t="n">
        <x:f>IF(D32=0,0,F32/D32)</x:f>
        <x:v>0.021626039967670613</x:v>
      </x:c>
      <x:c r="H32" s="48" t="str">
        <x:f>IF(ABS(F32)&gt;10000,"Material",IF(ABS(G32)&gt;0.1,"Review","OK"))</x:f>
        <x:v>OK</x:v>
      </x:c>
      <x:c r="I32" s="49" t="str">
        <x:f>IF(H32="Material","Explain with department owner",IF(H32="Review","Review trend","No action"))</x:f>
        <x:v>No action</x:v>
      </x:c>
    </x:row>
    <x:row r="33">
      <x:c r="A33" s="68" t="n">
        <x:v>46054</x:v>
      </x:c>
      <x:c r="B33" s="48" t="str">
        <x:v>Accounting</x:v>
      </x:c>
      <x:c r="C33" s="48" t="str">
        <x:v>Salaries</x:v>
      </x:c>
      <x:c r="D33" s="72" t="n">
        <x:v>29609.07</x:v>
      </x:c>
      <x:c r="E33" s="72" t="n">
        <x:v>33086.24</x:v>
      </x:c>
      <x:c r="F33" s="72" t="n">
        <x:f>E33-D33</x:f>
        <x:v>3477.1699999999983</x:v>
      </x:c>
      <x:c r="G33" s="76" t="n">
        <x:f>IF(D33=0,0,F33/D33)</x:f>
        <x:v>0.11743597485500214</x:v>
      </x:c>
      <x:c r="H33" s="48" t="str">
        <x:f>IF(ABS(F33)&gt;10000,"Material",IF(ABS(G33)&gt;0.1,"Review","OK"))</x:f>
        <x:v>Review</x:v>
      </x:c>
      <x:c r="I33" s="49" t="str">
        <x:f>IF(H33="Material","Explain with department owner",IF(H33="Review","Review trend","No action"))</x:f>
        <x:v>Review trend</x:v>
      </x:c>
    </x:row>
    <x:row r="34">
      <x:c r="A34" s="68" t="n">
        <x:v>46054</x:v>
      </x:c>
      <x:c r="B34" s="48" t="str">
        <x:v>Accounting</x:v>
      </x:c>
      <x:c r="C34" s="48" t="str">
        <x:v>Rent</x:v>
      </x:c>
      <x:c r="D34" s="72" t="n">
        <x:v>43045.16</x:v>
      </x:c>
      <x:c r="E34" s="72" t="n">
        <x:v>36715.5</x:v>
      </x:c>
      <x:c r="F34" s="72" t="n">
        <x:f>E34-D34</x:f>
        <x:v>-6329.6600000000035</x:v>
      </x:c>
      <x:c r="G34" s="76" t="n">
        <x:f>IF(D34=0,0,F34/D34)</x:f>
        <x:v>-0.1470469618419354</x:v>
      </x:c>
      <x:c r="H34" s="48" t="str">
        <x:f>IF(ABS(F34)&gt;10000,"Material",IF(ABS(G34)&gt;0.1,"Review","OK"))</x:f>
        <x:v>Review</x:v>
      </x:c>
      <x:c r="I34" s="49" t="str">
        <x:f>IF(H34="Material","Explain with department owner",IF(H34="Review","Review trend","No action"))</x:f>
        <x:v>Review trend</x:v>
      </x:c>
    </x:row>
    <x:row r="35">
      <x:c r="A35" s="68" t="n">
        <x:v>46054</x:v>
      </x:c>
      <x:c r="B35" s="48" t="str">
        <x:v>Accounting</x:v>
      </x:c>
      <x:c r="C35" s="48" t="str">
        <x:v>Software</x:v>
      </x:c>
      <x:c r="D35" s="72" t="n">
        <x:v>6078.18</x:v>
      </x:c>
      <x:c r="E35" s="72" t="n">
        <x:v>7142.79</x:v>
      </x:c>
      <x:c r="F35" s="72" t="n">
        <x:f>E35-D35</x:f>
        <x:v>1064.6099999999997</x:v>
      </x:c>
      <x:c r="G35" s="76" t="n">
        <x:f>IF(D35=0,0,F35/D35)</x:f>
        <x:v>0.17515275954315265</x:v>
      </x:c>
      <x:c r="H35" s="48" t="str">
        <x:f>IF(ABS(F35)&gt;10000,"Material",IF(ABS(G35)&gt;0.1,"Review","OK"))</x:f>
        <x:v>Review</x:v>
      </x:c>
      <x:c r="I35" s="49" t="str">
        <x:f>IF(H35="Material","Explain with department owner",IF(H35="Review","Review trend","No action"))</x:f>
        <x:v>Review trend</x:v>
      </x:c>
    </x:row>
    <x:row r="36">
      <x:c r="A36" s="68" t="n">
        <x:v>46054</x:v>
      </x:c>
      <x:c r="B36" s="48" t="str">
        <x:v>Accounting</x:v>
      </x:c>
      <x:c r="C36" s="48" t="str">
        <x:v>Supplies</x:v>
      </x:c>
      <x:c r="D36" s="72" t="n">
        <x:v>41647.18</x:v>
      </x:c>
      <x:c r="E36" s="72" t="n">
        <x:v>46653.97</x:v>
      </x:c>
      <x:c r="F36" s="72" t="n">
        <x:f>E36-D36</x:f>
        <x:v>5006.790000000001</x:v>
      </x:c>
      <x:c r="G36" s="76" t="n">
        <x:f>IF(D36=0,0,F36/D36)</x:f>
        <x:v>0.12021918410802367</x:v>
      </x:c>
      <x:c r="H36" s="48" t="str">
        <x:f>IF(ABS(F36)&gt;10000,"Material",IF(ABS(G36)&gt;0.1,"Review","OK"))</x:f>
        <x:v>Review</x:v>
      </x:c>
      <x:c r="I36" s="49" t="str">
        <x:f>IF(H36="Material","Explain with department owner",IF(H36="Review","Review trend","No action"))</x:f>
        <x:v>Review trend</x:v>
      </x:c>
    </x:row>
    <x:row r="37">
      <x:c r="A37" s="68" t="n">
        <x:v>46054</x:v>
      </x:c>
      <x:c r="B37" s="48" t="str">
        <x:v>Accounting</x:v>
      </x:c>
      <x:c r="C37" s="48" t="str">
        <x:v>Utilities</x:v>
      </x:c>
      <x:c r="D37" s="72" t="n">
        <x:v>2729.18</x:v>
      </x:c>
      <x:c r="E37" s="72" t="n">
        <x:v>2622.57</x:v>
      </x:c>
      <x:c r="F37" s="72" t="n">
        <x:f>E37-D37</x:f>
        <x:v>-106.60999999999967</x:v>
      </x:c>
      <x:c r="G37" s="76" t="n">
        <x:f>IF(D37=0,0,F37/D37)</x:f>
        <x:v>-0.03906301526465813</x:v>
      </x:c>
      <x:c r="H37" s="48" t="str">
        <x:f>IF(ABS(F37)&gt;10000,"Material",IF(ABS(G37)&gt;0.1,"Review","OK"))</x:f>
        <x:v>OK</x:v>
      </x:c>
      <x:c r="I37" s="49" t="str">
        <x:f>IF(H37="Material","Explain with department owner",IF(H37="Review","Review trend","No action"))</x:f>
        <x:v>No action</x:v>
      </x:c>
    </x:row>
    <x:row r="38">
      <x:c r="A38" s="68" t="n">
        <x:v>46054</x:v>
      </x:c>
      <x:c r="B38" s="48" t="str">
        <x:v>Operations</x:v>
      </x:c>
      <x:c r="C38" s="48" t="str">
        <x:v>Revenue</x:v>
      </x:c>
      <x:c r="D38" s="72" t="n">
        <x:v>89382.28</x:v>
      </x:c>
      <x:c r="E38" s="72" t="n">
        <x:v>97677.13</x:v>
      </x:c>
      <x:c r="F38" s="72" t="n">
        <x:f>E38-D38</x:f>
        <x:v>8294.850000000006</x:v>
      </x:c>
      <x:c r="G38" s="76" t="n">
        <x:f>IF(D38=0,0,F38/D38)</x:f>
        <x:v>0.09280195134874615</x:v>
      </x:c>
      <x:c r="H38" s="48" t="str">
        <x:f>IF(ABS(F38)&gt;10000,"Material",IF(ABS(G38)&gt;0.1,"Review","OK"))</x:f>
        <x:v>OK</x:v>
      </x:c>
      <x:c r="I38" s="49" t="str">
        <x:f>IF(H38="Material","Explain with department owner",IF(H38="Review","Review trend","No action"))</x:f>
        <x:v>No action</x:v>
      </x:c>
    </x:row>
    <x:row r="39">
      <x:c r="A39" s="68" t="n">
        <x:v>46054</x:v>
      </x:c>
      <x:c r="B39" s="48" t="str">
        <x:v>Operations</x:v>
      </x:c>
      <x:c r="C39" s="48" t="str">
        <x:v>Salaries</x:v>
      </x:c>
      <x:c r="D39" s="72" t="n">
        <x:v>21649.28</x:v>
      </x:c>
      <x:c r="E39" s="72" t="n">
        <x:v>22927.18</x:v>
      </x:c>
      <x:c r="F39" s="72" t="n">
        <x:f>E39-D39</x:f>
        <x:v>1277.9000000000015</x:v>
      </x:c>
      <x:c r="G39" s="76" t="n">
        <x:f>IF(D39=0,0,F39/D39)</x:f>
        <x:v>0.059027367191888204</x:v>
      </x:c>
      <x:c r="H39" s="48" t="str">
        <x:f>IF(ABS(F39)&gt;10000,"Material",IF(ABS(G39)&gt;0.1,"Review","OK"))</x:f>
        <x:v>OK</x:v>
      </x:c>
      <x:c r="I39" s="49" t="str">
        <x:f>IF(H39="Material","Explain with department owner",IF(H39="Review","Review trend","No action"))</x:f>
        <x:v>No action</x:v>
      </x:c>
    </x:row>
    <x:row r="40">
      <x:c r="A40" s="68" t="n">
        <x:v>46054</x:v>
      </x:c>
      <x:c r="B40" s="48" t="str">
        <x:v>Operations</x:v>
      </x:c>
      <x:c r="C40" s="48" t="str">
        <x:v>Rent</x:v>
      </x:c>
      <x:c r="D40" s="72" t="n">
        <x:v>42561.09</x:v>
      </x:c>
      <x:c r="E40" s="72" t="n">
        <x:v>37962.46</x:v>
      </x:c>
      <x:c r="F40" s="72" t="n">
        <x:f>E40-D40</x:f>
        <x:v>-4598.629999999997</x:v>
      </x:c>
      <x:c r="G40" s="76" t="n">
        <x:f>IF(D40=0,0,F40/D40)</x:f>
        <x:v>-0.10804774971693624</x:v>
      </x:c>
      <x:c r="H40" s="48" t="str">
        <x:f>IF(ABS(F40)&gt;10000,"Material",IF(ABS(G40)&gt;0.1,"Review","OK"))</x:f>
        <x:v>Review</x:v>
      </x:c>
      <x:c r="I40" s="49" t="str">
        <x:f>IF(H40="Material","Explain with department owner",IF(H40="Review","Review trend","No action"))</x:f>
        <x:v>Review trend</x:v>
      </x:c>
    </x:row>
    <x:row r="41">
      <x:c r="A41" s="68" t="n">
        <x:v>46054</x:v>
      </x:c>
      <x:c r="B41" s="48" t="str">
        <x:v>Operations</x:v>
      </x:c>
      <x:c r="C41" s="48" t="str">
        <x:v>Software</x:v>
      </x:c>
      <x:c r="D41" s="72" t="n">
        <x:v>33890.39</x:v>
      </x:c>
      <x:c r="E41" s="72" t="n">
        <x:v>39140.51</x:v>
      </x:c>
      <x:c r="F41" s="72" t="n">
        <x:f>E41-D41</x:f>
        <x:v>5250.120000000003</x:v>
      </x:c>
      <x:c r="G41" s="76" t="n">
        <x:f>IF(D41=0,0,F41/D41)</x:f>
        <x:v>0.1549147118106343</x:v>
      </x:c>
      <x:c r="H41" s="48" t="str">
        <x:f>IF(ABS(F41)&gt;10000,"Material",IF(ABS(G41)&gt;0.1,"Review","OK"))</x:f>
        <x:v>Review</x:v>
      </x:c>
      <x:c r="I41" s="49" t="str">
        <x:f>IF(H41="Material","Explain with department owner",IF(H41="Review","Review trend","No action"))</x:f>
        <x:v>Review trend</x:v>
      </x:c>
    </x:row>
    <x:row r="42">
      <x:c r="A42" s="68" t="n">
        <x:v>46054</x:v>
      </x:c>
      <x:c r="B42" s="48" t="str">
        <x:v>Operations</x:v>
      </x:c>
      <x:c r="C42" s="48" t="str">
        <x:v>Supplies</x:v>
      </x:c>
      <x:c r="D42" s="72" t="n">
        <x:v>41372.5</x:v>
      </x:c>
      <x:c r="E42" s="72" t="n">
        <x:v>49680.17</x:v>
      </x:c>
      <x:c r="F42" s="72" t="n">
        <x:f>E42-D42</x:f>
        <x:v>8307.669999999998</x:v>
      </x:c>
      <x:c r="G42" s="76" t="n">
        <x:f>IF(D42=0,0,F42/D42)</x:f>
        <x:v>0.2008017402864221</x:v>
      </x:c>
      <x:c r="H42" s="48" t="str">
        <x:f>IF(ABS(F42)&gt;10000,"Material",IF(ABS(G42)&gt;0.1,"Review","OK"))</x:f>
        <x:v>Review</x:v>
      </x:c>
      <x:c r="I42" s="49" t="str">
        <x:f>IF(H42="Material","Explain with department owner",IF(H42="Review","Review trend","No action"))</x:f>
        <x:v>Review trend</x:v>
      </x:c>
    </x:row>
    <x:row r="43">
      <x:c r="A43" s="68" t="n">
        <x:v>46054</x:v>
      </x:c>
      <x:c r="B43" s="48" t="str">
        <x:v>Operations</x:v>
      </x:c>
      <x:c r="C43" s="48" t="str">
        <x:v>Utilities</x:v>
      </x:c>
      <x:c r="D43" s="72" t="n">
        <x:v>32738.8</x:v>
      </x:c>
      <x:c r="E43" s="72" t="n">
        <x:v>28376.87</x:v>
      </x:c>
      <x:c r="F43" s="72" t="n">
        <x:f>E43-D43</x:f>
        <x:v>-4361.93</x:v>
      </x:c>
      <x:c r="G43" s="76" t="n">
        <x:f>IF(D43=0,0,F43/D43)</x:f>
        <x:v>-0.1332342663750657</x:v>
      </x:c>
      <x:c r="H43" s="48" t="str">
        <x:f>IF(ABS(F43)&gt;10000,"Material",IF(ABS(G43)&gt;0.1,"Review","OK"))</x:f>
        <x:v>Review</x:v>
      </x:c>
      <x:c r="I43" s="49" t="str">
        <x:f>IF(H43="Material","Explain with department owner",IF(H43="Review","Review trend","No action"))</x:f>
        <x:v>Review trend</x:v>
      </x:c>
    </x:row>
    <x:row r="44">
      <x:c r="A44" s="68" t="n">
        <x:v>46054</x:v>
      </x:c>
      <x:c r="B44" s="48" t="str">
        <x:v>IT</x:v>
      </x:c>
      <x:c r="C44" s="48" t="str">
        <x:v>Revenue</x:v>
      </x:c>
      <x:c r="D44" s="72" t="n">
        <x:v>89136</x:v>
      </x:c>
      <x:c r="E44" s="72" t="n">
        <x:v>74675.63</x:v>
      </x:c>
      <x:c r="F44" s="72" t="n">
        <x:f>E44-D44</x:f>
        <x:v>-14460.369999999995</x:v>
      </x:c>
      <x:c r="G44" s="76" t="n">
        <x:f>IF(D44=0,0,F44/D44)</x:f>
        <x:v>-0.162228168192425</x:v>
      </x:c>
      <x:c r="H44" s="48" t="str">
        <x:f>IF(ABS(F44)&gt;10000,"Material",IF(ABS(G44)&gt;0.1,"Review","OK"))</x:f>
        <x:v>Material</x:v>
      </x:c>
      <x:c r="I44" s="49" t="str">
        <x:f>IF(H44="Material","Explain with department owner",IF(H44="Review","Review trend","No action"))</x:f>
        <x:v>Explain with department owner</x:v>
      </x:c>
    </x:row>
    <x:row r="45">
      <x:c r="A45" s="68" t="n">
        <x:v>46054</x:v>
      </x:c>
      <x:c r="B45" s="48" t="str">
        <x:v>IT</x:v>
      </x:c>
      <x:c r="C45" s="48" t="str">
        <x:v>Salaries</x:v>
      </x:c>
      <x:c r="D45" s="72" t="n">
        <x:v>32773.95</x:v>
      </x:c>
      <x:c r="E45" s="72" t="n">
        <x:v>26853.37</x:v>
      </x:c>
      <x:c r="F45" s="72" t="n">
        <x:f>E45-D45</x:f>
        <x:v>-5920.579999999998</x:v>
      </x:c>
      <x:c r="G45" s="76" t="n">
        <x:f>IF(D45=0,0,F45/D45)</x:f>
        <x:v>-0.1806489605311535</x:v>
      </x:c>
      <x:c r="H45" s="48" t="str">
        <x:f>IF(ABS(F45)&gt;10000,"Material",IF(ABS(G45)&gt;0.1,"Review","OK"))</x:f>
        <x:v>Review</x:v>
      </x:c>
      <x:c r="I45" s="49" t="str">
        <x:f>IF(H45="Material","Explain with department owner",IF(H45="Review","Review trend","No action"))</x:f>
        <x:v>Review trend</x:v>
      </x:c>
    </x:row>
    <x:row r="46">
      <x:c r="A46" s="68" t="n">
        <x:v>46054</x:v>
      </x:c>
      <x:c r="B46" s="48" t="str">
        <x:v>IT</x:v>
      </x:c>
      <x:c r="C46" s="48" t="str">
        <x:v>Rent</x:v>
      </x:c>
      <x:c r="D46" s="72" t="n">
        <x:v>36763.51</x:v>
      </x:c>
      <x:c r="E46" s="72" t="n">
        <x:v>35088.82</x:v>
      </x:c>
      <x:c r="F46" s="72" t="n">
        <x:f>E46-D46</x:f>
        <x:v>-1674.6900000000023</x:v>
      </x:c>
      <x:c r="G46" s="76" t="n">
        <x:f>IF(D46=0,0,F46/D46)</x:f>
        <x:v>-0.045553049749602316</x:v>
      </x:c>
      <x:c r="H46" s="48" t="str">
        <x:f>IF(ABS(F46)&gt;10000,"Material",IF(ABS(G46)&gt;0.1,"Review","OK"))</x:f>
        <x:v>OK</x:v>
      </x:c>
      <x:c r="I46" s="49" t="str">
        <x:f>IF(H46="Material","Explain with department owner",IF(H46="Review","Review trend","No action"))</x:f>
        <x:v>No action</x:v>
      </x:c>
    </x:row>
    <x:row r="47">
      <x:c r="A47" s="68" t="n">
        <x:v>46054</x:v>
      </x:c>
      <x:c r="B47" s="48" t="str">
        <x:v>IT</x:v>
      </x:c>
      <x:c r="C47" s="48" t="str">
        <x:v>Software</x:v>
      </x:c>
      <x:c r="D47" s="72" t="n">
        <x:v>26586.46</x:v>
      </x:c>
      <x:c r="E47" s="72" t="n">
        <x:v>25265.35</x:v>
      </x:c>
      <x:c r="F47" s="72" t="n">
        <x:f>E47-D47</x:f>
        <x:v>-1321.1100000000006</x:v>
      </x:c>
      <x:c r="G47" s="76" t="n">
        <x:f>IF(D47=0,0,F47/D47)</x:f>
        <x:v>-0.04969108335596392</x:v>
      </x:c>
      <x:c r="H47" s="48" t="str">
        <x:f>IF(ABS(F47)&gt;10000,"Material",IF(ABS(G47)&gt;0.1,"Review","OK"))</x:f>
        <x:v>OK</x:v>
      </x:c>
      <x:c r="I47" s="49" t="str">
        <x:f>IF(H47="Material","Explain with department owner",IF(H47="Review","Review trend","No action"))</x:f>
        <x:v>No action</x:v>
      </x:c>
    </x:row>
    <x:row r="48">
      <x:c r="A48" s="68" t="n">
        <x:v>46054</x:v>
      </x:c>
      <x:c r="B48" s="48" t="str">
        <x:v>IT</x:v>
      </x:c>
      <x:c r="C48" s="48" t="str">
        <x:v>Supplies</x:v>
      </x:c>
      <x:c r="D48" s="72" t="n">
        <x:v>49993.09</x:v>
      </x:c>
      <x:c r="E48" s="72" t="n">
        <x:v>51797.7</x:v>
      </x:c>
      <x:c r="F48" s="72" t="n">
        <x:f>E48-D48</x:f>
        <x:v>1804.6100000000006</x:v>
      </x:c>
      <x:c r="G48" s="76" t="n">
        <x:f>IF(D48=0,0,F48/D48)</x:f>
        <x:v>0.036097188631468886</x:v>
      </x:c>
      <x:c r="H48" s="48" t="str">
        <x:f>IF(ABS(F48)&gt;10000,"Material",IF(ABS(G48)&gt;0.1,"Review","OK"))</x:f>
        <x:v>OK</x:v>
      </x:c>
      <x:c r="I48" s="49" t="str">
        <x:f>IF(H48="Material","Explain with department owner",IF(H48="Review","Review trend","No action"))</x:f>
        <x:v>No action</x:v>
      </x:c>
    </x:row>
    <x:row r="49">
      <x:c r="A49" s="68" t="n">
        <x:v>46054</x:v>
      </x:c>
      <x:c r="B49" s="48" t="str">
        <x:v>IT</x:v>
      </x:c>
      <x:c r="C49" s="48" t="str">
        <x:v>Utilities</x:v>
      </x:c>
      <x:c r="D49" s="72" t="n">
        <x:v>43602.38</x:v>
      </x:c>
      <x:c r="E49" s="72" t="n">
        <x:v>46255.6</x:v>
      </x:c>
      <x:c r="F49" s="72" t="n">
        <x:f>E49-D49</x:f>
        <x:v>2653.220000000001</x:v>
      </x:c>
      <x:c r="G49" s="76" t="n">
        <x:f>IF(D49=0,0,F49/D49)</x:f>
        <x:v>0.06085034807732975</x:v>
      </x:c>
      <x:c r="H49" s="48" t="str">
        <x:f>IF(ABS(F49)&gt;10000,"Material",IF(ABS(G49)&gt;0.1,"Review","OK"))</x:f>
        <x:v>OK</x:v>
      </x:c>
      <x:c r="I49" s="49" t="str">
        <x:f>IF(H49="Material","Explain with department owner",IF(H49="Review","Review trend","No action"))</x:f>
        <x:v>No action</x:v>
      </x:c>
    </x:row>
    <x:row r="50">
      <x:c r="A50" s="68" t="n">
        <x:v>46054</x:v>
      </x:c>
      <x:c r="B50" s="48" t="str">
        <x:v>Sales</x:v>
      </x:c>
      <x:c r="C50" s="48" t="str">
        <x:v>Revenue</x:v>
      </x:c>
      <x:c r="D50" s="72" t="n">
        <x:v>195418.78</x:v>
      </x:c>
      <x:c r="E50" s="72" t="n">
        <x:v>213130.04</x:v>
      </x:c>
      <x:c r="F50" s="72" t="n">
        <x:f>E50-D50</x:f>
        <x:v>17711.26000000001</x:v>
      </x:c>
      <x:c r="G50" s="76" t="n">
        <x:f>IF(D50=0,0,F50/D50)</x:f>
        <x:v>0.09063233328956413</x:v>
      </x:c>
      <x:c r="H50" s="48" t="str">
        <x:f>IF(ABS(F50)&gt;10000,"Material",IF(ABS(G50)&gt;0.1,"Review","OK"))</x:f>
        <x:v>Material</x:v>
      </x:c>
      <x:c r="I50" s="49" t="str">
        <x:f>IF(H50="Material","Explain with department owner",IF(H50="Review","Review trend","No action"))</x:f>
        <x:v>Explain with department owner</x:v>
      </x:c>
    </x:row>
    <x:row r="51">
      <x:c r="A51" s="68" t="n">
        <x:v>46054</x:v>
      </x:c>
      <x:c r="B51" s="48" t="str">
        <x:v>Sales</x:v>
      </x:c>
      <x:c r="C51" s="48" t="str">
        <x:v>Salaries</x:v>
      </x:c>
      <x:c r="D51" s="72" t="n">
        <x:v>20736.13</x:v>
      </x:c>
      <x:c r="E51" s="72" t="n">
        <x:v>25461.29</x:v>
      </x:c>
      <x:c r="F51" s="72" t="n">
        <x:f>E51-D51</x:f>
        <x:v>4725.16</x:v>
      </x:c>
      <x:c r="G51" s="76" t="n">
        <x:f>IF(D51=0,0,F51/D51)</x:f>
        <x:v>0.22787087079411633</x:v>
      </x:c>
      <x:c r="H51" s="48" t="str">
        <x:f>IF(ABS(F51)&gt;10000,"Material",IF(ABS(G51)&gt;0.1,"Review","OK"))</x:f>
        <x:v>Review</x:v>
      </x:c>
      <x:c r="I51" s="49" t="str">
        <x:f>IF(H51="Material","Explain with department owner",IF(H51="Review","Review trend","No action"))</x:f>
        <x:v>Review trend</x:v>
      </x:c>
    </x:row>
    <x:row r="52">
      <x:c r="A52" s="68" t="n">
        <x:v>46054</x:v>
      </x:c>
      <x:c r="B52" s="48" t="str">
        <x:v>Sales</x:v>
      </x:c>
      <x:c r="C52" s="48" t="str">
        <x:v>Rent</x:v>
      </x:c>
      <x:c r="D52" s="72" t="n">
        <x:v>9402.59</x:v>
      </x:c>
      <x:c r="E52" s="72" t="n">
        <x:v>8853.01</x:v>
      </x:c>
      <x:c r="F52" s="72" t="n">
        <x:f>E52-D52</x:f>
        <x:v>-549.5799999999999</x:v>
      </x:c>
      <x:c r="G52" s="76" t="n">
        <x:f>IF(D52=0,0,F52/D52)</x:f>
        <x:v>-0.05844985264698343</x:v>
      </x:c>
      <x:c r="H52" s="48" t="str">
        <x:f>IF(ABS(F52)&gt;10000,"Material",IF(ABS(G52)&gt;0.1,"Review","OK"))</x:f>
        <x:v>OK</x:v>
      </x:c>
      <x:c r="I52" s="49" t="str">
        <x:f>IF(H52="Material","Explain with department owner",IF(H52="Review","Review trend","No action"))</x:f>
        <x:v>No action</x:v>
      </x:c>
    </x:row>
    <x:row r="53">
      <x:c r="A53" s="68" t="n">
        <x:v>46054</x:v>
      </x:c>
      <x:c r="B53" s="48" t="str">
        <x:v>Sales</x:v>
      </x:c>
      <x:c r="C53" s="48" t="str">
        <x:v>Software</x:v>
      </x:c>
      <x:c r="D53" s="72" t="n">
        <x:v>9707.97</x:v>
      </x:c>
      <x:c r="E53" s="72" t="n">
        <x:v>10044.38</x:v>
      </x:c>
      <x:c r="F53" s="72" t="n">
        <x:f>E53-D53</x:f>
        <x:v>336.40999999999985</x:v>
      </x:c>
      <x:c r="G53" s="76" t="n">
        <x:f>IF(D53=0,0,F53/D53)</x:f>
        <x:v>0.034652970703452926</x:v>
      </x:c>
      <x:c r="H53" s="48" t="str">
        <x:f>IF(ABS(F53)&gt;10000,"Material",IF(ABS(G53)&gt;0.1,"Review","OK"))</x:f>
        <x:v>OK</x:v>
      </x:c>
      <x:c r="I53" s="49" t="str">
        <x:f>IF(H53="Material","Explain with department owner",IF(H53="Review","Review trend","No action"))</x:f>
        <x:v>No action</x:v>
      </x:c>
    </x:row>
    <x:row r="54">
      <x:c r="A54" s="68" t="n">
        <x:v>46054</x:v>
      </x:c>
      <x:c r="B54" s="48" t="str">
        <x:v>Sales</x:v>
      </x:c>
      <x:c r="C54" s="48" t="str">
        <x:v>Supplies</x:v>
      </x:c>
      <x:c r="D54" s="72" t="n">
        <x:v>19396.7</x:v>
      </x:c>
      <x:c r="E54" s="72" t="n">
        <x:v>18065.02</x:v>
      </x:c>
      <x:c r="F54" s="72" t="n">
        <x:f>E54-D54</x:f>
        <x:v>-1331.6800000000003</x:v>
      </x:c>
      <x:c r="G54" s="76" t="n">
        <x:f>IF(D54=0,0,F54/D54)</x:f>
        <x:v>-0.06865497739306171</x:v>
      </x:c>
      <x:c r="H54" s="48" t="str">
        <x:f>IF(ABS(F54)&gt;10000,"Material",IF(ABS(G54)&gt;0.1,"Review","OK"))</x:f>
        <x:v>OK</x:v>
      </x:c>
      <x:c r="I54" s="49" t="str">
        <x:f>IF(H54="Material","Explain with department owner",IF(H54="Review","Review trend","No action"))</x:f>
        <x:v>No action</x:v>
      </x:c>
    </x:row>
    <x:row r="55">
      <x:c r="A55" s="68" t="n">
        <x:v>46054</x:v>
      </x:c>
      <x:c r="B55" s="48" t="str">
        <x:v>Sales</x:v>
      </x:c>
      <x:c r="C55" s="48" t="str">
        <x:v>Utilities</x:v>
      </x:c>
      <x:c r="D55" s="72" t="n">
        <x:v>5472.56</x:v>
      </x:c>
      <x:c r="E55" s="72" t="n">
        <x:v>4439.19</x:v>
      </x:c>
      <x:c r="F55" s="72" t="n">
        <x:f>E55-D55</x:f>
        <x:v>-1033.3700000000008</x:v>
      </x:c>
      <x:c r="G55" s="76" t="n">
        <x:f>IF(D55=0,0,F55/D55)</x:f>
        <x:v>-0.18882753227008944</x:v>
      </x:c>
      <x:c r="H55" s="48" t="str">
        <x:f>IF(ABS(F55)&gt;10000,"Material",IF(ABS(G55)&gt;0.1,"Review","OK"))</x:f>
        <x:v>Review</x:v>
      </x:c>
      <x:c r="I55" s="49" t="str">
        <x:f>IF(H55="Material","Explain with department owner",IF(H55="Review","Review trend","No action"))</x:f>
        <x:v>Review trend</x:v>
      </x:c>
    </x:row>
    <x:row r="56">
      <x:c r="A56" s="68" t="n">
        <x:v>46054</x:v>
      </x:c>
      <x:c r="B56" s="48" t="str">
        <x:v>Warehouse</x:v>
      </x:c>
      <x:c r="C56" s="48" t="str">
        <x:v>Revenue</x:v>
      </x:c>
      <x:c r="D56" s="72" t="n">
        <x:v>132909.05</x:v>
      </x:c>
      <x:c r="E56" s="72" t="n">
        <x:v>145778.65</x:v>
      </x:c>
      <x:c r="F56" s="72" t="n">
        <x:f>E56-D56</x:f>
        <x:v>12869.600000000006</x:v>
      </x:c>
      <x:c r="G56" s="76" t="n">
        <x:f>IF(D56=0,0,F56/D56)</x:f>
        <x:v>0.0968301255633082</x:v>
      </x:c>
      <x:c r="H56" s="48" t="str">
        <x:f>IF(ABS(F56)&gt;10000,"Material",IF(ABS(G56)&gt;0.1,"Review","OK"))</x:f>
        <x:v>Material</x:v>
      </x:c>
      <x:c r="I56" s="49" t="str">
        <x:f>IF(H56="Material","Explain with department owner",IF(H56="Review","Review trend","No action"))</x:f>
        <x:v>Explain with department owner</x:v>
      </x:c>
    </x:row>
    <x:row r="57">
      <x:c r="A57" s="68" t="n">
        <x:v>46054</x:v>
      </x:c>
      <x:c r="B57" s="48" t="str">
        <x:v>Warehouse</x:v>
      </x:c>
      <x:c r="C57" s="48" t="str">
        <x:v>Salaries</x:v>
      </x:c>
      <x:c r="D57" s="72" t="n">
        <x:v>16380.26</x:v>
      </x:c>
      <x:c r="E57" s="72" t="n">
        <x:v>12918.61</x:v>
      </x:c>
      <x:c r="F57" s="72" t="n">
        <x:f>E57-D57</x:f>
        <x:v>-3461.6499999999996</x:v>
      </x:c>
      <x:c r="G57" s="76" t="n">
        <x:f>IF(D57=0,0,F57/D57)</x:f>
        <x:v>-0.21133058938014412</x:v>
      </x:c>
      <x:c r="H57" s="48" t="str">
        <x:f>IF(ABS(F57)&gt;10000,"Material",IF(ABS(G57)&gt;0.1,"Review","OK"))</x:f>
        <x:v>Review</x:v>
      </x:c>
      <x:c r="I57" s="49" t="str">
        <x:f>IF(H57="Material","Explain with department owner",IF(H57="Review","Review trend","No action"))</x:f>
        <x:v>Review trend</x:v>
      </x:c>
    </x:row>
    <x:row r="58">
      <x:c r="A58" s="68" t="n">
        <x:v>46054</x:v>
      </x:c>
      <x:c r="B58" s="48" t="str">
        <x:v>Warehouse</x:v>
      </x:c>
      <x:c r="C58" s="48" t="str">
        <x:v>Rent</x:v>
      </x:c>
      <x:c r="D58" s="72" t="n">
        <x:v>13667.12</x:v>
      </x:c>
      <x:c r="E58" s="72" t="n">
        <x:v>13359.73</x:v>
      </x:c>
      <x:c r="F58" s="72" t="n">
        <x:f>E58-D58</x:f>
        <x:v>-307.39000000000124</x:v>
      </x:c>
      <x:c r="G58" s="76" t="n">
        <x:f>IF(D58=0,0,F58/D58)</x:f>
        <x:v>-0.022491205169779822</x:v>
      </x:c>
      <x:c r="H58" s="48" t="str">
        <x:f>IF(ABS(F58)&gt;10000,"Material",IF(ABS(G58)&gt;0.1,"Review","OK"))</x:f>
        <x:v>OK</x:v>
      </x:c>
      <x:c r="I58" s="49" t="str">
        <x:f>IF(H58="Material","Explain with department owner",IF(H58="Review","Review trend","No action"))</x:f>
        <x:v>No action</x:v>
      </x:c>
    </x:row>
    <x:row r="59">
      <x:c r="A59" s="68" t="n">
        <x:v>46054</x:v>
      </x:c>
      <x:c r="B59" s="48" t="str">
        <x:v>Warehouse</x:v>
      </x:c>
      <x:c r="C59" s="48" t="str">
        <x:v>Software</x:v>
      </x:c>
      <x:c r="D59" s="72" t="n">
        <x:v>2999.87</x:v>
      </x:c>
      <x:c r="E59" s="72" t="n">
        <x:v>2476.43</x:v>
      </x:c>
      <x:c r="F59" s="72" t="n">
        <x:f>E59-D59</x:f>
        <x:v>-523.44</x:v>
      </x:c>
      <x:c r="G59" s="76" t="n">
        <x:f>IF(D59=0,0,F59/D59)</x:f>
        <x:v>-0.17448756112764888</x:v>
      </x:c>
      <x:c r="H59" s="48" t="str">
        <x:f>IF(ABS(F59)&gt;10000,"Material",IF(ABS(G59)&gt;0.1,"Review","OK"))</x:f>
        <x:v>Review</x:v>
      </x:c>
      <x:c r="I59" s="49" t="str">
        <x:f>IF(H59="Material","Explain with department owner",IF(H59="Review","Review trend","No action"))</x:f>
        <x:v>Review trend</x:v>
      </x:c>
    </x:row>
    <x:row r="60">
      <x:c r="A60" s="68" t="n">
        <x:v>46054</x:v>
      </x:c>
      <x:c r="B60" s="48" t="str">
        <x:v>Warehouse</x:v>
      </x:c>
      <x:c r="C60" s="48" t="str">
        <x:v>Supplies</x:v>
      </x:c>
      <x:c r="D60" s="72" t="n">
        <x:v>21560.19</x:v>
      </x:c>
      <x:c r="E60" s="72" t="n">
        <x:v>19452.99</x:v>
      </x:c>
      <x:c r="F60" s="72" t="n">
        <x:f>E60-D60</x:f>
        <x:v>-2107.199999999997</x:v>
      </x:c>
      <x:c r="G60" s="76" t="n">
        <x:f>IF(D60=0,0,F60/D60)</x:f>
        <x:v>-0.09773568785803823</x:v>
      </x:c>
      <x:c r="H60" s="48" t="str">
        <x:f>IF(ABS(F60)&gt;10000,"Material",IF(ABS(G60)&gt;0.1,"Review","OK"))</x:f>
        <x:v>OK</x:v>
      </x:c>
      <x:c r="I60" s="49" t="str">
        <x:f>IF(H60="Material","Explain with department owner",IF(H60="Review","Review trend","No action"))</x:f>
        <x:v>No action</x:v>
      </x:c>
    </x:row>
    <x:row r="61">
      <x:c r="A61" s="68" t="n">
        <x:v>46054</x:v>
      </x:c>
      <x:c r="B61" s="48" t="str">
        <x:v>Warehouse</x:v>
      </x:c>
      <x:c r="C61" s="48" t="str">
        <x:v>Utilities</x:v>
      </x:c>
      <x:c r="D61" s="72" t="n">
        <x:v>15159.02</x:v>
      </x:c>
      <x:c r="E61" s="72" t="n">
        <x:v>15752.08</x:v>
      </x:c>
      <x:c r="F61" s="72" t="n">
        <x:f>E61-D61</x:f>
        <x:v>593.0599999999995</x:v>
      </x:c>
      <x:c r="G61" s="76" t="n">
        <x:f>IF(D61=0,0,F61/D61)</x:f>
        <x:v>0.039122581802781414</x:v>
      </x:c>
      <x:c r="H61" s="48" t="str">
        <x:f>IF(ABS(F61)&gt;10000,"Material",IF(ABS(G61)&gt;0.1,"Review","OK"))</x:f>
        <x:v>OK</x:v>
      </x:c>
      <x:c r="I61" s="49" t="str">
        <x:f>IF(H61="Material","Explain with department owner",IF(H61="Review","Review trend","No action"))</x:f>
        <x:v>No action</x:v>
      </x:c>
    </x:row>
    <x:row r="62">
      <x:c r="A62" s="68" t="n">
        <x:v>46082</x:v>
      </x:c>
      <x:c r="B62" s="48" t="str">
        <x:v>Accounting</x:v>
      </x:c>
      <x:c r="C62" s="48" t="str">
        <x:v>Revenue</x:v>
      </x:c>
      <x:c r="D62" s="72" t="n">
        <x:v>134261.83</x:v>
      </x:c>
      <x:c r="E62" s="72" t="n">
        <x:v>163893.96</x:v>
      </x:c>
      <x:c r="F62" s="72" t="n">
        <x:f>E62-D62</x:f>
        <x:v>29632.130000000005</x:v>
      </x:c>
      <x:c r="G62" s="76" t="n">
        <x:f>IF(D62=0,0,F62/D62)</x:f>
        <x:v>0.220704052670815</x:v>
      </x:c>
      <x:c r="H62" s="48" t="str">
        <x:f>IF(ABS(F62)&gt;10000,"Material",IF(ABS(G62)&gt;0.1,"Review","OK"))</x:f>
        <x:v>Material</x:v>
      </x:c>
      <x:c r="I62" s="49" t="str">
        <x:f>IF(H62="Material","Explain with department owner",IF(H62="Review","Review trend","No action"))</x:f>
        <x:v>Explain with department owner</x:v>
      </x:c>
    </x:row>
    <x:row r="63">
      <x:c r="A63" s="68" t="n">
        <x:v>46082</x:v>
      </x:c>
      <x:c r="B63" s="48" t="str">
        <x:v>Accounting</x:v>
      </x:c>
      <x:c r="C63" s="48" t="str">
        <x:v>Salaries</x:v>
      </x:c>
      <x:c r="D63" s="72" t="n">
        <x:v>3731.67</x:v>
      </x:c>
      <x:c r="E63" s="72" t="n">
        <x:v>3272.33</x:v>
      </x:c>
      <x:c r="F63" s="72" t="n">
        <x:f>E63-D63</x:f>
        <x:v>-459.34000000000015</x:v>
      </x:c>
      <x:c r="G63" s="76" t="n">
        <x:f>IF(D63=0,0,F63/D63)</x:f>
        <x:v>-0.1230923420345315</x:v>
      </x:c>
      <x:c r="H63" s="48" t="str">
        <x:f>IF(ABS(F63)&gt;10000,"Material",IF(ABS(G63)&gt;0.1,"Review","OK"))</x:f>
        <x:v>Review</x:v>
      </x:c>
      <x:c r="I63" s="49" t="str">
        <x:f>IF(H63="Material","Explain with department owner",IF(H63="Review","Review trend","No action"))</x:f>
        <x:v>Review trend</x:v>
      </x:c>
    </x:row>
    <x:row r="64">
      <x:c r="A64" s="68" t="n">
        <x:v>46082</x:v>
      </x:c>
      <x:c r="B64" s="48" t="str">
        <x:v>Accounting</x:v>
      </x:c>
      <x:c r="C64" s="48" t="str">
        <x:v>Rent</x:v>
      </x:c>
      <x:c r="D64" s="72" t="n">
        <x:v>45629.38</x:v>
      </x:c>
      <x:c r="E64" s="72" t="n">
        <x:v>56788.9</x:v>
      </x:c>
      <x:c r="F64" s="72" t="n">
        <x:f>E64-D64</x:f>
        <x:v>11159.520000000004</x:v>
      </x:c>
      <x:c r="G64" s="76" t="n">
        <x:f>IF(D64=0,0,F64/D64)</x:f>
        <x:v>0.2445687405789867</x:v>
      </x:c>
      <x:c r="H64" s="48" t="str">
        <x:f>IF(ABS(F64)&gt;10000,"Material",IF(ABS(G64)&gt;0.1,"Review","OK"))</x:f>
        <x:v>Material</x:v>
      </x:c>
      <x:c r="I64" s="49" t="str">
        <x:f>IF(H64="Material","Explain with department owner",IF(H64="Review","Review trend","No action"))</x:f>
        <x:v>Explain with department owner</x:v>
      </x:c>
    </x:row>
    <x:row r="65">
      <x:c r="A65" s="68" t="n">
        <x:v>46082</x:v>
      </x:c>
      <x:c r="B65" s="48" t="str">
        <x:v>Accounting</x:v>
      </x:c>
      <x:c r="C65" s="48" t="str">
        <x:v>Software</x:v>
      </x:c>
      <x:c r="D65" s="72" t="n">
        <x:v>18421.2</x:v>
      </x:c>
      <x:c r="E65" s="72" t="n">
        <x:v>22021.26</x:v>
      </x:c>
      <x:c r="F65" s="72" t="n">
        <x:f>E65-D65</x:f>
        <x:v>3600.0599999999977</x:v>
      </x:c>
      <x:c r="G65" s="76" t="n">
        <x:f>IF(D65=0,0,F65/D65)</x:f>
        <x:v>0.1954302651293074</x:v>
      </x:c>
      <x:c r="H65" s="48" t="str">
        <x:f>IF(ABS(F65)&gt;10000,"Material",IF(ABS(G65)&gt;0.1,"Review","OK"))</x:f>
        <x:v>Review</x:v>
      </x:c>
      <x:c r="I65" s="49" t="str">
        <x:f>IF(H65="Material","Explain with department owner",IF(H65="Review","Review trend","No action"))</x:f>
        <x:v>Review trend</x:v>
      </x:c>
    </x:row>
    <x:row r="66">
      <x:c r="A66" s="68" t="n">
        <x:v>46082</x:v>
      </x:c>
      <x:c r="B66" s="48" t="str">
        <x:v>Accounting</x:v>
      </x:c>
      <x:c r="C66" s="48" t="str">
        <x:v>Supplies</x:v>
      </x:c>
      <x:c r="D66" s="72" t="n">
        <x:v>7653.82</x:v>
      </x:c>
      <x:c r="E66" s="72" t="n">
        <x:v>8466.87</x:v>
      </x:c>
      <x:c r="F66" s="72" t="n">
        <x:f>E66-D66</x:f>
        <x:v>813.0500000000011</x:v>
      </x:c>
      <x:c r="G66" s="76" t="n">
        <x:f>IF(D66=0,0,F66/D66)</x:f>
        <x:v>0.10622800118110971</x:v>
      </x:c>
      <x:c r="H66" s="48" t="str">
        <x:f>IF(ABS(F66)&gt;10000,"Material",IF(ABS(G66)&gt;0.1,"Review","OK"))</x:f>
        <x:v>Review</x:v>
      </x:c>
      <x:c r="I66" s="49" t="str">
        <x:f>IF(H66="Material","Explain with department owner",IF(H66="Review","Review trend","No action"))</x:f>
        <x:v>Review trend</x:v>
      </x:c>
    </x:row>
    <x:row r="67">
      <x:c r="A67" s="68" t="n">
        <x:v>46082</x:v>
      </x:c>
      <x:c r="B67" s="48" t="str">
        <x:v>Accounting</x:v>
      </x:c>
      <x:c r="C67" s="48" t="str">
        <x:v>Utilities</x:v>
      </x:c>
      <x:c r="D67" s="72" t="n">
        <x:v>8517.97</x:v>
      </x:c>
      <x:c r="E67" s="72" t="n">
        <x:v>8552.31</x:v>
      </x:c>
      <x:c r="F67" s="72" t="n">
        <x:f>E67-D67</x:f>
        <x:v>34.340000000000146</x:v>
      </x:c>
      <x:c r="G67" s="76" t="n">
        <x:f>IF(D67=0,0,F67/D67)</x:f>
        <x:v>0.0040314769833657725</x:v>
      </x:c>
      <x:c r="H67" s="48" t="str">
        <x:f>IF(ABS(F67)&gt;10000,"Material",IF(ABS(G67)&gt;0.1,"Review","OK"))</x:f>
        <x:v>OK</x:v>
      </x:c>
      <x:c r="I67" s="49" t="str">
        <x:f>IF(H67="Material","Explain with department owner",IF(H67="Review","Review trend","No action"))</x:f>
        <x:v>No action</x:v>
      </x:c>
    </x:row>
    <x:row r="68">
      <x:c r="A68" s="68" t="n">
        <x:v>46082</x:v>
      </x:c>
      <x:c r="B68" s="48" t="str">
        <x:v>Operations</x:v>
      </x:c>
      <x:c r="C68" s="48" t="str">
        <x:v>Revenue</x:v>
      </x:c>
      <x:c r="D68" s="72" t="n">
        <x:v>94369.89</x:v>
      </x:c>
      <x:c r="E68" s="72" t="n">
        <x:v>81213.69</x:v>
      </x:c>
      <x:c r="F68" s="72" t="n">
        <x:f>E68-D68</x:f>
        <x:v>-13156.199999999997</x:v>
      </x:c>
      <x:c r="G68" s="76" t="n">
        <x:f>IF(D68=0,0,F68/D68)</x:f>
        <x:v>-0.13941099221372408</x:v>
      </x:c>
      <x:c r="H68" s="48" t="str">
        <x:f>IF(ABS(F68)&gt;10000,"Material",IF(ABS(G68)&gt;0.1,"Review","OK"))</x:f>
        <x:v>Material</x:v>
      </x:c>
      <x:c r="I68" s="49" t="str">
        <x:f>IF(H68="Material","Explain with department owner",IF(H68="Review","Review trend","No action"))</x:f>
        <x:v>Explain with department owner</x:v>
      </x:c>
    </x:row>
    <x:row r="69">
      <x:c r="A69" s="68" t="n">
        <x:v>46082</x:v>
      </x:c>
      <x:c r="B69" s="48" t="str">
        <x:v>Operations</x:v>
      </x:c>
      <x:c r="C69" s="48" t="str">
        <x:v>Salaries</x:v>
      </x:c>
      <x:c r="D69" s="72" t="n">
        <x:v>36982.1</x:v>
      </x:c>
      <x:c r="E69" s="72" t="n">
        <x:v>44116.55</x:v>
      </x:c>
      <x:c r="F69" s="72" t="n">
        <x:f>E69-D69</x:f>
        <x:v>7134.450000000004</x:v>
      </x:c>
      <x:c r="G69" s="76" t="n">
        <x:f>IF(D69=0,0,F69/D69)</x:f>
        <x:v>0.19291630275187197</x:v>
      </x:c>
      <x:c r="H69" s="48" t="str">
        <x:f>IF(ABS(F69)&gt;10000,"Material",IF(ABS(G69)&gt;0.1,"Review","OK"))</x:f>
        <x:v>Review</x:v>
      </x:c>
      <x:c r="I69" s="49" t="str">
        <x:f>IF(H69="Material","Explain with department owner",IF(H69="Review","Review trend","No action"))</x:f>
        <x:v>Review trend</x:v>
      </x:c>
    </x:row>
    <x:row r="70">
      <x:c r="A70" s="68" t="n">
        <x:v>46082</x:v>
      </x:c>
      <x:c r="B70" s="48" t="str">
        <x:v>Operations</x:v>
      </x:c>
      <x:c r="C70" s="48" t="str">
        <x:v>Rent</x:v>
      </x:c>
      <x:c r="D70" s="72" t="n">
        <x:v>28320.18</x:v>
      </x:c>
      <x:c r="E70" s="72" t="n">
        <x:v>23668.07</x:v>
      </x:c>
      <x:c r="F70" s="72" t="n">
        <x:f>E70-D70</x:f>
        <x:v>-4652.110000000001</x:v>
      </x:c>
      <x:c r="G70" s="76" t="n">
        <x:f>IF(D70=0,0,F70/D70)</x:f>
        <x:v>-0.16426837682528855</x:v>
      </x:c>
      <x:c r="H70" s="48" t="str">
        <x:f>IF(ABS(F70)&gt;10000,"Material",IF(ABS(G70)&gt;0.1,"Review","OK"))</x:f>
        <x:v>Review</x:v>
      </x:c>
      <x:c r="I70" s="49" t="str">
        <x:f>IF(H70="Material","Explain with department owner",IF(H70="Review","Review trend","No action"))</x:f>
        <x:v>Review trend</x:v>
      </x:c>
    </x:row>
    <x:row r="71">
      <x:c r="A71" s="68" t="n">
        <x:v>46082</x:v>
      </x:c>
      <x:c r="B71" s="48" t="str">
        <x:v>Operations</x:v>
      </x:c>
      <x:c r="C71" s="48" t="str">
        <x:v>Software</x:v>
      </x:c>
      <x:c r="D71" s="72" t="n">
        <x:v>33246.54</x:v>
      </x:c>
      <x:c r="E71" s="72" t="n">
        <x:v>34904.92</x:v>
      </x:c>
      <x:c r="F71" s="72" t="n">
        <x:f>E71-D71</x:f>
        <x:v>1658.3799999999974</x:v>
      </x:c>
      <x:c r="G71" s="76" t="n">
        <x:f>IF(D71=0,0,F71/D71)</x:f>
        <x:v>0.049881280879153056</x:v>
      </x:c>
      <x:c r="H71" s="48" t="str">
        <x:f>IF(ABS(F71)&gt;10000,"Material",IF(ABS(G71)&gt;0.1,"Review","OK"))</x:f>
        <x:v>OK</x:v>
      </x:c>
      <x:c r="I71" s="49" t="str">
        <x:f>IF(H71="Material","Explain with department owner",IF(H71="Review","Review trend","No action"))</x:f>
        <x:v>No action</x:v>
      </x:c>
    </x:row>
    <x:row r="72">
      <x:c r="A72" s="68" t="n">
        <x:v>46082</x:v>
      </x:c>
      <x:c r="B72" s="48" t="str">
        <x:v>Operations</x:v>
      </x:c>
      <x:c r="C72" s="48" t="str">
        <x:v>Supplies</x:v>
      </x:c>
      <x:c r="D72" s="72" t="n">
        <x:v>22980.16</x:v>
      </x:c>
      <x:c r="E72" s="72" t="n">
        <x:v>21641.64</x:v>
      </x:c>
      <x:c r="F72" s="72" t="n">
        <x:f>E72-D72</x:f>
        <x:v>-1338.5200000000004</x:v>
      </x:c>
      <x:c r="G72" s="76" t="n">
        <x:f>IF(D72=0,0,F72/D72)</x:f>
        <x:v>-0.0582467659058945</x:v>
      </x:c>
      <x:c r="H72" s="48" t="str">
        <x:f>IF(ABS(F72)&gt;10000,"Material",IF(ABS(G72)&gt;0.1,"Review","OK"))</x:f>
        <x:v>OK</x:v>
      </x:c>
      <x:c r="I72" s="49" t="str">
        <x:f>IF(H72="Material","Explain with department owner",IF(H72="Review","Review trend","No action"))</x:f>
        <x:v>No action</x:v>
      </x:c>
    </x:row>
    <x:row r="73">
      <x:c r="A73" s="68" t="n">
        <x:v>46082</x:v>
      </x:c>
      <x:c r="B73" s="48" t="str">
        <x:v>Operations</x:v>
      </x:c>
      <x:c r="C73" s="48" t="str">
        <x:v>Utilities</x:v>
      </x:c>
      <x:c r="D73" s="72" t="n">
        <x:v>2237.88</x:v>
      </x:c>
      <x:c r="E73" s="72" t="n">
        <x:v>1914.61</x:v>
      </x:c>
      <x:c r="F73" s="72" t="n">
        <x:f>E73-D73</x:f>
        <x:v>-323.2700000000002</x:v>
      </x:c>
      <x:c r="G73" s="76" t="n">
        <x:f>IF(D73=0,0,F73/D73)</x:f>
        <x:v>-0.14445367937512296</x:v>
      </x:c>
      <x:c r="H73" s="48" t="str">
        <x:f>IF(ABS(F73)&gt;10000,"Material",IF(ABS(G73)&gt;0.1,"Review","OK"))</x:f>
        <x:v>Review</x:v>
      </x:c>
      <x:c r="I73" s="49" t="str">
        <x:f>IF(H73="Material","Explain with department owner",IF(H73="Review","Review trend","No action"))</x:f>
        <x:v>Review trend</x:v>
      </x:c>
    </x:row>
    <x:row r="74">
      <x:c r="A74" s="68" t="n">
        <x:v>46082</x:v>
      </x:c>
      <x:c r="B74" s="48" t="str">
        <x:v>IT</x:v>
      </x:c>
      <x:c r="C74" s="48" t="str">
        <x:v>Revenue</x:v>
      </x:c>
      <x:c r="D74" s="72" t="n">
        <x:v>89300.79</x:v>
      </x:c>
      <x:c r="E74" s="72" t="n">
        <x:v>79006.15</x:v>
      </x:c>
      <x:c r="F74" s="72" t="n">
        <x:f>E74-D74</x:f>
        <x:v>-10294.64</x:v>
      </x:c>
      <x:c r="G74" s="76" t="n">
        <x:f>IF(D74=0,0,F74/D74)</x:f>
        <x:v>-0.1152805031176096</x:v>
      </x:c>
      <x:c r="H74" s="48" t="str">
        <x:f>IF(ABS(F74)&gt;10000,"Material",IF(ABS(G74)&gt;0.1,"Review","OK"))</x:f>
        <x:v>Material</x:v>
      </x:c>
      <x:c r="I74" s="49" t="str">
        <x:f>IF(H74="Material","Explain with department owner",IF(H74="Review","Review trend","No action"))</x:f>
        <x:v>Explain with department owner</x:v>
      </x:c>
    </x:row>
    <x:row r="75">
      <x:c r="A75" s="68" t="n">
        <x:v>46082</x:v>
      </x:c>
      <x:c r="B75" s="48" t="str">
        <x:v>IT</x:v>
      </x:c>
      <x:c r="C75" s="48" t="str">
        <x:v>Salaries</x:v>
      </x:c>
      <x:c r="D75" s="72" t="n">
        <x:v>3496.77</x:v>
      </x:c>
      <x:c r="E75" s="72" t="n">
        <x:v>3949.34</x:v>
      </x:c>
      <x:c r="F75" s="72" t="n">
        <x:f>E75-D75</x:f>
        <x:v>452.57000000000016</x:v>
      </x:c>
      <x:c r="G75" s="76" t="n">
        <x:f>IF(D75=0,0,F75/D75)</x:f>
        <x:v>0.12942515521466957</x:v>
      </x:c>
      <x:c r="H75" s="48" t="str">
        <x:f>IF(ABS(F75)&gt;10000,"Material",IF(ABS(G75)&gt;0.1,"Review","OK"))</x:f>
        <x:v>Review</x:v>
      </x:c>
      <x:c r="I75" s="49" t="str">
        <x:f>IF(H75="Material","Explain with department owner",IF(H75="Review","Review trend","No action"))</x:f>
        <x:v>Review trend</x:v>
      </x:c>
    </x:row>
    <x:row r="76">
      <x:c r="A76" s="68" t="n">
        <x:v>46082</x:v>
      </x:c>
      <x:c r="B76" s="48" t="str">
        <x:v>IT</x:v>
      </x:c>
      <x:c r="C76" s="48" t="str">
        <x:v>Rent</x:v>
      </x:c>
      <x:c r="D76" s="72" t="n">
        <x:v>41893.92</x:v>
      </x:c>
      <x:c r="E76" s="72" t="n">
        <x:v>50950.55</x:v>
      </x:c>
      <x:c r="F76" s="72" t="n">
        <x:f>E76-D76</x:f>
        <x:v>9056.630000000005</x:v>
      </x:c>
      <x:c r="G76" s="76" t="n">
        <x:f>IF(D76=0,0,F76/D76)</x:f>
        <x:v>0.21618005667648205</x:v>
      </x:c>
      <x:c r="H76" s="48" t="str">
        <x:f>IF(ABS(F76)&gt;10000,"Material",IF(ABS(G76)&gt;0.1,"Review","OK"))</x:f>
        <x:v>Review</x:v>
      </x:c>
      <x:c r="I76" s="49" t="str">
        <x:f>IF(H76="Material","Explain with department owner",IF(H76="Review","Review trend","No action"))</x:f>
        <x:v>Review trend</x:v>
      </x:c>
    </x:row>
    <x:row r="77">
      <x:c r="A77" s="68" t="n">
        <x:v>46082</x:v>
      </x:c>
      <x:c r="B77" s="48" t="str">
        <x:v>IT</x:v>
      </x:c>
      <x:c r="C77" s="48" t="str">
        <x:v>Software</x:v>
      </x:c>
      <x:c r="D77" s="72" t="n">
        <x:v>10458.66</x:v>
      </x:c>
      <x:c r="E77" s="72" t="n">
        <x:v>12027.5</x:v>
      </x:c>
      <x:c r="F77" s="72" t="n">
        <x:f>E77-D77</x:f>
        <x:v>1568.8400000000001</x:v>
      </x:c>
      <x:c r="G77" s="76" t="n">
        <x:f>IF(D77=0,0,F77/D77)</x:f>
        <x:v>0.15000392019627756</x:v>
      </x:c>
      <x:c r="H77" s="48" t="str">
        <x:f>IF(ABS(F77)&gt;10000,"Material",IF(ABS(G77)&gt;0.1,"Review","OK"))</x:f>
        <x:v>Review</x:v>
      </x:c>
      <x:c r="I77" s="49" t="str">
        <x:f>IF(H77="Material","Explain with department owner",IF(H77="Review","Review trend","No action"))</x:f>
        <x:v>Review trend</x:v>
      </x:c>
    </x:row>
    <x:row r="78">
      <x:c r="A78" s="68" t="n">
        <x:v>46082</x:v>
      </x:c>
      <x:c r="B78" s="48" t="str">
        <x:v>IT</x:v>
      </x:c>
      <x:c r="C78" s="48" t="str">
        <x:v>Supplies</x:v>
      </x:c>
      <x:c r="D78" s="72" t="n">
        <x:v>44274.01</x:v>
      </x:c>
      <x:c r="E78" s="72" t="n">
        <x:v>34918.47</x:v>
      </x:c>
      <x:c r="F78" s="72" t="n">
        <x:f>E78-D78</x:f>
        <x:v>-9355.54</x:v>
      </x:c>
      <x:c r="G78" s="76" t="n">
        <x:f>IF(D78=0,0,F78/D78)</x:f>
        <x:v>-0.2113099762140362</x:v>
      </x:c>
      <x:c r="H78" s="48" t="str">
        <x:f>IF(ABS(F78)&gt;10000,"Material",IF(ABS(G78)&gt;0.1,"Review","OK"))</x:f>
        <x:v>Review</x:v>
      </x:c>
      <x:c r="I78" s="49" t="str">
        <x:f>IF(H78="Material","Explain with department owner",IF(H78="Review","Review trend","No action"))</x:f>
        <x:v>Review trend</x:v>
      </x:c>
    </x:row>
    <x:row r="79">
      <x:c r="A79" s="68" t="n">
        <x:v>46082</x:v>
      </x:c>
      <x:c r="B79" s="48" t="str">
        <x:v>IT</x:v>
      </x:c>
      <x:c r="C79" s="48" t="str">
        <x:v>Utilities</x:v>
      </x:c>
      <x:c r="D79" s="72" t="n">
        <x:v>45268.19</x:v>
      </x:c>
      <x:c r="E79" s="72" t="n">
        <x:v>50887.02</x:v>
      </x:c>
      <x:c r="F79" s="72" t="n">
        <x:f>E79-D79</x:f>
        <x:v>5618.8299999999945</x:v>
      </x:c>
      <x:c r="G79" s="76" t="n">
        <x:f>IF(D79=0,0,F79/D79)</x:f>
        <x:v>0.12412314254225747</x:v>
      </x:c>
      <x:c r="H79" s="48" t="str">
        <x:f>IF(ABS(F79)&gt;10000,"Material",IF(ABS(G79)&gt;0.1,"Review","OK"))</x:f>
        <x:v>Review</x:v>
      </x:c>
      <x:c r="I79" s="49" t="str">
        <x:f>IF(H79="Material","Explain with department owner",IF(H79="Review","Review trend","No action"))</x:f>
        <x:v>Review trend</x:v>
      </x:c>
    </x:row>
    <x:row r="80">
      <x:c r="A80" s="68" t="n">
        <x:v>46082</x:v>
      </x:c>
      <x:c r="B80" s="48" t="str">
        <x:v>Sales</x:v>
      </x:c>
      <x:c r="C80" s="48" t="str">
        <x:v>Revenue</x:v>
      </x:c>
      <x:c r="D80" s="72" t="n">
        <x:v>199308.89</x:v>
      </x:c>
      <x:c r="E80" s="72" t="n">
        <x:v>224190.21</x:v>
      </x:c>
      <x:c r="F80" s="72" t="n">
        <x:f>E80-D80</x:f>
        <x:v>24881.319999999978</x:v>
      </x:c>
      <x:c r="G80" s="76" t="n">
        <x:f>IF(D80=0,0,F80/D80)</x:f>
        <x:v>0.12483798389524911</x:v>
      </x:c>
      <x:c r="H80" s="48" t="str">
        <x:f>IF(ABS(F80)&gt;10000,"Material",IF(ABS(G80)&gt;0.1,"Review","OK"))</x:f>
        <x:v>Material</x:v>
      </x:c>
      <x:c r="I80" s="49" t="str">
        <x:f>IF(H80="Material","Explain with department owner",IF(H80="Review","Review trend","No action"))</x:f>
        <x:v>Explain with department owner</x:v>
      </x:c>
    </x:row>
    <x:row r="81">
      <x:c r="A81" s="68" t="n">
        <x:v>46082</x:v>
      </x:c>
      <x:c r="B81" s="48" t="str">
        <x:v>Sales</x:v>
      </x:c>
      <x:c r="C81" s="48" t="str">
        <x:v>Salaries</x:v>
      </x:c>
      <x:c r="D81" s="72" t="n">
        <x:v>45881.57</x:v>
      </x:c>
      <x:c r="E81" s="72" t="n">
        <x:v>40429.92</x:v>
      </x:c>
      <x:c r="F81" s="72" t="n">
        <x:f>E81-D81</x:f>
        <x:v>-5451.6500000000015</x:v>
      </x:c>
      <x:c r="G81" s="76" t="n">
        <x:f>IF(D81=0,0,F81/D81)</x:f>
        <x:v>-0.11882004037786853</x:v>
      </x:c>
      <x:c r="H81" s="48" t="str">
        <x:f>IF(ABS(F81)&gt;10000,"Material",IF(ABS(G81)&gt;0.1,"Review","OK"))</x:f>
        <x:v>Review</x:v>
      </x:c>
      <x:c r="I81" s="49" t="str">
        <x:f>IF(H81="Material","Explain with department owner",IF(H81="Review","Review trend","No action"))</x:f>
        <x:v>Review trend</x:v>
      </x:c>
    </x:row>
    <x:row r="82">
      <x:c r="A82" s="68" t="n">
        <x:v>46082</x:v>
      </x:c>
      <x:c r="B82" s="48" t="str">
        <x:v>Sales</x:v>
      </x:c>
      <x:c r="C82" s="48" t="str">
        <x:v>Rent</x:v>
      </x:c>
      <x:c r="D82" s="72" t="n">
        <x:v>19519.99</x:v>
      </x:c>
      <x:c r="E82" s="72" t="n">
        <x:v>20509.21</x:v>
      </x:c>
      <x:c r="F82" s="72" t="n">
        <x:f>E82-D82</x:f>
        <x:v>989.2199999999975</x:v>
      </x:c>
      <x:c r="G82" s="76" t="n">
        <x:f>IF(D82=0,0,F82/D82)</x:f>
        <x:v>0.05067728006008187</x:v>
      </x:c>
      <x:c r="H82" s="48" t="str">
        <x:f>IF(ABS(F82)&gt;10000,"Material",IF(ABS(G82)&gt;0.1,"Review","OK"))</x:f>
        <x:v>OK</x:v>
      </x:c>
      <x:c r="I82" s="49" t="str">
        <x:f>IF(H82="Material","Explain with department owner",IF(H82="Review","Review trend","No action"))</x:f>
        <x:v>No action</x:v>
      </x:c>
    </x:row>
    <x:row r="83">
      <x:c r="A83" s="68" t="n">
        <x:v>46082</x:v>
      </x:c>
      <x:c r="B83" s="48" t="str">
        <x:v>Sales</x:v>
      </x:c>
      <x:c r="C83" s="48" t="str">
        <x:v>Software</x:v>
      </x:c>
      <x:c r="D83" s="72" t="n">
        <x:v>43178.69</x:v>
      </x:c>
      <x:c r="E83" s="72" t="n">
        <x:v>34565.9</x:v>
      </x:c>
      <x:c r="F83" s="72" t="n">
        <x:f>E83-D83</x:f>
        <x:v>-8612.79</x:v>
      </x:c>
      <x:c r="G83" s="76" t="n">
        <x:f>IF(D83=0,0,F83/D83)</x:f>
        <x:v>-0.19946853413107254</x:v>
      </x:c>
      <x:c r="H83" s="48" t="str">
        <x:f>IF(ABS(F83)&gt;10000,"Material",IF(ABS(G83)&gt;0.1,"Review","OK"))</x:f>
        <x:v>Review</x:v>
      </x:c>
      <x:c r="I83" s="49" t="str">
        <x:f>IF(H83="Material","Explain with department owner",IF(H83="Review","Review trend","No action"))</x:f>
        <x:v>Review trend</x:v>
      </x:c>
    </x:row>
    <x:row r="84">
      <x:c r="A84" s="68" t="n">
        <x:v>46082</x:v>
      </x:c>
      <x:c r="B84" s="48" t="str">
        <x:v>Sales</x:v>
      </x:c>
      <x:c r="C84" s="48" t="str">
        <x:v>Supplies</x:v>
      </x:c>
      <x:c r="D84" s="72" t="n">
        <x:v>4774.35</x:v>
      </x:c>
      <x:c r="E84" s="72" t="n">
        <x:v>5526.14</x:v>
      </x:c>
      <x:c r="F84" s="72" t="n">
        <x:f>E84-D84</x:f>
        <x:v>751.79</x:v>
      </x:c>
      <x:c r="G84" s="76" t="n">
        <x:f>IF(D84=0,0,F84/D84)</x:f>
        <x:v>0.1574643668771665</x:v>
      </x:c>
      <x:c r="H84" s="48" t="str">
        <x:f>IF(ABS(F84)&gt;10000,"Material",IF(ABS(G84)&gt;0.1,"Review","OK"))</x:f>
        <x:v>Review</x:v>
      </x:c>
      <x:c r="I84" s="49" t="str">
        <x:f>IF(H84="Material","Explain with department owner",IF(H84="Review","Review trend","No action"))</x:f>
        <x:v>Review trend</x:v>
      </x:c>
    </x:row>
    <x:row r="85">
      <x:c r="A85" s="68" t="n">
        <x:v>46082</x:v>
      </x:c>
      <x:c r="B85" s="48" t="str">
        <x:v>Sales</x:v>
      </x:c>
      <x:c r="C85" s="48" t="str">
        <x:v>Utilities</x:v>
      </x:c>
      <x:c r="D85" s="72" t="n">
        <x:v>31518.53</x:v>
      </x:c>
      <x:c r="E85" s="72" t="n">
        <x:v>37154.33</x:v>
      </x:c>
      <x:c r="F85" s="72" t="n">
        <x:f>E85-D85</x:f>
        <x:v>5635.800000000003</x:v>
      </x:c>
      <x:c r="G85" s="76" t="n">
        <x:f>IF(D85=0,0,F85/D85)</x:f>
        <x:v>0.17880910055132657</x:v>
      </x:c>
      <x:c r="H85" s="48" t="str">
        <x:f>IF(ABS(F85)&gt;10000,"Material",IF(ABS(G85)&gt;0.1,"Review","OK"))</x:f>
        <x:v>Review</x:v>
      </x:c>
      <x:c r="I85" s="49" t="str">
        <x:f>IF(H85="Material","Explain with department owner",IF(H85="Review","Review trend","No action"))</x:f>
        <x:v>Review trend</x:v>
      </x:c>
    </x:row>
    <x:row r="86">
      <x:c r="A86" s="68" t="n">
        <x:v>46082</x:v>
      </x:c>
      <x:c r="B86" s="48" t="str">
        <x:v>Warehouse</x:v>
      </x:c>
      <x:c r="C86" s="48" t="str">
        <x:v>Revenue</x:v>
      </x:c>
      <x:c r="D86" s="72" t="n">
        <x:v>110801.77</x:v>
      </x:c>
      <x:c r="E86" s="72" t="n">
        <x:v>106686.6</x:v>
      </x:c>
      <x:c r="F86" s="72" t="n">
        <x:f>E86-D86</x:f>
        <x:v>-4115.169999999998</x:v>
      </x:c>
      <x:c r="G86" s="76" t="n">
        <x:f>IF(D86=0,0,F86/D86)</x:f>
        <x:v>-0.0371399301653755</x:v>
      </x:c>
      <x:c r="H86" s="48" t="str">
        <x:f>IF(ABS(F86)&gt;10000,"Material",IF(ABS(G86)&gt;0.1,"Review","OK"))</x:f>
        <x:v>OK</x:v>
      </x:c>
      <x:c r="I86" s="49" t="str">
        <x:f>IF(H86="Material","Explain with department owner",IF(H86="Review","Review trend","No action"))</x:f>
        <x:v>No action</x:v>
      </x:c>
    </x:row>
    <x:row r="87">
      <x:c r="A87" s="68" t="n">
        <x:v>46082</x:v>
      </x:c>
      <x:c r="B87" s="48" t="str">
        <x:v>Warehouse</x:v>
      </x:c>
      <x:c r="C87" s="48" t="str">
        <x:v>Salaries</x:v>
      </x:c>
      <x:c r="D87" s="72" t="n">
        <x:v>11289.43</x:v>
      </x:c>
      <x:c r="E87" s="72" t="n">
        <x:v>13097.55</x:v>
      </x:c>
      <x:c r="F87" s="72" t="n">
        <x:f>E87-D87</x:f>
        <x:v>1808.119999999999</x:v>
      </x:c>
      <x:c r="G87" s="76" t="n">
        <x:f>IF(D87=0,0,F87/D87)</x:f>
        <x:v>0.1601604332548232</x:v>
      </x:c>
      <x:c r="H87" s="48" t="str">
        <x:f>IF(ABS(F87)&gt;10000,"Material",IF(ABS(G87)&gt;0.1,"Review","OK"))</x:f>
        <x:v>Review</x:v>
      </x:c>
      <x:c r="I87" s="49" t="str">
        <x:f>IF(H87="Material","Explain with department owner",IF(H87="Review","Review trend","No action"))</x:f>
        <x:v>Review trend</x:v>
      </x:c>
    </x:row>
    <x:row r="88">
      <x:c r="A88" s="68" t="n">
        <x:v>46082</x:v>
      </x:c>
      <x:c r="B88" s="48" t="str">
        <x:v>Warehouse</x:v>
      </x:c>
      <x:c r="C88" s="48" t="str">
        <x:v>Rent</x:v>
      </x:c>
      <x:c r="D88" s="72" t="n">
        <x:v>38884.83</x:v>
      </x:c>
      <x:c r="E88" s="72" t="n">
        <x:v>37765.15</x:v>
      </x:c>
      <x:c r="F88" s="72" t="n">
        <x:f>E88-D88</x:f>
        <x:v>-1119.6800000000003</x:v>
      </x:c>
      <x:c r="G88" s="76" t="n">
        <x:f>IF(D88=0,0,F88/D88)</x:f>
        <x:v>-0.028794776780559417</x:v>
      </x:c>
      <x:c r="H88" s="48" t="str">
        <x:f>IF(ABS(F88)&gt;10000,"Material",IF(ABS(G88)&gt;0.1,"Review","OK"))</x:f>
        <x:v>OK</x:v>
      </x:c>
      <x:c r="I88" s="49" t="str">
        <x:f>IF(H88="Material","Explain with department owner",IF(H88="Review","Review trend","No action"))</x:f>
        <x:v>No action</x:v>
      </x:c>
    </x:row>
    <x:row r="89">
      <x:c r="A89" s="68" t="n">
        <x:v>46082</x:v>
      </x:c>
      <x:c r="B89" s="48" t="str">
        <x:v>Warehouse</x:v>
      </x:c>
      <x:c r="C89" s="48" t="str">
        <x:v>Software</x:v>
      </x:c>
      <x:c r="D89" s="72" t="n">
        <x:v>3623.83</x:v>
      </x:c>
      <x:c r="E89" s="72" t="n">
        <x:v>3202.71</x:v>
      </x:c>
      <x:c r="F89" s="72" t="n">
        <x:f>E89-D89</x:f>
        <x:v>-421.1199999999999</x:v>
      </x:c>
      <x:c r="G89" s="76" t="n">
        <x:f>IF(D89=0,0,F89/D89)</x:f>
        <x:v>-0.11620854179141955</x:v>
      </x:c>
      <x:c r="H89" s="48" t="str">
        <x:f>IF(ABS(F89)&gt;10000,"Material",IF(ABS(G89)&gt;0.1,"Review","OK"))</x:f>
        <x:v>Review</x:v>
      </x:c>
      <x:c r="I89" s="49" t="str">
        <x:f>IF(H89="Material","Explain with department owner",IF(H89="Review","Review trend","No action"))</x:f>
        <x:v>Review trend</x:v>
      </x:c>
    </x:row>
    <x:row r="90">
      <x:c r="A90" s="68" t="n">
        <x:v>46082</x:v>
      </x:c>
      <x:c r="B90" s="48" t="str">
        <x:v>Warehouse</x:v>
      </x:c>
      <x:c r="C90" s="48" t="str">
        <x:v>Supplies</x:v>
      </x:c>
      <x:c r="D90" s="72" t="n">
        <x:v>40698.8</x:v>
      </x:c>
      <x:c r="E90" s="72" t="n">
        <x:v>41736.8</x:v>
      </x:c>
      <x:c r="F90" s="72" t="n">
        <x:f>E90-D90</x:f>
        <x:v>1038</x:v>
      </x:c>
      <x:c r="G90" s="76" t="n">
        <x:f>IF(D90=0,0,F90/D90)</x:f>
        <x:v>0.025504437477272057</x:v>
      </x:c>
      <x:c r="H90" s="48" t="str">
        <x:f>IF(ABS(F90)&gt;10000,"Material",IF(ABS(G90)&gt;0.1,"Review","OK"))</x:f>
        <x:v>OK</x:v>
      </x:c>
      <x:c r="I90" s="49" t="str">
        <x:f>IF(H90="Material","Explain with department owner",IF(H90="Review","Review trend","No action"))</x:f>
        <x:v>No action</x:v>
      </x:c>
    </x:row>
    <x:row r="91">
      <x:c r="A91" s="68" t="n">
        <x:v>46082</x:v>
      </x:c>
      <x:c r="B91" s="48" t="str">
        <x:v>Warehouse</x:v>
      </x:c>
      <x:c r="C91" s="48" t="str">
        <x:v>Utilities</x:v>
      </x:c>
      <x:c r="D91" s="72" t="n">
        <x:v>20657.04</x:v>
      </x:c>
      <x:c r="E91" s="72" t="n">
        <x:v>24770.77</x:v>
      </x:c>
      <x:c r="F91" s="72" t="n">
        <x:f>E91-D91</x:f>
        <x:v>4113.73</x:v>
      </x:c>
      <x:c r="G91" s="76" t="n">
        <x:f>IF(D91=0,0,F91/D91)</x:f>
        <x:v>0.1991442142727128</x:v>
      </x:c>
      <x:c r="H91" s="48" t="str">
        <x:f>IF(ABS(F91)&gt;10000,"Material",IF(ABS(G91)&gt;0.1,"Review","OK"))</x:f>
        <x:v>Review</x:v>
      </x:c>
      <x:c r="I91" s="49" t="str">
        <x:f>IF(H91="Material","Explain with department owner",IF(H91="Review","Review trend","No action"))</x:f>
        <x:v>Review trend</x:v>
      </x:c>
    </x:row>
    <x:row r="92">
      <x:c r="A92" s="68" t="n">
        <x:v>46113</x:v>
      </x:c>
      <x:c r="B92" s="48" t="str">
        <x:v>Accounting</x:v>
      </x:c>
      <x:c r="C92" s="48" t="str">
        <x:v>Revenue</x:v>
      </x:c>
      <x:c r="D92" s="72" t="n">
        <x:v>131749.02</x:v>
      </x:c>
      <x:c r="E92" s="72" t="n">
        <x:v>143573.5</x:v>
      </x:c>
      <x:c r="F92" s="72" t="n">
        <x:f>E92-D92</x:f>
        <x:v>11824.48000000001</x:v>
      </x:c>
      <x:c r="G92" s="76" t="n">
        <x:f>IF(D92=0,0,F92/D92)</x:f>
        <x:v>0.08975004140448264</x:v>
      </x:c>
      <x:c r="H92" s="48" t="str">
        <x:f>IF(ABS(F92)&gt;10000,"Material",IF(ABS(G92)&gt;0.1,"Review","OK"))</x:f>
        <x:v>Material</x:v>
      </x:c>
      <x:c r="I92" s="49" t="str">
        <x:f>IF(H92="Material","Explain with department owner",IF(H92="Review","Review trend","No action"))</x:f>
        <x:v>Explain with department owner</x:v>
      </x:c>
    </x:row>
    <x:row r="93">
      <x:c r="A93" s="68" t="n">
        <x:v>46113</x:v>
      </x:c>
      <x:c r="B93" s="48" t="str">
        <x:v>Accounting</x:v>
      </x:c>
      <x:c r="C93" s="48" t="str">
        <x:v>Salaries</x:v>
      </x:c>
      <x:c r="D93" s="72" t="n">
        <x:v>15288.06</x:v>
      </x:c>
      <x:c r="E93" s="72" t="n">
        <x:v>17447.93</x:v>
      </x:c>
      <x:c r="F93" s="72" t="n">
        <x:f>E93-D93</x:f>
        <x:v>2159.870000000001</x:v>
      </x:c>
      <x:c r="G93" s="76" t="n">
        <x:f>IF(D93=0,0,F93/D93)</x:f>
        <x:v>0.14127822627593042</x:v>
      </x:c>
      <x:c r="H93" s="48" t="str">
        <x:f>IF(ABS(F93)&gt;10000,"Material",IF(ABS(G93)&gt;0.1,"Review","OK"))</x:f>
        <x:v>Review</x:v>
      </x:c>
      <x:c r="I93" s="49" t="str">
        <x:f>IF(H93="Material","Explain with department owner",IF(H93="Review","Review trend","No action"))</x:f>
        <x:v>Review trend</x:v>
      </x:c>
    </x:row>
    <x:row r="94">
      <x:c r="A94" s="68" t="n">
        <x:v>46113</x:v>
      </x:c>
      <x:c r="B94" s="48" t="str">
        <x:v>Accounting</x:v>
      </x:c>
      <x:c r="C94" s="48" t="str">
        <x:v>Rent</x:v>
      </x:c>
      <x:c r="D94" s="72" t="n">
        <x:v>37378.73</x:v>
      </x:c>
      <x:c r="E94" s="72" t="n">
        <x:v>45979.44</x:v>
      </x:c>
      <x:c r="F94" s="72" t="n">
        <x:f>E94-D94</x:f>
        <x:v>8600.71</x:v>
      </x:c>
      <x:c r="G94" s="76" t="n">
        <x:f>IF(D94=0,0,F94/D94)</x:f>
        <x:v>0.23009636764009903</x:v>
      </x:c>
      <x:c r="H94" s="48" t="str">
        <x:f>IF(ABS(F94)&gt;10000,"Material",IF(ABS(G94)&gt;0.1,"Review","OK"))</x:f>
        <x:v>Review</x:v>
      </x:c>
      <x:c r="I94" s="49" t="str">
        <x:f>IF(H94="Material","Explain with department owner",IF(H94="Review","Review trend","No action"))</x:f>
        <x:v>Review trend</x:v>
      </x:c>
    </x:row>
    <x:row r="95">
      <x:c r="A95" s="68" t="n">
        <x:v>46113</x:v>
      </x:c>
      <x:c r="B95" s="48" t="str">
        <x:v>Accounting</x:v>
      </x:c>
      <x:c r="C95" s="48" t="str">
        <x:v>Software</x:v>
      </x:c>
      <x:c r="D95" s="72" t="n">
        <x:v>23126.05</x:v>
      </x:c>
      <x:c r="E95" s="72" t="n">
        <x:v>28127.46</x:v>
      </x:c>
      <x:c r="F95" s="72" t="n">
        <x:f>E95-D95</x:f>
        <x:v>5001.41</x:v>
      </x:c>
      <x:c r="G95" s="76" t="n">
        <x:f>IF(D95=0,0,F95/D95)</x:f>
        <x:v>0.2162673694816019</x:v>
      </x:c>
      <x:c r="H95" s="48" t="str">
        <x:f>IF(ABS(F95)&gt;10000,"Material",IF(ABS(G95)&gt;0.1,"Review","OK"))</x:f>
        <x:v>Review</x:v>
      </x:c>
      <x:c r="I95" s="49" t="str">
        <x:f>IF(H95="Material","Explain with department owner",IF(H95="Review","Review trend","No action"))</x:f>
        <x:v>Review trend</x:v>
      </x:c>
    </x:row>
    <x:row r="96">
      <x:c r="A96" s="68" t="n">
        <x:v>46113</x:v>
      </x:c>
      <x:c r="B96" s="48" t="str">
        <x:v>Accounting</x:v>
      </x:c>
      <x:c r="C96" s="48" t="str">
        <x:v>Supplies</x:v>
      </x:c>
      <x:c r="D96" s="72" t="n">
        <x:v>25221.01</x:v>
      </x:c>
      <x:c r="E96" s="72" t="n">
        <x:v>30489.59</x:v>
      </x:c>
      <x:c r="F96" s="72" t="n">
        <x:f>E96-D96</x:f>
        <x:v>5268.580000000002</x:v>
      </x:c>
      <x:c r="G96" s="76" t="n">
        <x:f>IF(D96=0,0,F96/D96)</x:f>
        <x:v>0.20889647163218295</x:v>
      </x:c>
      <x:c r="H96" s="48" t="str">
        <x:f>IF(ABS(F96)&gt;10000,"Material",IF(ABS(G96)&gt;0.1,"Review","OK"))</x:f>
        <x:v>Review</x:v>
      </x:c>
      <x:c r="I96" s="49" t="str">
        <x:f>IF(H96="Material","Explain with department owner",IF(H96="Review","Review trend","No action"))</x:f>
        <x:v>Review trend</x:v>
      </x:c>
    </x:row>
    <x:row r="97">
      <x:c r="A97" s="68" t="n">
        <x:v>46113</x:v>
      </x:c>
      <x:c r="B97" s="48" t="str">
        <x:v>Accounting</x:v>
      </x:c>
      <x:c r="C97" s="48" t="str">
        <x:v>Utilities</x:v>
      </x:c>
      <x:c r="D97" s="72" t="n">
        <x:v>32102.82</x:v>
      </x:c>
      <x:c r="E97" s="72" t="n">
        <x:v>29657.05</x:v>
      </x:c>
      <x:c r="F97" s="72" t="n">
        <x:f>E97-D97</x:f>
        <x:v>-2445.7700000000004</x:v>
      </x:c>
      <x:c r="G97" s="76" t="n">
        <x:f>IF(D97=0,0,F97/D97)</x:f>
        <x:v>-0.07618551890456977</x:v>
      </x:c>
      <x:c r="H97" s="48" t="str">
        <x:f>IF(ABS(F97)&gt;10000,"Material",IF(ABS(G97)&gt;0.1,"Review","OK"))</x:f>
        <x:v>OK</x:v>
      </x:c>
      <x:c r="I97" s="49" t="str">
        <x:f>IF(H97="Material","Explain with department owner",IF(H97="Review","Review trend","No action"))</x:f>
        <x:v>No action</x:v>
      </x:c>
    </x:row>
    <x:row r="98">
      <x:c r="A98" s="68" t="n">
        <x:v>46113</x:v>
      </x:c>
      <x:c r="B98" s="48" t="str">
        <x:v>Operations</x:v>
      </x:c>
      <x:c r="C98" s="48" t="str">
        <x:v>Revenue</x:v>
      </x:c>
      <x:c r="D98" s="72" t="n">
        <x:v>176192.58</x:v>
      </x:c>
      <x:c r="E98" s="72" t="n">
        <x:v>185794.05</x:v>
      </x:c>
      <x:c r="F98" s="72" t="n">
        <x:f>E98-D98</x:f>
        <x:v>9601.470000000001</x:v>
      </x:c>
      <x:c r="G98" s="76" t="n">
        <x:f>IF(D98=0,0,F98/D98)</x:f>
        <x:v>0.05449417903977569</x:v>
      </x:c>
      <x:c r="H98" s="48" t="str">
        <x:f>IF(ABS(F98)&gt;10000,"Material",IF(ABS(G98)&gt;0.1,"Review","OK"))</x:f>
        <x:v>OK</x:v>
      </x:c>
      <x:c r="I98" s="49" t="str">
        <x:f>IF(H98="Material","Explain with department owner",IF(H98="Review","Review trend","No action"))</x:f>
        <x:v>No action</x:v>
      </x:c>
    </x:row>
    <x:row r="99">
      <x:c r="A99" s="68" t="n">
        <x:v>46113</x:v>
      </x:c>
      <x:c r="B99" s="48" t="str">
        <x:v>Operations</x:v>
      </x:c>
      <x:c r="C99" s="48" t="str">
        <x:v>Salaries</x:v>
      </x:c>
      <x:c r="D99" s="72" t="n">
        <x:v>34193.4</x:v>
      </x:c>
      <x:c r="E99" s="72" t="n">
        <x:v>27205.4</x:v>
      </x:c>
      <x:c r="F99" s="72" t="n">
        <x:f>E99-D99</x:f>
        <x:v>-6988</x:v>
      </x:c>
      <x:c r="G99" s="76" t="n">
        <x:f>IF(D99=0,0,F99/D99)</x:f>
        <x:v>-0.20436692461118228</x:v>
      </x:c>
      <x:c r="H99" s="48" t="str">
        <x:f>IF(ABS(F99)&gt;10000,"Material",IF(ABS(G99)&gt;0.1,"Review","OK"))</x:f>
        <x:v>Review</x:v>
      </x:c>
      <x:c r="I99" s="49" t="str">
        <x:f>IF(H99="Material","Explain with department owner",IF(H99="Review","Review trend","No action"))</x:f>
        <x:v>Review trend</x:v>
      </x:c>
    </x:row>
    <x:row r="100">
      <x:c r="A100" s="68" t="n">
        <x:v>46113</x:v>
      </x:c>
      <x:c r="B100" s="48" t="str">
        <x:v>Operations</x:v>
      </x:c>
      <x:c r="C100" s="48" t="str">
        <x:v>Rent</x:v>
      </x:c>
      <x:c r="D100" s="72" t="n">
        <x:v>36241.13</x:v>
      </x:c>
      <x:c r="E100" s="72" t="n">
        <x:v>33769.73</x:v>
      </x:c>
      <x:c r="F100" s="72" t="n">
        <x:f>E100-D100</x:f>
        <x:v>-2471.399999999994</x:v>
      </x:c>
      <x:c r="G100" s="76" t="n">
        <x:f>IF(D100=0,0,F100/D100)</x:f>
        <x:v>-0.0681932379040056</x:v>
      </x:c>
      <x:c r="H100" s="48" t="str">
        <x:f>IF(ABS(F100)&gt;10000,"Material",IF(ABS(G100)&gt;0.1,"Review","OK"))</x:f>
        <x:v>OK</x:v>
      </x:c>
      <x:c r="I100" s="49" t="str">
        <x:f>IF(H100="Material","Explain with department owner",IF(H100="Review","Review trend","No action"))</x:f>
        <x:v>No action</x:v>
      </x:c>
    </x:row>
    <x:row r="101">
      <x:c r="A101" s="68" t="n">
        <x:v>46113</x:v>
      </x:c>
      <x:c r="B101" s="48" t="str">
        <x:v>Operations</x:v>
      </x:c>
      <x:c r="C101" s="48" t="str">
        <x:v>Software</x:v>
      </x:c>
      <x:c r="D101" s="72" t="n">
        <x:v>46748.08</x:v>
      </x:c>
      <x:c r="E101" s="72" t="n">
        <x:v>54882.32</x:v>
      </x:c>
      <x:c r="F101" s="72" t="n">
        <x:f>E101-D101</x:f>
        <x:v>8134.239999999998</x:v>
      </x:c>
      <x:c r="G101" s="76" t="n">
        <x:f>IF(D101=0,0,F101/D101)</x:f>
        <x:v>0.17400158466401183</x:v>
      </x:c>
      <x:c r="H101" s="48" t="str">
        <x:f>IF(ABS(F101)&gt;10000,"Material",IF(ABS(G101)&gt;0.1,"Review","OK"))</x:f>
        <x:v>Review</x:v>
      </x:c>
      <x:c r="I101" s="49" t="str">
        <x:f>IF(H101="Material","Explain with department owner",IF(H101="Review","Review trend","No action"))</x:f>
        <x:v>Review trend</x:v>
      </x:c>
    </x:row>
    <x:row r="102">
      <x:c r="A102" s="68" t="n">
        <x:v>46113</x:v>
      </x:c>
      <x:c r="B102" s="48" t="str">
        <x:v>Operations</x:v>
      </x:c>
      <x:c r="C102" s="48" t="str">
        <x:v>Supplies</x:v>
      </x:c>
      <x:c r="D102" s="72" t="n">
        <x:v>4461.59</x:v>
      </x:c>
      <x:c r="E102" s="72" t="n">
        <x:v>5017.63</x:v>
      </x:c>
      <x:c r="F102" s="72" t="n">
        <x:f>E102-D102</x:f>
        <x:v>556.04</x:v>
      </x:c>
      <x:c r="G102" s="76" t="n">
        <x:f>IF(D102=0,0,F102/D102)</x:f>
        <x:v>0.1246282155016485</x:v>
      </x:c>
      <x:c r="H102" s="48" t="str">
        <x:f>IF(ABS(F102)&gt;10000,"Material",IF(ABS(G102)&gt;0.1,"Review","OK"))</x:f>
        <x:v>Review</x:v>
      </x:c>
      <x:c r="I102" s="49" t="str">
        <x:f>IF(H102="Material","Explain with department owner",IF(H102="Review","Review trend","No action"))</x:f>
        <x:v>Review trend</x:v>
      </x:c>
    </x:row>
    <x:row r="103">
      <x:c r="A103" s="68" t="n">
        <x:v>46113</x:v>
      </x:c>
      <x:c r="B103" s="48" t="str">
        <x:v>Operations</x:v>
      </x:c>
      <x:c r="C103" s="48" t="str">
        <x:v>Utilities</x:v>
      </x:c>
      <x:c r="D103" s="72" t="n">
        <x:v>38549.41</x:v>
      </x:c>
      <x:c r="E103" s="72" t="n">
        <x:v>43300.01</x:v>
      </x:c>
      <x:c r="F103" s="72" t="n">
        <x:f>E103-D103</x:f>
        <x:v>4750.5999999999985</x:v>
      </x:c>
      <x:c r="G103" s="76" t="n">
        <x:f>IF(D103=0,0,F103/D103)</x:f>
        <x:v>0.12323405209055076</x:v>
      </x:c>
      <x:c r="H103" s="48" t="str">
        <x:f>IF(ABS(F103)&gt;10000,"Material",IF(ABS(G103)&gt;0.1,"Review","OK"))</x:f>
        <x:v>Review</x:v>
      </x:c>
      <x:c r="I103" s="49" t="str">
        <x:f>IF(H103="Material","Explain with department owner",IF(H103="Review","Review trend","No action"))</x:f>
        <x:v>Review trend</x:v>
      </x:c>
    </x:row>
    <x:row r="104">
      <x:c r="A104" s="68" t="n">
        <x:v>46113</x:v>
      </x:c>
      <x:c r="B104" s="48" t="str">
        <x:v>IT</x:v>
      </x:c>
      <x:c r="C104" s="48" t="str">
        <x:v>Revenue</x:v>
      </x:c>
      <x:c r="D104" s="72" t="n">
        <x:v>195949.85</x:v>
      </x:c>
      <x:c r="E104" s="72" t="n">
        <x:v>240024.26</x:v>
      </x:c>
      <x:c r="F104" s="72" t="n">
        <x:f>E104-D104</x:f>
        <x:v>44074.41</x:v>
      </x:c>
      <x:c r="G104" s="76" t="n">
        <x:f>IF(D104=0,0,F104/D104)</x:f>
        <x:v>0.22492699024775983</x:v>
      </x:c>
      <x:c r="H104" s="48" t="str">
        <x:f>IF(ABS(F104)&gt;10000,"Material",IF(ABS(G104)&gt;0.1,"Review","OK"))</x:f>
        <x:v>Material</x:v>
      </x:c>
      <x:c r="I104" s="49" t="str">
        <x:f>IF(H104="Material","Explain with department owner",IF(H104="Review","Review trend","No action"))</x:f>
        <x:v>Explain with department owner</x:v>
      </x:c>
    </x:row>
    <x:row r="105">
      <x:c r="A105" s="68" t="n">
        <x:v>46113</x:v>
      </x:c>
      <x:c r="B105" s="48" t="str">
        <x:v>IT</x:v>
      </x:c>
      <x:c r="C105" s="48" t="str">
        <x:v>Salaries</x:v>
      </x:c>
      <x:c r="D105" s="72" t="n">
        <x:v>21488.71</x:v>
      </x:c>
      <x:c r="E105" s="72" t="n">
        <x:v>19322.1</x:v>
      </x:c>
      <x:c r="F105" s="72" t="n">
        <x:f>E105-D105</x:f>
        <x:v>-2166.6100000000006</x:v>
      </x:c>
      <x:c r="G105" s="76" t="n">
        <x:f>IF(D105=0,0,F105/D105)</x:f>
        <x:v>-0.10082550325263828</x:v>
      </x:c>
      <x:c r="H105" s="48" t="str">
        <x:f>IF(ABS(F105)&gt;10000,"Material",IF(ABS(G105)&gt;0.1,"Review","OK"))</x:f>
        <x:v>Review</x:v>
      </x:c>
      <x:c r="I105" s="49" t="str">
        <x:f>IF(H105="Material","Explain with department owner",IF(H105="Review","Review trend","No action"))</x:f>
        <x:v>Review trend</x:v>
      </x:c>
    </x:row>
    <x:row r="106">
      <x:c r="A106" s="68" t="n">
        <x:v>46113</x:v>
      </x:c>
      <x:c r="B106" s="48" t="str">
        <x:v>IT</x:v>
      </x:c>
      <x:c r="C106" s="48" t="str">
        <x:v>Rent</x:v>
      </x:c>
      <x:c r="D106" s="72" t="n">
        <x:v>49764.82</x:v>
      </x:c>
      <x:c r="E106" s="72" t="n">
        <x:v>62193.28</x:v>
      </x:c>
      <x:c r="F106" s="72" t="n">
        <x:f>E106-D106</x:f>
        <x:v>12428.46</x:v>
      </x:c>
      <x:c r="G106" s="76" t="n">
        <x:f>IF(D106=0,0,F106/D106)</x:f>
        <x:v>0.24974389538633918</x:v>
      </x:c>
      <x:c r="H106" s="48" t="str">
        <x:f>IF(ABS(F106)&gt;10000,"Material",IF(ABS(G106)&gt;0.1,"Review","OK"))</x:f>
        <x:v>Material</x:v>
      </x:c>
      <x:c r="I106" s="49" t="str">
        <x:f>IF(H106="Material","Explain with department owner",IF(H106="Review","Review trend","No action"))</x:f>
        <x:v>Explain with department owner</x:v>
      </x:c>
    </x:row>
    <x:row r="107">
      <x:c r="A107" s="68" t="n">
        <x:v>46113</x:v>
      </x:c>
      <x:c r="B107" s="48" t="str">
        <x:v>IT</x:v>
      </x:c>
      <x:c r="C107" s="48" t="str">
        <x:v>Software</x:v>
      </x:c>
      <x:c r="D107" s="72" t="n">
        <x:v>10794.93</x:v>
      </x:c>
      <x:c r="E107" s="72" t="n">
        <x:v>10879.9</x:v>
      </x:c>
      <x:c r="F107" s="72" t="n">
        <x:f>E107-D107</x:f>
        <x:v>84.96999999999935</x:v>
      </x:c>
      <x:c r="G107" s="76" t="n">
        <x:f>IF(D107=0,0,F107/D107)</x:f>
        <x:v>0.007871287724885602</x:v>
      </x:c>
      <x:c r="H107" s="48" t="str">
        <x:f>IF(ABS(F107)&gt;10000,"Material",IF(ABS(G107)&gt;0.1,"Review","OK"))</x:f>
        <x:v>OK</x:v>
      </x:c>
      <x:c r="I107" s="49" t="str">
        <x:f>IF(H107="Material","Explain with department owner",IF(H107="Review","Review trend","No action"))</x:f>
        <x:v>No action</x:v>
      </x:c>
    </x:row>
    <x:row r="108">
      <x:c r="A108" s="68" t="n">
        <x:v>46113</x:v>
      </x:c>
      <x:c r="B108" s="48" t="str">
        <x:v>IT</x:v>
      </x:c>
      <x:c r="C108" s="48" t="str">
        <x:v>Supplies</x:v>
      </x:c>
      <x:c r="D108" s="72" t="n">
        <x:v>46740.41</x:v>
      </x:c>
      <x:c r="E108" s="72" t="n">
        <x:v>46358.15</x:v>
      </x:c>
      <x:c r="F108" s="72" t="n">
        <x:f>E108-D108</x:f>
        <x:v>-382.26000000000204</x:v>
      </x:c>
      <x:c r="G108" s="76" t="n">
        <x:f>IF(D108=0,0,F108/D108)</x:f>
        <x:v>-0.008178362149583241</x:v>
      </x:c>
      <x:c r="H108" s="48" t="str">
        <x:f>IF(ABS(F108)&gt;10000,"Material",IF(ABS(G108)&gt;0.1,"Review","OK"))</x:f>
        <x:v>OK</x:v>
      </x:c>
      <x:c r="I108" s="49" t="str">
        <x:f>IF(H108="Material","Explain with department owner",IF(H108="Review","Review trend","No action"))</x:f>
        <x:v>No action</x:v>
      </x:c>
    </x:row>
    <x:row r="109">
      <x:c r="A109" s="68" t="n">
        <x:v>46113</x:v>
      </x:c>
      <x:c r="B109" s="48" t="str">
        <x:v>IT</x:v>
      </x:c>
      <x:c r="C109" s="48" t="str">
        <x:v>Utilities</x:v>
      </x:c>
      <x:c r="D109" s="72" t="n">
        <x:v>20607.45</x:v>
      </x:c>
      <x:c r="E109" s="72" t="n">
        <x:v>20093.71</x:v>
      </x:c>
      <x:c r="F109" s="72" t="n">
        <x:f>E109-D109</x:f>
        <x:v>-513.7400000000016</x:v>
      </x:c>
      <x:c r="G109" s="76" t="n">
        <x:f>IF(D109=0,0,F109/D109)</x:f>
        <x:v>-0.024929819070287764</x:v>
      </x:c>
      <x:c r="H109" s="48" t="str">
        <x:f>IF(ABS(F109)&gt;10000,"Material",IF(ABS(G109)&gt;0.1,"Review","OK"))</x:f>
        <x:v>OK</x:v>
      </x:c>
      <x:c r="I109" s="49" t="str">
        <x:f>IF(H109="Material","Explain with department owner",IF(H109="Review","Review trend","No action"))</x:f>
        <x:v>No action</x:v>
      </x:c>
    </x:row>
    <x:row r="110">
      <x:c r="A110" s="68" t="n">
        <x:v>46113</x:v>
      </x:c>
      <x:c r="B110" s="48" t="str">
        <x:v>Sales</x:v>
      </x:c>
      <x:c r="C110" s="48" t="str">
        <x:v>Revenue</x:v>
      </x:c>
      <x:c r="D110" s="72" t="n">
        <x:v>172826.44</x:v>
      </x:c>
      <x:c r="E110" s="72" t="n">
        <x:v>193808.17</x:v>
      </x:c>
      <x:c r="F110" s="72" t="n">
        <x:f>E110-D110</x:f>
        <x:v>20981.73000000001</x:v>
      </x:c>
      <x:c r="G110" s="76" t="n">
        <x:f>IF(D110=0,0,F110/D110)</x:f>
        <x:v>0.12140347275567333</x:v>
      </x:c>
      <x:c r="H110" s="48" t="str">
        <x:f>IF(ABS(F110)&gt;10000,"Material",IF(ABS(G110)&gt;0.1,"Review","OK"))</x:f>
        <x:v>Material</x:v>
      </x:c>
      <x:c r="I110" s="49" t="str">
        <x:f>IF(H110="Material","Explain with department owner",IF(H110="Review","Review trend","No action"))</x:f>
        <x:v>Explain with department owner</x:v>
      </x:c>
    </x:row>
    <x:row r="111">
      <x:c r="A111" s="68" t="n">
        <x:v>46113</x:v>
      </x:c>
      <x:c r="B111" s="48" t="str">
        <x:v>Sales</x:v>
      </x:c>
      <x:c r="C111" s="48" t="str">
        <x:v>Salaries</x:v>
      </x:c>
      <x:c r="D111" s="72" t="n">
        <x:v>14452.02</x:v>
      </x:c>
      <x:c r="E111" s="72" t="n">
        <x:v>13487.52</x:v>
      </x:c>
      <x:c r="F111" s="72" t="n">
        <x:f>E111-D111</x:f>
        <x:v>-964.5</x:v>
      </x:c>
      <x:c r="G111" s="76" t="n">
        <x:f>IF(D111=0,0,F111/D111)</x:f>
        <x:v>-0.06673807536939473</x:v>
      </x:c>
      <x:c r="H111" s="48" t="str">
        <x:f>IF(ABS(F111)&gt;10000,"Material",IF(ABS(G111)&gt;0.1,"Review","OK"))</x:f>
        <x:v>OK</x:v>
      </x:c>
      <x:c r="I111" s="49" t="str">
        <x:f>IF(H111="Material","Explain with department owner",IF(H111="Review","Review trend","No action"))</x:f>
        <x:v>No action</x:v>
      </x:c>
    </x:row>
    <x:row r="112">
      <x:c r="A112" s="68" t="n">
        <x:v>46113</x:v>
      </x:c>
      <x:c r="B112" s="48" t="str">
        <x:v>Sales</x:v>
      </x:c>
      <x:c r="C112" s="48" t="str">
        <x:v>Rent</x:v>
      </x:c>
      <x:c r="D112" s="72" t="n">
        <x:v>49254.36</x:v>
      </x:c>
      <x:c r="E112" s="72" t="n">
        <x:v>44898.18</x:v>
      </x:c>
      <x:c r="F112" s="72" t="n">
        <x:f>E112-D112</x:f>
        <x:v>-4356.18</x:v>
      </x:c>
      <x:c r="G112" s="76" t="n">
        <x:f>IF(D112=0,0,F112/D112)</x:f>
        <x:v>-0.08844252569721747</x:v>
      </x:c>
      <x:c r="H112" s="48" t="str">
        <x:f>IF(ABS(F112)&gt;10000,"Material",IF(ABS(G112)&gt;0.1,"Review","OK"))</x:f>
        <x:v>OK</x:v>
      </x:c>
      <x:c r="I112" s="49" t="str">
        <x:f>IF(H112="Material","Explain with department owner",IF(H112="Review","Review trend","No action"))</x:f>
        <x:v>No action</x:v>
      </x:c>
    </x:row>
    <x:row r="113">
      <x:c r="A113" s="68" t="n">
        <x:v>46113</x:v>
      </x:c>
      <x:c r="B113" s="48" t="str">
        <x:v>Sales</x:v>
      </x:c>
      <x:c r="C113" s="48" t="str">
        <x:v>Software</x:v>
      </x:c>
      <x:c r="D113" s="72" t="n">
        <x:v>27540.45</x:v>
      </x:c>
      <x:c r="E113" s="72" t="n">
        <x:v>27690.29</x:v>
      </x:c>
      <x:c r="F113" s="72" t="n">
        <x:f>E113-D113</x:f>
        <x:v>149.84000000000015</x:v>
      </x:c>
      <x:c r="G113" s="76" t="n">
        <x:f>IF(D113=0,0,F113/D113)</x:f>
        <x:v>0.005440724461655498</x:v>
      </x:c>
      <x:c r="H113" s="48" t="str">
        <x:f>IF(ABS(F113)&gt;10000,"Material",IF(ABS(G113)&gt;0.1,"Review","OK"))</x:f>
        <x:v>OK</x:v>
      </x:c>
      <x:c r="I113" s="49" t="str">
        <x:f>IF(H113="Material","Explain with department owner",IF(H113="Review","Review trend","No action"))</x:f>
        <x:v>No action</x:v>
      </x:c>
    </x:row>
    <x:row r="114">
      <x:c r="A114" s="68" t="n">
        <x:v>46113</x:v>
      </x:c>
      <x:c r="B114" s="48" t="str">
        <x:v>Sales</x:v>
      </x:c>
      <x:c r="C114" s="48" t="str">
        <x:v>Supplies</x:v>
      </x:c>
      <x:c r="D114" s="72" t="n">
        <x:v>48642.53</x:v>
      </x:c>
      <x:c r="E114" s="72" t="n">
        <x:v>49100.95</x:v>
      </x:c>
      <x:c r="F114" s="72" t="n">
        <x:f>E114-D114</x:f>
        <x:v>458.41999999999825</x:v>
      </x:c>
      <x:c r="G114" s="76" t="n">
        <x:f>IF(D114=0,0,F114/D114)</x:f>
        <x:v>0.009424263088289163</x:v>
      </x:c>
      <x:c r="H114" s="48" t="str">
        <x:f>IF(ABS(F114)&gt;10000,"Material",IF(ABS(G114)&gt;0.1,"Review","OK"))</x:f>
        <x:v>OK</x:v>
      </x:c>
      <x:c r="I114" s="49" t="str">
        <x:f>IF(H114="Material","Explain with department owner",IF(H114="Review","Review trend","No action"))</x:f>
        <x:v>No action</x:v>
      </x:c>
    </x:row>
    <x:row r="115">
      <x:c r="A115" s="68" t="n">
        <x:v>46113</x:v>
      </x:c>
      <x:c r="B115" s="48" t="str">
        <x:v>Sales</x:v>
      </x:c>
      <x:c r="C115" s="48" t="str">
        <x:v>Utilities</x:v>
      </x:c>
      <x:c r="D115" s="72" t="n">
        <x:v>28326.28</x:v>
      </x:c>
      <x:c r="E115" s="72" t="n">
        <x:v>27847.96</x:v>
      </x:c>
      <x:c r="F115" s="72" t="n">
        <x:f>E115-D115</x:f>
        <x:v>-478.3199999999997</x:v>
      </x:c>
      <x:c r="G115" s="76" t="n">
        <x:f>IF(D115=0,0,F115/D115)</x:f>
        <x:v>-0.01688608599505476</x:v>
      </x:c>
      <x:c r="H115" s="48" t="str">
        <x:f>IF(ABS(F115)&gt;10000,"Material",IF(ABS(G115)&gt;0.1,"Review","OK"))</x:f>
        <x:v>OK</x:v>
      </x:c>
      <x:c r="I115" s="49" t="str">
        <x:f>IF(H115="Material","Explain with department owner",IF(H115="Review","Review trend","No action"))</x:f>
        <x:v>No action</x:v>
      </x:c>
    </x:row>
    <x:row r="116">
      <x:c r="A116" s="68" t="n">
        <x:v>46113</x:v>
      </x:c>
      <x:c r="B116" s="48" t="str">
        <x:v>Warehouse</x:v>
      </x:c>
      <x:c r="C116" s="48" t="str">
        <x:v>Revenue</x:v>
      </x:c>
      <x:c r="D116" s="72" t="n">
        <x:v>113945.73</x:v>
      </x:c>
      <x:c r="E116" s="72" t="n">
        <x:v>130469.15</x:v>
      </x:c>
      <x:c r="F116" s="72" t="n">
        <x:f>E116-D116</x:f>
        <x:v>16523.42</x:v>
      </x:c>
      <x:c r="G116" s="76" t="n">
        <x:f>IF(D116=0,0,F116/D116)</x:f>
        <x:v>0.14501131371925916</x:v>
      </x:c>
      <x:c r="H116" s="48" t="str">
        <x:f>IF(ABS(F116)&gt;10000,"Material",IF(ABS(G116)&gt;0.1,"Review","OK"))</x:f>
        <x:v>Material</x:v>
      </x:c>
      <x:c r="I116" s="49" t="str">
        <x:f>IF(H116="Material","Explain with department owner",IF(H116="Review","Review trend","No action"))</x:f>
        <x:v>Explain with department owner</x:v>
      </x:c>
    </x:row>
    <x:row r="117">
      <x:c r="A117" s="68" t="n">
        <x:v>46113</x:v>
      </x:c>
      <x:c r="B117" s="48" t="str">
        <x:v>Warehouse</x:v>
      </x:c>
      <x:c r="C117" s="48" t="str">
        <x:v>Salaries</x:v>
      </x:c>
      <x:c r="D117" s="72" t="n">
        <x:v>47546.59</x:v>
      </x:c>
      <x:c r="E117" s="72" t="n">
        <x:v>56280.31</x:v>
      </x:c>
      <x:c r="F117" s="72" t="n">
        <x:f>E117-D117</x:f>
        <x:v>8733.720000000001</x:v>
      </x:c>
      <x:c r="G117" s="76" t="n">
        <x:f>IF(D117=0,0,F117/D117)</x:f>
        <x:v>0.18368762092086943</x:v>
      </x:c>
      <x:c r="H117" s="48" t="str">
        <x:f>IF(ABS(F117)&gt;10000,"Material",IF(ABS(G117)&gt;0.1,"Review","OK"))</x:f>
        <x:v>Review</x:v>
      </x:c>
      <x:c r="I117" s="49" t="str">
        <x:f>IF(H117="Material","Explain with department owner",IF(H117="Review","Review trend","No action"))</x:f>
        <x:v>Review trend</x:v>
      </x:c>
    </x:row>
    <x:row r="118">
      <x:c r="A118" s="68" t="n">
        <x:v>46113</x:v>
      </x:c>
      <x:c r="B118" s="48" t="str">
        <x:v>Warehouse</x:v>
      </x:c>
      <x:c r="C118" s="48" t="str">
        <x:v>Rent</x:v>
      </x:c>
      <x:c r="D118" s="72" t="n">
        <x:v>48330.88</x:v>
      </x:c>
      <x:c r="E118" s="72" t="n">
        <x:v>59136.31</x:v>
      </x:c>
      <x:c r="F118" s="72" t="n">
        <x:f>E118-D118</x:f>
        <x:v>10805.43</x:v>
      </x:c>
      <x:c r="G118" s="76" t="n">
        <x:f>IF(D118=0,0,F118/D118)</x:f>
        <x:v>0.22357196889442113</x:v>
      </x:c>
      <x:c r="H118" s="48" t="str">
        <x:f>IF(ABS(F118)&gt;10000,"Material",IF(ABS(G118)&gt;0.1,"Review","OK"))</x:f>
        <x:v>Material</x:v>
      </x:c>
      <x:c r="I118" s="49" t="str">
        <x:f>IF(H118="Material","Explain with department owner",IF(H118="Review","Review trend","No action"))</x:f>
        <x:v>Explain with department owner</x:v>
      </x:c>
    </x:row>
    <x:row r="119">
      <x:c r="A119" s="68" t="n">
        <x:v>46113</x:v>
      </x:c>
      <x:c r="B119" s="48" t="str">
        <x:v>Warehouse</x:v>
      </x:c>
      <x:c r="C119" s="48" t="str">
        <x:v>Software</x:v>
      </x:c>
      <x:c r="D119" s="72" t="n">
        <x:v>29610.7</x:v>
      </x:c>
      <x:c r="E119" s="72" t="n">
        <x:v>29842.45</x:v>
      </x:c>
      <x:c r="F119" s="72" t="n">
        <x:f>E119-D119</x:f>
        <x:v>231.75</x:v>
      </x:c>
      <x:c r="G119" s="76" t="n">
        <x:f>IF(D119=0,0,F119/D119)</x:f>
        <x:v>0.007826562695241922</x:v>
      </x:c>
      <x:c r="H119" s="48" t="str">
        <x:f>IF(ABS(F119)&gt;10000,"Material",IF(ABS(G119)&gt;0.1,"Review","OK"))</x:f>
        <x:v>OK</x:v>
      </x:c>
      <x:c r="I119" s="49" t="str">
        <x:f>IF(H119="Material","Explain with department owner",IF(H119="Review","Review trend","No action"))</x:f>
        <x:v>No action</x:v>
      </x:c>
    </x:row>
    <x:row r="120">
      <x:c r="A120" s="68" t="n">
        <x:v>46113</x:v>
      </x:c>
      <x:c r="B120" s="48" t="str">
        <x:v>Warehouse</x:v>
      </x:c>
      <x:c r="C120" s="48" t="str">
        <x:v>Supplies</x:v>
      </x:c>
      <x:c r="D120" s="72" t="n">
        <x:v>34501.4</x:v>
      </x:c>
      <x:c r="E120" s="72" t="n">
        <x:v>27057.79</x:v>
      </x:c>
      <x:c r="F120" s="72" t="n">
        <x:f>E120-D120</x:f>
        <x:v>-7443.610000000001</x:v>
      </x:c>
      <x:c r="G120" s="76" t="n">
        <x:f>IF(D120=0,0,F120/D120)</x:f>
        <x:v>-0.21574805660060173</x:v>
      </x:c>
      <x:c r="H120" s="48" t="str">
        <x:f>IF(ABS(F120)&gt;10000,"Material",IF(ABS(G120)&gt;0.1,"Review","OK"))</x:f>
        <x:v>Review</x:v>
      </x:c>
      <x:c r="I120" s="49" t="str">
        <x:f>IF(H120="Material","Explain with department owner",IF(H120="Review","Review trend","No action"))</x:f>
        <x:v>Review trend</x:v>
      </x:c>
    </x:row>
    <x:row r="121">
      <x:c r="A121" s="68" t="n">
        <x:v>46113</x:v>
      </x:c>
      <x:c r="B121" s="48" t="str">
        <x:v>Warehouse</x:v>
      </x:c>
      <x:c r="C121" s="48" t="str">
        <x:v>Utilities</x:v>
      </x:c>
      <x:c r="D121" s="72" t="n">
        <x:v>9139.1</x:v>
      </x:c>
      <x:c r="E121" s="72" t="n">
        <x:v>8703.85</x:v>
      </x:c>
      <x:c r="F121" s="72" t="n">
        <x:f>E121-D121</x:f>
        <x:v>-435.25</x:v>
      </x:c>
      <x:c r="G121" s="76" t="n">
        <x:f>IF(D121=0,0,F121/D121)</x:f>
        <x:v>-0.047625039664737225</x:v>
      </x:c>
      <x:c r="H121" s="48" t="str">
        <x:f>IF(ABS(F121)&gt;10000,"Material",IF(ABS(G121)&gt;0.1,"Review","OK"))</x:f>
        <x:v>OK</x:v>
      </x:c>
      <x:c r="I121" s="49" t="str">
        <x:f>IF(H121="Material","Explain with department owner",IF(H121="Review","Review trend","No action"))</x:f>
        <x:v>No action</x:v>
      </x:c>
    </x:row>
    <x:row r="122">
      <x:c r="A122" s="68" t="n">
        <x:v>46143</x:v>
      </x:c>
      <x:c r="B122" s="48" t="str">
        <x:v>Accounting</x:v>
      </x:c>
      <x:c r="C122" s="48" t="str">
        <x:v>Revenue</x:v>
      </x:c>
      <x:c r="D122" s="72" t="n">
        <x:v>126276.53</x:v>
      </x:c>
      <x:c r="E122" s="72" t="n">
        <x:v>114456.4</x:v>
      </x:c>
      <x:c r="F122" s="72" t="n">
        <x:f>E122-D122</x:f>
        <x:v>-11820.130000000005</x:v>
      </x:c>
      <x:c r="G122" s="76" t="n">
        <x:f>IF(D122=0,0,F122/D122)</x:f>
        <x:v>-0.09360512202861454</x:v>
      </x:c>
      <x:c r="H122" s="48" t="str">
        <x:f>IF(ABS(F122)&gt;10000,"Material",IF(ABS(G122)&gt;0.1,"Review","OK"))</x:f>
        <x:v>Material</x:v>
      </x:c>
      <x:c r="I122" s="49" t="str">
        <x:f>IF(H122="Material","Explain with department owner",IF(H122="Review","Review trend","No action"))</x:f>
        <x:v>Explain with department owner</x:v>
      </x:c>
    </x:row>
    <x:row r="123">
      <x:c r="A123" s="68" t="n">
        <x:v>46143</x:v>
      </x:c>
      <x:c r="B123" s="48" t="str">
        <x:v>Accounting</x:v>
      </x:c>
      <x:c r="C123" s="48" t="str">
        <x:v>Salaries</x:v>
      </x:c>
      <x:c r="D123" s="72" t="n">
        <x:v>12047.23</x:v>
      </x:c>
      <x:c r="E123" s="72" t="n">
        <x:v>10139.99</x:v>
      </x:c>
      <x:c r="F123" s="72" t="n">
        <x:f>E123-D123</x:f>
        <x:v>-1907.2399999999998</x:v>
      </x:c>
      <x:c r="G123" s="76" t="n">
        <x:f>IF(D123=0,0,F123/D123)</x:f>
        <x:v>-0.1583135708374456</x:v>
      </x:c>
      <x:c r="H123" s="48" t="str">
        <x:f>IF(ABS(F123)&gt;10000,"Material",IF(ABS(G123)&gt;0.1,"Review","OK"))</x:f>
        <x:v>Review</x:v>
      </x:c>
      <x:c r="I123" s="49" t="str">
        <x:f>IF(H123="Material","Explain with department owner",IF(H123="Review","Review trend","No action"))</x:f>
        <x:v>Review trend</x:v>
      </x:c>
    </x:row>
    <x:row r="124">
      <x:c r="A124" s="68" t="n">
        <x:v>46143</x:v>
      </x:c>
      <x:c r="B124" s="48" t="str">
        <x:v>Accounting</x:v>
      </x:c>
      <x:c r="C124" s="48" t="str">
        <x:v>Rent</x:v>
      </x:c>
      <x:c r="D124" s="72" t="n">
        <x:v>16254.39</x:v>
      </x:c>
      <x:c r="E124" s="72" t="n">
        <x:v>18924.76</x:v>
      </x:c>
      <x:c r="F124" s="72" t="n">
        <x:f>E124-D124</x:f>
        <x:v>2670.369999999999</x:v>
      </x:c>
      <x:c r="G124" s="76" t="n">
        <x:f>IF(D124=0,0,F124/D124)</x:f>
        <x:v>0.16428607902234407</x:v>
      </x:c>
      <x:c r="H124" s="48" t="str">
        <x:f>IF(ABS(F124)&gt;10000,"Material",IF(ABS(G124)&gt;0.1,"Review","OK"))</x:f>
        <x:v>Review</x:v>
      </x:c>
      <x:c r="I124" s="49" t="str">
        <x:f>IF(H124="Material","Explain with department owner",IF(H124="Review","Review trend","No action"))</x:f>
        <x:v>Review trend</x:v>
      </x:c>
    </x:row>
    <x:row r="125">
      <x:c r="A125" s="68" t="n">
        <x:v>46143</x:v>
      </x:c>
      <x:c r="B125" s="48" t="str">
        <x:v>Accounting</x:v>
      </x:c>
      <x:c r="C125" s="48" t="str">
        <x:v>Software</x:v>
      </x:c>
      <x:c r="D125" s="72" t="n">
        <x:v>44629.08</x:v>
      </x:c>
      <x:c r="E125" s="72" t="n">
        <x:v>36199.56</x:v>
      </x:c>
      <x:c r="F125" s="72" t="n">
        <x:f>E125-D125</x:f>
        <x:v>-8429.520000000004</x:v>
      </x:c>
      <x:c r="G125" s="76" t="n">
        <x:f>IF(D125=0,0,F125/D125)</x:f>
        <x:v>-0.18887953773638183</x:v>
      </x:c>
      <x:c r="H125" s="48" t="str">
        <x:f>IF(ABS(F125)&gt;10000,"Material",IF(ABS(G125)&gt;0.1,"Review","OK"))</x:f>
        <x:v>Review</x:v>
      </x:c>
      <x:c r="I125" s="49" t="str">
        <x:f>IF(H125="Material","Explain with department owner",IF(H125="Review","Review trend","No action"))</x:f>
        <x:v>Review trend</x:v>
      </x:c>
    </x:row>
    <x:row r="126">
      <x:c r="A126" s="68" t="n">
        <x:v>46143</x:v>
      </x:c>
      <x:c r="B126" s="48" t="str">
        <x:v>Accounting</x:v>
      </x:c>
      <x:c r="C126" s="48" t="str">
        <x:v>Supplies</x:v>
      </x:c>
      <x:c r="D126" s="72" t="n">
        <x:v>10941.73</x:v>
      </x:c>
      <x:c r="E126" s="72" t="n">
        <x:v>13349.13</x:v>
      </x:c>
      <x:c r="F126" s="72" t="n">
        <x:f>E126-D126</x:f>
        <x:v>2407.3999999999996</x:v>
      </x:c>
      <x:c r="G126" s="76" t="n">
        <x:f>IF(D126=0,0,F126/D126)</x:f>
        <x:v>0.22002005167372982</x:v>
      </x:c>
      <x:c r="H126" s="48" t="str">
        <x:f>IF(ABS(F126)&gt;10000,"Material",IF(ABS(G126)&gt;0.1,"Review","OK"))</x:f>
        <x:v>Review</x:v>
      </x:c>
      <x:c r="I126" s="49" t="str">
        <x:f>IF(H126="Material","Explain with department owner",IF(H126="Review","Review trend","No action"))</x:f>
        <x:v>Review trend</x:v>
      </x:c>
    </x:row>
    <x:row r="127">
      <x:c r="A127" s="68" t="n">
        <x:v>46143</x:v>
      </x:c>
      <x:c r="B127" s="48" t="str">
        <x:v>Accounting</x:v>
      </x:c>
      <x:c r="C127" s="48" t="str">
        <x:v>Utilities</x:v>
      </x:c>
      <x:c r="D127" s="72" t="n">
        <x:v>9284.75</x:v>
      </x:c>
      <x:c r="E127" s="72" t="n">
        <x:v>8601.87</x:v>
      </x:c>
      <x:c r="F127" s="72" t="n">
        <x:f>E127-D127</x:f>
        <x:v>-682.8799999999992</x:v>
      </x:c>
      <x:c r="G127" s="76" t="n">
        <x:f>IF(D127=0,0,F127/D127)</x:f>
        <x:v>-0.07354856081208425</x:v>
      </x:c>
      <x:c r="H127" s="48" t="str">
        <x:f>IF(ABS(F127)&gt;10000,"Material",IF(ABS(G127)&gt;0.1,"Review","OK"))</x:f>
        <x:v>OK</x:v>
      </x:c>
      <x:c r="I127" s="49" t="str">
        <x:f>IF(H127="Material","Explain with department owner",IF(H127="Review","Review trend","No action"))</x:f>
        <x:v>No action</x:v>
      </x:c>
    </x:row>
    <x:row r="128">
      <x:c r="A128" s="68" t="n">
        <x:v>46143</x:v>
      </x:c>
      <x:c r="B128" s="48" t="str">
        <x:v>Operations</x:v>
      </x:c>
      <x:c r="C128" s="48" t="str">
        <x:v>Revenue</x:v>
      </x:c>
      <x:c r="D128" s="72" t="n">
        <x:v>83701.97</x:v>
      </x:c>
      <x:c r="E128" s="72" t="n">
        <x:v>99919.55</x:v>
      </x:c>
      <x:c r="F128" s="72" t="n">
        <x:f>E128-D128</x:f>
        <x:v>16217.580000000002</x:v>
      </x:c>
      <x:c r="G128" s="76" t="n">
        <x:f>IF(D128=0,0,F128/D128)</x:f>
        <x:v>0.1937538626629696</x:v>
      </x:c>
      <x:c r="H128" s="48" t="str">
        <x:f>IF(ABS(F128)&gt;10000,"Material",IF(ABS(G128)&gt;0.1,"Review","OK"))</x:f>
        <x:v>Material</x:v>
      </x:c>
      <x:c r="I128" s="49" t="str">
        <x:f>IF(H128="Material","Explain with department owner",IF(H128="Review","Review trend","No action"))</x:f>
        <x:v>Explain with department owner</x:v>
      </x:c>
    </x:row>
    <x:row r="129">
      <x:c r="A129" s="68" t="n">
        <x:v>46143</x:v>
      </x:c>
      <x:c r="B129" s="48" t="str">
        <x:v>Operations</x:v>
      </x:c>
      <x:c r="C129" s="48" t="str">
        <x:v>Salaries</x:v>
      </x:c>
      <x:c r="D129" s="72" t="n">
        <x:v>5455.71</x:v>
      </x:c>
      <x:c r="E129" s="72" t="n">
        <x:v>4443.72</x:v>
      </x:c>
      <x:c r="F129" s="72" t="n">
        <x:f>E129-D129</x:f>
        <x:v>-1011.9899999999998</x:v>
      </x:c>
      <x:c r="G129" s="76" t="n">
        <x:f>IF(D129=0,0,F129/D129)</x:f>
        <x:v>-0.185491897479888</x:v>
      </x:c>
      <x:c r="H129" s="48" t="str">
        <x:f>IF(ABS(F129)&gt;10000,"Material",IF(ABS(G129)&gt;0.1,"Review","OK"))</x:f>
        <x:v>Review</x:v>
      </x:c>
      <x:c r="I129" s="49" t="str">
        <x:f>IF(H129="Material","Explain with department owner",IF(H129="Review","Review trend","No action"))</x:f>
        <x:v>Review trend</x:v>
      </x:c>
    </x:row>
    <x:row r="130">
      <x:c r="A130" s="68" t="n">
        <x:v>46143</x:v>
      </x:c>
      <x:c r="B130" s="48" t="str">
        <x:v>Operations</x:v>
      </x:c>
      <x:c r="C130" s="48" t="str">
        <x:v>Rent</x:v>
      </x:c>
      <x:c r="D130" s="72" t="n">
        <x:v>34028.07</x:v>
      </x:c>
      <x:c r="E130" s="72" t="n">
        <x:v>32719.77</x:v>
      </x:c>
      <x:c r="F130" s="72" t="n">
        <x:f>E130-D130</x:f>
        <x:v>-1308.2999999999993</x:v>
      </x:c>
      <x:c r="G130" s="76" t="n">
        <x:f>IF(D130=0,0,F130/D130)</x:f>
        <x:v>-0.03844766982082731</x:v>
      </x:c>
      <x:c r="H130" s="48" t="str">
        <x:f>IF(ABS(F130)&gt;10000,"Material",IF(ABS(G130)&gt;0.1,"Review","OK"))</x:f>
        <x:v>OK</x:v>
      </x:c>
      <x:c r="I130" s="49" t="str">
        <x:f>IF(H130="Material","Explain with department owner",IF(H130="Review","Review trend","No action"))</x:f>
        <x:v>No action</x:v>
      </x:c>
    </x:row>
    <x:row r="131">
      <x:c r="A131" s="68" t="n">
        <x:v>46143</x:v>
      </x:c>
      <x:c r="B131" s="48" t="str">
        <x:v>Operations</x:v>
      </x:c>
      <x:c r="C131" s="48" t="str">
        <x:v>Software</x:v>
      </x:c>
      <x:c r="D131" s="72" t="n">
        <x:v>8946.12</x:v>
      </x:c>
      <x:c r="E131" s="72" t="n">
        <x:v>7077.16</x:v>
      </x:c>
      <x:c r="F131" s="72" t="n">
        <x:f>E131-D131</x:f>
        <x:v>-1868.960000000001</x:v>
      </x:c>
      <x:c r="G131" s="76" t="n">
        <x:f>IF(D131=0,0,F131/D131)</x:f>
        <x:v>-0.20891291420191108</x:v>
      </x:c>
      <x:c r="H131" s="48" t="str">
        <x:f>IF(ABS(F131)&gt;10000,"Material",IF(ABS(G131)&gt;0.1,"Review","OK"))</x:f>
        <x:v>Review</x:v>
      </x:c>
      <x:c r="I131" s="49" t="str">
        <x:f>IF(H131="Material","Explain with department owner",IF(H131="Review","Review trend","No action"))</x:f>
        <x:v>Review trend</x:v>
      </x:c>
    </x:row>
    <x:row r="132">
      <x:c r="A132" s="68" t="n">
        <x:v>46143</x:v>
      </x:c>
      <x:c r="B132" s="48" t="str">
        <x:v>Operations</x:v>
      </x:c>
      <x:c r="C132" s="48" t="str">
        <x:v>Supplies</x:v>
      </x:c>
      <x:c r="D132" s="72" t="n">
        <x:v>14473.85</x:v>
      </x:c>
      <x:c r="E132" s="72" t="n">
        <x:v>12991.57</x:v>
      </x:c>
      <x:c r="F132" s="72" t="n">
        <x:f>E132-D132</x:f>
        <x:v>-1482.2800000000007</x:v>
      </x:c>
      <x:c r="G132" s="76" t="n">
        <x:f>IF(D132=0,0,F132/D132)</x:f>
        <x:v>-0.1024108996569676</x:v>
      </x:c>
      <x:c r="H132" s="48" t="str">
        <x:f>IF(ABS(F132)&gt;10000,"Material",IF(ABS(G132)&gt;0.1,"Review","OK"))</x:f>
        <x:v>Review</x:v>
      </x:c>
      <x:c r="I132" s="49" t="str">
        <x:f>IF(H132="Material","Explain with department owner",IF(H132="Review","Review trend","No action"))</x:f>
        <x:v>Review trend</x:v>
      </x:c>
    </x:row>
    <x:row r="133">
      <x:c r="A133" s="68" t="n">
        <x:v>46143</x:v>
      </x:c>
      <x:c r="B133" s="48" t="str">
        <x:v>Operations</x:v>
      </x:c>
      <x:c r="C133" s="48" t="str">
        <x:v>Utilities</x:v>
      </x:c>
      <x:c r="D133" s="72" t="n">
        <x:v>21717.32</x:v>
      </x:c>
      <x:c r="E133" s="72" t="n">
        <x:v>22606.69</x:v>
      </x:c>
      <x:c r="F133" s="72" t="n">
        <x:f>E133-D133</x:f>
        <x:v>889.369999999999</x:v>
      </x:c>
      <x:c r="G133" s="76" t="n">
        <x:f>IF(D133=0,0,F133/D133)</x:f>
        <x:v>0.04095210642933838</x:v>
      </x:c>
      <x:c r="H133" s="48" t="str">
        <x:f>IF(ABS(F133)&gt;10000,"Material",IF(ABS(G133)&gt;0.1,"Review","OK"))</x:f>
        <x:v>OK</x:v>
      </x:c>
      <x:c r="I133" s="49" t="str">
        <x:f>IF(H133="Material","Explain with department owner",IF(H133="Review","Review trend","No action"))</x:f>
        <x:v>No action</x:v>
      </x:c>
    </x:row>
    <x:row r="134">
      <x:c r="A134" s="68" t="n">
        <x:v>46143</x:v>
      </x:c>
      <x:c r="B134" s="48" t="str">
        <x:v>IT</x:v>
      </x:c>
      <x:c r="C134" s="48" t="str">
        <x:v>Revenue</x:v>
      </x:c>
      <x:c r="D134" s="72" t="n">
        <x:v>171022.35</x:v>
      </x:c>
      <x:c r="E134" s="72" t="n">
        <x:v>196282.37</x:v>
      </x:c>
      <x:c r="F134" s="72" t="n">
        <x:f>E134-D134</x:f>
        <x:v>25260.01999999999</x:v>
      </x:c>
      <x:c r="G134" s="76" t="n">
        <x:f>IF(D134=0,0,F134/D134)</x:f>
        <x:v>0.14770011054110757</x:v>
      </x:c>
      <x:c r="H134" s="48" t="str">
        <x:f>IF(ABS(F134)&gt;10000,"Material",IF(ABS(G134)&gt;0.1,"Review","OK"))</x:f>
        <x:v>Material</x:v>
      </x:c>
      <x:c r="I134" s="49" t="str">
        <x:f>IF(H134="Material","Explain with department owner",IF(H134="Review","Review trend","No action"))</x:f>
        <x:v>Explain with department owner</x:v>
      </x:c>
    </x:row>
    <x:row r="135">
      <x:c r="A135" s="68" t="n">
        <x:v>46143</x:v>
      </x:c>
      <x:c r="B135" s="48" t="str">
        <x:v>IT</x:v>
      </x:c>
      <x:c r="C135" s="48" t="str">
        <x:v>Salaries</x:v>
      </x:c>
      <x:c r="D135" s="72" t="n">
        <x:v>7391.84</x:v>
      </x:c>
      <x:c r="E135" s="72" t="n">
        <x:v>7080.06</x:v>
      </x:c>
      <x:c r="F135" s="72" t="n">
        <x:f>E135-D135</x:f>
        <x:v>-311.77999999999975</x:v>
      </x:c>
      <x:c r="G135" s="76" t="n">
        <x:f>IF(D135=0,0,F135/D135)</x:f>
        <x:v>-0.04217894326717025</x:v>
      </x:c>
      <x:c r="H135" s="48" t="str">
        <x:f>IF(ABS(F135)&gt;10000,"Material",IF(ABS(G135)&gt;0.1,"Review","OK"))</x:f>
        <x:v>OK</x:v>
      </x:c>
      <x:c r="I135" s="49" t="str">
        <x:f>IF(H135="Material","Explain with department owner",IF(H135="Review","Review trend","No action"))</x:f>
        <x:v>No action</x:v>
      </x:c>
    </x:row>
    <x:row r="136">
      <x:c r="A136" s="68" t="n">
        <x:v>46143</x:v>
      </x:c>
      <x:c r="B136" s="48" t="str">
        <x:v>IT</x:v>
      </x:c>
      <x:c r="C136" s="48" t="str">
        <x:v>Rent</x:v>
      </x:c>
      <x:c r="D136" s="72" t="n">
        <x:v>26244.84</x:v>
      </x:c>
      <x:c r="E136" s="72" t="n">
        <x:v>21167.47</x:v>
      </x:c>
      <x:c r="F136" s="72" t="n">
        <x:f>E136-D136</x:f>
        <x:v>-5077.369999999999</x:v>
      </x:c>
      <x:c r="G136" s="76" t="n">
        <x:f>IF(D136=0,0,F136/D136)</x:f>
        <x:v>-0.1934616480801559</x:v>
      </x:c>
      <x:c r="H136" s="48" t="str">
        <x:f>IF(ABS(F136)&gt;10000,"Material",IF(ABS(G136)&gt;0.1,"Review","OK"))</x:f>
        <x:v>Review</x:v>
      </x:c>
      <x:c r="I136" s="49" t="str">
        <x:f>IF(H136="Material","Explain with department owner",IF(H136="Review","Review trend","No action"))</x:f>
        <x:v>Review trend</x:v>
      </x:c>
    </x:row>
    <x:row r="137">
      <x:c r="A137" s="68" t="n">
        <x:v>46143</x:v>
      </x:c>
      <x:c r="B137" s="48" t="str">
        <x:v>IT</x:v>
      </x:c>
      <x:c r="C137" s="48" t="str">
        <x:v>Software</x:v>
      </x:c>
      <x:c r="D137" s="72" t="n">
        <x:v>42411.59</x:v>
      </x:c>
      <x:c r="E137" s="72" t="n">
        <x:v>42975.66</x:v>
      </x:c>
      <x:c r="F137" s="72" t="n">
        <x:f>E137-D137</x:f>
        <x:v>564.070000000007</x:v>
      </x:c>
      <x:c r="G137" s="76" t="n">
        <x:f>IF(D137=0,0,F137/D137)</x:f>
        <x:v>0.01329990222012443</x:v>
      </x:c>
      <x:c r="H137" s="48" t="str">
        <x:f>IF(ABS(F137)&gt;10000,"Material",IF(ABS(G137)&gt;0.1,"Review","OK"))</x:f>
        <x:v>OK</x:v>
      </x:c>
      <x:c r="I137" s="49" t="str">
        <x:f>IF(H137="Material","Explain with department owner",IF(H137="Review","Review trend","No action"))</x:f>
        <x:v>No action</x:v>
      </x:c>
    </x:row>
    <x:row r="138">
      <x:c r="A138" s="68" t="n">
        <x:v>46143</x:v>
      </x:c>
      <x:c r="B138" s="48" t="str">
        <x:v>IT</x:v>
      </x:c>
      <x:c r="C138" s="48" t="str">
        <x:v>Supplies</x:v>
      </x:c>
      <x:c r="D138" s="72" t="n">
        <x:v>49028.04</x:v>
      </x:c>
      <x:c r="E138" s="72" t="n">
        <x:v>48051.46</x:v>
      </x:c>
      <x:c r="F138" s="72" t="n">
        <x:f>E138-D138</x:f>
        <x:v>-976.5800000000017</x:v>
      </x:c>
      <x:c r="G138" s="76" t="n">
        <x:f>IF(D138=0,0,F138/D138)</x:f>
        <x:v>-0.01991880564672791</x:v>
      </x:c>
      <x:c r="H138" s="48" t="str">
        <x:f>IF(ABS(F138)&gt;10000,"Material",IF(ABS(G138)&gt;0.1,"Review","OK"))</x:f>
        <x:v>OK</x:v>
      </x:c>
      <x:c r="I138" s="49" t="str">
        <x:f>IF(H138="Material","Explain with department owner",IF(H138="Review","Review trend","No action"))</x:f>
        <x:v>No action</x:v>
      </x:c>
    </x:row>
    <x:row r="139">
      <x:c r="A139" s="68" t="n">
        <x:v>46143</x:v>
      </x:c>
      <x:c r="B139" s="48" t="str">
        <x:v>IT</x:v>
      </x:c>
      <x:c r="C139" s="48" t="str">
        <x:v>Utilities</x:v>
      </x:c>
      <x:c r="D139" s="72" t="n">
        <x:v>10765.99</x:v>
      </x:c>
      <x:c r="E139" s="72" t="n">
        <x:v>11862.51</x:v>
      </x:c>
      <x:c r="F139" s="72" t="n">
        <x:f>E139-D139</x:f>
        <x:v>1096.5200000000004</x:v>
      </x:c>
      <x:c r="G139" s="76" t="n">
        <x:f>IF(D139=0,0,F139/D139)</x:f>
        <x:v>0.10185036397024337</x:v>
      </x:c>
      <x:c r="H139" s="48" t="str">
        <x:f>IF(ABS(F139)&gt;10000,"Material",IF(ABS(G139)&gt;0.1,"Review","OK"))</x:f>
        <x:v>Review</x:v>
      </x:c>
      <x:c r="I139" s="49" t="str">
        <x:f>IF(H139="Material","Explain with department owner",IF(H139="Review","Review trend","No action"))</x:f>
        <x:v>Review trend</x:v>
      </x:c>
    </x:row>
    <x:row r="140">
      <x:c r="A140" s="68" t="n">
        <x:v>46143</x:v>
      </x:c>
      <x:c r="B140" s="48" t="str">
        <x:v>Sales</x:v>
      </x:c>
      <x:c r="C140" s="48" t="str">
        <x:v>Revenue</x:v>
      </x:c>
      <x:c r="D140" s="72" t="n">
        <x:v>119831.97</x:v>
      </x:c>
      <x:c r="E140" s="72" t="n">
        <x:v>129054.09</x:v>
      </x:c>
      <x:c r="F140" s="72" t="n">
        <x:f>E140-D140</x:f>
        <x:v>9222.119999999995</x:v>
      </x:c>
      <x:c r="G140" s="76" t="n">
        <x:f>IF(D140=0,0,F140/D140)</x:f>
        <x:v>0.07695876150579846</x:v>
      </x:c>
      <x:c r="H140" s="48" t="str">
        <x:f>IF(ABS(F140)&gt;10000,"Material",IF(ABS(G140)&gt;0.1,"Review","OK"))</x:f>
        <x:v>OK</x:v>
      </x:c>
      <x:c r="I140" s="49" t="str">
        <x:f>IF(H140="Material","Explain with department owner",IF(H140="Review","Review trend","No action"))</x:f>
        <x:v>No action</x:v>
      </x:c>
    </x:row>
    <x:row r="141">
      <x:c r="A141" s="68" t="n">
        <x:v>46143</x:v>
      </x:c>
      <x:c r="B141" s="48" t="str">
        <x:v>Sales</x:v>
      </x:c>
      <x:c r="C141" s="48" t="str">
        <x:v>Salaries</x:v>
      </x:c>
      <x:c r="D141" s="72" t="n">
        <x:v>2710.97</x:v>
      </x:c>
      <x:c r="E141" s="72" t="n">
        <x:v>2757.15</x:v>
      </x:c>
      <x:c r="F141" s="72" t="n">
        <x:f>E141-D141</x:f>
        <x:v>46.18000000000029</x:v>
      </x:c>
      <x:c r="G141" s="76" t="n">
        <x:f>IF(D141=0,0,F141/D141)</x:f>
        <x:v>0.017034493188784933</x:v>
      </x:c>
      <x:c r="H141" s="48" t="str">
        <x:f>IF(ABS(F141)&gt;10000,"Material",IF(ABS(G141)&gt;0.1,"Review","OK"))</x:f>
        <x:v>OK</x:v>
      </x:c>
      <x:c r="I141" s="49" t="str">
        <x:f>IF(H141="Material","Explain with department owner",IF(H141="Review","Review trend","No action"))</x:f>
        <x:v>No action</x:v>
      </x:c>
    </x:row>
    <x:row r="142">
      <x:c r="A142" s="68" t="n">
        <x:v>46143</x:v>
      </x:c>
      <x:c r="B142" s="48" t="str">
        <x:v>Sales</x:v>
      </x:c>
      <x:c r="C142" s="48" t="str">
        <x:v>Rent</x:v>
      </x:c>
      <x:c r="D142" s="72" t="n">
        <x:v>13150.16</x:v>
      </x:c>
      <x:c r="E142" s="72" t="n">
        <x:v>16194.15</x:v>
      </x:c>
      <x:c r="F142" s="72" t="n">
        <x:f>E142-D142</x:f>
        <x:v>3043.99</x:v>
      </x:c>
      <x:c r="G142" s="76" t="n">
        <x:f>IF(D142=0,0,F142/D142)</x:f>
        <x:v>0.2314793127992359</x:v>
      </x:c>
      <x:c r="H142" s="48" t="str">
        <x:f>IF(ABS(F142)&gt;10000,"Material",IF(ABS(G142)&gt;0.1,"Review","OK"))</x:f>
        <x:v>Review</x:v>
      </x:c>
      <x:c r="I142" s="49" t="str">
        <x:f>IF(H142="Material","Explain with department owner",IF(H142="Review","Review trend","No action"))</x:f>
        <x:v>Review trend</x:v>
      </x:c>
    </x:row>
    <x:row r="143">
      <x:c r="A143" s="68" t="n">
        <x:v>46143</x:v>
      </x:c>
      <x:c r="B143" s="48" t="str">
        <x:v>Sales</x:v>
      </x:c>
      <x:c r="C143" s="48" t="str">
        <x:v>Software</x:v>
      </x:c>
      <x:c r="D143" s="72" t="n">
        <x:v>17788.14</x:v>
      </x:c>
      <x:c r="E143" s="72" t="n">
        <x:v>20745.42</x:v>
      </x:c>
      <x:c r="F143" s="72" t="n">
        <x:f>E143-D143</x:f>
        <x:v>2957.279999999999</x:v>
      </x:c>
      <x:c r="G143" s="76" t="n">
        <x:f>IF(D143=0,0,F143/D143)</x:f>
        <x:v>0.1662500969747258</x:v>
      </x:c>
      <x:c r="H143" s="48" t="str">
        <x:f>IF(ABS(F143)&gt;10000,"Material",IF(ABS(G143)&gt;0.1,"Review","OK"))</x:f>
        <x:v>Review</x:v>
      </x:c>
      <x:c r="I143" s="49" t="str">
        <x:f>IF(H143="Material","Explain with department owner",IF(H143="Review","Review trend","No action"))</x:f>
        <x:v>Review trend</x:v>
      </x:c>
    </x:row>
    <x:row r="144">
      <x:c r="A144" s="68" t="n">
        <x:v>46143</x:v>
      </x:c>
      <x:c r="B144" s="48" t="str">
        <x:v>Sales</x:v>
      </x:c>
      <x:c r="C144" s="48" t="str">
        <x:v>Supplies</x:v>
      </x:c>
      <x:c r="D144" s="72" t="n">
        <x:v>16536.94</x:v>
      </x:c>
      <x:c r="E144" s="72" t="n">
        <x:v>18462.77</x:v>
      </x:c>
      <x:c r="F144" s="72" t="n">
        <x:f>E144-D144</x:f>
        <x:v>1925.8300000000017</x:v>
      </x:c>
      <x:c r="G144" s="76" t="n">
        <x:f>IF(D144=0,0,F144/D144)</x:f>
        <x:v>0.11645624885861604</x:v>
      </x:c>
      <x:c r="H144" s="48" t="str">
        <x:f>IF(ABS(F144)&gt;10000,"Material",IF(ABS(G144)&gt;0.1,"Review","OK"))</x:f>
        <x:v>Review</x:v>
      </x:c>
      <x:c r="I144" s="49" t="str">
        <x:f>IF(H144="Material","Explain with department owner",IF(H144="Review","Review trend","No action"))</x:f>
        <x:v>Review trend</x:v>
      </x:c>
    </x:row>
    <x:row r="145">
      <x:c r="A145" s="68" t="n">
        <x:v>46143</x:v>
      </x:c>
      <x:c r="B145" s="48" t="str">
        <x:v>Sales</x:v>
      </x:c>
      <x:c r="C145" s="48" t="str">
        <x:v>Utilities</x:v>
      </x:c>
      <x:c r="D145" s="72" t="n">
        <x:v>14505.5</x:v>
      </x:c>
      <x:c r="E145" s="72" t="n">
        <x:v>14900.67</x:v>
      </x:c>
      <x:c r="F145" s="72" t="n">
        <x:f>E145-D145</x:f>
        <x:v>395.1700000000001</x:v>
      </x:c>
      <x:c r="G145" s="76" t="n">
        <x:f>IF(D145=0,0,F145/D145)</x:f>
        <x:v>0.027242769983799254</x:v>
      </x:c>
      <x:c r="H145" s="48" t="str">
        <x:f>IF(ABS(F145)&gt;10000,"Material",IF(ABS(G145)&gt;0.1,"Review","OK"))</x:f>
        <x:v>OK</x:v>
      </x:c>
      <x:c r="I145" s="49" t="str">
        <x:f>IF(H145="Material","Explain with department owner",IF(H145="Review","Review trend","No action"))</x:f>
        <x:v>No action</x:v>
      </x:c>
    </x:row>
    <x:row r="146">
      <x:c r="A146" s="68" t="n">
        <x:v>46143</x:v>
      </x:c>
      <x:c r="B146" s="48" t="str">
        <x:v>Warehouse</x:v>
      </x:c>
      <x:c r="C146" s="48" t="str">
        <x:v>Revenue</x:v>
      </x:c>
      <x:c r="D146" s="72" t="n">
        <x:v>142868.05</x:v>
      </x:c>
      <x:c r="E146" s="72" t="n">
        <x:v>176625.03</x:v>
      </x:c>
      <x:c r="F146" s="72" t="n">
        <x:f>E146-D146</x:f>
        <x:v>33756.98000000001</x:v>
      </x:c>
      <x:c r="G146" s="76" t="n">
        <x:f>IF(D146=0,0,F146/D146)</x:f>
        <x:v>0.2362808199593962</x:v>
      </x:c>
      <x:c r="H146" s="48" t="str">
        <x:f>IF(ABS(F146)&gt;10000,"Material",IF(ABS(G146)&gt;0.1,"Review","OK"))</x:f>
        <x:v>Material</x:v>
      </x:c>
      <x:c r="I146" s="49" t="str">
        <x:f>IF(H146="Material","Explain with department owner",IF(H146="Review","Review trend","No action"))</x:f>
        <x:v>Explain with department owner</x:v>
      </x:c>
    </x:row>
    <x:row r="147">
      <x:c r="A147" s="68" t="n">
        <x:v>46143</x:v>
      </x:c>
      <x:c r="B147" s="48" t="str">
        <x:v>Warehouse</x:v>
      </x:c>
      <x:c r="C147" s="48" t="str">
        <x:v>Salaries</x:v>
      </x:c>
      <x:c r="D147" s="72" t="n">
        <x:v>38501.84</x:v>
      </x:c>
      <x:c r="E147" s="72" t="n">
        <x:v>38350.3</x:v>
      </x:c>
      <x:c r="F147" s="72" t="n">
        <x:f>E147-D147</x:f>
        <x:v>-151.5399999999936</x:v>
      </x:c>
      <x:c r="G147" s="76" t="n">
        <x:f>IF(D147=0,0,F147/D147)</x:f>
        <x:v>-0.0039359157899984416</x:v>
      </x:c>
      <x:c r="H147" s="48" t="str">
        <x:f>IF(ABS(F147)&gt;10000,"Material",IF(ABS(G147)&gt;0.1,"Review","OK"))</x:f>
        <x:v>OK</x:v>
      </x:c>
      <x:c r="I147" s="49" t="str">
        <x:f>IF(H147="Material","Explain with department owner",IF(H147="Review","Review trend","No action"))</x:f>
        <x:v>No action</x:v>
      </x:c>
    </x:row>
    <x:row r="148">
      <x:c r="A148" s="68" t="n">
        <x:v>46143</x:v>
      </x:c>
      <x:c r="B148" s="48" t="str">
        <x:v>Warehouse</x:v>
      </x:c>
      <x:c r="C148" s="48" t="str">
        <x:v>Rent</x:v>
      </x:c>
      <x:c r="D148" s="72" t="n">
        <x:v>25797.7</x:v>
      </x:c>
      <x:c r="E148" s="72" t="n">
        <x:v>27219.9</x:v>
      </x:c>
      <x:c r="F148" s="72" t="n">
        <x:f>E148-D148</x:f>
        <x:v>1422.2000000000007</x:v>
      </x:c>
      <x:c r="G148" s="76" t="n">
        <x:f>IF(D148=0,0,F148/D148)</x:f>
        <x:v>0.05512894560367788</x:v>
      </x:c>
      <x:c r="H148" s="48" t="str">
        <x:f>IF(ABS(F148)&gt;10000,"Material",IF(ABS(G148)&gt;0.1,"Review","OK"))</x:f>
        <x:v>OK</x:v>
      </x:c>
      <x:c r="I148" s="49" t="str">
        <x:f>IF(H148="Material","Explain with department owner",IF(H148="Review","Review trend","No action"))</x:f>
        <x:v>No action</x:v>
      </x:c>
    </x:row>
    <x:row r="149">
      <x:c r="A149" s="68" t="n">
        <x:v>46143</x:v>
      </x:c>
      <x:c r="B149" s="48" t="str">
        <x:v>Warehouse</x:v>
      </x:c>
      <x:c r="C149" s="48" t="str">
        <x:v>Software</x:v>
      </x:c>
      <x:c r="D149" s="72" t="n">
        <x:v>29157.58</x:v>
      </x:c>
      <x:c r="E149" s="72" t="n">
        <x:v>24297.13</x:v>
      </x:c>
      <x:c r="F149" s="72" t="n">
        <x:f>E149-D149</x:f>
        <x:v>-4860.450000000001</x:v>
      </x:c>
      <x:c r="G149" s="76" t="n">
        <x:f>IF(D149=0,0,F149/D149)</x:f>
        <x:v>-0.16669593292721827</x:v>
      </x:c>
      <x:c r="H149" s="48" t="str">
        <x:f>IF(ABS(F149)&gt;10000,"Material",IF(ABS(G149)&gt;0.1,"Review","OK"))</x:f>
        <x:v>Review</x:v>
      </x:c>
      <x:c r="I149" s="49" t="str">
        <x:f>IF(H149="Material","Explain with department owner",IF(H149="Review","Review trend","No action"))</x:f>
        <x:v>Review trend</x:v>
      </x:c>
    </x:row>
    <x:row r="150">
      <x:c r="A150" s="68" t="n">
        <x:v>46143</x:v>
      </x:c>
      <x:c r="B150" s="48" t="str">
        <x:v>Warehouse</x:v>
      </x:c>
      <x:c r="C150" s="48" t="str">
        <x:v>Supplies</x:v>
      </x:c>
      <x:c r="D150" s="72" t="n">
        <x:v>6809.32</x:v>
      </x:c>
      <x:c r="E150" s="72" t="n">
        <x:v>6285.66</x:v>
      </x:c>
      <x:c r="F150" s="72" t="n">
        <x:f>E150-D150</x:f>
        <x:v>-523.6599999999999</x:v>
      </x:c>
      <x:c r="G150" s="76" t="n">
        <x:f>IF(D150=0,0,F150/D150)</x:f>
        <x:v>-0.07690342060587546</x:v>
      </x:c>
      <x:c r="H150" s="48" t="str">
        <x:f>IF(ABS(F150)&gt;10000,"Material",IF(ABS(G150)&gt;0.1,"Review","OK"))</x:f>
        <x:v>OK</x:v>
      </x:c>
      <x:c r="I150" s="49" t="str">
        <x:f>IF(H150="Material","Explain with department owner",IF(H150="Review","Review trend","No action"))</x:f>
        <x:v>No action</x:v>
      </x:c>
    </x:row>
    <x:row r="151">
      <x:c r="A151" s="68" t="n">
        <x:v>46143</x:v>
      </x:c>
      <x:c r="B151" s="48" t="str">
        <x:v>Warehouse</x:v>
      </x:c>
      <x:c r="C151" s="48" t="str">
        <x:v>Utilities</x:v>
      </x:c>
      <x:c r="D151" s="72" t="n">
        <x:v>47498.05</x:v>
      </x:c>
      <x:c r="E151" s="72" t="n">
        <x:v>39962.22</x:v>
      </x:c>
      <x:c r="F151" s="72" t="n">
        <x:f>E151-D151</x:f>
        <x:v>-7535.830000000002</x:v>
      </x:c>
      <x:c r="G151" s="76" t="n">
        <x:f>IF(D151=0,0,F151/D151)</x:f>
        <x:v>-0.15865556586007218</x:v>
      </x:c>
      <x:c r="H151" s="48" t="str">
        <x:f>IF(ABS(F151)&gt;10000,"Material",IF(ABS(G151)&gt;0.1,"Review","OK"))</x:f>
        <x:v>Review</x:v>
      </x:c>
      <x:c r="I151" s="49" t="str">
        <x:f>IF(H151="Material","Explain with department owner",IF(H151="Review","Review trend","No action"))</x:f>
        <x:v>Review trend</x:v>
      </x:c>
    </x:row>
    <x:row r="152">
      <x:c r="A152" s="68" t="n">
        <x:v>46174</x:v>
      </x:c>
      <x:c r="B152" s="48" t="str">
        <x:v>Accounting</x:v>
      </x:c>
      <x:c r="C152" s="48" t="str">
        <x:v>Revenue</x:v>
      </x:c>
      <x:c r="D152" s="72" t="n">
        <x:v>111798.51</x:v>
      </x:c>
      <x:c r="E152" s="72" t="n">
        <x:v>89743.54</x:v>
      </x:c>
      <x:c r="F152" s="72" t="n">
        <x:f>E152-D152</x:f>
        <x:v>-22054.97</x:v>
      </x:c>
      <x:c r="G152" s="76" t="n">
        <x:f>IF(D152=0,0,F152/D152)</x:f>
        <x:v>-0.19727427494337807</x:v>
      </x:c>
      <x:c r="H152" s="48" t="str">
        <x:f>IF(ABS(F152)&gt;10000,"Material",IF(ABS(G152)&gt;0.1,"Review","OK"))</x:f>
        <x:v>Material</x:v>
      </x:c>
      <x:c r="I152" s="49" t="str">
        <x:f>IF(H152="Material","Explain with department owner",IF(H152="Review","Review trend","No action"))</x:f>
        <x:v>Explain with department owner</x:v>
      </x:c>
    </x:row>
    <x:row r="153">
      <x:c r="A153" s="68" t="n">
        <x:v>46174</x:v>
      </x:c>
      <x:c r="B153" s="48" t="str">
        <x:v>Accounting</x:v>
      </x:c>
      <x:c r="C153" s="48" t="str">
        <x:v>Salaries</x:v>
      </x:c>
      <x:c r="D153" s="72" t="n">
        <x:v>25854.13</x:v>
      </x:c>
      <x:c r="E153" s="72" t="n">
        <x:v>26020.5</x:v>
      </x:c>
      <x:c r="F153" s="72" t="n">
        <x:f>E153-D153</x:f>
        <x:v>166.36999999999898</x:v>
      </x:c>
      <x:c r="G153" s="76" t="n">
        <x:f>IF(D153=0,0,F153/D153)</x:f>
        <x:v>0.006434948690982794</x:v>
      </x:c>
      <x:c r="H153" s="48" t="str">
        <x:f>IF(ABS(F153)&gt;10000,"Material",IF(ABS(G153)&gt;0.1,"Review","OK"))</x:f>
        <x:v>OK</x:v>
      </x:c>
      <x:c r="I153" s="49" t="str">
        <x:f>IF(H153="Material","Explain with department owner",IF(H153="Review","Review trend","No action"))</x:f>
        <x:v>No action</x:v>
      </x:c>
    </x:row>
    <x:row r="154">
      <x:c r="A154" s="68" t="n">
        <x:v>46174</x:v>
      </x:c>
      <x:c r="B154" s="48" t="str">
        <x:v>Accounting</x:v>
      </x:c>
      <x:c r="C154" s="48" t="str">
        <x:v>Rent</x:v>
      </x:c>
      <x:c r="D154" s="72" t="n">
        <x:v>17305.11</x:v>
      </x:c>
      <x:c r="E154" s="72" t="n">
        <x:v>19733.67</x:v>
      </x:c>
      <x:c r="F154" s="72" t="n">
        <x:f>E154-D154</x:f>
        <x:v>2428.5599999999977</x:v>
      </x:c>
      <x:c r="G154" s="76" t="n">
        <x:f>IF(D154=0,0,F154/D154)</x:f>
        <x:v>0.14033773839056773</x:v>
      </x:c>
      <x:c r="H154" s="48" t="str">
        <x:f>IF(ABS(F154)&gt;10000,"Material",IF(ABS(G154)&gt;0.1,"Review","OK"))</x:f>
        <x:v>Review</x:v>
      </x:c>
      <x:c r="I154" s="49" t="str">
        <x:f>IF(H154="Material","Explain with department owner",IF(H154="Review","Review trend","No action"))</x:f>
        <x:v>Review trend</x:v>
      </x:c>
    </x:row>
    <x:row r="155">
      <x:c r="A155" s="68" t="n">
        <x:v>46174</x:v>
      </x:c>
      <x:c r="B155" s="48" t="str">
        <x:v>Accounting</x:v>
      </x:c>
      <x:c r="C155" s="48" t="str">
        <x:v>Software</x:v>
      </x:c>
      <x:c r="D155" s="72" t="n">
        <x:v>48114.57</x:v>
      </x:c>
      <x:c r="E155" s="72" t="n">
        <x:v>48696.92</x:v>
      </x:c>
      <x:c r="F155" s="72" t="n">
        <x:f>E155-D155</x:f>
        <x:v>582.3499999999985</x:v>
      </x:c>
      <x:c r="G155" s="76" t="n">
        <x:f>IF(D155=0,0,F155/D155)</x:f>
        <x:v>0.012103402358162997</x:v>
      </x:c>
      <x:c r="H155" s="48" t="str">
        <x:f>IF(ABS(F155)&gt;10000,"Material",IF(ABS(G155)&gt;0.1,"Review","OK"))</x:f>
        <x:v>OK</x:v>
      </x:c>
      <x:c r="I155" s="49" t="str">
        <x:f>IF(H155="Material","Explain with department owner",IF(H155="Review","Review trend","No action"))</x:f>
        <x:v>No action</x:v>
      </x:c>
    </x:row>
    <x:row r="156">
      <x:c r="A156" s="68" t="n">
        <x:v>46174</x:v>
      </x:c>
      <x:c r="B156" s="48" t="str">
        <x:v>Accounting</x:v>
      </x:c>
      <x:c r="C156" s="48" t="str">
        <x:v>Supplies</x:v>
      </x:c>
      <x:c r="D156" s="72" t="n">
        <x:v>31709.57</x:v>
      </x:c>
      <x:c r="E156" s="72" t="n">
        <x:v>24830.68</x:v>
      </x:c>
      <x:c r="F156" s="72" t="n">
        <x:f>E156-D156</x:f>
        <x:v>-6878.889999999999</x:v>
      </x:c>
      <x:c r="G156" s="76" t="n">
        <x:f>IF(D156=0,0,F156/D156)</x:f>
        <x:v>-0.21693419368348418</x:v>
      </x:c>
      <x:c r="H156" s="48" t="str">
        <x:f>IF(ABS(F156)&gt;10000,"Material",IF(ABS(G156)&gt;0.1,"Review","OK"))</x:f>
        <x:v>Review</x:v>
      </x:c>
      <x:c r="I156" s="49" t="str">
        <x:f>IF(H156="Material","Explain with department owner",IF(H156="Review","Review trend","No action"))</x:f>
        <x:v>Review trend</x:v>
      </x:c>
    </x:row>
    <x:row r="157">
      <x:c r="A157" s="68" t="n">
        <x:v>46174</x:v>
      </x:c>
      <x:c r="B157" s="48" t="str">
        <x:v>Accounting</x:v>
      </x:c>
      <x:c r="C157" s="48" t="str">
        <x:v>Utilities</x:v>
      </x:c>
      <x:c r="D157" s="72" t="n">
        <x:v>49819.31</x:v>
      </x:c>
      <x:c r="E157" s="72" t="n">
        <x:v>42937.26</x:v>
      </x:c>
      <x:c r="F157" s="72" t="n">
        <x:f>E157-D157</x:f>
        <x:v>-6882.049999999996</x:v>
      </x:c>
      <x:c r="G157" s="76" t="n">
        <x:f>IF(D157=0,0,F157/D157)</x:f>
        <x:v>-0.1381402110948545</x:v>
      </x:c>
      <x:c r="H157" s="48" t="str">
        <x:f>IF(ABS(F157)&gt;10000,"Material",IF(ABS(G157)&gt;0.1,"Review","OK"))</x:f>
        <x:v>Review</x:v>
      </x:c>
      <x:c r="I157" s="49" t="str">
        <x:f>IF(H157="Material","Explain with department owner",IF(H157="Review","Review trend","No action"))</x:f>
        <x:v>Review trend</x:v>
      </x:c>
    </x:row>
    <x:row r="158">
      <x:c r="A158" s="68" t="n">
        <x:v>46174</x:v>
      </x:c>
      <x:c r="B158" s="48" t="str">
        <x:v>Operations</x:v>
      </x:c>
      <x:c r="C158" s="48" t="str">
        <x:v>Revenue</x:v>
      </x:c>
      <x:c r="D158" s="72" t="n">
        <x:v>93878.24</x:v>
      </x:c>
      <x:c r="E158" s="72" t="n">
        <x:v>88864.99</x:v>
      </x:c>
      <x:c r="F158" s="72" t="n">
        <x:f>E158-D158</x:f>
        <x:v>-5013.25</x:v>
      </x:c>
      <x:c r="G158" s="76" t="n">
        <x:f>IF(D158=0,0,F158/D158)</x:f>
        <x:v>-0.053401618948118325</x:v>
      </x:c>
      <x:c r="H158" s="48" t="str">
        <x:f>IF(ABS(F158)&gt;10000,"Material",IF(ABS(G158)&gt;0.1,"Review","OK"))</x:f>
        <x:v>OK</x:v>
      </x:c>
      <x:c r="I158" s="49" t="str">
        <x:f>IF(H158="Material","Explain with department owner",IF(H158="Review","Review trend","No action"))</x:f>
        <x:v>No action</x:v>
      </x:c>
    </x:row>
    <x:row r="159">
      <x:c r="A159" s="68" t="n">
        <x:v>46174</x:v>
      </x:c>
      <x:c r="B159" s="48" t="str">
        <x:v>Operations</x:v>
      </x:c>
      <x:c r="C159" s="48" t="str">
        <x:v>Salaries</x:v>
      </x:c>
      <x:c r="D159" s="72" t="n">
        <x:v>39507.69</x:v>
      </x:c>
      <x:c r="E159" s="72" t="n">
        <x:v>44730.16</x:v>
      </x:c>
      <x:c r="F159" s="72" t="n">
        <x:f>E159-D159</x:f>
        <x:v>5222.470000000001</x:v>
      </x:c>
      <x:c r="G159" s="76" t="n">
        <x:f>IF(D159=0,0,F159/D159)</x:f>
        <x:v>0.13218869541600636</x:v>
      </x:c>
      <x:c r="H159" s="48" t="str">
        <x:f>IF(ABS(F159)&gt;10000,"Material",IF(ABS(G159)&gt;0.1,"Review","OK"))</x:f>
        <x:v>Review</x:v>
      </x:c>
      <x:c r="I159" s="49" t="str">
        <x:f>IF(H159="Material","Explain with department owner",IF(H159="Review","Review trend","No action"))</x:f>
        <x:v>Review trend</x:v>
      </x:c>
    </x:row>
    <x:row r="160">
      <x:c r="A160" s="68" t="n">
        <x:v>46174</x:v>
      </x:c>
      <x:c r="B160" s="48" t="str">
        <x:v>Operations</x:v>
      </x:c>
      <x:c r="C160" s="48" t="str">
        <x:v>Rent</x:v>
      </x:c>
      <x:c r="D160" s="72" t="n">
        <x:v>40012.62</x:v>
      </x:c>
      <x:c r="E160" s="72" t="n">
        <x:v>39886.83</x:v>
      </x:c>
      <x:c r="F160" s="72" t="n">
        <x:f>E160-D160</x:f>
        <x:v>-125.79000000000087</x:v>
      </x:c>
      <x:c r="G160" s="76" t="n">
        <x:f>IF(D160=0,0,F160/D160)</x:f>
        <x:v>-0.0031437581443054933</x:v>
      </x:c>
      <x:c r="H160" s="48" t="str">
        <x:f>IF(ABS(F160)&gt;10000,"Material",IF(ABS(G160)&gt;0.1,"Review","OK"))</x:f>
        <x:v>OK</x:v>
      </x:c>
      <x:c r="I160" s="49" t="str">
        <x:f>IF(H160="Material","Explain with department owner",IF(H160="Review","Review trend","No action"))</x:f>
        <x:v>No action</x:v>
      </x:c>
    </x:row>
    <x:row r="161">
      <x:c r="A161" s="68" t="n">
        <x:v>46174</x:v>
      </x:c>
      <x:c r="B161" s="48" t="str">
        <x:v>Operations</x:v>
      </x:c>
      <x:c r="C161" s="48" t="str">
        <x:v>Software</x:v>
      </x:c>
      <x:c r="D161" s="72" t="n">
        <x:v>22466.8</x:v>
      </x:c>
      <x:c r="E161" s="72" t="n">
        <x:v>20897.98</x:v>
      </x:c>
      <x:c r="F161" s="72" t="n">
        <x:f>E161-D161</x:f>
        <x:v>-1568.8199999999997</x:v>
      </x:c>
      <x:c r="G161" s="76" t="n">
        <x:f>IF(D161=0,0,F161/D161)</x:f>
        <x:v>-0.06982836897110402</x:v>
      </x:c>
      <x:c r="H161" s="48" t="str">
        <x:f>IF(ABS(F161)&gt;10000,"Material",IF(ABS(G161)&gt;0.1,"Review","OK"))</x:f>
        <x:v>OK</x:v>
      </x:c>
      <x:c r="I161" s="49" t="str">
        <x:f>IF(H161="Material","Explain with department owner",IF(H161="Review","Review trend","No action"))</x:f>
        <x:v>No action</x:v>
      </x:c>
    </x:row>
    <x:row r="162">
      <x:c r="A162" s="68" t="n">
        <x:v>46174</x:v>
      </x:c>
      <x:c r="B162" s="48" t="str">
        <x:v>Operations</x:v>
      </x:c>
      <x:c r="C162" s="48" t="str">
        <x:v>Supplies</x:v>
      </x:c>
      <x:c r="D162" s="72" t="n">
        <x:v>30839.38</x:v>
      </x:c>
      <x:c r="E162" s="72" t="n">
        <x:v>32919.56</x:v>
      </x:c>
      <x:c r="F162" s="72" t="n">
        <x:f>E162-D162</x:f>
        <x:v>2080.1799999999967</x:v>
      </x:c>
      <x:c r="G162" s="76" t="n">
        <x:f>IF(D162=0,0,F162/D162)</x:f>
        <x:v>0.06745206939957926</x:v>
      </x:c>
      <x:c r="H162" s="48" t="str">
        <x:f>IF(ABS(F162)&gt;10000,"Material",IF(ABS(G162)&gt;0.1,"Review","OK"))</x:f>
        <x:v>OK</x:v>
      </x:c>
      <x:c r="I162" s="49" t="str">
        <x:f>IF(H162="Material","Explain with department owner",IF(H162="Review","Review trend","No action"))</x:f>
        <x:v>No action</x:v>
      </x:c>
    </x:row>
    <x:row r="163">
      <x:c r="A163" s="68" t="n">
        <x:v>46174</x:v>
      </x:c>
      <x:c r="B163" s="48" t="str">
        <x:v>Operations</x:v>
      </x:c>
      <x:c r="C163" s="48" t="str">
        <x:v>Utilities</x:v>
      </x:c>
      <x:c r="D163" s="72" t="n">
        <x:v>8205.11</x:v>
      </x:c>
      <x:c r="E163" s="72" t="n">
        <x:v>6466.31</x:v>
      </x:c>
      <x:c r="F163" s="72" t="n">
        <x:f>E163-D163</x:f>
        <x:v>-1738.8000000000002</x:v>
      </x:c>
      <x:c r="G163" s="76" t="n">
        <x:f>IF(D163=0,0,F163/D163)</x:f>
        <x:v>-0.21191672019022292</x:v>
      </x:c>
      <x:c r="H163" s="48" t="str">
        <x:f>IF(ABS(F163)&gt;10000,"Material",IF(ABS(G163)&gt;0.1,"Review","OK"))</x:f>
        <x:v>Review</x:v>
      </x:c>
      <x:c r="I163" s="49" t="str">
        <x:f>IF(H163="Material","Explain with department owner",IF(H163="Review","Review trend","No action"))</x:f>
        <x:v>Review trend</x:v>
      </x:c>
    </x:row>
    <x:row r="164">
      <x:c r="A164" s="68" t="n">
        <x:v>46174</x:v>
      </x:c>
      <x:c r="B164" s="48" t="str">
        <x:v>IT</x:v>
      </x:c>
      <x:c r="C164" s="48" t="str">
        <x:v>Revenue</x:v>
      </x:c>
      <x:c r="D164" s="72" t="n">
        <x:v>128641.56</x:v>
      </x:c>
      <x:c r="E164" s="72" t="n">
        <x:v>160131.23</x:v>
      </x:c>
      <x:c r="F164" s="72" t="n">
        <x:f>E164-D164</x:f>
        <x:v>31489.670000000013</x:v>
      </x:c>
      <x:c r="G164" s="76" t="n">
        <x:f>IF(D164=0,0,F164/D164)</x:f>
        <x:v>0.2447861328796076</x:v>
      </x:c>
      <x:c r="H164" s="48" t="str">
        <x:f>IF(ABS(F164)&gt;10000,"Material",IF(ABS(G164)&gt;0.1,"Review","OK"))</x:f>
        <x:v>Material</x:v>
      </x:c>
      <x:c r="I164" s="49" t="str">
        <x:f>IF(H164="Material","Explain with department owner",IF(H164="Review","Review trend","No action"))</x:f>
        <x:v>Explain with department owner</x:v>
      </x:c>
    </x:row>
    <x:row r="165">
      <x:c r="A165" s="68" t="n">
        <x:v>46174</x:v>
      </x:c>
      <x:c r="B165" s="48" t="str">
        <x:v>IT</x:v>
      </x:c>
      <x:c r="C165" s="48" t="str">
        <x:v>Salaries</x:v>
      </x:c>
      <x:c r="D165" s="72" t="n">
        <x:v>7026.72</x:v>
      </x:c>
      <x:c r="E165" s="72" t="n">
        <x:v>7783.8</x:v>
      </x:c>
      <x:c r="F165" s="72" t="n">
        <x:f>E165-D165</x:f>
        <x:v>757.0799999999999</x:v>
      </x:c>
      <x:c r="G165" s="76" t="n">
        <x:f>IF(D165=0,0,F165/D165)</x:f>
        <x:v>0.10774301523328095</x:v>
      </x:c>
      <x:c r="H165" s="48" t="str">
        <x:f>IF(ABS(F165)&gt;10000,"Material",IF(ABS(G165)&gt;0.1,"Review","OK"))</x:f>
        <x:v>Review</x:v>
      </x:c>
      <x:c r="I165" s="49" t="str">
        <x:f>IF(H165="Material","Explain with department owner",IF(H165="Review","Review trend","No action"))</x:f>
        <x:v>Review trend</x:v>
      </x:c>
    </x:row>
    <x:row r="166">
      <x:c r="A166" s="68" t="n">
        <x:v>46174</x:v>
      </x:c>
      <x:c r="B166" s="48" t="str">
        <x:v>IT</x:v>
      </x:c>
      <x:c r="C166" s="48" t="str">
        <x:v>Rent</x:v>
      </x:c>
      <x:c r="D166" s="72" t="n">
        <x:v>39933.26</x:v>
      </x:c>
      <x:c r="E166" s="72" t="n">
        <x:v>37132.81</x:v>
      </x:c>
      <x:c r="F166" s="72" t="n">
        <x:f>E166-D166</x:f>
        <x:v>-2800.4500000000044</x:v>
      </x:c>
      <x:c r="G166" s="76" t="n">
        <x:f>IF(D166=0,0,F166/D166)</x:f>
        <x:v>-0.07012825900014184</x:v>
      </x:c>
      <x:c r="H166" s="48" t="str">
        <x:f>IF(ABS(F166)&gt;10000,"Material",IF(ABS(G166)&gt;0.1,"Review","OK"))</x:f>
        <x:v>OK</x:v>
      </x:c>
      <x:c r="I166" s="49" t="str">
        <x:f>IF(H166="Material","Explain with department owner",IF(H166="Review","Review trend","No action"))</x:f>
        <x:v>No action</x:v>
      </x:c>
    </x:row>
    <x:row r="167">
      <x:c r="A167" s="68" t="n">
        <x:v>46174</x:v>
      </x:c>
      <x:c r="B167" s="48" t="str">
        <x:v>IT</x:v>
      </x:c>
      <x:c r="C167" s="48" t="str">
        <x:v>Software</x:v>
      </x:c>
      <x:c r="D167" s="72" t="n">
        <x:v>35462.14</x:v>
      </x:c>
      <x:c r="E167" s="72" t="n">
        <x:v>39426.31</x:v>
      </x:c>
      <x:c r="F167" s="72" t="n">
        <x:f>E167-D167</x:f>
        <x:v>3964.1699999999983</x:v>
      </x:c>
      <x:c r="G167" s="76" t="n">
        <x:f>IF(D167=0,0,F167/D167)</x:f>
        <x:v>0.11178597794718531</x:v>
      </x:c>
      <x:c r="H167" s="48" t="str">
        <x:f>IF(ABS(F167)&gt;10000,"Material",IF(ABS(G167)&gt;0.1,"Review","OK"))</x:f>
        <x:v>Review</x:v>
      </x:c>
      <x:c r="I167" s="49" t="str">
        <x:f>IF(H167="Material","Explain with department owner",IF(H167="Review","Review trend","No action"))</x:f>
        <x:v>Review trend</x:v>
      </x:c>
    </x:row>
    <x:row r="168">
      <x:c r="A168" s="68" t="n">
        <x:v>46174</x:v>
      </x:c>
      <x:c r="B168" s="48" t="str">
        <x:v>IT</x:v>
      </x:c>
      <x:c r="C168" s="48" t="str">
        <x:v>Supplies</x:v>
      </x:c>
      <x:c r="D168" s="72" t="n">
        <x:v>27731.63</x:v>
      </x:c>
      <x:c r="E168" s="72" t="n">
        <x:v>28726.2</x:v>
      </x:c>
      <x:c r="F168" s="72" t="n">
        <x:f>E168-D168</x:f>
        <x:v>994.5699999999997</x:v>
      </x:c>
      <x:c r="G168" s="76" t="n">
        <x:f>IF(D168=0,0,F168/D168)</x:f>
        <x:v>0.0358641017495185</x:v>
      </x:c>
      <x:c r="H168" s="48" t="str">
        <x:f>IF(ABS(F168)&gt;10000,"Material",IF(ABS(G168)&gt;0.1,"Review","OK"))</x:f>
        <x:v>OK</x:v>
      </x:c>
      <x:c r="I168" s="49" t="str">
        <x:f>IF(H168="Material","Explain with department owner",IF(H168="Review","Review trend","No action"))</x:f>
        <x:v>No action</x:v>
      </x:c>
    </x:row>
    <x:row r="169">
      <x:c r="A169" s="68" t="n">
        <x:v>46174</x:v>
      </x:c>
      <x:c r="B169" s="48" t="str">
        <x:v>IT</x:v>
      </x:c>
      <x:c r="C169" s="48" t="str">
        <x:v>Utilities</x:v>
      </x:c>
      <x:c r="D169" s="72" t="n">
        <x:v>23062.8</x:v>
      </x:c>
      <x:c r="E169" s="72" t="n">
        <x:v>24212.91</x:v>
      </x:c>
      <x:c r="F169" s="72" t="n">
        <x:f>E169-D169</x:f>
        <x:v>1150.1100000000006</x:v>
      </x:c>
      <x:c r="G169" s="76" t="n">
        <x:f>IF(D169=0,0,F169/D169)</x:f>
        <x:v>0.04986861959519229</x:v>
      </x:c>
      <x:c r="H169" s="48" t="str">
        <x:f>IF(ABS(F169)&gt;10000,"Material",IF(ABS(G169)&gt;0.1,"Review","OK"))</x:f>
        <x:v>OK</x:v>
      </x:c>
      <x:c r="I169" s="49" t="str">
        <x:f>IF(H169="Material","Explain with department owner",IF(H169="Review","Review trend","No action"))</x:f>
        <x:v>No action</x:v>
      </x:c>
    </x:row>
    <x:row r="170">
      <x:c r="A170" s="68" t="n">
        <x:v>46174</x:v>
      </x:c>
      <x:c r="B170" s="48" t="str">
        <x:v>Sales</x:v>
      </x:c>
      <x:c r="C170" s="48" t="str">
        <x:v>Revenue</x:v>
      </x:c>
      <x:c r="D170" s="72" t="n">
        <x:v>86755.92</x:v>
      </x:c>
      <x:c r="E170" s="72" t="n">
        <x:v>73580.62</x:v>
      </x:c>
      <x:c r="F170" s="72" t="n">
        <x:f>E170-D170</x:f>
        <x:v>-13175.300000000003</x:v>
      </x:c>
      <x:c r="G170" s="76" t="n">
        <x:f>IF(D170=0,0,F170/D170)</x:f>
        <x:v>-0.15186629338954624</x:v>
      </x:c>
      <x:c r="H170" s="48" t="str">
        <x:f>IF(ABS(F170)&gt;10000,"Material",IF(ABS(G170)&gt;0.1,"Review","OK"))</x:f>
        <x:v>Material</x:v>
      </x:c>
      <x:c r="I170" s="49" t="str">
        <x:f>IF(H170="Material","Explain with department owner",IF(H170="Review","Review trend","No action"))</x:f>
        <x:v>Explain with department owner</x:v>
      </x:c>
    </x:row>
    <x:row r="171">
      <x:c r="A171" s="68" t="n">
        <x:v>46174</x:v>
      </x:c>
      <x:c r="B171" s="48" t="str">
        <x:v>Sales</x:v>
      </x:c>
      <x:c r="C171" s="48" t="str">
        <x:v>Salaries</x:v>
      </x:c>
      <x:c r="D171" s="72" t="n">
        <x:v>39905.15</x:v>
      </x:c>
      <x:c r="E171" s="72" t="n">
        <x:v>33303.16</x:v>
      </x:c>
      <x:c r="F171" s="72" t="n">
        <x:f>E171-D171</x:f>
        <x:v>-6601.989999999998</x:v>
      </x:c>
      <x:c r="G171" s="76" t="n">
        <x:f>IF(D171=0,0,F171/D171)</x:f>
        <x:v>-0.16544205447166588</x:v>
      </x:c>
      <x:c r="H171" s="48" t="str">
        <x:f>IF(ABS(F171)&gt;10000,"Material",IF(ABS(G171)&gt;0.1,"Review","OK"))</x:f>
        <x:v>Review</x:v>
      </x:c>
      <x:c r="I171" s="49" t="str">
        <x:f>IF(H171="Material","Explain with department owner",IF(H171="Review","Review trend","No action"))</x:f>
        <x:v>Review trend</x:v>
      </x:c>
    </x:row>
    <x:row r="172">
      <x:c r="A172" s="68" t="n">
        <x:v>46174</x:v>
      </x:c>
      <x:c r="B172" s="48" t="str">
        <x:v>Sales</x:v>
      </x:c>
      <x:c r="C172" s="48" t="str">
        <x:v>Rent</x:v>
      </x:c>
      <x:c r="D172" s="72" t="n">
        <x:v>20380.97</x:v>
      </x:c>
      <x:c r="E172" s="72" t="n">
        <x:v>16322.58</x:v>
      </x:c>
      <x:c r="F172" s="72" t="n">
        <x:f>E172-D172</x:f>
        <x:v>-4058.3900000000012</x:v>
      </x:c>
      <x:c r="G172" s="76" t="n">
        <x:f>IF(D172=0,0,F172/D172)</x:f>
        <x:v>-0.19912644000751686</x:v>
      </x:c>
      <x:c r="H172" s="48" t="str">
        <x:f>IF(ABS(F172)&gt;10000,"Material",IF(ABS(G172)&gt;0.1,"Review","OK"))</x:f>
        <x:v>Review</x:v>
      </x:c>
      <x:c r="I172" s="49" t="str">
        <x:f>IF(H172="Material","Explain with department owner",IF(H172="Review","Review trend","No action"))</x:f>
        <x:v>Review trend</x:v>
      </x:c>
    </x:row>
    <x:row r="173">
      <x:c r="A173" s="68" t="n">
        <x:v>46174</x:v>
      </x:c>
      <x:c r="B173" s="48" t="str">
        <x:v>Sales</x:v>
      </x:c>
      <x:c r="C173" s="48" t="str">
        <x:v>Software</x:v>
      </x:c>
      <x:c r="D173" s="72" t="n">
        <x:v>33597.27</x:v>
      </x:c>
      <x:c r="E173" s="72" t="n">
        <x:v>31803.69</x:v>
      </x:c>
      <x:c r="F173" s="72" t="n">
        <x:f>E173-D173</x:f>
        <x:v>-1793.579999999998</x:v>
      </x:c>
      <x:c r="G173" s="76" t="n">
        <x:f>IF(D173=0,0,F173/D173)</x:f>
        <x:v>-0.05338469464929735</x:v>
      </x:c>
      <x:c r="H173" s="48" t="str">
        <x:f>IF(ABS(F173)&gt;10000,"Material",IF(ABS(G173)&gt;0.1,"Review","OK"))</x:f>
        <x:v>OK</x:v>
      </x:c>
      <x:c r="I173" s="49" t="str">
        <x:f>IF(H173="Material","Explain with department owner",IF(H173="Review","Review trend","No action"))</x:f>
        <x:v>No action</x:v>
      </x:c>
    </x:row>
    <x:row r="174">
      <x:c r="A174" s="68" t="n">
        <x:v>46174</x:v>
      </x:c>
      <x:c r="B174" s="48" t="str">
        <x:v>Sales</x:v>
      </x:c>
      <x:c r="C174" s="48" t="str">
        <x:v>Supplies</x:v>
      </x:c>
      <x:c r="D174" s="72" t="n">
        <x:v>18852.77</x:v>
      </x:c>
      <x:c r="E174" s="72" t="n">
        <x:v>19479.59</x:v>
      </x:c>
      <x:c r="F174" s="72" t="n">
        <x:f>E174-D174</x:f>
        <x:v>626.8199999999997</x:v>
      </x:c>
      <x:c r="G174" s="76" t="n">
        <x:f>IF(D174=0,0,F174/D174)</x:f>
        <x:v>0.033248164593319696</x:v>
      </x:c>
      <x:c r="H174" s="48" t="str">
        <x:f>IF(ABS(F174)&gt;10000,"Material",IF(ABS(G174)&gt;0.1,"Review","OK"))</x:f>
        <x:v>OK</x:v>
      </x:c>
      <x:c r="I174" s="49" t="str">
        <x:f>IF(H174="Material","Explain with department owner",IF(H174="Review","Review trend","No action"))</x:f>
        <x:v>No action</x:v>
      </x:c>
    </x:row>
    <x:row r="175">
      <x:c r="A175" s="68" t="n">
        <x:v>46174</x:v>
      </x:c>
      <x:c r="B175" s="48" t="str">
        <x:v>Sales</x:v>
      </x:c>
      <x:c r="C175" s="48" t="str">
        <x:v>Utilities</x:v>
      </x:c>
      <x:c r="D175" s="72" t="n">
        <x:v>27762.75</x:v>
      </x:c>
      <x:c r="E175" s="72" t="n">
        <x:v>24262.48</x:v>
      </x:c>
      <x:c r="F175" s="72" t="n">
        <x:f>E175-D175</x:f>
        <x:v>-3500.2700000000004</x:v>
      </x:c>
      <x:c r="G175" s="76" t="n">
        <x:f>IF(D175=0,0,F175/D175)</x:f>
        <x:v>-0.1260779281591341</x:v>
      </x:c>
      <x:c r="H175" s="48" t="str">
        <x:f>IF(ABS(F175)&gt;10000,"Material",IF(ABS(G175)&gt;0.1,"Review","OK"))</x:f>
        <x:v>Review</x:v>
      </x:c>
      <x:c r="I175" s="49" t="str">
        <x:f>IF(H175="Material","Explain with department owner",IF(H175="Review","Review trend","No action"))</x:f>
        <x:v>Review trend</x:v>
      </x:c>
    </x:row>
    <x:row r="176">
      <x:c r="A176" s="68" t="n">
        <x:v>46174</x:v>
      </x:c>
      <x:c r="B176" s="48" t="str">
        <x:v>Warehouse</x:v>
      </x:c>
      <x:c r="C176" s="48" t="str">
        <x:v>Revenue</x:v>
      </x:c>
      <x:c r="D176" s="72" t="n">
        <x:v>80512.44</x:v>
      </x:c>
      <x:c r="E176" s="72" t="n">
        <x:v>69489.06</x:v>
      </x:c>
      <x:c r="F176" s="72" t="n">
        <x:f>E176-D176</x:f>
        <x:v>-11023.380000000005</x:v>
      </x:c>
      <x:c r="G176" s="76" t="n">
        <x:f>IF(D176=0,0,F176/D176)</x:f>
        <x:v>-0.13691523943380682</x:v>
      </x:c>
      <x:c r="H176" s="48" t="str">
        <x:f>IF(ABS(F176)&gt;10000,"Material",IF(ABS(G176)&gt;0.1,"Review","OK"))</x:f>
        <x:v>Material</x:v>
      </x:c>
      <x:c r="I176" s="49" t="str">
        <x:f>IF(H176="Material","Explain with department owner",IF(H176="Review","Review trend","No action"))</x:f>
        <x:v>Explain with department owner</x:v>
      </x:c>
    </x:row>
    <x:row r="177">
      <x:c r="A177" s="68" t="n">
        <x:v>46174</x:v>
      </x:c>
      <x:c r="B177" s="48" t="str">
        <x:v>Warehouse</x:v>
      </x:c>
      <x:c r="C177" s="48" t="str">
        <x:v>Salaries</x:v>
      </x:c>
      <x:c r="D177" s="72" t="n">
        <x:v>27909.82</x:v>
      </x:c>
      <x:c r="E177" s="72" t="n">
        <x:v>29500.19</x:v>
      </x:c>
      <x:c r="F177" s="72" t="n">
        <x:f>E177-D177</x:f>
        <x:v>1590.369999999999</x:v>
      </x:c>
      <x:c r="G177" s="76" t="n">
        <x:f>IF(D177=0,0,F177/D177)</x:f>
        <x:v>0.05698245277110347</x:v>
      </x:c>
      <x:c r="H177" s="48" t="str">
        <x:f>IF(ABS(F177)&gt;10000,"Material",IF(ABS(G177)&gt;0.1,"Review","OK"))</x:f>
        <x:v>OK</x:v>
      </x:c>
      <x:c r="I177" s="49" t="str">
        <x:f>IF(H177="Material","Explain with department owner",IF(H177="Review","Review trend","No action"))</x:f>
        <x:v>No action</x:v>
      </x:c>
    </x:row>
    <x:row r="178">
      <x:c r="A178" s="68" t="n">
        <x:v>46174</x:v>
      </x:c>
      <x:c r="B178" s="48" t="str">
        <x:v>Warehouse</x:v>
      </x:c>
      <x:c r="C178" s="48" t="str">
        <x:v>Rent</x:v>
      </x:c>
      <x:c r="D178" s="72" t="n">
        <x:v>22020.29</x:v>
      </x:c>
      <x:c r="E178" s="72" t="n">
        <x:v>27272.41</x:v>
      </x:c>
      <x:c r="F178" s="72" t="n">
        <x:f>E178-D178</x:f>
        <x:v>5252.119999999999</x:v>
      </x:c>
      <x:c r="G178" s="76" t="n">
        <x:f>IF(D178=0,0,F178/D178)</x:f>
        <x:v>0.23851275346509962</x:v>
      </x:c>
      <x:c r="H178" s="48" t="str">
        <x:f>IF(ABS(F178)&gt;10000,"Material",IF(ABS(G178)&gt;0.1,"Review","OK"))</x:f>
        <x:v>Review</x:v>
      </x:c>
      <x:c r="I178" s="49" t="str">
        <x:f>IF(H178="Material","Explain with department owner",IF(H178="Review","Review trend","No action"))</x:f>
        <x:v>Review trend</x:v>
      </x:c>
    </x:row>
    <x:row r="179">
      <x:c r="A179" s="68" t="n">
        <x:v>46174</x:v>
      </x:c>
      <x:c r="B179" s="48" t="str">
        <x:v>Warehouse</x:v>
      </x:c>
      <x:c r="C179" s="48" t="str">
        <x:v>Software</x:v>
      </x:c>
      <x:c r="D179" s="72" t="n">
        <x:v>45586.5</x:v>
      </x:c>
      <x:c r="E179" s="72" t="n">
        <x:v>46991.4</x:v>
      </x:c>
      <x:c r="F179" s="72" t="n">
        <x:f>E179-D179</x:f>
        <x:v>1404.9000000000015</x:v>
      </x:c>
      <x:c r="G179" s="76" t="n">
        <x:f>IF(D179=0,0,F179/D179)</x:f>
        <x:v>0.030818334375308513</x:v>
      </x:c>
      <x:c r="H179" s="48" t="str">
        <x:f>IF(ABS(F179)&gt;10000,"Material",IF(ABS(G179)&gt;0.1,"Review","OK"))</x:f>
        <x:v>OK</x:v>
      </x:c>
      <x:c r="I179" s="49" t="str">
        <x:f>IF(H179="Material","Explain with department owner",IF(H179="Review","Review trend","No action"))</x:f>
        <x:v>No action</x:v>
      </x:c>
    </x:row>
    <x:row r="180">
      <x:c r="A180" s="68" t="n">
        <x:v>46174</x:v>
      </x:c>
      <x:c r="B180" s="48" t="str">
        <x:v>Warehouse</x:v>
      </x:c>
      <x:c r="C180" s="48" t="str">
        <x:v>Supplies</x:v>
      </x:c>
      <x:c r="D180" s="72" t="n">
        <x:v>46111.15</x:v>
      </x:c>
      <x:c r="E180" s="72" t="n">
        <x:v>44760.21</x:v>
      </x:c>
      <x:c r="F180" s="72" t="n">
        <x:f>E180-D180</x:f>
        <x:v>-1350.9400000000023</x:v>
      </x:c>
      <x:c r="G180" s="76" t="n">
        <x:f>IF(D180=0,0,F180/D180)</x:f>
        <x:v>-0.029297469267194644</x:v>
      </x:c>
      <x:c r="H180" s="48" t="str">
        <x:f>IF(ABS(F180)&gt;10000,"Material",IF(ABS(G180)&gt;0.1,"Review","OK"))</x:f>
        <x:v>OK</x:v>
      </x:c>
      <x:c r="I180" s="49" t="str">
        <x:f>IF(H180="Material","Explain with department owner",IF(H180="Review","Review trend","No action"))</x:f>
        <x:v>No action</x:v>
      </x:c>
    </x:row>
    <x:row r="181">
      <x:c r="A181" s="69" t="n">
        <x:v>46174</x:v>
      </x:c>
      <x:c r="B181" s="51" t="str">
        <x:v>Warehouse</x:v>
      </x:c>
      <x:c r="C181" s="51" t="str">
        <x:v>Utilities</x:v>
      </x:c>
      <x:c r="D181" s="73" t="n">
        <x:v>5934.01</x:v>
      </x:c>
      <x:c r="E181" s="73" t="n">
        <x:v>6785.66</x:v>
      </x:c>
      <x:c r="F181" s="73" t="n">
        <x:f>E181-D181</x:f>
        <x:v>851.6499999999996</x:v>
      </x:c>
      <x:c r="G181" s="77" t="n">
        <x:f>IF(D181=0,0,F181/D181)</x:f>
        <x:v>0.14352014910659058</x:v>
      </x:c>
      <x:c r="H181" s="51" t="str">
        <x:f>IF(ABS(F181)&gt;10000,"Material",IF(ABS(G181)&gt;0.1,"Review","OK"))</x:f>
        <x:v>Review</x:v>
      </x:c>
      <x:c r="I181" s="52" t="str">
        <x:f>IF(H181="Material","Explain with department owner",IF(H181="Review","Review trend","No action"))</x:f>
        <x:v>Review trend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</x:cols>
  <x:sheetData>
    <x:row r="1" ht="30" customHeight="1">
      <x:c r="A1" s="84" t="str">
        <x:v>Month</x:v>
      </x:c>
      <x:c r="B1" s="84" t="str">
        <x:v>Department</x:v>
      </x:c>
      <x:c r="C1" s="84" t="str">
        <x:v>Category</x:v>
      </x:c>
      <x:c r="D1" s="84" t="str">
        <x:v>Budget</x:v>
      </x:c>
      <x:c r="E1" s="84" t="str">
        <x:v>Actual</x:v>
      </x:c>
      <x:c r="F1" s="84" t="str">
        <x:v>Variance_$</x:v>
      </x:c>
      <x:c r="G1" s="84" t="str">
        <x:v>Variance_%</x:v>
      </x:c>
      <x:c r="H1" s="84" t="str">
        <x:v>Flag</x:v>
      </x:c>
      <x:c r="I1" s="84" t="str">
        <x:v>Comment</x:v>
      </x:c>
    </x:row>
    <x:row r="2">
      <x:c r="A2" t="e">
        <x:f>FILTER(Data!A:I,Data!H:H&lt;&gt;"OK","No material variances")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92" t="str">
        <x:v>Budget vs Actual Dashboard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115" t="str">
        <x:v>Category</x:v>
      </x:c>
      <x:c r="E4" s="115" t="str">
        <x:v>Value</x:v>
      </x:c>
    </x:row>
    <x:row r="5">
      <x:c r="A5" s="101" t="str">
        <x:v>Total Budget</x:v>
      </x:c>
      <x:c r="B5" s="106" t="n">
        <x:f>SUM(Data!$D$2:$D$181)</x:f>
        <x:v>7736399.800000001</x:v>
      </x:c>
      <x:c r="D5" t="str">
        <x:v>Accounting</x:v>
      </x:c>
      <x:c r="E5" s="96" t="n">
        <x:f>SUMIF(Data!$B:$B,D5,Data!$E:$E)</x:f>
        <x:v>1471666.81</x:v>
      </x:c>
    </x:row>
    <x:row r="6">
      <x:c r="A6" s="101" t="str">
        <x:v>Total Actual</x:v>
      </x:c>
      <x:c r="B6" s="106" t="n">
        <x:f>SUM(Data!$E$2:$E$181)</x:f>
        <x:v>8021089.269999999</x:v>
      </x:c>
      <x:c r="D6" t="str">
        <x:v>Operations</x:v>
      </x:c>
      <x:c r="E6" s="96" t="n">
        <x:f>SUMIF(Data!$B:$B,D6,Data!$E:$E)</x:f>
        <x:v>1550486.19</x:v>
      </x:c>
    </x:row>
    <x:row r="7">
      <x:c r="A7" s="101" t="str">
        <x:v>Total Variance</x:v>
      </x:c>
      <x:c r="B7" s="106" t="n">
        <x:f>B6-B5</x:f>
        <x:v>284689.4699999979</x:v>
      </x:c>
      <x:c r="D7" t="str">
        <x:v>IT</x:v>
      </x:c>
      <x:c r="E7" s="96" t="n">
        <x:f>SUMIF(Data!$B:$B,D7,Data!$E:$E)</x:f>
        <x:v>1783702.5299999998</x:v>
      </x:c>
    </x:row>
    <x:row r="8">
      <x:c r="A8" s="101" t="str">
        <x:v>Material Items</x:v>
      </x:c>
      <x:c r="B8" s="107" t="n">
        <x:f>COUNTIF(Data!$H:$H,"Material")</x:f>
        <x:v>26</x:v>
      </x:c>
      <x:c r="D8" t="str">
        <x:v>Sales</x:v>
      </x:c>
      <x:c r="E8" s="96" t="n">
        <x:f>SUMIF(Data!$B:$B,D8,Data!$E:$E)</x:f>
        <x:v>1627720.7799999998</x:v>
      </x:c>
    </x:row>
    <x:row r="9">
      <x:c r="A9" s="101" t="str">
        <x:v>Review Items</x:v>
      </x:c>
      <x:c r="B9" s="107" t="n">
        <x:f>COUNTIF(Data!$H:$H,"Review")</x:f>
        <x:v>79</x:v>
      </x:c>
      <x:c r="D9" t="str">
        <x:v>Warehouse</x:v>
      </x:c>
      <x:c r="E9" s="96" t="n">
        <x:f>SUMIF(Data!$B:$B,D9,Data!$E:$E)</x:f>
        <x:v>1587512.9599999995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722614fa0a094e8c"/>
</x:worksheet>
</file>