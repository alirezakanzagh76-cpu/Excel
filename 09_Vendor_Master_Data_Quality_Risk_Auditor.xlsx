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16fd04be9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d90b10820734085"/>
    <x:sheet xmlns:r="http://schemas.openxmlformats.org/officeDocument/2006/relationships" name="Data" sheetId="2" r:id="R18eef977431e4994"/>
    <x:sheet xmlns:r="http://schemas.openxmlformats.org/officeDocument/2006/relationships" name="Exceptions" sheetId="3" r:id="Rfaec71754a50456a"/>
    <x:sheet xmlns:r="http://schemas.openxmlformats.org/officeDocument/2006/relationships" name="Dashboard" sheetId="4" r:id="Rf2cc5eade30b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/>
    <x:xf numFmtId="201" fontId="4" fillId="0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9563dc80a4546" /><Relationship Type="http://schemas.openxmlformats.org/officeDocument/2006/relationships/theme" Target="/xl/theme/theme1.xml" Id="R73f6f6c8f46a450e" /><Relationship Type="http://schemas.openxmlformats.org/officeDocument/2006/relationships/sharedStrings" Target="/xl/sharedStrings.xml" Id="R7c8f2c42969946c8" /><Relationship Type="http://schemas.openxmlformats.org/officeDocument/2006/relationships/worksheet" Target="/xl/worksheets/sheet1.xml" Id="R3d90b10820734085" /><Relationship Type="http://schemas.openxmlformats.org/officeDocument/2006/relationships/worksheet" Target="/xl/worksheets/sheet2.xml" Id="R18eef977431e4994" /><Relationship Type="http://schemas.openxmlformats.org/officeDocument/2006/relationships/worksheet" Target="/xl/worksheets/sheet3.xml" Id="Rfaec71754a50456a" /><Relationship Type="http://schemas.openxmlformats.org/officeDocument/2006/relationships/worksheet" Target="/xl/worksheets/sheet4.xml" Id="Rf2cc5eade30b4c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2d3c83b4c4457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'Dashboard'!$E$5:$E$7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2d3c83b4c445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3206da62a064da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Vendor Master Data Quality &amp; Risk Auditor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AP departments need clean vendor data to reduce duplicate payments, missing tax IDs, bank detail issues, and inactive vendor activity.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Normalized vendor names, duplicate checks, missing data flags, risk score, risk levels, dashboard, exception list.</x:v>
      </x:c>
    </x:row>
    <x:row r="8" ht="52" customHeight="1">
      <x:c r="A8" s="30" t="str">
        <x:v>Workbook Sheets</x:v>
      </x:c>
      <x:c r="B8" s="35" t="str">
        <x:v>README, Data, Exceptions, Dashboard</x:v>
      </x:c>
    </x:row>
    <x:row r="9" ht="52" customHeight="1">
      <x:c r="A9" s="30" t="str">
        <x:v>Interview Talking Points</x:v>
      </x:c>
      <x:c r="B9" s="35" t="str">
        <x:v>Show how vendor master cleanup improves AP controls and audit readiness.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2" hidden="0" customWidth="1"/>
    <x:col min="7" max="7" width="14" hidden="0" customWidth="1"/>
    <x:col min="8" max="8" width="15" hidden="0" customWidth="1"/>
    <x:col min="9" max="9" width="18" hidden="0" customWidth="1"/>
    <x:col min="10" max="10" width="12" hidden="0" customWidth="1"/>
    <x:col min="11" max="11" width="12" hidden="0" customWidth="1"/>
    <x:col min="12" max="12" width="34" hidden="0" customWidth="1"/>
  </x:cols>
  <x:sheetData>
    <x:row r="1" ht="30" customHeight="1">
      <x:c r="A1" s="38" t="str">
        <x:v>Vendor_ID</x:v>
      </x:c>
      <x:c r="B1" s="39" t="str">
        <x:v>Vendor_Name</x:v>
      </x:c>
      <x:c r="C1" s="39" t="str">
        <x:v>Normalized_Name</x:v>
      </x:c>
      <x:c r="D1" s="39" t="str">
        <x:v>Tax_ID</x:v>
      </x:c>
      <x:c r="E1" s="39" t="str">
        <x:v>Bank_Info_Status</x:v>
      </x:c>
      <x:c r="F1" s="39" t="str">
        <x:v>Status</x:v>
      </x:c>
      <x:c r="G1" s="39" t="str">
        <x:v>Invoice_Count</x:v>
      </x:c>
      <x:c r="H1" s="39" t="str">
        <x:v>Total_Spend</x:v>
      </x:c>
      <x:c r="I1" s="39" t="str">
        <x:v>Duplicate_Name_Count</x:v>
      </x:c>
      <x:c r="J1" s="39" t="str">
        <x:v>Risk_Score</x:v>
      </x:c>
      <x:c r="K1" s="39" t="str">
        <x:v>Risk_Level</x:v>
      </x:c>
      <x:c r="L1" s="40" t="str">
        <x:v>Recommended_Action</x:v>
      </x:c>
    </x:row>
    <x:row r="2">
      <x:c r="A2" s="47" t="str">
        <x:v>VEN-0001</x:v>
      </x:c>
      <x:c r="B2" s="48" t="str">
        <x:v>Urban Trading 1</x:v>
      </x:c>
      <x:c r="C2" s="48" t="str">
        <x:f>UPPER(SUBSTITUTE(SUBSTITUTE(SUBSTITUTE(B2," INC.","")," LTD","")," INCORPORATED",""))</x:f>
        <x:v>URBAN TRADING 1</x:v>
      </x:c>
      <x:c r="D2" s="48" t="str">
        <x:v>389492725RT0001</x:v>
      </x:c>
      <x:c r="E2" s="48" t="str">
        <x:v>Verified</x:v>
      </x:c>
      <x:c r="F2" s="48" t="str">
        <x:v>Active</x:v>
      </x:c>
      <x:c r="G2" s="48" t="n">
        <x:v>24</x:v>
      </x:c>
      <x:c r="H2" s="68" t="n">
        <x:v>152606.71</x:v>
      </x:c>
      <x:c r="I2" s="48" t="n">
        <x:f>COUNTIF($C:$C,C2)</x:f>
        <x:v>1</x:v>
      </x:c>
      <x:c r="J2" s="48" t="n">
        <x:f>IF(I2&gt;1,30,0)+IF(D2="",25,0)+IF(E2&lt;&gt;"Verified",25,0)+IF(AND(F2="Inactive",G2&gt;0),20,0)+IF(H2&gt;100000,10,0)</x:f>
        <x:v>10</x:v>
      </x:c>
      <x:c r="K2" s="48" t="str">
        <x:f>IF(J2&gt;=60,"High",IF(J2&gt;=30,"Medium","Low"))</x:f>
        <x:v>Low</x:v>
      </x:c>
      <x:c r="L2" s="49" t="str">
        <x:f>IF(K2="High","Block/update vendor before payment",IF(K2="Medium","Request vendor data update","No action"))</x:f>
        <x:v>No action</x:v>
      </x:c>
    </x:row>
    <x:row r="3">
      <x:c r="A3" s="47" t="str">
        <x:v>VEN-0002</x:v>
      </x:c>
      <x:c r="B3" s="48" t="str">
        <x:v>Maple Trading 2</x:v>
      </x:c>
      <x:c r="C3" s="48" t="str">
        <x:f>UPPER(SUBSTITUTE(SUBSTITUTE(SUBSTITUTE(B3," INC.","")," LTD","")," INCORPORATED",""))</x:f>
        <x:v>MAPLE TRADING 2</x:v>
      </x:c>
      <x:c r="D3" s="48" t="str">
        <x:v>550284108RT0001</x:v>
      </x:c>
      <x:c r="E3" s="48" t="str">
        <x:v>Verified</x:v>
      </x:c>
      <x:c r="F3" s="48" t="str">
        <x:v>Active</x:v>
      </x:c>
      <x:c r="G3" s="48" t="n">
        <x:v>2</x:v>
      </x:c>
      <x:c r="H3" s="68" t="n">
        <x:v>136057.55</x:v>
      </x:c>
      <x:c r="I3" s="48" t="n">
        <x:f>COUNTIF($C:$C,C3)</x:f>
        <x:v>1</x:v>
      </x:c>
      <x:c r="J3" s="48" t="n">
        <x:f>IF(I3&gt;1,30,0)+IF(D3="",25,0)+IF(E3&lt;&gt;"Verified",25,0)+IF(AND(F3="Inactive",G3&gt;0),20,0)+IF(H3&gt;100000,10,0)</x:f>
        <x:v>10</x:v>
      </x:c>
      <x:c r="K3" s="48" t="str">
        <x:f>IF(J3&gt;=60,"High",IF(J3&gt;=30,"Medium","Low"))</x:f>
        <x:v>Low</x:v>
      </x:c>
      <x:c r="L3" s="49" t="str">
        <x:f>IF(K3="High","Block/update vendor before payment",IF(K3="Medium","Request vendor data update","No action"))</x:f>
        <x:v>No action</x:v>
      </x:c>
    </x:row>
    <x:row r="4">
      <x:c r="A4" s="47" t="str">
        <x:v>VEN-0003</x:v>
      </x:c>
      <x:c r="B4" s="48" t="str">
        <x:v>Pacific Supply 3</x:v>
      </x:c>
      <x:c r="C4" s="48" t="str">
        <x:f>UPPER(SUBSTITUTE(SUBSTITUTE(SUBSTITUTE(B4," INC.","")," LTD","")," INCORPORATED",""))</x:f>
        <x:v>PACIFIC SUPPLY 3</x:v>
      </x:c>
      <x:c r="D4" s="48" t="str">
        <x:v>477206506RT0001</x:v>
      </x:c>
      <x:c r="E4" s="48" t="str">
        <x:v>Verified</x:v>
      </x:c>
      <x:c r="F4" s="48" t="str">
        <x:v>Active</x:v>
      </x:c>
      <x:c r="G4" s="48" t="n">
        <x:v>24</x:v>
      </x:c>
      <x:c r="H4" s="68" t="n">
        <x:v>158862.11</x:v>
      </x:c>
      <x:c r="I4" s="48" t="n">
        <x:f>COUNTIF($C:$C,C4)</x:f>
        <x:v>1</x:v>
      </x:c>
      <x:c r="J4" s="48" t="n">
        <x:f>IF(I4&gt;1,30,0)+IF(D4="",25,0)+IF(E4&lt;&gt;"Verified",25,0)+IF(AND(F4="Inactive",G4&gt;0),20,0)+IF(H4&gt;100000,10,0)</x:f>
        <x:v>10</x:v>
      </x:c>
      <x:c r="K4" s="48" t="str">
        <x:f>IF(J4&gt;=60,"High",IF(J4&gt;=30,"Medium","Low"))</x:f>
        <x:v>Low</x:v>
      </x:c>
      <x:c r="L4" s="49" t="str">
        <x:f>IF(K4="High","Block/update vendor before payment",IF(K4="Medium","Request vendor data update","No action"))</x:f>
        <x:v>No action</x:v>
      </x:c>
    </x:row>
    <x:row r="5">
      <x:c r="A5" s="47" t="str">
        <x:v>VEN-0004</x:v>
      </x:c>
      <x:c r="B5" s="48" t="str">
        <x:v>Metro Trading Ltd</x:v>
      </x:c>
      <x:c r="C5" s="48" t="str">
        <x:f>UPPER(SUBSTITUTE(SUBSTITUTE(SUBSTITUTE(B5," INC.","")," LTD","")," INCORPORATED",""))</x:f>
        <x:v>METRO TRADING LTD</x:v>
      </x:c>
      <x:c r="D5" s="48" t="str">
        <x:v>668671207RT0001</x:v>
      </x:c>
      <x:c r="E5" s="48" t="str">
        <x:v>Verified</x:v>
      </x:c>
      <x:c r="F5" s="48" t="str">
        <x:v>Active</x:v>
      </x:c>
      <x:c r="G5" s="48" t="n">
        <x:v>18</x:v>
      </x:c>
      <x:c r="H5" s="68" t="n">
        <x:v>117542.39</x:v>
      </x:c>
      <x:c r="I5" s="48" t="n">
        <x:f>COUNTIF($C:$C,C5)</x:f>
        <x:v>1</x:v>
      </x:c>
      <x:c r="J5" s="48" t="n">
        <x:f>IF(I5&gt;1,30,0)+IF(D5="",25,0)+IF(E5&lt;&gt;"Verified",25,0)+IF(AND(F5="Inactive",G5&gt;0),20,0)+IF(H5&gt;100000,10,0)</x:f>
        <x:v>10</x:v>
      </x:c>
      <x:c r="K5" s="48" t="str">
        <x:f>IF(J5&gt;=60,"High",IF(J5&gt;=30,"Medium","Low"))</x:f>
        <x:v>Low</x:v>
      </x:c>
      <x:c r="L5" s="49" t="str">
        <x:f>IF(K5="High","Block/update vendor before payment",IF(K5="Medium","Request vendor data update","No action"))</x:f>
        <x:v>No action</x:v>
      </x:c>
    </x:row>
    <x:row r="6">
      <x:c r="A6" s="47" t="str">
        <x:v>VEN-0005</x:v>
      </x:c>
      <x:c r="B6" s="48" t="str">
        <x:v>Global Supply 5</x:v>
      </x:c>
      <x:c r="C6" s="48" t="str">
        <x:f>UPPER(SUBSTITUTE(SUBSTITUTE(SUBSTITUTE(B6," INC.","")," LTD","")," INCORPORATED",""))</x:f>
        <x:v>GLOBAL SUPPLY 5</x:v>
      </x:c>
      <x:c r="D6" s="48" t="str">
        <x:v>192092292RT0001</x:v>
      </x:c>
      <x:c r="E6" s="48" t="str">
        <x:v>Verified</x:v>
      </x:c>
      <x:c r="F6" s="48" t="str">
        <x:v>Inactive</x:v>
      </x:c>
      <x:c r="G6" s="48" t="n">
        <x:v>12</x:v>
      </x:c>
      <x:c r="H6" s="68" t="n">
        <x:v>151017.47</x:v>
      </x:c>
      <x:c r="I6" s="48" t="n">
        <x:f>COUNTIF($C:$C,C6)</x:f>
        <x:v>1</x:v>
      </x:c>
      <x:c r="J6" s="48" t="n">
        <x:f>IF(I6&gt;1,30,0)+IF(D6="",25,0)+IF(E6&lt;&gt;"Verified",25,0)+IF(AND(F6="Inactive",G6&gt;0),20,0)+IF(H6&gt;100000,10,0)</x:f>
        <x:v>30</x:v>
      </x:c>
      <x:c r="K6" s="48" t="str">
        <x:f>IF(J6&gt;=60,"High",IF(J6&gt;=30,"Medium","Low"))</x:f>
        <x:v>Medium</x:v>
      </x:c>
      <x:c r="L6" s="49" t="str">
        <x:f>IF(K6="High","Block/update vendor before payment",IF(K6="Medium","Request vendor data update","No action"))</x:f>
        <x:v>Request vendor data update</x:v>
      </x:c>
    </x:row>
    <x:row r="7">
      <x:c r="A7" s="47" t="str">
        <x:v>VEN-0006</x:v>
      </x:c>
      <x:c r="B7" s="48" t="str">
        <x:v>Global Trading</x:v>
      </x:c>
      <x:c r="C7" s="48" t="str">
        <x:f>UPPER(SUBSTITUTE(SUBSTITUTE(SUBSTITUTE(B7," INC.","")," LTD","")," INCORPORATED",""))</x:f>
        <x:v>GLOBAL TRADING</x:v>
      </x:c>
      <x:c r="D7" s="48" t="str">
        <x:v>981300586RT0001</x:v>
      </x:c>
      <x:c r="E7" s="48" t="str">
        <x:v>Verified</x:v>
      </x:c>
      <x:c r="F7" s="48" t="str">
        <x:v>Active</x:v>
      </x:c>
      <x:c r="G7" s="48" t="n">
        <x:v>37</x:v>
      </x:c>
      <x:c r="H7" s="68" t="n">
        <x:v>124383.22</x:v>
      </x:c>
      <x:c r="I7" s="48" t="n">
        <x:f>COUNTIF($C:$C,C7)</x:f>
        <x:v>1</x:v>
      </x:c>
      <x:c r="J7" s="48" t="n">
        <x:f>IF(I7&gt;1,30,0)+IF(D7="",25,0)+IF(E7&lt;&gt;"Verified",25,0)+IF(AND(F7="Inactive",G7&gt;0),20,0)+IF(H7&gt;100000,10,0)</x:f>
        <x:v>10</x:v>
      </x:c>
      <x:c r="K7" s="48" t="str">
        <x:f>IF(J7&gt;=60,"High",IF(J7&gt;=30,"Medium","Low"))</x:f>
        <x:v>Low</x:v>
      </x:c>
      <x:c r="L7" s="49" t="str">
        <x:f>IF(K7="High","Block/update vendor before payment",IF(K7="Medium","Request vendor data update","No action"))</x:f>
        <x:v>No action</x:v>
      </x:c>
    </x:row>
    <x:row r="8">
      <x:c r="A8" s="47" t="str">
        <x:v>VEN-0007</x:v>
      </x:c>
      <x:c r="B8" s="48" t="str">
        <x:v>Urban Supply 7</x:v>
      </x:c>
      <x:c r="C8" s="48" t="str">
        <x:f>UPPER(SUBSTITUTE(SUBSTITUTE(SUBSTITUTE(B8," INC.","")," LTD","")," INCORPORATED",""))</x:f>
        <x:v>URBAN SUPPLY 7</x:v>
      </x:c>
      <x:c r="D8" s="48" t="str">
        <x:v>313515055RT0001</x:v>
      </x:c>
      <x:c r="E8" s="48" t="str">
        <x:v>Verified</x:v>
      </x:c>
      <x:c r="F8" s="48" t="str">
        <x:v>Active</x:v>
      </x:c>
      <x:c r="G8" s="48" t="n">
        <x:v>10</x:v>
      </x:c>
      <x:c r="H8" s="68" t="n">
        <x:v>155878.07</x:v>
      </x:c>
      <x:c r="I8" s="48" t="n">
        <x:f>COUNTIF($C:$C,C8)</x:f>
        <x:v>1</x:v>
      </x:c>
      <x:c r="J8" s="48" t="n">
        <x:f>IF(I8&gt;1,30,0)+IF(D8="",25,0)+IF(E8&lt;&gt;"Verified",25,0)+IF(AND(F8="Inactive",G8&gt;0),20,0)+IF(H8&gt;100000,10,0)</x:f>
        <x:v>10</x:v>
      </x:c>
      <x:c r="K8" s="48" t="str">
        <x:f>IF(J8&gt;=60,"High",IF(J8&gt;=30,"Medium","Low"))</x:f>
        <x:v>Low</x:v>
      </x:c>
      <x:c r="L8" s="49" t="str">
        <x:f>IF(K8="High","Block/update vendor before payment",IF(K8="Medium","Request vendor data update","No action"))</x:f>
        <x:v>No action</x:v>
      </x:c>
    </x:row>
    <x:row r="9">
      <x:c r="A9" s="47" t="str">
        <x:v>VEN-0008</x:v>
      </x:c>
      <x:c r="B9" s="48" t="str">
        <x:v>Prime Supply 8</x:v>
      </x:c>
      <x:c r="C9" s="48" t="str">
        <x:f>UPPER(SUBSTITUTE(SUBSTITUTE(SUBSTITUTE(B9," INC.","")," LTD","")," INCORPORATED",""))</x:f>
        <x:v>PRIME SUPPLY 8</x:v>
      </x:c>
      <x:c r="D9" s="48" t="str">
        <x:v>910130413RT0001</x:v>
      </x:c>
      <x:c r="E9" s="48" t="str">
        <x:v>Verified</x:v>
      </x:c>
      <x:c r="F9" s="48" t="str">
        <x:v>Active</x:v>
      </x:c>
      <x:c r="G9" s="48" t="n">
        <x:v>19</x:v>
      </x:c>
      <x:c r="H9" s="68" t="n">
        <x:v>94839.61</x:v>
      </x:c>
      <x:c r="I9" s="48" t="n">
        <x:f>COUNTIF($C:$C,C9)</x:f>
        <x:v>1</x:v>
      </x:c>
      <x:c r="J9" s="48" t="n">
        <x:f>IF(I9&gt;1,30,0)+IF(D9="",25,0)+IF(E9&lt;&gt;"Verified",25,0)+IF(AND(F9="Inactive",G9&gt;0),20,0)+IF(H9&gt;100000,10,0)</x:f>
        <x:v>0</x:v>
      </x:c>
      <x:c r="K9" s="48" t="str">
        <x:f>IF(J9&gt;=60,"High",IF(J9&gt;=30,"Medium","Low"))</x:f>
        <x:v>Low</x:v>
      </x:c>
      <x:c r="L9" s="49" t="str">
        <x:f>IF(K9="High","Block/update vendor before payment",IF(K9="Medium","Request vendor data update","No action"))</x:f>
        <x:v>No action</x:v>
      </x:c>
    </x:row>
    <x:row r="10">
      <x:c r="A10" s="47" t="str">
        <x:v>VEN-0009</x:v>
      </x:c>
      <x:c r="B10" s="48" t="str">
        <x:v>Global Services 9</x:v>
      </x:c>
      <x:c r="C10" s="48" t="str">
        <x:f>UPPER(SUBSTITUTE(SUBSTITUTE(SUBSTITUTE(B10," INC.","")," LTD","")," INCORPORATED",""))</x:f>
        <x:v>GLOBAL SERVICES 9</x:v>
      </x:c>
      <x:c r="D10" s="48" t="str">
        <x:v>848399873RT0001</x:v>
      </x:c>
      <x:c r="E10" s="48" t="str">
        <x:v>Verified</x:v>
      </x:c>
      <x:c r="F10" s="48" t="str">
        <x:v>Inactive</x:v>
      </x:c>
      <x:c r="G10" s="48" t="n">
        <x:v>24</x:v>
      </x:c>
      <x:c r="H10" s="68" t="n">
        <x:v>26836.2</x:v>
      </x:c>
      <x:c r="I10" s="48" t="n">
        <x:f>COUNTIF($C:$C,C10)</x:f>
        <x:v>1</x:v>
      </x:c>
      <x:c r="J10" s="48" t="n">
        <x:f>IF(I10&gt;1,30,0)+IF(D10="",25,0)+IF(E10&lt;&gt;"Verified",25,0)+IF(AND(F10="Inactive",G10&gt;0),20,0)+IF(H10&gt;100000,10,0)</x:f>
        <x:v>20</x:v>
      </x:c>
      <x:c r="K10" s="48" t="str">
        <x:f>IF(J10&gt;=60,"High",IF(J10&gt;=30,"Medium","Low"))</x:f>
        <x:v>Low</x:v>
      </x:c>
      <x:c r="L10" s="49" t="str">
        <x:f>IF(K10="High","Block/update vendor before payment",IF(K10="Medium","Request vendor data update","No action"))</x:f>
        <x:v>No action</x:v>
      </x:c>
    </x:row>
    <x:row r="11">
      <x:c r="A11" s="47" t="str">
        <x:v>VEN-0010</x:v>
      </x:c>
      <x:c r="B11" s="48" t="str">
        <x:v>Maple Supply 10</x:v>
      </x:c>
      <x:c r="C11" s="48" t="str">
        <x:f>UPPER(SUBSTITUTE(SUBSTITUTE(SUBSTITUTE(B11," INC.","")," LTD","")," INCORPORATED",""))</x:f>
        <x:v>MAPLE SUPPLY 10</x:v>
      </x:c>
      <x:c r="D11" s="48" t="str">
        <x:v>567954986RT0001</x:v>
      </x:c>
      <x:c r="E11" s="48" t="str">
        <x:v>Verified</x:v>
      </x:c>
      <x:c r="F11" s="48" t="str">
        <x:v>Inactive</x:v>
      </x:c>
      <x:c r="G11" s="48" t="n">
        <x:v>22</x:v>
      </x:c>
      <x:c r="H11" s="68" t="n">
        <x:v>132103.2</x:v>
      </x:c>
      <x:c r="I11" s="48" t="n">
        <x:f>COUNTIF($C:$C,C11)</x:f>
        <x:v>1</x:v>
      </x:c>
      <x:c r="J11" s="48" t="n">
        <x:f>IF(I11&gt;1,30,0)+IF(D11="",25,0)+IF(E11&lt;&gt;"Verified",25,0)+IF(AND(F11="Inactive",G11&gt;0),20,0)+IF(H11&gt;100000,10,0)</x:f>
        <x:v>30</x:v>
      </x:c>
      <x:c r="K11" s="48" t="str">
        <x:f>IF(J11&gt;=60,"High",IF(J11&gt;=30,"Medium","Low"))</x:f>
        <x:v>Medium</x:v>
      </x:c>
      <x:c r="L11" s="49" t="str">
        <x:f>IF(K11="High","Block/update vendor before payment",IF(K11="Medium","Request vendor data update","No action"))</x:f>
        <x:v>Request vendor data update</x:v>
      </x:c>
    </x:row>
    <x:row r="12">
      <x:c r="A12" s="47" t="str">
        <x:v>VEN-0011</x:v>
      </x:c>
      <x:c r="B12" s="48" t="str">
        <x:v>Maple Supply 11</x:v>
      </x:c>
      <x:c r="C12" s="48" t="str">
        <x:f>UPPER(SUBSTITUTE(SUBSTITUTE(SUBSTITUTE(B12," INC.","")," LTD","")," INCORPORATED",""))</x:f>
        <x:v>MAPLE SUPPLY 11</x:v>
      </x:c>
      <x:c r="D12" s="48" t="str">
        <x:v>720553703RT0001</x:v>
      </x:c>
      <x:c r="E12" s="48" t="str">
        <x:v>Verified</x:v>
      </x:c>
      <x:c r="F12" s="48" t="str">
        <x:v>Active</x:v>
      </x:c>
      <x:c r="G12" s="48" t="n">
        <x:v>13</x:v>
      </x:c>
      <x:c r="H12" s="68" t="n">
        <x:v>64234.43</x:v>
      </x:c>
      <x:c r="I12" s="48" t="n">
        <x:f>COUNTIF($C:$C,C12)</x:f>
        <x:v>1</x:v>
      </x:c>
      <x:c r="J12" s="48" t="n">
        <x:f>IF(I12&gt;1,30,0)+IF(D12="",25,0)+IF(E12&lt;&gt;"Verified",25,0)+IF(AND(F12="Inactive",G12&gt;0),20,0)+IF(H12&gt;100000,10,0)</x:f>
        <x:v>0</x:v>
      </x:c>
      <x:c r="K12" s="48" t="str">
        <x:f>IF(J12&gt;=60,"High",IF(J12&gt;=30,"Medium","Low"))</x:f>
        <x:v>Low</x:v>
      </x:c>
      <x:c r="L12" s="49" t="str">
        <x:f>IF(K12="High","Block/update vendor before payment",IF(K12="Medium","Request vendor data update","No action"))</x:f>
        <x:v>No action</x:v>
      </x:c>
    </x:row>
    <x:row r="13">
      <x:c r="A13" s="47" t="str">
        <x:v>VEN-0012</x:v>
      </x:c>
      <x:c r="B13" s="48" t="str">
        <x:v>Urban Services 12</x:v>
      </x:c>
      <x:c r="C13" s="48" t="str">
        <x:f>UPPER(SUBSTITUTE(SUBSTITUTE(SUBSTITUTE(B13," INC.","")," LTD","")," INCORPORATED",""))</x:f>
        <x:v>URBAN SERVICES 12</x:v>
      </x:c>
      <x:c r="D13" s="48" t="str">
        <x:v>776362517RT0001</x:v>
      </x:c>
      <x:c r="E13" s="48" t="str">
        <x:v>Outdated</x:v>
      </x:c>
      <x:c r="F13" s="48" t="str">
        <x:v>Inactive</x:v>
      </x:c>
      <x:c r="G13" s="48" t="n">
        <x:v>7</x:v>
      </x:c>
      <x:c r="H13" s="68" t="n">
        <x:v>13929.26</x:v>
      </x:c>
      <x:c r="I13" s="48" t="n">
        <x:f>COUNTIF($C:$C,C13)</x:f>
        <x:v>1</x:v>
      </x:c>
      <x:c r="J13" s="48" t="n">
        <x:f>IF(I13&gt;1,30,0)+IF(D13="",25,0)+IF(E13&lt;&gt;"Verified",25,0)+IF(AND(F13="Inactive",G13&gt;0),20,0)+IF(H13&gt;100000,10,0)</x:f>
        <x:v>45</x:v>
      </x:c>
      <x:c r="K13" s="48" t="str">
        <x:f>IF(J13&gt;=60,"High",IF(J13&gt;=30,"Medium","Low"))</x:f>
        <x:v>Medium</x:v>
      </x:c>
      <x:c r="L13" s="49" t="str">
        <x:f>IF(K13="High","Block/update vendor before payment",IF(K13="Medium","Request vendor data update","No action"))</x:f>
        <x:v>Request vendor data update</x:v>
      </x:c>
    </x:row>
    <x:row r="14">
      <x:c r="A14" s="47" t="str">
        <x:v>VEN-0013</x:v>
      </x:c>
      <x:c r="B14" s="48" t="str">
        <x:v>Global Logistics 13</x:v>
      </x:c>
      <x:c r="C14" s="48" t="str">
        <x:f>UPPER(SUBSTITUTE(SUBSTITUTE(SUBSTITUTE(B14," INC.","")," LTD","")," INCORPORATED",""))</x:f>
        <x:v>GLOBAL LOGISTICS 13</x:v>
      </x:c>
      <x:c r="D14" s="48" t="str">
        <x:v>238544215RT0001</x:v>
      </x:c>
      <x:c r="E14" s="48" t="str">
        <x:v>Verified</x:v>
      </x:c>
      <x:c r="F14" s="48" t="str">
        <x:v>Active</x:v>
      </x:c>
      <x:c r="G14" s="48" t="n">
        <x:v>36</x:v>
      </x:c>
      <x:c r="H14" s="68" t="n">
        <x:v>25215.54</x:v>
      </x:c>
      <x:c r="I14" s="48" t="n">
        <x:f>COUNTIF($C:$C,C14)</x:f>
        <x:v>1</x:v>
      </x:c>
      <x:c r="J14" s="48" t="n">
        <x:f>IF(I14&gt;1,30,0)+IF(D14="",25,0)+IF(E14&lt;&gt;"Verified",25,0)+IF(AND(F14="Inactive",G14&gt;0),20,0)+IF(H14&gt;100000,10,0)</x:f>
        <x:v>0</x:v>
      </x:c>
      <x:c r="K14" s="48" t="str">
        <x:f>IF(J14&gt;=60,"High",IF(J14&gt;=30,"Medium","Low"))</x:f>
        <x:v>Low</x:v>
      </x:c>
      <x:c r="L14" s="49" t="str">
        <x:f>IF(K14="High","Block/update vendor before payment",IF(K14="Medium","Request vendor data update","No action"))</x:f>
        <x:v>No action</x:v>
      </x:c>
    </x:row>
    <x:row r="15">
      <x:c r="A15" s="47" t="str">
        <x:v>VEN-0014</x:v>
      </x:c>
      <x:c r="B15" s="48" t="str">
        <x:v>Maple Services 14</x:v>
      </x:c>
      <x:c r="C15" s="48" t="str">
        <x:f>UPPER(SUBSTITUTE(SUBSTITUTE(SUBSTITUTE(B15," INC.","")," LTD","")," INCORPORATED",""))</x:f>
        <x:v>MAPLE SERVICES 14</x:v>
      </x:c>
      <x:c r="D15" s="48" t="str">
        <x:v>911516725RT0001</x:v>
      </x:c>
      <x:c r="E15" s="48" t="str">
        <x:v>Verified</x:v>
      </x:c>
      <x:c r="F15" s="48" t="str">
        <x:v>Active</x:v>
      </x:c>
      <x:c r="G15" s="48" t="n">
        <x:v>15</x:v>
      </x:c>
      <x:c r="H15" s="68" t="n">
        <x:v>47344.52</x:v>
      </x:c>
      <x:c r="I15" s="48" t="n">
        <x:f>COUNTIF($C:$C,C15)</x:f>
        <x:v>1</x:v>
      </x:c>
      <x:c r="J15" s="48" t="n">
        <x:f>IF(I15&gt;1,30,0)+IF(D15="",25,0)+IF(E15&lt;&gt;"Verified",25,0)+IF(AND(F15="Inactive",G15&gt;0),20,0)+IF(H15&gt;100000,10,0)</x:f>
        <x:v>0</x:v>
      </x:c>
      <x:c r="K15" s="48" t="str">
        <x:f>IF(J15&gt;=60,"High",IF(J15&gt;=30,"Medium","Low"))</x:f>
        <x:v>Low</x:v>
      </x:c>
      <x:c r="L15" s="49" t="str">
        <x:f>IF(K15="High","Block/update vendor before payment",IF(K15="Medium","Request vendor data update","No action"))</x:f>
        <x:v>No action</x:v>
      </x:c>
    </x:row>
    <x:row r="16">
      <x:c r="A16" s="47" t="str">
        <x:v>VEN-0015</x:v>
      </x:c>
      <x:c r="B16" s="48" t="str">
        <x:v>Prime Supply 15</x:v>
      </x:c>
      <x:c r="C16" s="48" t="str">
        <x:f>UPPER(SUBSTITUTE(SUBSTITUTE(SUBSTITUTE(B16," INC.","")," LTD","")," INCORPORATED",""))</x:f>
        <x:v>PRIME SUPPLY 15</x:v>
      </x:c>
      <x:c r="D16" s="48" t="str">
        <x:v>100058561RT0001</x:v>
      </x:c>
      <x:c r="E16" s="48" t="str">
        <x:v>Verified</x:v>
      </x:c>
      <x:c r="F16" s="48" t="str">
        <x:v>Active</x:v>
      </x:c>
      <x:c r="G16" s="48" t="n">
        <x:v>25</x:v>
      </x:c>
      <x:c r="H16" s="68" t="n">
        <x:v>105607.21</x:v>
      </x:c>
      <x:c r="I16" s="48" t="n">
        <x:f>COUNTIF($C:$C,C16)</x:f>
        <x:v>1</x:v>
      </x:c>
      <x:c r="J16" s="48" t="n">
        <x:f>IF(I16&gt;1,30,0)+IF(D16="",25,0)+IF(E16&lt;&gt;"Verified",25,0)+IF(AND(F16="Inactive",G16&gt;0),20,0)+IF(H16&gt;100000,10,0)</x:f>
        <x:v>10</x:v>
      </x:c>
      <x:c r="K16" s="48" t="str">
        <x:f>IF(J16&gt;=60,"High",IF(J16&gt;=30,"Medium","Low"))</x:f>
        <x:v>Low</x:v>
      </x:c>
      <x:c r="L16" s="49" t="str">
        <x:f>IF(K16="High","Block/update vendor before payment",IF(K16="Medium","Request vendor data update","No action"))</x:f>
        <x:v>No action</x:v>
      </x:c>
    </x:row>
    <x:row r="17">
      <x:c r="A17" s="47" t="str">
        <x:v>VEN-0016</x:v>
      </x:c>
      <x:c r="B17" s="48" t="str">
        <x:v>Urban Logistics 16</x:v>
      </x:c>
      <x:c r="C17" s="48" t="str">
        <x:f>UPPER(SUBSTITUTE(SUBSTITUTE(SUBSTITUTE(B17," INC.","")," LTD","")," INCORPORATED",""))</x:f>
        <x:v>URBAN LOGISTICS 16</x:v>
      </x:c>
      <x:c r="D17" s="48" t="str">
        <x:v>174701702RT0001</x:v>
      </x:c>
      <x:c r="E17" s="48" t="str">
        <x:v>Verified</x:v>
      </x:c>
      <x:c r="F17" s="48" t="str">
        <x:v>Active</x:v>
      </x:c>
      <x:c r="G17" s="48" t="n">
        <x:v>21</x:v>
      </x:c>
      <x:c r="H17" s="68" t="n">
        <x:v>123640.31</x:v>
      </x:c>
      <x:c r="I17" s="48" t="n">
        <x:f>COUNTIF($C:$C,C17)</x:f>
        <x:v>1</x:v>
      </x:c>
      <x:c r="J17" s="48" t="n">
        <x:f>IF(I17&gt;1,30,0)+IF(D17="",25,0)+IF(E17&lt;&gt;"Verified",25,0)+IF(AND(F17="Inactive",G17&gt;0),20,0)+IF(H17&gt;100000,10,0)</x:f>
        <x:v>10</x:v>
      </x:c>
      <x:c r="K17" s="48" t="str">
        <x:f>IF(J17&gt;=60,"High",IF(J17&gt;=30,"Medium","Low"))</x:f>
        <x:v>Low</x:v>
      </x:c>
      <x:c r="L17" s="49" t="str">
        <x:f>IF(K17="High","Block/update vendor before payment",IF(K17="Medium","Request vendor data update","No action"))</x:f>
        <x:v>No action</x:v>
      </x:c>
    </x:row>
    <x:row r="18">
      <x:c r="A18" s="47" t="str">
        <x:v>VEN-0017</x:v>
      </x:c>
      <x:c r="B18" s="48" t="str">
        <x:v>Urban Trading Ltd</x:v>
      </x:c>
      <x:c r="C18" s="48" t="str">
        <x:f>UPPER(SUBSTITUTE(SUBSTITUTE(SUBSTITUTE(B18," INC.","")," LTD","")," INCORPORATED",""))</x:f>
        <x:v>URBAN TRADING LTD</x:v>
      </x:c>
      <x:c r="D18" s="48" t="str">
        <x:v>376400931RT0001</x:v>
      </x:c>
      <x:c r="E18" s="48" t="str">
        <x:v>Verified</x:v>
      </x:c>
      <x:c r="F18" s="48" t="str">
        <x:v>Active</x:v>
      </x:c>
      <x:c r="G18" s="48" t="n">
        <x:v>39</x:v>
      </x:c>
      <x:c r="H18" s="68" t="n">
        <x:v>50278.17</x:v>
      </x:c>
      <x:c r="I18" s="48" t="n">
        <x:f>COUNTIF($C:$C,C18)</x:f>
        <x:v>1</x:v>
      </x:c>
      <x:c r="J18" s="48" t="n">
        <x:f>IF(I18&gt;1,30,0)+IF(D18="",25,0)+IF(E18&lt;&gt;"Verified",25,0)+IF(AND(F18="Inactive",G18&gt;0),20,0)+IF(H18&gt;100000,10,0)</x:f>
        <x:v>0</x:v>
      </x:c>
      <x:c r="K18" s="48" t="str">
        <x:f>IF(J18&gt;=60,"High",IF(J18&gt;=30,"Medium","Low"))</x:f>
        <x:v>Low</x:v>
      </x:c>
      <x:c r="L18" s="49" t="str">
        <x:f>IF(K18="High","Block/update vendor before payment",IF(K18="Medium","Request vendor data update","No action"))</x:f>
        <x:v>No action</x:v>
      </x:c>
    </x:row>
    <x:row r="19">
      <x:c r="A19" s="47" t="str">
        <x:v>VEN-0018</x:v>
      </x:c>
      <x:c r="B19" s="48" t="str">
        <x:v>Urban Supply 18</x:v>
      </x:c>
      <x:c r="C19" s="48" t="str">
        <x:f>UPPER(SUBSTITUTE(SUBSTITUTE(SUBSTITUTE(B19," INC.","")," LTD","")," INCORPORATED",""))</x:f>
        <x:v>URBAN SUPPLY 18</x:v>
      </x:c>
      <x:c r="D19" s="48" t="str">
        <x:v>374999763RT0001</x:v>
      </x:c>
      <x:c r="E19" s="48" t="str">
        <x:v>Verified</x:v>
      </x:c>
      <x:c r="F19" s="48" t="str">
        <x:v>Inactive</x:v>
      </x:c>
      <x:c r="G19" s="48" t="n">
        <x:v>5</x:v>
      </x:c>
      <x:c r="H19" s="68" t="n">
        <x:v>177448.5</x:v>
      </x:c>
      <x:c r="I19" s="48" t="n">
        <x:f>COUNTIF($C:$C,C19)</x:f>
        <x:v>1</x:v>
      </x:c>
      <x:c r="J19" s="48" t="n">
        <x:f>IF(I19&gt;1,30,0)+IF(D19="",25,0)+IF(E19&lt;&gt;"Verified",25,0)+IF(AND(F19="Inactive",G19&gt;0),20,0)+IF(H19&gt;100000,10,0)</x:f>
        <x:v>30</x:v>
      </x:c>
      <x:c r="K19" s="48" t="str">
        <x:f>IF(J19&gt;=60,"High",IF(J19&gt;=30,"Medium","Low"))</x:f>
        <x:v>Medium</x:v>
      </x:c>
      <x:c r="L19" s="49" t="str">
        <x:f>IF(K19="High","Block/update vendor before payment",IF(K19="Medium","Request vendor data update","No action"))</x:f>
        <x:v>Request vendor data update</x:v>
      </x:c>
    </x:row>
    <x:row r="20">
      <x:c r="A20" s="47" t="str">
        <x:v>VEN-0019</x:v>
      </x:c>
      <x:c r="B20" s="48" t="str">
        <x:v>Prime Supply 19</x:v>
      </x:c>
      <x:c r="C20" s="48" t="str">
        <x:f>UPPER(SUBSTITUTE(SUBSTITUTE(SUBSTITUTE(B20," INC.","")," LTD","")," INCORPORATED",""))</x:f>
        <x:v>PRIME SUPPLY 19</x:v>
      </x:c>
      <x:c r="D20" s="48" t="str">
        <x:v>480286531RT0001</x:v>
      </x:c>
      <x:c r="E20" s="48" t="str">
        <x:v>Verified</x:v>
      </x:c>
      <x:c r="F20" s="48" t="str">
        <x:v>Active</x:v>
      </x:c>
      <x:c r="G20" s="48" t="n">
        <x:v>23</x:v>
      </x:c>
      <x:c r="H20" s="68" t="n">
        <x:v>47429.57</x:v>
      </x:c>
      <x:c r="I20" s="48" t="n">
        <x:f>COUNTIF($C:$C,C20)</x:f>
        <x:v>1</x:v>
      </x:c>
      <x:c r="J20" s="48" t="n">
        <x:f>IF(I20&gt;1,30,0)+IF(D20="",25,0)+IF(E20&lt;&gt;"Verified",25,0)+IF(AND(F20="Inactive",G20&gt;0),20,0)+IF(H20&gt;100000,10,0)</x:f>
        <x:v>0</x:v>
      </x:c>
      <x:c r="K20" s="48" t="str">
        <x:f>IF(J20&gt;=60,"High",IF(J20&gt;=30,"Medium","Low"))</x:f>
        <x:v>Low</x:v>
      </x:c>
      <x:c r="L20" s="49" t="str">
        <x:f>IF(K20="High","Block/update vendor before payment",IF(K20="Medium","Request vendor data update","No action"))</x:f>
        <x:v>No action</x:v>
      </x:c>
    </x:row>
    <x:row r="21">
      <x:c r="A21" s="47" t="str">
        <x:v>VEN-0020</x:v>
      </x:c>
      <x:c r="B21" s="48" t="str">
        <x:v>Prime Services 20</x:v>
      </x:c>
      <x:c r="C21" s="48" t="str">
        <x:f>UPPER(SUBSTITUTE(SUBSTITUTE(SUBSTITUTE(B21," INC.","")," LTD","")," INCORPORATED",""))</x:f>
        <x:v>PRIME SERVICES 20</x:v>
      </x:c>
      <x:c r="D21" s="48" t="str">
        <x:v>110568387RT0001</x:v>
      </x:c>
      <x:c r="E21" s="48" t="str">
        <x:v>Verified</x:v>
      </x:c>
      <x:c r="F21" s="48" t="str">
        <x:v>Active</x:v>
      </x:c>
      <x:c r="G21" s="48" t="n">
        <x:v>23</x:v>
      </x:c>
      <x:c r="H21" s="68" t="n">
        <x:v>60170.7</x:v>
      </x:c>
      <x:c r="I21" s="48" t="n">
        <x:f>COUNTIF($C:$C,C21)</x:f>
        <x:v>1</x:v>
      </x:c>
      <x:c r="J21" s="48" t="n">
        <x:f>IF(I21&gt;1,30,0)+IF(D21="",25,0)+IF(E21&lt;&gt;"Verified",25,0)+IF(AND(F21="Inactive",G21&gt;0),20,0)+IF(H21&gt;100000,10,0)</x:f>
        <x:v>0</x:v>
      </x:c>
      <x:c r="K21" s="48" t="str">
        <x:f>IF(J21&gt;=60,"High",IF(J21&gt;=30,"Medium","Low"))</x:f>
        <x:v>Low</x:v>
      </x:c>
      <x:c r="L21" s="49" t="str">
        <x:f>IF(K21="High","Block/update vendor before payment",IF(K21="Medium","Request vendor data update","No action"))</x:f>
        <x:v>No action</x:v>
      </x:c>
    </x:row>
    <x:row r="22">
      <x:c r="A22" s="47" t="str">
        <x:v>VEN-0021</x:v>
      </x:c>
      <x:c r="B22" s="48" t="str">
        <x:v>Pacific Logistics 21</x:v>
      </x:c>
      <x:c r="C22" s="48" t="str">
        <x:f>UPPER(SUBSTITUTE(SUBSTITUTE(SUBSTITUTE(B22," INC.","")," LTD","")," INCORPORATED",""))</x:f>
        <x:v>PACIFIC LOGISTICS 21</x:v>
      </x:c>
      <x:c r="D22" s="48" t="str">
        <x:v>319819769RT0001</x:v>
      </x:c>
      <x:c r="E22" s="48" t="str">
        <x:v>Outdated</x:v>
      </x:c>
      <x:c r="F22" s="48" t="str">
        <x:v>Active</x:v>
      </x:c>
      <x:c r="G22" s="48" t="n">
        <x:v>34</x:v>
      </x:c>
      <x:c r="H22" s="68" t="n">
        <x:v>13084.44</x:v>
      </x:c>
      <x:c r="I22" s="48" t="n">
        <x:f>COUNTIF($C:$C,C22)</x:f>
        <x:v>1</x:v>
      </x:c>
      <x:c r="J22" s="48" t="n">
        <x:f>IF(I22&gt;1,30,0)+IF(D22="",25,0)+IF(E22&lt;&gt;"Verified",25,0)+IF(AND(F22="Inactive",G22&gt;0),20,0)+IF(H22&gt;100000,10,0)</x:f>
        <x:v>25</x:v>
      </x:c>
      <x:c r="K22" s="48" t="str">
        <x:f>IF(J22&gt;=60,"High",IF(J22&gt;=30,"Medium","Low"))</x:f>
        <x:v>Low</x:v>
      </x:c>
      <x:c r="L22" s="49" t="str">
        <x:f>IF(K22="High","Block/update vendor before payment",IF(K22="Medium","Request vendor data update","No action"))</x:f>
        <x:v>No action</x:v>
      </x:c>
    </x:row>
    <x:row r="23">
      <x:c r="A23" s="47" t="str">
        <x:v>VEN-0022</x:v>
      </x:c>
      <x:c r="B23" s="48" t="str">
        <x:v>Pacific Trading 22</x:v>
      </x:c>
      <x:c r="C23" s="48" t="str">
        <x:f>UPPER(SUBSTITUTE(SUBSTITUTE(SUBSTITUTE(B23," INC.","")," LTD","")," INCORPORATED",""))</x:f>
        <x:v>PACIFIC TRADING 22</x:v>
      </x:c>
      <x:c r="D23" s="48" t="str">
        <x:v>817957970RT0001</x:v>
      </x:c>
      <x:c r="E23" s="48" t="str">
        <x:v>Verified</x:v>
      </x:c>
      <x:c r="F23" s="48" t="str">
        <x:v>Active</x:v>
      </x:c>
      <x:c r="G23" s="48" t="n">
        <x:v>32</x:v>
      </x:c>
      <x:c r="H23" s="68" t="n">
        <x:v>117617.4</x:v>
      </x:c>
      <x:c r="I23" s="48" t="n">
        <x:f>COUNTIF($C:$C,C23)</x:f>
        <x:v>1</x:v>
      </x:c>
      <x:c r="J23" s="48" t="n">
        <x:f>IF(I23&gt;1,30,0)+IF(D23="",25,0)+IF(E23&lt;&gt;"Verified",25,0)+IF(AND(F23="Inactive",G23&gt;0),20,0)+IF(H23&gt;100000,10,0)</x:f>
        <x:v>10</x:v>
      </x:c>
      <x:c r="K23" s="48" t="str">
        <x:f>IF(J23&gt;=60,"High",IF(J23&gt;=30,"Medium","Low"))</x:f>
        <x:v>Low</x:v>
      </x:c>
      <x:c r="L23" s="49" t="str">
        <x:f>IF(K23="High","Block/update vendor before payment",IF(K23="Medium","Request vendor data update","No action"))</x:f>
        <x:v>No action</x:v>
      </x:c>
    </x:row>
    <x:row r="24">
      <x:c r="A24" s="47" t="str">
        <x:v>VEN-0023</x:v>
      </x:c>
      <x:c r="B24" s="48" t="str">
        <x:v>Urban Supply Incorporated</x:v>
      </x:c>
      <x:c r="C24" s="48" t="str">
        <x:f>UPPER(SUBSTITUTE(SUBSTITUTE(SUBSTITUTE(B24," INC.","")," LTD","")," INCORPORATED",""))</x:f>
        <x:v>URBAN SUPPLY INCORPORATED</x:v>
      </x:c>
      <x:c r="D24" s="48" t="str">
        <x:v>105675613RT0001</x:v>
      </x:c>
      <x:c r="E24" s="48" t="str">
        <x:v>Verified</x:v>
      </x:c>
      <x:c r="F24" s="48" t="str">
        <x:v>Active</x:v>
      </x:c>
      <x:c r="G24" s="48" t="n">
        <x:v>17</x:v>
      </x:c>
      <x:c r="H24" s="68" t="n">
        <x:v>84713.86</x:v>
      </x:c>
      <x:c r="I24" s="48" t="n">
        <x:f>COUNTIF($C:$C,C24)</x:f>
        <x:v>2</x:v>
      </x:c>
      <x:c r="J24" s="48" t="n">
        <x:f>IF(I24&gt;1,30,0)+IF(D24="",25,0)+IF(E24&lt;&gt;"Verified",25,0)+IF(AND(F24="Inactive",G24&gt;0),20,0)+IF(H24&gt;100000,10,0)</x:f>
        <x:v>30</x:v>
      </x:c>
      <x:c r="K24" s="48" t="str">
        <x:f>IF(J24&gt;=60,"High",IF(J24&gt;=30,"Medium","Low"))</x:f>
        <x:v>Medium</x:v>
      </x:c>
      <x:c r="L24" s="49" t="str">
        <x:f>IF(K24="High","Block/update vendor before payment",IF(K24="Medium","Request vendor data update","No action"))</x:f>
        <x:v>Request vendor data update</x:v>
      </x:c>
    </x:row>
    <x:row r="25">
      <x:c r="A25" s="47" t="str">
        <x:v>VEN-0024</x:v>
      </x:c>
      <x:c r="B25" s="48" t="str">
        <x:v>Metro Services 24</x:v>
      </x:c>
      <x:c r="C25" s="48" t="str">
        <x:f>UPPER(SUBSTITUTE(SUBSTITUTE(SUBSTITUTE(B25," INC.","")," LTD","")," INCORPORATED",""))</x:f>
        <x:v>METRO SERVICES 24</x:v>
      </x:c>
      <x:c r="D25" s="48" t="str">
        <x:v>161412939RT0001</x:v>
      </x:c>
      <x:c r="E25" s="48" t="str">
        <x:v>Verified</x:v>
      </x:c>
      <x:c r="F25" s="48" t="str">
        <x:v>Active</x:v>
      </x:c>
      <x:c r="G25" s="48" t="n">
        <x:v>14</x:v>
      </x:c>
      <x:c r="H25" s="68" t="n">
        <x:v>104000.42</x:v>
      </x:c>
      <x:c r="I25" s="48" t="n">
        <x:f>COUNTIF($C:$C,C25)</x:f>
        <x:v>1</x:v>
      </x:c>
      <x:c r="J25" s="48" t="n">
        <x:f>IF(I25&gt;1,30,0)+IF(D25="",25,0)+IF(E25&lt;&gt;"Verified",25,0)+IF(AND(F25="Inactive",G25&gt;0),20,0)+IF(H25&gt;100000,10,0)</x:f>
        <x:v>10</x:v>
      </x:c>
      <x:c r="K25" s="48" t="str">
        <x:f>IF(J25&gt;=60,"High",IF(J25&gt;=30,"Medium","Low"))</x:f>
        <x:v>Low</x:v>
      </x:c>
      <x:c r="L25" s="49" t="str">
        <x:f>IF(K25="High","Block/update vendor before payment",IF(K25="Medium","Request vendor data update","No action"))</x:f>
        <x:v>No action</x:v>
      </x:c>
    </x:row>
    <x:row r="26">
      <x:c r="A26" s="47" t="str">
        <x:v>VEN-0025</x:v>
      </x:c>
      <x:c r="B26" s="48" t="str">
        <x:v>Maple Logistics Incorporated</x:v>
      </x:c>
      <x:c r="C26" s="48" t="str">
        <x:f>UPPER(SUBSTITUTE(SUBSTITUTE(SUBSTITUTE(B26," INC.","")," LTD","")," INCORPORATED",""))</x:f>
        <x:v>MAPLE LOGISTICS INCORPORATED</x:v>
      </x:c>
      <x:c r="D26" s="48" t="str">
        <x:v>888190455RT0001</x:v>
      </x:c>
      <x:c r="E26" s="48" t="str">
        <x:v>Missing</x:v>
      </x:c>
      <x:c r="F26" s="48" t="str">
        <x:v>Active</x:v>
      </x:c>
      <x:c r="G26" s="48" t="n">
        <x:v>8</x:v>
      </x:c>
      <x:c r="H26" s="68" t="n">
        <x:v>169683.7</x:v>
      </x:c>
      <x:c r="I26" s="48" t="n">
        <x:f>COUNTIF($C:$C,C26)</x:f>
        <x:v>1</x:v>
      </x:c>
      <x:c r="J26" s="48" t="n">
        <x:f>IF(I26&gt;1,30,0)+IF(D26="",25,0)+IF(E26&lt;&gt;"Verified",25,0)+IF(AND(F26="Inactive",G26&gt;0),20,0)+IF(H26&gt;100000,10,0)</x:f>
        <x:v>35</x:v>
      </x:c>
      <x:c r="K26" s="48" t="str">
        <x:f>IF(J26&gt;=60,"High",IF(J26&gt;=30,"Medium","Low"))</x:f>
        <x:v>Medium</x:v>
      </x:c>
      <x:c r="L26" s="49" t="str">
        <x:f>IF(K26="High","Block/update vendor before payment",IF(K26="Medium","Request vendor data update","No action"))</x:f>
        <x:v>Request vendor data update</x:v>
      </x:c>
    </x:row>
    <x:row r="27">
      <x:c r="A27" s="47" t="str">
        <x:v>VEN-0026</x:v>
      </x:c>
      <x:c r="B27" s="48" t="str">
        <x:v>Maple Supply 26</x:v>
      </x:c>
      <x:c r="C27" s="48" t="str">
        <x:f>UPPER(SUBSTITUTE(SUBSTITUTE(SUBSTITUTE(B27," INC.","")," LTD","")," INCORPORATED",""))</x:f>
        <x:v>MAPLE SUPPLY 26</x:v>
      </x:c>
      <x:c r="D27" s="48" t="str">
        <x:v>526114018RT0001</x:v>
      </x:c>
      <x:c r="E27" s="48" t="str">
        <x:v>Verified</x:v>
      </x:c>
      <x:c r="F27" s="48" t="str">
        <x:v>Active</x:v>
      </x:c>
      <x:c r="G27" s="48" t="n">
        <x:v>10</x:v>
      </x:c>
      <x:c r="H27" s="68" t="n">
        <x:v>66806.96</x:v>
      </x:c>
      <x:c r="I27" s="48" t="n">
        <x:f>COUNTIF($C:$C,C27)</x:f>
        <x:v>1</x:v>
      </x:c>
      <x:c r="J27" s="48" t="n">
        <x:f>IF(I27&gt;1,30,0)+IF(D27="",25,0)+IF(E27&lt;&gt;"Verified",25,0)+IF(AND(F27="Inactive",G27&gt;0),20,0)+IF(H27&gt;100000,10,0)</x:f>
        <x:v>0</x:v>
      </x:c>
      <x:c r="K27" s="48" t="str">
        <x:f>IF(J27&gt;=60,"High",IF(J27&gt;=30,"Medium","Low"))</x:f>
        <x:v>Low</x:v>
      </x:c>
      <x:c r="L27" s="49" t="str">
        <x:f>IF(K27="High","Block/update vendor before payment",IF(K27="Medium","Request vendor data update","No action"))</x:f>
        <x:v>No action</x:v>
      </x:c>
    </x:row>
    <x:row r="28">
      <x:c r="A28" s="47" t="str">
        <x:v>VEN-0027</x:v>
      </x:c>
      <x:c r="B28" s="48" t="str">
        <x:v>Global Logistics 27</x:v>
      </x:c>
      <x:c r="C28" s="48" t="str">
        <x:f>UPPER(SUBSTITUTE(SUBSTITUTE(SUBSTITUTE(B28," INC.","")," LTD","")," INCORPORATED",""))</x:f>
        <x:v>GLOBAL LOGISTICS 27</x:v>
      </x:c>
      <x:c r="D28" s="48" t="str">
        <x:v>925202954RT0001</x:v>
      </x:c>
      <x:c r="E28" s="48" t="str">
        <x:v>Verified</x:v>
      </x:c>
      <x:c r="F28" s="48" t="str">
        <x:v>Active</x:v>
      </x:c>
      <x:c r="G28" s="48" t="n">
        <x:v>30</x:v>
      </x:c>
      <x:c r="H28" s="68" t="n">
        <x:v>52637.75</x:v>
      </x:c>
      <x:c r="I28" s="48" t="n">
        <x:f>COUNTIF($C:$C,C28)</x:f>
        <x:v>1</x:v>
      </x:c>
      <x:c r="J28" s="48" t="n">
        <x:f>IF(I28&gt;1,30,0)+IF(D28="",25,0)+IF(E28&lt;&gt;"Verified",25,0)+IF(AND(F28="Inactive",G28&gt;0),20,0)+IF(H28&gt;100000,10,0)</x:f>
        <x:v>0</x:v>
      </x:c>
      <x:c r="K28" s="48" t="str">
        <x:f>IF(J28&gt;=60,"High",IF(J28&gt;=30,"Medium","Low"))</x:f>
        <x:v>Low</x:v>
      </x:c>
      <x:c r="L28" s="49" t="str">
        <x:f>IF(K28="High","Block/update vendor before payment",IF(K28="Medium","Request vendor data update","No action"))</x:f>
        <x:v>No action</x:v>
      </x:c>
    </x:row>
    <x:row r="29">
      <x:c r="A29" s="47" t="str">
        <x:v>VEN-0028</x:v>
      </x:c>
      <x:c r="B29" s="48" t="str">
        <x:v>Global Logistics 28</x:v>
      </x:c>
      <x:c r="C29" s="48" t="str">
        <x:f>UPPER(SUBSTITUTE(SUBSTITUTE(SUBSTITUTE(B29," INC.","")," LTD","")," INCORPORATED",""))</x:f>
        <x:v>GLOBAL LOGISTICS 28</x:v>
      </x:c>
      <x:c r="D29" s="48" t="str">
        <x:v>711154822RT0001</x:v>
      </x:c>
      <x:c r="E29" s="48" t="str">
        <x:v>Verified</x:v>
      </x:c>
      <x:c r="F29" s="48" t="str">
        <x:v>Active</x:v>
      </x:c>
      <x:c r="G29" s="48" t="n">
        <x:v>21</x:v>
      </x:c>
      <x:c r="H29" s="68" t="n">
        <x:v>64801.52</x:v>
      </x:c>
      <x:c r="I29" s="48" t="n">
        <x:f>COUNTIF($C:$C,C29)</x:f>
        <x:v>1</x:v>
      </x:c>
      <x:c r="J29" s="48" t="n">
        <x:f>IF(I29&gt;1,30,0)+IF(D29="",25,0)+IF(E29&lt;&gt;"Verified",25,0)+IF(AND(F29="Inactive",G29&gt;0),20,0)+IF(H29&gt;100000,10,0)</x:f>
        <x:v>0</x:v>
      </x:c>
      <x:c r="K29" s="48" t="str">
        <x:f>IF(J29&gt;=60,"High",IF(J29&gt;=30,"Medium","Low"))</x:f>
        <x:v>Low</x:v>
      </x:c>
      <x:c r="L29" s="49" t="str">
        <x:f>IF(K29="High","Block/update vendor before payment",IF(K29="Medium","Request vendor data update","No action"))</x:f>
        <x:v>No action</x:v>
      </x:c>
    </x:row>
    <x:row r="30">
      <x:c r="A30" s="47" t="str">
        <x:v>VEN-0029</x:v>
      </x:c>
      <x:c r="B30" s="48" t="str">
        <x:v>Urban Logistics 29</x:v>
      </x:c>
      <x:c r="C30" s="48" t="str">
        <x:f>UPPER(SUBSTITUTE(SUBSTITUTE(SUBSTITUTE(B30," INC.","")," LTD","")," INCORPORATED",""))</x:f>
        <x:v>URBAN LOGISTICS 29</x:v>
      </x:c>
      <x:c r="D30" s="48" t="str">
        <x:v>844875469RT0001</x:v>
      </x:c>
      <x:c r="E30" s="48" t="str">
        <x:v>Verified</x:v>
      </x:c>
      <x:c r="F30" s="48" t="str">
        <x:v>Active</x:v>
      </x:c>
      <x:c r="G30" s="48" t="n">
        <x:v>14</x:v>
      </x:c>
      <x:c r="H30" s="68" t="n">
        <x:v>105319.89</x:v>
      </x:c>
      <x:c r="I30" s="48" t="n">
        <x:f>COUNTIF($C:$C,C30)</x:f>
        <x:v>1</x:v>
      </x:c>
      <x:c r="J30" s="48" t="n">
        <x:f>IF(I30&gt;1,30,0)+IF(D30="",25,0)+IF(E30&lt;&gt;"Verified",25,0)+IF(AND(F30="Inactive",G30&gt;0),20,0)+IF(H30&gt;100000,10,0)</x:f>
        <x:v>10</x:v>
      </x:c>
      <x:c r="K30" s="48" t="str">
        <x:f>IF(J30&gt;=60,"High",IF(J30&gt;=30,"Medium","Low"))</x:f>
        <x:v>Low</x:v>
      </x:c>
      <x:c r="L30" s="49" t="str">
        <x:f>IF(K30="High","Block/update vendor before payment",IF(K30="Medium","Request vendor data update","No action"))</x:f>
        <x:v>No action</x:v>
      </x:c>
    </x:row>
    <x:row r="31">
      <x:c r="A31" s="47" t="str">
        <x:v>VEN-0030</x:v>
      </x:c>
      <x:c r="B31" s="48" t="str">
        <x:v>Pacific Services 30</x:v>
      </x:c>
      <x:c r="C31" s="48" t="str">
        <x:f>UPPER(SUBSTITUTE(SUBSTITUTE(SUBSTITUTE(B31," INC.","")," LTD","")," INCORPORATED",""))</x:f>
        <x:v>PACIFIC SERVICES 30</x:v>
      </x:c>
      <x:c r="D31" s="48" t="str">
        <x:v>902697834RT0001</x:v>
      </x:c>
      <x:c r="E31" s="48" t="str">
        <x:v>Missing</x:v>
      </x:c>
      <x:c r="F31" s="48" t="str">
        <x:v>Active</x:v>
      </x:c>
      <x:c r="G31" s="48" t="n">
        <x:v>25</x:v>
      </x:c>
      <x:c r="H31" s="68" t="n">
        <x:v>24276.74</x:v>
      </x:c>
      <x:c r="I31" s="48" t="n">
        <x:f>COUNTIF($C:$C,C31)</x:f>
        <x:v>1</x:v>
      </x:c>
      <x:c r="J31" s="48" t="n">
        <x:f>IF(I31&gt;1,30,0)+IF(D31="",25,0)+IF(E31&lt;&gt;"Verified",25,0)+IF(AND(F31="Inactive",G31&gt;0),20,0)+IF(H31&gt;100000,10,0)</x:f>
        <x:v>25</x:v>
      </x:c>
      <x:c r="K31" s="48" t="str">
        <x:f>IF(J31&gt;=60,"High",IF(J31&gt;=30,"Medium","Low"))</x:f>
        <x:v>Low</x:v>
      </x:c>
      <x:c r="L31" s="49" t="str">
        <x:f>IF(K31="High","Block/update vendor before payment",IF(K31="Medium","Request vendor data update","No action"))</x:f>
        <x:v>No action</x:v>
      </x:c>
    </x:row>
    <x:row r="32">
      <x:c r="A32" s="47" t="str">
        <x:v>VEN-0031</x:v>
      </x:c>
      <x:c r="B32" s="48" t="str">
        <x:v>Maple Trading 31</x:v>
      </x:c>
      <x:c r="C32" s="48" t="str">
        <x:f>UPPER(SUBSTITUTE(SUBSTITUTE(SUBSTITUTE(B32," INC.","")," LTD","")," INCORPORATED",""))</x:f>
        <x:v>MAPLE TRADING 31</x:v>
      </x:c>
      <x:c r="D32" s="48" t="str">
        <x:v>424765394RT0001</x:v>
      </x:c>
      <x:c r="E32" s="48" t="str">
        <x:v>Verified</x:v>
      </x:c>
      <x:c r="F32" s="48" t="str">
        <x:v>Active</x:v>
      </x:c>
      <x:c r="G32" s="48" t="n">
        <x:v>14</x:v>
      </x:c>
      <x:c r="H32" s="68" t="n">
        <x:v>20299.59</x:v>
      </x:c>
      <x:c r="I32" s="48" t="n">
        <x:f>COUNTIF($C:$C,C32)</x:f>
        <x:v>1</x:v>
      </x:c>
      <x:c r="J32" s="48" t="n">
        <x:f>IF(I32&gt;1,30,0)+IF(D32="",25,0)+IF(E32&lt;&gt;"Verified",25,0)+IF(AND(F32="Inactive",G32&gt;0),20,0)+IF(H32&gt;100000,10,0)</x:f>
        <x:v>0</x:v>
      </x:c>
      <x:c r="K32" s="48" t="str">
        <x:f>IF(J32&gt;=60,"High",IF(J32&gt;=30,"Medium","Low"))</x:f>
        <x:v>Low</x:v>
      </x:c>
      <x:c r="L32" s="49" t="str">
        <x:f>IF(K32="High","Block/update vendor before payment",IF(K32="Medium","Request vendor data update","No action"))</x:f>
        <x:v>No action</x:v>
      </x:c>
    </x:row>
    <x:row r="33">
      <x:c r="A33" s="47" t="str">
        <x:v>VEN-0032</x:v>
      </x:c>
      <x:c r="B33" s="48" t="str">
        <x:v>Metro Supply 32</x:v>
      </x:c>
      <x:c r="C33" s="48" t="str">
        <x:f>UPPER(SUBSTITUTE(SUBSTITUTE(SUBSTITUTE(B33," INC.","")," LTD","")," INCORPORATED",""))</x:f>
        <x:v>METRO SUPPLY 32</x:v>
      </x:c>
      <x:c r="D33" s="48" t="str">
        <x:v>492150357RT0001</x:v>
      </x:c>
      <x:c r="E33" s="48" t="str">
        <x:v>Verified</x:v>
      </x:c>
      <x:c r="F33" s="48" t="str">
        <x:v>Active</x:v>
      </x:c>
      <x:c r="G33" s="48" t="n">
        <x:v>38</x:v>
      </x:c>
      <x:c r="H33" s="68" t="n">
        <x:v>33304.31</x:v>
      </x:c>
      <x:c r="I33" s="48" t="n">
        <x:f>COUNTIF($C:$C,C33)</x:f>
        <x:v>1</x:v>
      </x:c>
      <x:c r="J33" s="48" t="n">
        <x:f>IF(I33&gt;1,30,0)+IF(D33="",25,0)+IF(E33&lt;&gt;"Verified",25,0)+IF(AND(F33="Inactive",G33&gt;0),20,0)+IF(H33&gt;100000,10,0)</x:f>
        <x:v>0</x:v>
      </x:c>
      <x:c r="K33" s="48" t="str">
        <x:f>IF(J33&gt;=60,"High",IF(J33&gt;=30,"Medium","Low"))</x:f>
        <x:v>Low</x:v>
      </x:c>
      <x:c r="L33" s="49" t="str">
        <x:f>IF(K33="High","Block/update vendor before payment",IF(K33="Medium","Request vendor data update","No action"))</x:f>
        <x:v>No action</x:v>
      </x:c>
    </x:row>
    <x:row r="34">
      <x:c r="A34" s="47" t="str">
        <x:v>VEN-0033</x:v>
      </x:c>
      <x:c r="B34" s="48" t="str">
        <x:v>Prime Trading 33</x:v>
      </x:c>
      <x:c r="C34" s="48" t="str">
        <x:f>UPPER(SUBSTITUTE(SUBSTITUTE(SUBSTITUTE(B34," INC.","")," LTD","")," INCORPORATED",""))</x:f>
        <x:v>PRIME TRADING 33</x:v>
      </x:c>
      <x:c r="D34" s="48" t="str">
        <x:v>170566064RT0001</x:v>
      </x:c>
      <x:c r="E34" s="48" t="str">
        <x:v>Verified</x:v>
      </x:c>
      <x:c r="F34" s="48" t="str">
        <x:v>Active</x:v>
      </x:c>
      <x:c r="G34" s="48" t="n">
        <x:v>11</x:v>
      </x:c>
      <x:c r="H34" s="68" t="n">
        <x:v>171794.28</x:v>
      </x:c>
      <x:c r="I34" s="48" t="n">
        <x:f>COUNTIF($C:$C,C34)</x:f>
        <x:v>1</x:v>
      </x:c>
      <x:c r="J34" s="48" t="n">
        <x:f>IF(I34&gt;1,30,0)+IF(D34="",25,0)+IF(E34&lt;&gt;"Verified",25,0)+IF(AND(F34="Inactive",G34&gt;0),20,0)+IF(H34&gt;100000,10,0)</x:f>
        <x:v>10</x:v>
      </x:c>
      <x:c r="K34" s="48" t="str">
        <x:f>IF(J34&gt;=60,"High",IF(J34&gt;=30,"Medium","Low"))</x:f>
        <x:v>Low</x:v>
      </x:c>
      <x:c r="L34" s="49" t="str">
        <x:f>IF(K34="High","Block/update vendor before payment",IF(K34="Medium","Request vendor data update","No action"))</x:f>
        <x:v>No action</x:v>
      </x:c>
    </x:row>
    <x:row r="35">
      <x:c r="A35" s="47" t="str">
        <x:v>VEN-0034</x:v>
      </x:c>
      <x:c r="B35" s="48" t="str">
        <x:v>Maple Services 34</x:v>
      </x:c>
      <x:c r="C35" s="48" t="str">
        <x:f>UPPER(SUBSTITUTE(SUBSTITUTE(SUBSTITUTE(B35," INC.","")," LTD","")," INCORPORATED",""))</x:f>
        <x:v>MAPLE SERVICES 34</x:v>
      </x:c>
      <x:c r="D35" s="48" t="str">
        <x:v>852410811RT0001</x:v>
      </x:c>
      <x:c r="E35" s="48" t="str">
        <x:v>Verified</x:v>
      </x:c>
      <x:c r="F35" s="48" t="str">
        <x:v>Active</x:v>
      </x:c>
      <x:c r="G35" s="48" t="n">
        <x:v>29</x:v>
      </x:c>
      <x:c r="H35" s="68" t="n">
        <x:v>178428.49</x:v>
      </x:c>
      <x:c r="I35" s="48" t="n">
        <x:f>COUNTIF($C:$C,C35)</x:f>
        <x:v>1</x:v>
      </x:c>
      <x:c r="J35" s="48" t="n">
        <x:f>IF(I35&gt;1,30,0)+IF(D35="",25,0)+IF(E35&lt;&gt;"Verified",25,0)+IF(AND(F35="Inactive",G35&gt;0),20,0)+IF(H35&gt;100000,10,0)</x:f>
        <x:v>10</x:v>
      </x:c>
      <x:c r="K35" s="48" t="str">
        <x:f>IF(J35&gt;=60,"High",IF(J35&gt;=30,"Medium","Low"))</x:f>
        <x:v>Low</x:v>
      </x:c>
      <x:c r="L35" s="49" t="str">
        <x:f>IF(K35="High","Block/update vendor before payment",IF(K35="Medium","Request vendor data update","No action"))</x:f>
        <x:v>No action</x:v>
      </x:c>
    </x:row>
    <x:row r="36">
      <x:c r="A36" s="47" t="str">
        <x:v>VEN-0035</x:v>
      </x:c>
      <x:c r="B36" s="48" t="str">
        <x:v>Prime Services 35</x:v>
      </x:c>
      <x:c r="C36" s="48" t="str">
        <x:f>UPPER(SUBSTITUTE(SUBSTITUTE(SUBSTITUTE(B36," INC.","")," LTD","")," INCORPORATED",""))</x:f>
        <x:v>PRIME SERVICES 35</x:v>
      </x:c>
      <x:c r="D36" s="48" t="str">
        <x:v>453924138RT0001</x:v>
      </x:c>
      <x:c r="E36" s="48" t="str">
        <x:v>Outdated</x:v>
      </x:c>
      <x:c r="F36" s="48" t="str">
        <x:v>Inactive</x:v>
      </x:c>
      <x:c r="G36" s="48" t="n">
        <x:v>15</x:v>
      </x:c>
      <x:c r="H36" s="68" t="n">
        <x:v>20121.71</x:v>
      </x:c>
      <x:c r="I36" s="48" t="n">
        <x:f>COUNTIF($C:$C,C36)</x:f>
        <x:v>1</x:v>
      </x:c>
      <x:c r="J36" s="48" t="n">
        <x:f>IF(I36&gt;1,30,0)+IF(D36="",25,0)+IF(E36&lt;&gt;"Verified",25,0)+IF(AND(F36="Inactive",G36&gt;0),20,0)+IF(H36&gt;100000,10,0)</x:f>
        <x:v>45</x:v>
      </x:c>
      <x:c r="K36" s="48" t="str">
        <x:f>IF(J36&gt;=60,"High",IF(J36&gt;=30,"Medium","Low"))</x:f>
        <x:v>Medium</x:v>
      </x:c>
      <x:c r="L36" s="49" t="str">
        <x:f>IF(K36="High","Block/update vendor before payment",IF(K36="Medium","Request vendor data update","No action"))</x:f>
        <x:v>Request vendor data update</x:v>
      </x:c>
    </x:row>
    <x:row r="37">
      <x:c r="A37" s="47" t="str">
        <x:v>VEN-0036</x:v>
      </x:c>
      <x:c r="B37" s="48" t="str">
        <x:v>Prime Services 36</x:v>
      </x:c>
      <x:c r="C37" s="48" t="str">
        <x:f>UPPER(SUBSTITUTE(SUBSTITUTE(SUBSTITUTE(B37," INC.","")," LTD","")," INCORPORATED",""))</x:f>
        <x:v>PRIME SERVICES 36</x:v>
      </x:c>
      <x:c r="D37" s="48" t="str">
        <x:v>229660556RT0001</x:v>
      </x:c>
      <x:c r="E37" s="48" t="str">
        <x:v>Verified</x:v>
      </x:c>
      <x:c r="F37" s="48" t="str">
        <x:v>Active</x:v>
      </x:c>
      <x:c r="G37" s="48" t="n">
        <x:v>21</x:v>
      </x:c>
      <x:c r="H37" s="68" t="n">
        <x:v>40688.04</x:v>
      </x:c>
      <x:c r="I37" s="48" t="n">
        <x:f>COUNTIF($C:$C,C37)</x:f>
        <x:v>1</x:v>
      </x:c>
      <x:c r="J37" s="48" t="n">
        <x:f>IF(I37&gt;1,30,0)+IF(D37="",25,0)+IF(E37&lt;&gt;"Verified",25,0)+IF(AND(F37="Inactive",G37&gt;0),20,0)+IF(H37&gt;100000,10,0)</x:f>
        <x:v>0</x:v>
      </x:c>
      <x:c r="K37" s="48" t="str">
        <x:f>IF(J37&gt;=60,"High",IF(J37&gt;=30,"Medium","Low"))</x:f>
        <x:v>Low</x:v>
      </x:c>
      <x:c r="L37" s="49" t="str">
        <x:f>IF(K37="High","Block/update vendor before payment",IF(K37="Medium","Request vendor data update","No action"))</x:f>
        <x:v>No action</x:v>
      </x:c>
    </x:row>
    <x:row r="38">
      <x:c r="A38" s="47" t="str">
        <x:v>VEN-0037</x:v>
      </x:c>
      <x:c r="B38" s="48" t="str">
        <x:v>Prime Trading 37</x:v>
      </x:c>
      <x:c r="C38" s="48" t="str">
        <x:f>UPPER(SUBSTITUTE(SUBSTITUTE(SUBSTITUTE(B38," INC.","")," LTD","")," INCORPORATED",""))</x:f>
        <x:v>PRIME TRADING 37</x:v>
      </x:c>
      <x:c r="D38" s="48" t="str">
        <x:v>284913425RT0001</x:v>
      </x:c>
      <x:c r="E38" s="48" t="str">
        <x:v>Verified</x:v>
      </x:c>
      <x:c r="F38" s="48" t="str">
        <x:v>Active</x:v>
      </x:c>
      <x:c r="G38" s="48" t="n">
        <x:v>38</x:v>
      </x:c>
      <x:c r="H38" s="68" t="n">
        <x:v>30433.69</x:v>
      </x:c>
      <x:c r="I38" s="48" t="n">
        <x:f>COUNTIF($C:$C,C38)</x:f>
        <x:v>1</x:v>
      </x:c>
      <x:c r="J38" s="48" t="n">
        <x:f>IF(I38&gt;1,30,0)+IF(D38="",25,0)+IF(E38&lt;&gt;"Verified",25,0)+IF(AND(F38="Inactive",G38&gt;0),20,0)+IF(H38&gt;100000,10,0)</x:f>
        <x:v>0</x:v>
      </x:c>
      <x:c r="K38" s="48" t="str">
        <x:f>IF(J38&gt;=60,"High",IF(J38&gt;=30,"Medium","Low"))</x:f>
        <x:v>Low</x:v>
      </x:c>
      <x:c r="L38" s="49" t="str">
        <x:f>IF(K38="High","Block/update vendor before payment",IF(K38="Medium","Request vendor data update","No action"))</x:f>
        <x:v>No action</x:v>
      </x:c>
    </x:row>
    <x:row r="39">
      <x:c r="A39" s="47" t="str">
        <x:v>VEN-0038</x:v>
      </x:c>
      <x:c r="B39" s="48" t="str">
        <x:v>Urban Logistics 38</x:v>
      </x:c>
      <x:c r="C39" s="48" t="str">
        <x:f>UPPER(SUBSTITUTE(SUBSTITUTE(SUBSTITUTE(B39," INC.","")," LTD","")," INCORPORATED",""))</x:f>
        <x:v>URBAN LOGISTICS 38</x:v>
      </x:c>
      <x:c r="D39" s="48" t="str">
        <x:v>464039964RT0001</x:v>
      </x:c>
      <x:c r="E39" s="48" t="str">
        <x:v>Missing</x:v>
      </x:c>
      <x:c r="F39" s="48" t="str">
        <x:v>Active</x:v>
      </x:c>
      <x:c r="G39" s="48" t="n">
        <x:v>6</x:v>
      </x:c>
      <x:c r="H39" s="68" t="n">
        <x:v>80717.82</x:v>
      </x:c>
      <x:c r="I39" s="48" t="n">
        <x:f>COUNTIF($C:$C,C39)</x:f>
        <x:v>1</x:v>
      </x:c>
      <x:c r="J39" s="48" t="n">
        <x:f>IF(I39&gt;1,30,0)+IF(D39="",25,0)+IF(E39&lt;&gt;"Verified",25,0)+IF(AND(F39="Inactive",G39&gt;0),20,0)+IF(H39&gt;100000,10,0)</x:f>
        <x:v>25</x:v>
      </x:c>
      <x:c r="K39" s="48" t="str">
        <x:f>IF(J39&gt;=60,"High",IF(J39&gt;=30,"Medium","Low"))</x:f>
        <x:v>Low</x:v>
      </x:c>
      <x:c r="L39" s="49" t="str">
        <x:f>IF(K39="High","Block/update vendor before payment",IF(K39="Medium","Request vendor data update","No action"))</x:f>
        <x:v>No action</x:v>
      </x:c>
    </x:row>
    <x:row r="40">
      <x:c r="A40" s="47" t="str">
        <x:v>VEN-0039</x:v>
      </x:c>
      <x:c r="B40" s="48" t="str">
        <x:v>Metro Trading Incorporated</x:v>
      </x:c>
      <x:c r="C40" s="48" t="str">
        <x:f>UPPER(SUBSTITUTE(SUBSTITUTE(SUBSTITUTE(B40," INC.","")," LTD","")," INCORPORATED",""))</x:f>
        <x:v>METRO TRADING INCORPORATED</x:v>
      </x:c>
      <x:c r="D40" s="48" t="str">
        <x:v>998924035RT0001</x:v>
      </x:c>
      <x:c r="E40" s="48" t="str">
        <x:v>Verified</x:v>
      </x:c>
      <x:c r="F40" s="48" t="str">
        <x:v>Active</x:v>
      </x:c>
      <x:c r="G40" s="48" t="n">
        <x:v>18</x:v>
      </x:c>
      <x:c r="H40" s="68" t="n">
        <x:v>170827.84</x:v>
      </x:c>
      <x:c r="I40" s="48" t="n">
        <x:f>COUNTIF($C:$C,C40)</x:f>
        <x:v>1</x:v>
      </x:c>
      <x:c r="J40" s="48" t="n">
        <x:f>IF(I40&gt;1,30,0)+IF(D40="",25,0)+IF(E40&lt;&gt;"Verified",25,0)+IF(AND(F40="Inactive",G40&gt;0),20,0)+IF(H40&gt;100000,10,0)</x:f>
        <x:v>10</x:v>
      </x:c>
      <x:c r="K40" s="48" t="str">
        <x:f>IF(J40&gt;=60,"High",IF(J40&gt;=30,"Medium","Low"))</x:f>
        <x:v>Low</x:v>
      </x:c>
      <x:c r="L40" s="49" t="str">
        <x:f>IF(K40="High","Block/update vendor before payment",IF(K40="Medium","Request vendor data update","No action"))</x:f>
        <x:v>No action</x:v>
      </x:c>
    </x:row>
    <x:row r="41">
      <x:c r="A41" s="47" t="str">
        <x:v>VEN-0040</x:v>
      </x:c>
      <x:c r="B41" s="48" t="str">
        <x:v>Pacific Supply 40</x:v>
      </x:c>
      <x:c r="C41" s="48" t="str">
        <x:f>UPPER(SUBSTITUTE(SUBSTITUTE(SUBSTITUTE(B41," INC.","")," LTD","")," INCORPORATED",""))</x:f>
        <x:v>PACIFIC SUPPLY 40</x:v>
      </x:c>
      <x:c r="D41" s="48" t="str">
        <x:v>685339253RT0001</x:v>
      </x:c>
      <x:c r="E41" s="48" t="str">
        <x:v>Verified</x:v>
      </x:c>
      <x:c r="F41" s="48" t="str">
        <x:v>Inactive</x:v>
      </x:c>
      <x:c r="G41" s="48" t="n">
        <x:v>21</x:v>
      </x:c>
      <x:c r="H41" s="68" t="n">
        <x:v>104064.44</x:v>
      </x:c>
      <x:c r="I41" s="48" t="n">
        <x:f>COUNTIF($C:$C,C41)</x:f>
        <x:v>1</x:v>
      </x:c>
      <x:c r="J41" s="48" t="n">
        <x:f>IF(I41&gt;1,30,0)+IF(D41="",25,0)+IF(E41&lt;&gt;"Verified",25,0)+IF(AND(F41="Inactive",G41&gt;0),20,0)+IF(H41&gt;100000,10,0)</x:f>
        <x:v>30</x:v>
      </x:c>
      <x:c r="K41" s="48" t="str">
        <x:f>IF(J41&gt;=60,"High",IF(J41&gt;=30,"Medium","Low"))</x:f>
        <x:v>Medium</x:v>
      </x:c>
      <x:c r="L41" s="49" t="str">
        <x:f>IF(K41="High","Block/update vendor before payment",IF(K41="Medium","Request vendor data update","No action"))</x:f>
        <x:v>Request vendor data update</x:v>
      </x:c>
    </x:row>
    <x:row r="42">
      <x:c r="A42" s="47" t="str">
        <x:v>VEN-0041</x:v>
      </x:c>
      <x:c r="B42" s="48" t="str">
        <x:v>Prime Trading 41</x:v>
      </x:c>
      <x:c r="C42" s="48" t="str">
        <x:f>UPPER(SUBSTITUTE(SUBSTITUTE(SUBSTITUTE(B42," INC.","")," LTD","")," INCORPORATED",""))</x:f>
        <x:v>PRIME TRADING 41</x:v>
      </x:c>
      <x:c r="D42" s="48" t="str">
        <x:v>551384239RT0001</x:v>
      </x:c>
      <x:c r="E42" s="48" t="str">
        <x:v>Outdated</x:v>
      </x:c>
      <x:c r="F42" s="48" t="str">
        <x:v>Active</x:v>
      </x:c>
      <x:c r="G42" s="48" t="n">
        <x:v>19</x:v>
      </x:c>
      <x:c r="H42" s="68" t="n">
        <x:v>152695.29</x:v>
      </x:c>
      <x:c r="I42" s="48" t="n">
        <x:f>COUNTIF($C:$C,C42)</x:f>
        <x:v>1</x:v>
      </x:c>
      <x:c r="J42" s="48" t="n">
        <x:f>IF(I42&gt;1,30,0)+IF(D42="",25,0)+IF(E42&lt;&gt;"Verified",25,0)+IF(AND(F42="Inactive",G42&gt;0),20,0)+IF(H42&gt;100000,10,0)</x:f>
        <x:v>35</x:v>
      </x:c>
      <x:c r="K42" s="48" t="str">
        <x:f>IF(J42&gt;=60,"High",IF(J42&gt;=30,"Medium","Low"))</x:f>
        <x:v>Medium</x:v>
      </x:c>
      <x:c r="L42" s="49" t="str">
        <x:f>IF(K42="High","Block/update vendor before payment",IF(K42="Medium","Request vendor data update","No action"))</x:f>
        <x:v>Request vendor data update</x:v>
      </x:c>
    </x:row>
    <x:row r="43">
      <x:c r="A43" s="47" t="str">
        <x:v>VEN-0042</x:v>
      </x:c>
      <x:c r="B43" s="48" t="str">
        <x:v>Metro Supply 42</x:v>
      </x:c>
      <x:c r="C43" s="48" t="str">
        <x:f>UPPER(SUBSTITUTE(SUBSTITUTE(SUBSTITUTE(B43," INC.","")," LTD","")," INCORPORATED",""))</x:f>
        <x:v>METRO SUPPLY 42</x:v>
      </x:c>
      <x:c r="D43" s="48" t="str">
        <x:v>935863530RT0001</x:v>
      </x:c>
      <x:c r="E43" s="48" t="str">
        <x:v>Verified</x:v>
      </x:c>
      <x:c r="F43" s="48" t="str">
        <x:v>Active</x:v>
      </x:c>
      <x:c r="G43" s="48" t="n">
        <x:v>30</x:v>
      </x:c>
      <x:c r="H43" s="68" t="n">
        <x:v>169882.6</x:v>
      </x:c>
      <x:c r="I43" s="48" t="n">
        <x:f>COUNTIF($C:$C,C43)</x:f>
        <x:v>1</x:v>
      </x:c>
      <x:c r="J43" s="48" t="n">
        <x:f>IF(I43&gt;1,30,0)+IF(D43="",25,0)+IF(E43&lt;&gt;"Verified",25,0)+IF(AND(F43="Inactive",G43&gt;0),20,0)+IF(H43&gt;100000,10,0)</x:f>
        <x:v>10</x:v>
      </x:c>
      <x:c r="K43" s="48" t="str">
        <x:f>IF(J43&gt;=60,"High",IF(J43&gt;=30,"Medium","Low"))</x:f>
        <x:v>Low</x:v>
      </x:c>
      <x:c r="L43" s="49" t="str">
        <x:f>IF(K43="High","Block/update vendor before payment",IF(K43="Medium","Request vendor data update","No action"))</x:f>
        <x:v>No action</x:v>
      </x:c>
    </x:row>
    <x:row r="44">
      <x:c r="A44" s="47" t="str">
        <x:v>VEN-0043</x:v>
      </x:c>
      <x:c r="B44" s="48" t="str">
        <x:v>Prime Supply 43</x:v>
      </x:c>
      <x:c r="C44" s="48" t="str">
        <x:f>UPPER(SUBSTITUTE(SUBSTITUTE(SUBSTITUTE(B44," INC.","")," LTD","")," INCORPORATED",""))</x:f>
        <x:v>PRIME SUPPLY 43</x:v>
      </x:c>
      <x:c r="D44" s="48" t="str">
        <x:v>464556662RT0001</x:v>
      </x:c>
      <x:c r="E44" s="48" t="str">
        <x:v>Verified</x:v>
      </x:c>
      <x:c r="F44" s="48" t="str">
        <x:v>Active</x:v>
      </x:c>
      <x:c r="G44" s="48" t="n">
        <x:v>2</x:v>
      </x:c>
      <x:c r="H44" s="68" t="n">
        <x:v>69911.58</x:v>
      </x:c>
      <x:c r="I44" s="48" t="n">
        <x:f>COUNTIF($C:$C,C44)</x:f>
        <x:v>1</x:v>
      </x:c>
      <x:c r="J44" s="48" t="n">
        <x:f>IF(I44&gt;1,30,0)+IF(D44="",25,0)+IF(E44&lt;&gt;"Verified",25,0)+IF(AND(F44="Inactive",G44&gt;0),20,0)+IF(H44&gt;100000,10,0)</x:f>
        <x:v>0</x:v>
      </x:c>
      <x:c r="K44" s="48" t="str">
        <x:f>IF(J44&gt;=60,"High",IF(J44&gt;=30,"Medium","Low"))</x:f>
        <x:v>Low</x:v>
      </x:c>
      <x:c r="L44" s="49" t="str">
        <x:f>IF(K44="High","Block/update vendor before payment",IF(K44="Medium","Request vendor data update","No action"))</x:f>
        <x:v>No action</x:v>
      </x:c>
    </x:row>
    <x:row r="45">
      <x:c r="A45" s="47" t="str">
        <x:v>VEN-0044</x:v>
      </x:c>
      <x:c r="B45" s="48" t="str">
        <x:v>Pacific Trading 44</x:v>
      </x:c>
      <x:c r="C45" s="48" t="str">
        <x:f>UPPER(SUBSTITUTE(SUBSTITUTE(SUBSTITUTE(B45," INC.","")," LTD","")," INCORPORATED",""))</x:f>
        <x:v>PACIFIC TRADING 44</x:v>
      </x:c>
      <x:c r="D45" s="48" t="str">
        <x:v>237750754RT0001</x:v>
      </x:c>
      <x:c r="E45" s="48" t="str">
        <x:v>Verified</x:v>
      </x:c>
      <x:c r="F45" s="48" t="str">
        <x:v>Active</x:v>
      </x:c>
      <x:c r="G45" s="48" t="n">
        <x:v>13</x:v>
      </x:c>
      <x:c r="H45" s="68" t="n">
        <x:v>40304.89</x:v>
      </x:c>
      <x:c r="I45" s="48" t="n">
        <x:f>COUNTIF($C:$C,C45)</x:f>
        <x:v>1</x:v>
      </x:c>
      <x:c r="J45" s="48" t="n">
        <x:f>IF(I45&gt;1,30,0)+IF(D45="",25,0)+IF(E45&lt;&gt;"Verified",25,0)+IF(AND(F45="Inactive",G45&gt;0),20,0)+IF(H45&gt;100000,10,0)</x:f>
        <x:v>0</x:v>
      </x:c>
      <x:c r="K45" s="48" t="str">
        <x:f>IF(J45&gt;=60,"High",IF(J45&gt;=30,"Medium","Low"))</x:f>
        <x:v>Low</x:v>
      </x:c>
      <x:c r="L45" s="49" t="str">
        <x:f>IF(K45="High","Block/update vendor before payment",IF(K45="Medium","Request vendor data update","No action"))</x:f>
        <x:v>No action</x:v>
      </x:c>
    </x:row>
    <x:row r="46">
      <x:c r="A46" s="47" t="str">
        <x:v>VEN-0045</x:v>
      </x:c>
      <x:c r="B46" s="48" t="str">
        <x:v>Global Supply 45</x:v>
      </x:c>
      <x:c r="C46" s="48" t="str">
        <x:f>UPPER(SUBSTITUTE(SUBSTITUTE(SUBSTITUTE(B46," INC.","")," LTD","")," INCORPORATED",""))</x:f>
        <x:v>GLOBAL SUPPLY 45</x:v>
      </x:c>
      <x:c r="D46" s="48" t="str">
        <x:v>810717820RT0001</x:v>
      </x:c>
      <x:c r="E46" s="48" t="str">
        <x:v>Verified</x:v>
      </x:c>
      <x:c r="F46" s="48" t="str">
        <x:v>Active</x:v>
      </x:c>
      <x:c r="G46" s="48" t="n">
        <x:v>3</x:v>
      </x:c>
      <x:c r="H46" s="68" t="n">
        <x:v>99370.14</x:v>
      </x:c>
      <x:c r="I46" s="48" t="n">
        <x:f>COUNTIF($C:$C,C46)</x:f>
        <x:v>1</x:v>
      </x:c>
      <x:c r="J46" s="48" t="n">
        <x:f>IF(I46&gt;1,30,0)+IF(D46="",25,0)+IF(E46&lt;&gt;"Verified",25,0)+IF(AND(F46="Inactive",G46&gt;0),20,0)+IF(H46&gt;100000,10,0)</x:f>
        <x:v>0</x:v>
      </x:c>
      <x:c r="K46" s="48" t="str">
        <x:f>IF(J46&gt;=60,"High",IF(J46&gt;=30,"Medium","Low"))</x:f>
        <x:v>Low</x:v>
      </x:c>
      <x:c r="L46" s="49" t="str">
        <x:f>IF(K46="High","Block/update vendor before payment",IF(K46="Medium","Request vendor data update","No action"))</x:f>
        <x:v>No action</x:v>
      </x:c>
    </x:row>
    <x:row r="47">
      <x:c r="A47" s="47" t="str">
        <x:v>VEN-0046</x:v>
      </x:c>
      <x:c r="B47" s="48" t="str">
        <x:v>Metro Supply 46</x:v>
      </x:c>
      <x:c r="C47" s="48" t="str">
        <x:f>UPPER(SUBSTITUTE(SUBSTITUTE(SUBSTITUTE(B47," INC.","")," LTD","")," INCORPORATED",""))</x:f>
        <x:v>METRO SUPPLY 46</x:v>
      </x:c>
      <x:c r="D47" s="48" t="str">
        <x:v>665248844RT0001</x:v>
      </x:c>
      <x:c r="E47" s="48" t="str">
        <x:v>Verified</x:v>
      </x:c>
      <x:c r="F47" s="48" t="str">
        <x:v>Active</x:v>
      </x:c>
      <x:c r="G47" s="48" t="n">
        <x:v>15</x:v>
      </x:c>
      <x:c r="H47" s="68" t="n">
        <x:v>126430.05</x:v>
      </x:c>
      <x:c r="I47" s="48" t="n">
        <x:f>COUNTIF($C:$C,C47)</x:f>
        <x:v>1</x:v>
      </x:c>
      <x:c r="J47" s="48" t="n">
        <x:f>IF(I47&gt;1,30,0)+IF(D47="",25,0)+IF(E47&lt;&gt;"Verified",25,0)+IF(AND(F47="Inactive",G47&gt;0),20,0)+IF(H47&gt;100000,10,0)</x:f>
        <x:v>10</x:v>
      </x:c>
      <x:c r="K47" s="48" t="str">
        <x:f>IF(J47&gt;=60,"High",IF(J47&gt;=30,"Medium","Low"))</x:f>
        <x:v>Low</x:v>
      </x:c>
      <x:c r="L47" s="49" t="str">
        <x:f>IF(K47="High","Block/update vendor before payment",IF(K47="Medium","Request vendor data update","No action"))</x:f>
        <x:v>No action</x:v>
      </x:c>
    </x:row>
    <x:row r="48">
      <x:c r="A48" s="47" t="str">
        <x:v>VEN-0047</x:v>
      </x:c>
      <x:c r="B48" s="48" t="str">
        <x:v>Metro Trading 47</x:v>
      </x:c>
      <x:c r="C48" s="48" t="str">
        <x:f>UPPER(SUBSTITUTE(SUBSTITUTE(SUBSTITUTE(B48," INC.","")," LTD","")," INCORPORATED",""))</x:f>
        <x:v>METRO TRADING 47</x:v>
      </x:c>
      <x:c r="D48" s="48" t="str">
        <x:v>172884464RT0001</x:v>
      </x:c>
      <x:c r="E48" s="48" t="str">
        <x:v>Verified</x:v>
      </x:c>
      <x:c r="F48" s="48" t="str">
        <x:v>Active</x:v>
      </x:c>
      <x:c r="G48" s="48" t="n">
        <x:v>12</x:v>
      </x:c>
      <x:c r="H48" s="68" t="n">
        <x:v>124429.18</x:v>
      </x:c>
      <x:c r="I48" s="48" t="n">
        <x:f>COUNTIF($C:$C,C48)</x:f>
        <x:v>1</x:v>
      </x:c>
      <x:c r="J48" s="48" t="n">
        <x:f>IF(I48&gt;1,30,0)+IF(D48="",25,0)+IF(E48&lt;&gt;"Verified",25,0)+IF(AND(F48="Inactive",G48&gt;0),20,0)+IF(H48&gt;100000,10,0)</x:f>
        <x:v>10</x:v>
      </x:c>
      <x:c r="K48" s="48" t="str">
        <x:f>IF(J48&gt;=60,"High",IF(J48&gt;=30,"Medium","Low"))</x:f>
        <x:v>Low</x:v>
      </x:c>
      <x:c r="L48" s="49" t="str">
        <x:f>IF(K48="High","Block/update vendor before payment",IF(K48="Medium","Request vendor data update","No action"))</x:f>
        <x:v>No action</x:v>
      </x:c>
    </x:row>
    <x:row r="49">
      <x:c r="A49" s="47" t="str">
        <x:v>VEN-0048</x:v>
      </x:c>
      <x:c r="B49" s="48" t="str">
        <x:v>Global Logistics 48</x:v>
      </x:c>
      <x:c r="C49" s="48" t="str">
        <x:f>UPPER(SUBSTITUTE(SUBSTITUTE(SUBSTITUTE(B49," INC.","")," LTD","")," INCORPORATED",""))</x:f>
        <x:v>GLOBAL LOGISTICS 48</x:v>
      </x:c>
      <x:c r="D49" s="48" t="str">
        <x:v>507344205RT0001</x:v>
      </x:c>
      <x:c r="E49" s="48" t="str">
        <x:v>Verified</x:v>
      </x:c>
      <x:c r="F49" s="48" t="str">
        <x:v>Active</x:v>
      </x:c>
      <x:c r="G49" s="48" t="n">
        <x:v>19</x:v>
      </x:c>
      <x:c r="H49" s="68" t="n">
        <x:v>77339.17</x:v>
      </x:c>
      <x:c r="I49" s="48" t="n">
        <x:f>COUNTIF($C:$C,C49)</x:f>
        <x:v>1</x:v>
      </x:c>
      <x:c r="J49" s="48" t="n">
        <x:f>IF(I49&gt;1,30,0)+IF(D49="",25,0)+IF(E49&lt;&gt;"Verified",25,0)+IF(AND(F49="Inactive",G49&gt;0),20,0)+IF(H49&gt;100000,10,0)</x:f>
        <x:v>0</x:v>
      </x:c>
      <x:c r="K49" s="48" t="str">
        <x:f>IF(J49&gt;=60,"High",IF(J49&gt;=30,"Medium","Low"))</x:f>
        <x:v>Low</x:v>
      </x:c>
      <x:c r="L49" s="49" t="str">
        <x:f>IF(K49="High","Block/update vendor before payment",IF(K49="Medium","Request vendor data update","No action"))</x:f>
        <x:v>No action</x:v>
      </x:c>
    </x:row>
    <x:row r="50">
      <x:c r="A50" s="47" t="str">
        <x:v>VEN-0049</x:v>
      </x:c>
      <x:c r="B50" s="48" t="str">
        <x:v>Global Supply 49</x:v>
      </x:c>
      <x:c r="C50" s="48" t="str">
        <x:f>UPPER(SUBSTITUTE(SUBSTITUTE(SUBSTITUTE(B50," INC.","")," LTD","")," INCORPORATED",""))</x:f>
        <x:v>GLOBAL SUPPLY 49</x:v>
      </x:c>
      <x:c r="D50" s="48" t="str">
        <x:v>450192955RT0001</x:v>
      </x:c>
      <x:c r="E50" s="48" t="str">
        <x:v>Missing</x:v>
      </x:c>
      <x:c r="F50" s="48" t="str">
        <x:v>Inactive</x:v>
      </x:c>
      <x:c r="G50" s="48" t="n">
        <x:v>9</x:v>
      </x:c>
      <x:c r="H50" s="68" t="n">
        <x:v>43904.65</x:v>
      </x:c>
      <x:c r="I50" s="48" t="n">
        <x:f>COUNTIF($C:$C,C50)</x:f>
        <x:v>1</x:v>
      </x:c>
      <x:c r="J50" s="48" t="n">
        <x:f>IF(I50&gt;1,30,0)+IF(D50="",25,0)+IF(E50&lt;&gt;"Verified",25,0)+IF(AND(F50="Inactive",G50&gt;0),20,0)+IF(H50&gt;100000,10,0)</x:f>
        <x:v>45</x:v>
      </x:c>
      <x:c r="K50" s="48" t="str">
        <x:f>IF(J50&gt;=60,"High",IF(J50&gt;=30,"Medium","Low"))</x:f>
        <x:v>Medium</x:v>
      </x:c>
      <x:c r="L50" s="49" t="str">
        <x:f>IF(K50="High","Block/update vendor before payment",IF(K50="Medium","Request vendor data update","No action"))</x:f>
        <x:v>Request vendor data update</x:v>
      </x:c>
    </x:row>
    <x:row r="51">
      <x:c r="A51" s="47" t="str">
        <x:v>VEN-0050</x:v>
      </x:c>
      <x:c r="B51" s="48" t="str">
        <x:v>Metro Supply 50</x:v>
      </x:c>
      <x:c r="C51" s="48" t="str">
        <x:f>UPPER(SUBSTITUTE(SUBSTITUTE(SUBSTITUTE(B51," INC.","")," LTD","")," INCORPORATED",""))</x:f>
        <x:v>METRO SUPPLY 50</x:v>
      </x:c>
      <x:c r="D51" s="48" t="str">
        <x:v>865110075RT0001</x:v>
      </x:c>
      <x:c r="E51" s="48" t="str">
        <x:v>Verified</x:v>
      </x:c>
      <x:c r="F51" s="48" t="str">
        <x:v>Active</x:v>
      </x:c>
      <x:c r="G51" s="48" t="n">
        <x:v>24</x:v>
      </x:c>
      <x:c r="H51" s="68" t="n">
        <x:v>141176.2</x:v>
      </x:c>
      <x:c r="I51" s="48" t="n">
        <x:f>COUNTIF($C:$C,C51)</x:f>
        <x:v>1</x:v>
      </x:c>
      <x:c r="J51" s="48" t="n">
        <x:f>IF(I51&gt;1,30,0)+IF(D51="",25,0)+IF(E51&lt;&gt;"Verified",25,0)+IF(AND(F51="Inactive",G51&gt;0),20,0)+IF(H51&gt;100000,10,0)</x:f>
        <x:v>10</x:v>
      </x:c>
      <x:c r="K51" s="48" t="str">
        <x:f>IF(J51&gt;=60,"High",IF(J51&gt;=30,"Medium","Low"))</x:f>
        <x:v>Low</x:v>
      </x:c>
      <x:c r="L51" s="49" t="str">
        <x:f>IF(K51="High","Block/update vendor before payment",IF(K51="Medium","Request vendor data update","No action"))</x:f>
        <x:v>No action</x:v>
      </x:c>
    </x:row>
    <x:row r="52">
      <x:c r="A52" s="47" t="str">
        <x:v>VEN-0051</x:v>
      </x:c>
      <x:c r="B52" s="48" t="str">
        <x:v>Global Logistics 51</x:v>
      </x:c>
      <x:c r="C52" s="48" t="str">
        <x:f>UPPER(SUBSTITUTE(SUBSTITUTE(SUBSTITUTE(B52," INC.","")," LTD","")," INCORPORATED",""))</x:f>
        <x:v>GLOBAL LOGISTICS 51</x:v>
      </x:c>
      <x:c r="D52" s="48" t="str">
        <x:v>429233197RT0001</x:v>
      </x:c>
      <x:c r="E52" s="48" t="str">
        <x:v>Missing</x:v>
      </x:c>
      <x:c r="F52" s="48" t="str">
        <x:v>Active</x:v>
      </x:c>
      <x:c r="G52" s="48" t="n">
        <x:v>4</x:v>
      </x:c>
      <x:c r="H52" s="68" t="n">
        <x:v>166961.02</x:v>
      </x:c>
      <x:c r="I52" s="48" t="n">
        <x:f>COUNTIF($C:$C,C52)</x:f>
        <x:v>1</x:v>
      </x:c>
      <x:c r="J52" s="48" t="n">
        <x:f>IF(I52&gt;1,30,0)+IF(D52="",25,0)+IF(E52&lt;&gt;"Verified",25,0)+IF(AND(F52="Inactive",G52&gt;0),20,0)+IF(H52&gt;100000,10,0)</x:f>
        <x:v>35</x:v>
      </x:c>
      <x:c r="K52" s="48" t="str">
        <x:f>IF(J52&gt;=60,"High",IF(J52&gt;=30,"Medium","Low"))</x:f>
        <x:v>Medium</x:v>
      </x:c>
      <x:c r="L52" s="49" t="str">
        <x:f>IF(K52="High","Block/update vendor before payment",IF(K52="Medium","Request vendor data update","No action"))</x:f>
        <x:v>Request vendor data update</x:v>
      </x:c>
    </x:row>
    <x:row r="53">
      <x:c r="A53" s="47" t="str">
        <x:v>VEN-0052</x:v>
      </x:c>
      <x:c r="B53" s="48" t="str">
        <x:v>Urban Supply 52</x:v>
      </x:c>
      <x:c r="C53" s="48" t="str">
        <x:f>UPPER(SUBSTITUTE(SUBSTITUTE(SUBSTITUTE(B53," INC.","")," LTD","")," INCORPORATED",""))</x:f>
        <x:v>URBAN SUPPLY 52</x:v>
      </x:c>
      <x:c r="D53" s="48" t="str">
        <x:v>502666948RT0001</x:v>
      </x:c>
      <x:c r="E53" s="48" t="str">
        <x:v>Missing</x:v>
      </x:c>
      <x:c r="F53" s="48" t="str">
        <x:v>Active</x:v>
      </x:c>
      <x:c r="G53" s="48" t="n">
        <x:v>6</x:v>
      </x:c>
      <x:c r="H53" s="68" t="n">
        <x:v>45346.96</x:v>
      </x:c>
      <x:c r="I53" s="48" t="n">
        <x:f>COUNTIF($C:$C,C53)</x:f>
        <x:v>1</x:v>
      </x:c>
      <x:c r="J53" s="48" t="n">
        <x:f>IF(I53&gt;1,30,0)+IF(D53="",25,0)+IF(E53&lt;&gt;"Verified",25,0)+IF(AND(F53="Inactive",G53&gt;0),20,0)+IF(H53&gt;100000,10,0)</x:f>
        <x:v>25</x:v>
      </x:c>
      <x:c r="K53" s="48" t="str">
        <x:f>IF(J53&gt;=60,"High",IF(J53&gt;=30,"Medium","Low"))</x:f>
        <x:v>Low</x:v>
      </x:c>
      <x:c r="L53" s="49" t="str">
        <x:f>IF(K53="High","Block/update vendor before payment",IF(K53="Medium","Request vendor data update","No action"))</x:f>
        <x:v>No action</x:v>
      </x:c>
    </x:row>
    <x:row r="54">
      <x:c r="A54" s="47" t="str">
        <x:v>VEN-0053</x:v>
      </x:c>
      <x:c r="B54" s="48" t="str">
        <x:v>Global Logistics 53</x:v>
      </x:c>
      <x:c r="C54" s="48" t="str">
        <x:f>UPPER(SUBSTITUTE(SUBSTITUTE(SUBSTITUTE(B54," INC.","")," LTD","")," INCORPORATED",""))</x:f>
        <x:v>GLOBAL LOGISTICS 53</x:v>
      </x:c>
      <x:c r="D54" s="48" t="str">
        <x:v>611503591RT0001</x:v>
      </x:c>
      <x:c r="E54" s="48" t="str">
        <x:v>Verified</x:v>
      </x:c>
      <x:c r="F54" s="48" t="str">
        <x:v>Active</x:v>
      </x:c>
      <x:c r="G54" s="48" t="n">
        <x:v>17</x:v>
      </x:c>
      <x:c r="H54" s="68" t="n">
        <x:v>29351.09</x:v>
      </x:c>
      <x:c r="I54" s="48" t="n">
        <x:f>COUNTIF($C:$C,C54)</x:f>
        <x:v>1</x:v>
      </x:c>
      <x:c r="J54" s="48" t="n">
        <x:f>IF(I54&gt;1,30,0)+IF(D54="",25,0)+IF(E54&lt;&gt;"Verified",25,0)+IF(AND(F54="Inactive",G54&gt;0),20,0)+IF(H54&gt;100000,10,0)</x:f>
        <x:v>0</x:v>
      </x:c>
      <x:c r="K54" s="48" t="str">
        <x:f>IF(J54&gt;=60,"High",IF(J54&gt;=30,"Medium","Low"))</x:f>
        <x:v>Low</x:v>
      </x:c>
      <x:c r="L54" s="49" t="str">
        <x:f>IF(K54="High","Block/update vendor before payment",IF(K54="Medium","Request vendor data update","No action"))</x:f>
        <x:v>No action</x:v>
      </x:c>
    </x:row>
    <x:row r="55">
      <x:c r="A55" s="47" t="str">
        <x:v>VEN-0054</x:v>
      </x:c>
      <x:c r="B55" s="48" t="str">
        <x:v>Urban Logistics 54</x:v>
      </x:c>
      <x:c r="C55" s="48" t="str">
        <x:f>UPPER(SUBSTITUTE(SUBSTITUTE(SUBSTITUTE(B55," INC.","")," LTD","")," INCORPORATED",""))</x:f>
        <x:v>URBAN LOGISTICS 54</x:v>
      </x:c>
      <x:c r="D55" s="48" t="str">
        <x:v>165034861RT0001</x:v>
      </x:c>
      <x:c r="E55" s="48" t="str">
        <x:v>Verified</x:v>
      </x:c>
      <x:c r="F55" s="48" t="str">
        <x:v>Active</x:v>
      </x:c>
      <x:c r="G55" s="48" t="n">
        <x:v>20</x:v>
      </x:c>
      <x:c r="H55" s="68" t="n">
        <x:v>65682.65</x:v>
      </x:c>
      <x:c r="I55" s="48" t="n">
        <x:f>COUNTIF($C:$C,C55)</x:f>
        <x:v>1</x:v>
      </x:c>
      <x:c r="J55" s="48" t="n">
        <x:f>IF(I55&gt;1,30,0)+IF(D55="",25,0)+IF(E55&lt;&gt;"Verified",25,0)+IF(AND(F55="Inactive",G55&gt;0),20,0)+IF(H55&gt;100000,10,0)</x:f>
        <x:v>0</x:v>
      </x:c>
      <x:c r="K55" s="48" t="str">
        <x:f>IF(J55&gt;=60,"High",IF(J55&gt;=30,"Medium","Low"))</x:f>
        <x:v>Low</x:v>
      </x:c>
      <x:c r="L55" s="49" t="str">
        <x:f>IF(K55="High","Block/update vendor before payment",IF(K55="Medium","Request vendor data update","No action"))</x:f>
        <x:v>No action</x:v>
      </x:c>
    </x:row>
    <x:row r="56">
      <x:c r="A56" s="47" t="str">
        <x:v>VEN-0055</x:v>
      </x:c>
      <x:c r="B56" s="48" t="str">
        <x:v>Prime Supply 55</x:v>
      </x:c>
      <x:c r="C56" s="48" t="str">
        <x:f>UPPER(SUBSTITUTE(SUBSTITUTE(SUBSTITUTE(B56," INC.","")," LTD","")," INCORPORATED",""))</x:f>
        <x:v>PRIME SUPPLY 55</x:v>
      </x:c>
      <x:c r="D56" s="48" t="str"/>
      <x:c r="E56" s="48" t="str">
        <x:v>Verified</x:v>
      </x:c>
      <x:c r="F56" s="48" t="str">
        <x:v>Inactive</x:v>
      </x:c>
      <x:c r="G56" s="48" t="n">
        <x:v>31</x:v>
      </x:c>
      <x:c r="H56" s="68" t="n">
        <x:v>36287.41</x:v>
      </x:c>
      <x:c r="I56" s="48" t="n">
        <x:f>COUNTIF($C:$C,C56)</x:f>
        <x:v>1</x:v>
      </x:c>
      <x:c r="J56" s="48" t="n">
        <x:f>IF(I56&gt;1,30,0)+IF(D56="",25,0)+IF(E56&lt;&gt;"Verified",25,0)+IF(AND(F56="Inactive",G56&gt;0),20,0)+IF(H56&gt;100000,10,0)</x:f>
        <x:v>45</x:v>
      </x:c>
      <x:c r="K56" s="48" t="str">
        <x:f>IF(J56&gt;=60,"High",IF(J56&gt;=30,"Medium","Low"))</x:f>
        <x:v>Medium</x:v>
      </x:c>
      <x:c r="L56" s="49" t="str">
        <x:f>IF(K56="High","Block/update vendor before payment",IF(K56="Medium","Request vendor data update","No action"))</x:f>
        <x:v>Request vendor data update</x:v>
      </x:c>
    </x:row>
    <x:row r="57">
      <x:c r="A57" s="47" t="str">
        <x:v>VEN-0056</x:v>
      </x:c>
      <x:c r="B57" s="48" t="str">
        <x:v>Urban Logistics 56</x:v>
      </x:c>
      <x:c r="C57" s="48" t="str">
        <x:f>UPPER(SUBSTITUTE(SUBSTITUTE(SUBSTITUTE(B57," INC.","")," LTD","")," INCORPORATED",""))</x:f>
        <x:v>URBAN LOGISTICS 56</x:v>
      </x:c>
      <x:c r="D57" s="48" t="str"/>
      <x:c r="E57" s="48" t="str">
        <x:v>Verified</x:v>
      </x:c>
      <x:c r="F57" s="48" t="str">
        <x:v>Active</x:v>
      </x:c>
      <x:c r="G57" s="48" t="n">
        <x:v>40</x:v>
      </x:c>
      <x:c r="H57" s="68" t="n">
        <x:v>123673.2</x:v>
      </x:c>
      <x:c r="I57" s="48" t="n">
        <x:f>COUNTIF($C:$C,C57)</x:f>
        <x:v>1</x:v>
      </x:c>
      <x:c r="J57" s="48" t="n">
        <x:f>IF(I57&gt;1,30,0)+IF(D57="",25,0)+IF(E57&lt;&gt;"Verified",25,0)+IF(AND(F57="Inactive",G57&gt;0),20,0)+IF(H57&gt;100000,10,0)</x:f>
        <x:v>35</x:v>
      </x:c>
      <x:c r="K57" s="48" t="str">
        <x:f>IF(J57&gt;=60,"High",IF(J57&gt;=30,"Medium","Low"))</x:f>
        <x:v>Medium</x:v>
      </x:c>
      <x:c r="L57" s="49" t="str">
        <x:f>IF(K57="High","Block/update vendor before payment",IF(K57="Medium","Request vendor data update","No action"))</x:f>
        <x:v>Request vendor data update</x:v>
      </x:c>
    </x:row>
    <x:row r="58">
      <x:c r="A58" s="47" t="str">
        <x:v>VEN-0057</x:v>
      </x:c>
      <x:c r="B58" s="48" t="str">
        <x:v>Prime Logistics 57</x:v>
      </x:c>
      <x:c r="C58" s="48" t="str">
        <x:f>UPPER(SUBSTITUTE(SUBSTITUTE(SUBSTITUTE(B58," INC.","")," LTD","")," INCORPORATED",""))</x:f>
        <x:v>PRIME LOGISTICS 57</x:v>
      </x:c>
      <x:c r="D58" s="48" t="str">
        <x:v>344789802RT0001</x:v>
      </x:c>
      <x:c r="E58" s="48" t="str">
        <x:v>Missing</x:v>
      </x:c>
      <x:c r="F58" s="48" t="str">
        <x:v>Active</x:v>
      </x:c>
      <x:c r="G58" s="48" t="n">
        <x:v>11</x:v>
      </x:c>
      <x:c r="H58" s="68" t="n">
        <x:v>96042.26</x:v>
      </x:c>
      <x:c r="I58" s="48" t="n">
        <x:f>COUNTIF($C:$C,C58)</x:f>
        <x:v>1</x:v>
      </x:c>
      <x:c r="J58" s="48" t="n">
        <x:f>IF(I58&gt;1,30,0)+IF(D58="",25,0)+IF(E58&lt;&gt;"Verified",25,0)+IF(AND(F58="Inactive",G58&gt;0),20,0)+IF(H58&gt;100000,10,0)</x:f>
        <x:v>25</x:v>
      </x:c>
      <x:c r="K58" s="48" t="str">
        <x:f>IF(J58&gt;=60,"High",IF(J58&gt;=30,"Medium","Low"))</x:f>
        <x:v>Low</x:v>
      </x:c>
      <x:c r="L58" s="49" t="str">
        <x:f>IF(K58="High","Block/update vendor before payment",IF(K58="Medium","Request vendor data update","No action"))</x:f>
        <x:v>No action</x:v>
      </x:c>
    </x:row>
    <x:row r="59">
      <x:c r="A59" s="47" t="str">
        <x:v>VEN-0058</x:v>
      </x:c>
      <x:c r="B59" s="48" t="str">
        <x:v>Maple Supply 58</x:v>
      </x:c>
      <x:c r="C59" s="48" t="str">
        <x:f>UPPER(SUBSTITUTE(SUBSTITUTE(SUBSTITUTE(B59," INC.","")," LTD","")," INCORPORATED",""))</x:f>
        <x:v>MAPLE SUPPLY 58</x:v>
      </x:c>
      <x:c r="D59" s="48" t="str">
        <x:v>634637754RT0001</x:v>
      </x:c>
      <x:c r="E59" s="48" t="str">
        <x:v>Verified</x:v>
      </x:c>
      <x:c r="F59" s="48" t="str">
        <x:v>Active</x:v>
      </x:c>
      <x:c r="G59" s="48" t="n">
        <x:v>23</x:v>
      </x:c>
      <x:c r="H59" s="68" t="n">
        <x:v>101195.45</x:v>
      </x:c>
      <x:c r="I59" s="48" t="n">
        <x:f>COUNTIF($C:$C,C59)</x:f>
        <x:v>1</x:v>
      </x:c>
      <x:c r="J59" s="48" t="n">
        <x:f>IF(I59&gt;1,30,0)+IF(D59="",25,0)+IF(E59&lt;&gt;"Verified",25,0)+IF(AND(F59="Inactive",G59&gt;0),20,0)+IF(H59&gt;100000,10,0)</x:f>
        <x:v>10</x:v>
      </x:c>
      <x:c r="K59" s="48" t="str">
        <x:f>IF(J59&gt;=60,"High",IF(J59&gt;=30,"Medium","Low"))</x:f>
        <x:v>Low</x:v>
      </x:c>
      <x:c r="L59" s="49" t="str">
        <x:f>IF(K59="High","Block/update vendor before payment",IF(K59="Medium","Request vendor data update","No action"))</x:f>
        <x:v>No action</x:v>
      </x:c>
    </x:row>
    <x:row r="60">
      <x:c r="A60" s="47" t="str">
        <x:v>VEN-0059</x:v>
      </x:c>
      <x:c r="B60" s="48" t="str">
        <x:v>Metro Trading 59</x:v>
      </x:c>
      <x:c r="C60" s="48" t="str">
        <x:f>UPPER(SUBSTITUTE(SUBSTITUTE(SUBSTITUTE(B60," INC.","")," LTD","")," INCORPORATED",""))</x:f>
        <x:v>METRO TRADING 59</x:v>
      </x:c>
      <x:c r="D60" s="48" t="str">
        <x:v>284895997RT0001</x:v>
      </x:c>
      <x:c r="E60" s="48" t="str">
        <x:v>Verified</x:v>
      </x:c>
      <x:c r="F60" s="48" t="str">
        <x:v>Active</x:v>
      </x:c>
      <x:c r="G60" s="48" t="n">
        <x:v>5</x:v>
      </x:c>
      <x:c r="H60" s="68" t="n">
        <x:v>94084.91</x:v>
      </x:c>
      <x:c r="I60" s="48" t="n">
        <x:f>COUNTIF($C:$C,C60)</x:f>
        <x:v>1</x:v>
      </x:c>
      <x:c r="J60" s="48" t="n">
        <x:f>IF(I60&gt;1,30,0)+IF(D60="",25,0)+IF(E60&lt;&gt;"Verified",25,0)+IF(AND(F60="Inactive",G60&gt;0),20,0)+IF(H60&gt;100000,10,0)</x:f>
        <x:v>0</x:v>
      </x:c>
      <x:c r="K60" s="48" t="str">
        <x:f>IF(J60&gt;=60,"High",IF(J60&gt;=30,"Medium","Low"))</x:f>
        <x:v>Low</x:v>
      </x:c>
      <x:c r="L60" s="49" t="str">
        <x:f>IF(K60="High","Block/update vendor before payment",IF(K60="Medium","Request vendor data update","No action"))</x:f>
        <x:v>No action</x:v>
      </x:c>
    </x:row>
    <x:row r="61">
      <x:c r="A61" s="47" t="str">
        <x:v>VEN-0060</x:v>
      </x:c>
      <x:c r="B61" s="48" t="str">
        <x:v>Global Trading 60</x:v>
      </x:c>
      <x:c r="C61" s="48" t="str">
        <x:f>UPPER(SUBSTITUTE(SUBSTITUTE(SUBSTITUTE(B61," INC.","")," LTD","")," INCORPORATED",""))</x:f>
        <x:v>GLOBAL TRADING 60</x:v>
      </x:c>
      <x:c r="D61" s="48" t="str">
        <x:v>438117541RT0001</x:v>
      </x:c>
      <x:c r="E61" s="48" t="str">
        <x:v>Verified</x:v>
      </x:c>
      <x:c r="F61" s="48" t="str">
        <x:v>Active</x:v>
      </x:c>
      <x:c r="G61" s="48" t="n">
        <x:v>12</x:v>
      </x:c>
      <x:c r="H61" s="68" t="n">
        <x:v>155508.99</x:v>
      </x:c>
      <x:c r="I61" s="48" t="n">
        <x:f>COUNTIF($C:$C,C61)</x:f>
        <x:v>1</x:v>
      </x:c>
      <x:c r="J61" s="48" t="n">
        <x:f>IF(I61&gt;1,30,0)+IF(D61="",25,0)+IF(E61&lt;&gt;"Verified",25,0)+IF(AND(F61="Inactive",G61&gt;0),20,0)+IF(H61&gt;100000,10,0)</x:f>
        <x:v>10</x:v>
      </x:c>
      <x:c r="K61" s="48" t="str">
        <x:f>IF(J61&gt;=60,"High",IF(J61&gt;=30,"Medium","Low"))</x:f>
        <x:v>Low</x:v>
      </x:c>
      <x:c r="L61" s="49" t="str">
        <x:f>IF(K61="High","Block/update vendor before payment",IF(K61="Medium","Request vendor data update","No action"))</x:f>
        <x:v>No action</x:v>
      </x:c>
    </x:row>
    <x:row r="62">
      <x:c r="A62" s="47" t="str">
        <x:v>VEN-0061</x:v>
      </x:c>
      <x:c r="B62" s="48" t="str">
        <x:v>Prime Trading 61</x:v>
      </x:c>
      <x:c r="C62" s="48" t="str">
        <x:f>UPPER(SUBSTITUTE(SUBSTITUTE(SUBSTITUTE(B62," INC.","")," LTD","")," INCORPORATED",""))</x:f>
        <x:v>PRIME TRADING 61</x:v>
      </x:c>
      <x:c r="D62" s="48" t="str">
        <x:v>162001303RT0001</x:v>
      </x:c>
      <x:c r="E62" s="48" t="str">
        <x:v>Verified</x:v>
      </x:c>
      <x:c r="F62" s="48" t="str">
        <x:v>Active</x:v>
      </x:c>
      <x:c r="G62" s="48" t="n">
        <x:v>28</x:v>
      </x:c>
      <x:c r="H62" s="68" t="n">
        <x:v>37524.13</x:v>
      </x:c>
      <x:c r="I62" s="48" t="n">
        <x:f>COUNTIF($C:$C,C62)</x:f>
        <x:v>1</x:v>
      </x:c>
      <x:c r="J62" s="48" t="n">
        <x:f>IF(I62&gt;1,30,0)+IF(D62="",25,0)+IF(E62&lt;&gt;"Verified",25,0)+IF(AND(F62="Inactive",G62&gt;0),20,0)+IF(H62&gt;100000,10,0)</x:f>
        <x:v>0</x:v>
      </x:c>
      <x:c r="K62" s="48" t="str">
        <x:f>IF(J62&gt;=60,"High",IF(J62&gt;=30,"Medium","Low"))</x:f>
        <x:v>Low</x:v>
      </x:c>
      <x:c r="L62" s="49" t="str">
        <x:f>IF(K62="High","Block/update vendor before payment",IF(K62="Medium","Request vendor data update","No action"))</x:f>
        <x:v>No action</x:v>
      </x:c>
    </x:row>
    <x:row r="63">
      <x:c r="A63" s="47" t="str">
        <x:v>VEN-0062</x:v>
      </x:c>
      <x:c r="B63" s="48" t="str">
        <x:v>Pacific Logistics 62</x:v>
      </x:c>
      <x:c r="C63" s="48" t="str">
        <x:f>UPPER(SUBSTITUTE(SUBSTITUTE(SUBSTITUTE(B63," INC.","")," LTD","")," INCORPORATED",""))</x:f>
        <x:v>PACIFIC LOGISTICS 62</x:v>
      </x:c>
      <x:c r="D63" s="48" t="str">
        <x:v>477405260RT0001</x:v>
      </x:c>
      <x:c r="E63" s="48" t="str">
        <x:v>Verified</x:v>
      </x:c>
      <x:c r="F63" s="48" t="str">
        <x:v>Active</x:v>
      </x:c>
      <x:c r="G63" s="48" t="n">
        <x:v>39</x:v>
      </x:c>
      <x:c r="H63" s="68" t="n">
        <x:v>24313.33</x:v>
      </x:c>
      <x:c r="I63" s="48" t="n">
        <x:f>COUNTIF($C:$C,C63)</x:f>
        <x:v>1</x:v>
      </x:c>
      <x:c r="J63" s="48" t="n">
        <x:f>IF(I63&gt;1,30,0)+IF(D63="",25,0)+IF(E63&lt;&gt;"Verified",25,0)+IF(AND(F63="Inactive",G63&gt;0),20,0)+IF(H63&gt;100000,10,0)</x:f>
        <x:v>0</x:v>
      </x:c>
      <x:c r="K63" s="48" t="str">
        <x:f>IF(J63&gt;=60,"High",IF(J63&gt;=30,"Medium","Low"))</x:f>
        <x:v>Low</x:v>
      </x:c>
      <x:c r="L63" s="49" t="str">
        <x:f>IF(K63="High","Block/update vendor before payment",IF(K63="Medium","Request vendor data update","No action"))</x:f>
        <x:v>No action</x:v>
      </x:c>
    </x:row>
    <x:row r="64">
      <x:c r="A64" s="47" t="str">
        <x:v>VEN-0063</x:v>
      </x:c>
      <x:c r="B64" s="48" t="str">
        <x:v>Pacific Trading 63</x:v>
      </x:c>
      <x:c r="C64" s="48" t="str">
        <x:f>UPPER(SUBSTITUTE(SUBSTITUTE(SUBSTITUTE(B64," INC.","")," LTD","")," INCORPORATED",""))</x:f>
        <x:v>PACIFIC TRADING 63</x:v>
      </x:c>
      <x:c r="D64" s="48" t="str">
        <x:v>940714187RT0001</x:v>
      </x:c>
      <x:c r="E64" s="48" t="str">
        <x:v>Verified</x:v>
      </x:c>
      <x:c r="F64" s="48" t="str">
        <x:v>Active</x:v>
      </x:c>
      <x:c r="G64" s="48" t="n">
        <x:v>22</x:v>
      </x:c>
      <x:c r="H64" s="68" t="n">
        <x:v>14110.42</x:v>
      </x:c>
      <x:c r="I64" s="48" t="n">
        <x:f>COUNTIF($C:$C,C64)</x:f>
        <x:v>1</x:v>
      </x:c>
      <x:c r="J64" s="48" t="n">
        <x:f>IF(I64&gt;1,30,0)+IF(D64="",25,0)+IF(E64&lt;&gt;"Verified",25,0)+IF(AND(F64="Inactive",G64&gt;0),20,0)+IF(H64&gt;100000,10,0)</x:f>
        <x:v>0</x:v>
      </x:c>
      <x:c r="K64" s="48" t="str">
        <x:f>IF(J64&gt;=60,"High",IF(J64&gt;=30,"Medium","Low"))</x:f>
        <x:v>Low</x:v>
      </x:c>
      <x:c r="L64" s="49" t="str">
        <x:f>IF(K64="High","Block/update vendor before payment",IF(K64="Medium","Request vendor data update","No action"))</x:f>
        <x:v>No action</x:v>
      </x:c>
    </x:row>
    <x:row r="65">
      <x:c r="A65" s="47" t="str">
        <x:v>VEN-0064</x:v>
      </x:c>
      <x:c r="B65" s="48" t="str">
        <x:v>Prime Trading 64</x:v>
      </x:c>
      <x:c r="C65" s="48" t="str">
        <x:f>UPPER(SUBSTITUTE(SUBSTITUTE(SUBSTITUTE(B65," INC.","")," LTD","")," INCORPORATED",""))</x:f>
        <x:v>PRIME TRADING 64</x:v>
      </x:c>
      <x:c r="D65" s="48" t="str">
        <x:v>760622394RT0001</x:v>
      </x:c>
      <x:c r="E65" s="48" t="str">
        <x:v>Verified</x:v>
      </x:c>
      <x:c r="F65" s="48" t="str">
        <x:v>Active</x:v>
      </x:c>
      <x:c r="G65" s="48" t="n">
        <x:v>39</x:v>
      </x:c>
      <x:c r="H65" s="68" t="n">
        <x:v>88878.73</x:v>
      </x:c>
      <x:c r="I65" s="48" t="n">
        <x:f>COUNTIF($C:$C,C65)</x:f>
        <x:v>1</x:v>
      </x:c>
      <x:c r="J65" s="48" t="n">
        <x:f>IF(I65&gt;1,30,0)+IF(D65="",25,0)+IF(E65&lt;&gt;"Verified",25,0)+IF(AND(F65="Inactive",G65&gt;0),20,0)+IF(H65&gt;100000,10,0)</x:f>
        <x:v>0</x:v>
      </x:c>
      <x:c r="K65" s="48" t="str">
        <x:f>IF(J65&gt;=60,"High",IF(J65&gt;=30,"Medium","Low"))</x:f>
        <x:v>Low</x:v>
      </x:c>
      <x:c r="L65" s="49" t="str">
        <x:f>IF(K65="High","Block/update vendor before payment",IF(K65="Medium","Request vendor data update","No action"))</x:f>
        <x:v>No action</x:v>
      </x:c>
    </x:row>
    <x:row r="66">
      <x:c r="A66" s="47" t="str">
        <x:v>VEN-0065</x:v>
      </x:c>
      <x:c r="B66" s="48" t="str">
        <x:v>Prime Trading</x:v>
      </x:c>
      <x:c r="C66" s="48" t="str">
        <x:f>UPPER(SUBSTITUTE(SUBSTITUTE(SUBSTITUTE(B66," INC.","")," LTD","")," INCORPORATED",""))</x:f>
        <x:v>PRIME TRADING</x:v>
      </x:c>
      <x:c r="D66" s="48" t="str">
        <x:v>568237399RT0001</x:v>
      </x:c>
      <x:c r="E66" s="48" t="str">
        <x:v>Verified</x:v>
      </x:c>
      <x:c r="F66" s="48" t="str">
        <x:v>Inactive</x:v>
      </x:c>
      <x:c r="G66" s="48" t="n">
        <x:v>34</x:v>
      </x:c>
      <x:c r="H66" s="68" t="n">
        <x:v>45339.22</x:v>
      </x:c>
      <x:c r="I66" s="48" t="n">
        <x:f>COUNTIF($C:$C,C66)</x:f>
        <x:v>1</x:v>
      </x:c>
      <x:c r="J66" s="48" t="n">
        <x:f>IF(I66&gt;1,30,0)+IF(D66="",25,0)+IF(E66&lt;&gt;"Verified",25,0)+IF(AND(F66="Inactive",G66&gt;0),20,0)+IF(H66&gt;100000,10,0)</x:f>
        <x:v>20</x:v>
      </x:c>
      <x:c r="K66" s="48" t="str">
        <x:f>IF(J66&gt;=60,"High",IF(J66&gt;=30,"Medium","Low"))</x:f>
        <x:v>Low</x:v>
      </x:c>
      <x:c r="L66" s="49" t="str">
        <x:f>IF(K66="High","Block/update vendor before payment",IF(K66="Medium","Request vendor data update","No action"))</x:f>
        <x:v>No action</x:v>
      </x:c>
    </x:row>
    <x:row r="67">
      <x:c r="A67" s="47" t="str">
        <x:v>VEN-0066</x:v>
      </x:c>
      <x:c r="B67" s="48" t="str">
        <x:v>Maple Logistics 66</x:v>
      </x:c>
      <x:c r="C67" s="48" t="str">
        <x:f>UPPER(SUBSTITUTE(SUBSTITUTE(SUBSTITUTE(B67," INC.","")," LTD","")," INCORPORATED",""))</x:f>
        <x:v>MAPLE LOGISTICS 66</x:v>
      </x:c>
      <x:c r="D67" s="48" t="str">
        <x:v>263070561RT0001</x:v>
      </x:c>
      <x:c r="E67" s="48" t="str">
        <x:v>Verified</x:v>
      </x:c>
      <x:c r="F67" s="48" t="str">
        <x:v>Active</x:v>
      </x:c>
      <x:c r="G67" s="48" t="n">
        <x:v>37</x:v>
      </x:c>
      <x:c r="H67" s="68" t="n">
        <x:v>44583.59</x:v>
      </x:c>
      <x:c r="I67" s="48" t="n">
        <x:f>COUNTIF($C:$C,C67)</x:f>
        <x:v>1</x:v>
      </x:c>
      <x:c r="J67" s="48" t="n">
        <x:f>IF(I67&gt;1,30,0)+IF(D67="",25,0)+IF(E67&lt;&gt;"Verified",25,0)+IF(AND(F67="Inactive",G67&gt;0),20,0)+IF(H67&gt;100000,10,0)</x:f>
        <x:v>0</x:v>
      </x:c>
      <x:c r="K67" s="48" t="str">
        <x:f>IF(J67&gt;=60,"High",IF(J67&gt;=30,"Medium","Low"))</x:f>
        <x:v>Low</x:v>
      </x:c>
      <x:c r="L67" s="49" t="str">
        <x:f>IF(K67="High","Block/update vendor before payment",IF(K67="Medium","Request vendor data update","No action"))</x:f>
        <x:v>No action</x:v>
      </x:c>
    </x:row>
    <x:row r="68">
      <x:c r="A68" s="47" t="str">
        <x:v>VEN-0067</x:v>
      </x:c>
      <x:c r="B68" s="48" t="str">
        <x:v>Maple Logistics 67</x:v>
      </x:c>
      <x:c r="C68" s="48" t="str">
        <x:f>UPPER(SUBSTITUTE(SUBSTITUTE(SUBSTITUTE(B68," INC.","")," LTD","")," INCORPORATED",""))</x:f>
        <x:v>MAPLE LOGISTICS 67</x:v>
      </x:c>
      <x:c r="D68" s="48" t="str">
        <x:v>814924695RT0001</x:v>
      </x:c>
      <x:c r="E68" s="48" t="str">
        <x:v>Missing</x:v>
      </x:c>
      <x:c r="F68" s="48" t="str">
        <x:v>Active</x:v>
      </x:c>
      <x:c r="G68" s="48" t="n">
        <x:v>8</x:v>
      </x:c>
      <x:c r="H68" s="68" t="n">
        <x:v>149443.06</x:v>
      </x:c>
      <x:c r="I68" s="48" t="n">
        <x:f>COUNTIF($C:$C,C68)</x:f>
        <x:v>1</x:v>
      </x:c>
      <x:c r="J68" s="48" t="n">
        <x:f>IF(I68&gt;1,30,0)+IF(D68="",25,0)+IF(E68&lt;&gt;"Verified",25,0)+IF(AND(F68="Inactive",G68&gt;0),20,0)+IF(H68&gt;100000,10,0)</x:f>
        <x:v>35</x:v>
      </x:c>
      <x:c r="K68" s="48" t="str">
        <x:f>IF(J68&gt;=60,"High",IF(J68&gt;=30,"Medium","Low"))</x:f>
        <x:v>Medium</x:v>
      </x:c>
      <x:c r="L68" s="49" t="str">
        <x:f>IF(K68="High","Block/update vendor before payment",IF(K68="Medium","Request vendor data update","No action"))</x:f>
        <x:v>Request vendor data update</x:v>
      </x:c>
    </x:row>
    <x:row r="69">
      <x:c r="A69" s="47" t="str">
        <x:v>VEN-0068</x:v>
      </x:c>
      <x:c r="B69" s="48" t="str">
        <x:v>Global Services 68</x:v>
      </x:c>
      <x:c r="C69" s="48" t="str">
        <x:f>UPPER(SUBSTITUTE(SUBSTITUTE(SUBSTITUTE(B69," INC.","")," LTD","")," INCORPORATED",""))</x:f>
        <x:v>GLOBAL SERVICES 68</x:v>
      </x:c>
      <x:c r="D69" s="48" t="str">
        <x:v>950933326RT0001</x:v>
      </x:c>
      <x:c r="E69" s="48" t="str">
        <x:v>Outdated</x:v>
      </x:c>
      <x:c r="F69" s="48" t="str">
        <x:v>Active</x:v>
      </x:c>
      <x:c r="G69" s="48" t="n">
        <x:v>2</x:v>
      </x:c>
      <x:c r="H69" s="68" t="n">
        <x:v>51996.51</x:v>
      </x:c>
      <x:c r="I69" s="48" t="n">
        <x:f>COUNTIF($C:$C,C69)</x:f>
        <x:v>1</x:v>
      </x:c>
      <x:c r="J69" s="48" t="n">
        <x:f>IF(I69&gt;1,30,0)+IF(D69="",25,0)+IF(E69&lt;&gt;"Verified",25,0)+IF(AND(F69="Inactive",G69&gt;0),20,0)+IF(H69&gt;100000,10,0)</x:f>
        <x:v>25</x:v>
      </x:c>
      <x:c r="K69" s="48" t="str">
        <x:f>IF(J69&gt;=60,"High",IF(J69&gt;=30,"Medium","Low"))</x:f>
        <x:v>Low</x:v>
      </x:c>
      <x:c r="L69" s="49" t="str">
        <x:f>IF(K69="High","Block/update vendor before payment",IF(K69="Medium","Request vendor data update","No action"))</x:f>
        <x:v>No action</x:v>
      </x:c>
    </x:row>
    <x:row r="70">
      <x:c r="A70" s="47" t="str">
        <x:v>VEN-0069</x:v>
      </x:c>
      <x:c r="B70" s="48" t="str">
        <x:v>Urban Supply 69</x:v>
      </x:c>
      <x:c r="C70" s="48" t="str">
        <x:f>UPPER(SUBSTITUTE(SUBSTITUTE(SUBSTITUTE(B70," INC.","")," LTD","")," INCORPORATED",""))</x:f>
        <x:v>URBAN SUPPLY 69</x:v>
      </x:c>
      <x:c r="D70" s="48" t="str">
        <x:v>174710151RT0001</x:v>
      </x:c>
      <x:c r="E70" s="48" t="str">
        <x:v>Missing</x:v>
      </x:c>
      <x:c r="F70" s="48" t="str">
        <x:v>Active</x:v>
      </x:c>
      <x:c r="G70" s="48" t="n">
        <x:v>13</x:v>
      </x:c>
      <x:c r="H70" s="68" t="n">
        <x:v>63661.41</x:v>
      </x:c>
      <x:c r="I70" s="48" t="n">
        <x:f>COUNTIF($C:$C,C70)</x:f>
        <x:v>1</x:v>
      </x:c>
      <x:c r="J70" s="48" t="n">
        <x:f>IF(I70&gt;1,30,0)+IF(D70="",25,0)+IF(E70&lt;&gt;"Verified",25,0)+IF(AND(F70="Inactive",G70&gt;0),20,0)+IF(H70&gt;100000,10,0)</x:f>
        <x:v>25</x:v>
      </x:c>
      <x:c r="K70" s="48" t="str">
        <x:f>IF(J70&gt;=60,"High",IF(J70&gt;=30,"Medium","Low"))</x:f>
        <x:v>Low</x:v>
      </x:c>
      <x:c r="L70" s="49" t="str">
        <x:f>IF(K70="High","Block/update vendor before payment",IF(K70="Medium","Request vendor data update","No action"))</x:f>
        <x:v>No action</x:v>
      </x:c>
    </x:row>
    <x:row r="71">
      <x:c r="A71" s="47" t="str">
        <x:v>VEN-0070</x:v>
      </x:c>
      <x:c r="B71" s="48" t="str">
        <x:v>Prime Trading 70</x:v>
      </x:c>
      <x:c r="C71" s="48" t="str">
        <x:f>UPPER(SUBSTITUTE(SUBSTITUTE(SUBSTITUTE(B71," INC.","")," LTD","")," INCORPORATED",""))</x:f>
        <x:v>PRIME TRADING 70</x:v>
      </x:c>
      <x:c r="D71" s="48" t="str">
        <x:v>193844386RT0001</x:v>
      </x:c>
      <x:c r="E71" s="48" t="str">
        <x:v>Verified</x:v>
      </x:c>
      <x:c r="F71" s="48" t="str">
        <x:v>Inactive</x:v>
      </x:c>
      <x:c r="G71" s="48" t="n">
        <x:v>33</x:v>
      </x:c>
      <x:c r="H71" s="68" t="n">
        <x:v>177809.56</x:v>
      </x:c>
      <x:c r="I71" s="48" t="n">
        <x:f>COUNTIF($C:$C,C71)</x:f>
        <x:v>1</x:v>
      </x:c>
      <x:c r="J71" s="48" t="n">
        <x:f>IF(I71&gt;1,30,0)+IF(D71="",25,0)+IF(E71&lt;&gt;"Verified",25,0)+IF(AND(F71="Inactive",G71&gt;0),20,0)+IF(H71&gt;100000,10,0)</x:f>
        <x:v>30</x:v>
      </x:c>
      <x:c r="K71" s="48" t="str">
        <x:f>IF(J71&gt;=60,"High",IF(J71&gt;=30,"Medium","Low"))</x:f>
        <x:v>Medium</x:v>
      </x:c>
      <x:c r="L71" s="49" t="str">
        <x:f>IF(K71="High","Block/update vendor before payment",IF(K71="Medium","Request vendor data update","No action"))</x:f>
        <x:v>Request vendor data update</x:v>
      </x:c>
    </x:row>
    <x:row r="72">
      <x:c r="A72" s="47" t="str">
        <x:v>VEN-0071</x:v>
      </x:c>
      <x:c r="B72" s="48" t="str">
        <x:v>Maple Trading 71</x:v>
      </x:c>
      <x:c r="C72" s="48" t="str">
        <x:f>UPPER(SUBSTITUTE(SUBSTITUTE(SUBSTITUTE(B72," INC.","")," LTD","")," INCORPORATED",""))</x:f>
        <x:v>MAPLE TRADING 71</x:v>
      </x:c>
      <x:c r="D72" s="48" t="str">
        <x:v>902426600RT0001</x:v>
      </x:c>
      <x:c r="E72" s="48" t="str">
        <x:v>Verified</x:v>
      </x:c>
      <x:c r="F72" s="48" t="str">
        <x:v>Inactive</x:v>
      </x:c>
      <x:c r="G72" s="48" t="n">
        <x:v>4</x:v>
      </x:c>
      <x:c r="H72" s="68" t="n">
        <x:v>143928.47</x:v>
      </x:c>
      <x:c r="I72" s="48" t="n">
        <x:f>COUNTIF($C:$C,C72)</x:f>
        <x:v>1</x:v>
      </x:c>
      <x:c r="J72" s="48" t="n">
        <x:f>IF(I72&gt;1,30,0)+IF(D72="",25,0)+IF(E72&lt;&gt;"Verified",25,0)+IF(AND(F72="Inactive",G72&gt;0),20,0)+IF(H72&gt;100000,10,0)</x:f>
        <x:v>30</x:v>
      </x:c>
      <x:c r="K72" s="48" t="str">
        <x:f>IF(J72&gt;=60,"High",IF(J72&gt;=30,"Medium","Low"))</x:f>
        <x:v>Medium</x:v>
      </x:c>
      <x:c r="L72" s="49" t="str">
        <x:f>IF(K72="High","Block/update vendor before payment",IF(K72="Medium","Request vendor data update","No action"))</x:f>
        <x:v>Request vendor data update</x:v>
      </x:c>
    </x:row>
    <x:row r="73">
      <x:c r="A73" s="47" t="str">
        <x:v>VEN-0072</x:v>
      </x:c>
      <x:c r="B73" s="48" t="str">
        <x:v>Prime Logistics 72</x:v>
      </x:c>
      <x:c r="C73" s="48" t="str">
        <x:f>UPPER(SUBSTITUTE(SUBSTITUTE(SUBSTITUTE(B73," INC.","")," LTD","")," INCORPORATED",""))</x:f>
        <x:v>PRIME LOGISTICS 72</x:v>
      </x:c>
      <x:c r="D73" s="48" t="str">
        <x:v>503934505RT0001</x:v>
      </x:c>
      <x:c r="E73" s="48" t="str">
        <x:v>Verified</x:v>
      </x:c>
      <x:c r="F73" s="48" t="str">
        <x:v>Inactive</x:v>
      </x:c>
      <x:c r="G73" s="48" t="n">
        <x:v>28</x:v>
      </x:c>
      <x:c r="H73" s="68" t="n">
        <x:v>151304.69</x:v>
      </x:c>
      <x:c r="I73" s="48" t="n">
        <x:f>COUNTIF($C:$C,C73)</x:f>
        <x:v>1</x:v>
      </x:c>
      <x:c r="J73" s="48" t="n">
        <x:f>IF(I73&gt;1,30,0)+IF(D73="",25,0)+IF(E73&lt;&gt;"Verified",25,0)+IF(AND(F73="Inactive",G73&gt;0),20,0)+IF(H73&gt;100000,10,0)</x:f>
        <x:v>30</x:v>
      </x:c>
      <x:c r="K73" s="48" t="str">
        <x:f>IF(J73&gt;=60,"High",IF(J73&gt;=30,"Medium","Low"))</x:f>
        <x:v>Medium</x:v>
      </x:c>
      <x:c r="L73" s="49" t="str">
        <x:f>IF(K73="High","Block/update vendor before payment",IF(K73="Medium","Request vendor data update","No action"))</x:f>
        <x:v>Request vendor data update</x:v>
      </x:c>
    </x:row>
    <x:row r="74">
      <x:c r="A74" s="47" t="str">
        <x:v>VEN-0073</x:v>
      </x:c>
      <x:c r="B74" s="48" t="str">
        <x:v>Pacific Logistics 73</x:v>
      </x:c>
      <x:c r="C74" s="48" t="str">
        <x:f>UPPER(SUBSTITUTE(SUBSTITUTE(SUBSTITUTE(B74," INC.","")," LTD","")," INCORPORATED",""))</x:f>
        <x:v>PACIFIC LOGISTICS 73</x:v>
      </x:c>
      <x:c r="D74" s="48" t="str">
        <x:v>688076312RT0001</x:v>
      </x:c>
      <x:c r="E74" s="48" t="str">
        <x:v>Verified</x:v>
      </x:c>
      <x:c r="F74" s="48" t="str">
        <x:v>Active</x:v>
      </x:c>
      <x:c r="G74" s="48" t="n">
        <x:v>30</x:v>
      </x:c>
      <x:c r="H74" s="68" t="n">
        <x:v>92359.34</x:v>
      </x:c>
      <x:c r="I74" s="48" t="n">
        <x:f>COUNTIF($C:$C,C74)</x:f>
        <x:v>1</x:v>
      </x:c>
      <x:c r="J74" s="48" t="n">
        <x:f>IF(I74&gt;1,30,0)+IF(D74="",25,0)+IF(E74&lt;&gt;"Verified",25,0)+IF(AND(F74="Inactive",G74&gt;0),20,0)+IF(H74&gt;100000,10,0)</x:f>
        <x:v>0</x:v>
      </x:c>
      <x:c r="K74" s="48" t="str">
        <x:f>IF(J74&gt;=60,"High",IF(J74&gt;=30,"Medium","Low"))</x:f>
        <x:v>Low</x:v>
      </x:c>
      <x:c r="L74" s="49" t="str">
        <x:f>IF(K74="High","Block/update vendor before payment",IF(K74="Medium","Request vendor data update","No action"))</x:f>
        <x:v>No action</x:v>
      </x:c>
    </x:row>
    <x:row r="75">
      <x:c r="A75" s="47" t="str">
        <x:v>VEN-0074</x:v>
      </x:c>
      <x:c r="B75" s="48" t="str">
        <x:v>Global Logistics 74</x:v>
      </x:c>
      <x:c r="C75" s="48" t="str">
        <x:f>UPPER(SUBSTITUTE(SUBSTITUTE(SUBSTITUTE(B75," INC.","")," LTD","")," INCORPORATED",""))</x:f>
        <x:v>GLOBAL LOGISTICS 74</x:v>
      </x:c>
      <x:c r="D75" s="48" t="str">
        <x:v>906200546RT0001</x:v>
      </x:c>
      <x:c r="E75" s="48" t="str">
        <x:v>Verified</x:v>
      </x:c>
      <x:c r="F75" s="48" t="str">
        <x:v>Active</x:v>
      </x:c>
      <x:c r="G75" s="48" t="n">
        <x:v>9</x:v>
      </x:c>
      <x:c r="H75" s="68" t="n">
        <x:v>113264.84</x:v>
      </x:c>
      <x:c r="I75" s="48" t="n">
        <x:f>COUNTIF($C:$C,C75)</x:f>
        <x:v>1</x:v>
      </x:c>
      <x:c r="J75" s="48" t="n">
        <x:f>IF(I75&gt;1,30,0)+IF(D75="",25,0)+IF(E75&lt;&gt;"Verified",25,0)+IF(AND(F75="Inactive",G75&gt;0),20,0)+IF(H75&gt;100000,10,0)</x:f>
        <x:v>10</x:v>
      </x:c>
      <x:c r="K75" s="48" t="str">
        <x:f>IF(J75&gt;=60,"High",IF(J75&gt;=30,"Medium","Low"))</x:f>
        <x:v>Low</x:v>
      </x:c>
      <x:c r="L75" s="49" t="str">
        <x:f>IF(K75="High","Block/update vendor before payment",IF(K75="Medium","Request vendor data update","No action"))</x:f>
        <x:v>No action</x:v>
      </x:c>
    </x:row>
    <x:row r="76">
      <x:c r="A76" s="47" t="str">
        <x:v>VEN-0075</x:v>
      </x:c>
      <x:c r="B76" s="48" t="str">
        <x:v>Maple Trading 75</x:v>
      </x:c>
      <x:c r="C76" s="48" t="str">
        <x:f>UPPER(SUBSTITUTE(SUBSTITUTE(SUBSTITUTE(B76," INC.","")," LTD","")," INCORPORATED",""))</x:f>
        <x:v>MAPLE TRADING 75</x:v>
      </x:c>
      <x:c r="D76" s="48" t="str">
        <x:v>745667616RT0001</x:v>
      </x:c>
      <x:c r="E76" s="48" t="str">
        <x:v>Verified</x:v>
      </x:c>
      <x:c r="F76" s="48" t="str">
        <x:v>Active</x:v>
      </x:c>
      <x:c r="G76" s="48" t="n">
        <x:v>24</x:v>
      </x:c>
      <x:c r="H76" s="68" t="n">
        <x:v>18061.9</x:v>
      </x:c>
      <x:c r="I76" s="48" t="n">
        <x:f>COUNTIF($C:$C,C76)</x:f>
        <x:v>1</x:v>
      </x:c>
      <x:c r="J76" s="48" t="n">
        <x:f>IF(I76&gt;1,30,0)+IF(D76="",25,0)+IF(E76&lt;&gt;"Verified",25,0)+IF(AND(F76="Inactive",G76&gt;0),20,0)+IF(H76&gt;100000,10,0)</x:f>
        <x:v>0</x:v>
      </x:c>
      <x:c r="K76" s="48" t="str">
        <x:f>IF(J76&gt;=60,"High",IF(J76&gt;=30,"Medium","Low"))</x:f>
        <x:v>Low</x:v>
      </x:c>
      <x:c r="L76" s="49" t="str">
        <x:f>IF(K76="High","Block/update vendor before payment",IF(K76="Medium","Request vendor data update","No action"))</x:f>
        <x:v>No action</x:v>
      </x:c>
    </x:row>
    <x:row r="77">
      <x:c r="A77" s="47" t="str">
        <x:v>VEN-0076</x:v>
      </x:c>
      <x:c r="B77" s="48" t="str">
        <x:v>Urban Trading 76</x:v>
      </x:c>
      <x:c r="C77" s="48" t="str">
        <x:f>UPPER(SUBSTITUTE(SUBSTITUTE(SUBSTITUTE(B77," INC.","")," LTD","")," INCORPORATED",""))</x:f>
        <x:v>URBAN TRADING 76</x:v>
      </x:c>
      <x:c r="D77" s="48" t="str">
        <x:v>589043275RT0001</x:v>
      </x:c>
      <x:c r="E77" s="48" t="str">
        <x:v>Verified</x:v>
      </x:c>
      <x:c r="F77" s="48" t="str">
        <x:v>Inactive</x:v>
      </x:c>
      <x:c r="G77" s="48" t="n">
        <x:v>0</x:v>
      </x:c>
      <x:c r="H77" s="68" t="n">
        <x:v>151057.28</x:v>
      </x:c>
      <x:c r="I77" s="48" t="n">
        <x:f>COUNTIF($C:$C,C77)</x:f>
        <x:v>1</x:v>
      </x:c>
      <x:c r="J77" s="48" t="n">
        <x:f>IF(I77&gt;1,30,0)+IF(D77="",25,0)+IF(E77&lt;&gt;"Verified",25,0)+IF(AND(F77="Inactive",G77&gt;0),20,0)+IF(H77&gt;100000,10,0)</x:f>
        <x:v>10</x:v>
      </x:c>
      <x:c r="K77" s="48" t="str">
        <x:f>IF(J77&gt;=60,"High",IF(J77&gt;=30,"Medium","Low"))</x:f>
        <x:v>Low</x:v>
      </x:c>
      <x:c r="L77" s="49" t="str">
        <x:f>IF(K77="High","Block/update vendor before payment",IF(K77="Medium","Request vendor data update","No action"))</x:f>
        <x:v>No action</x:v>
      </x:c>
    </x:row>
    <x:row r="78">
      <x:c r="A78" s="47" t="str">
        <x:v>VEN-0077</x:v>
      </x:c>
      <x:c r="B78" s="48" t="str">
        <x:v>Urban Logistics 77</x:v>
      </x:c>
      <x:c r="C78" s="48" t="str">
        <x:f>UPPER(SUBSTITUTE(SUBSTITUTE(SUBSTITUTE(B78," INC.","")," LTD","")," INCORPORATED",""))</x:f>
        <x:v>URBAN LOGISTICS 77</x:v>
      </x:c>
      <x:c r="D78" s="48" t="str">
        <x:v>176916080RT0001</x:v>
      </x:c>
      <x:c r="E78" s="48" t="str">
        <x:v>Verified</x:v>
      </x:c>
      <x:c r="F78" s="48" t="str">
        <x:v>Active</x:v>
      </x:c>
      <x:c r="G78" s="48" t="n">
        <x:v>31</x:v>
      </x:c>
      <x:c r="H78" s="68" t="n">
        <x:v>61197.9</x:v>
      </x:c>
      <x:c r="I78" s="48" t="n">
        <x:f>COUNTIF($C:$C,C78)</x:f>
        <x:v>1</x:v>
      </x:c>
      <x:c r="J78" s="48" t="n">
        <x:f>IF(I78&gt;1,30,0)+IF(D78="",25,0)+IF(E78&lt;&gt;"Verified",25,0)+IF(AND(F78="Inactive",G78&gt;0),20,0)+IF(H78&gt;100000,10,0)</x:f>
        <x:v>0</x:v>
      </x:c>
      <x:c r="K78" s="48" t="str">
        <x:f>IF(J78&gt;=60,"High",IF(J78&gt;=30,"Medium","Low"))</x:f>
        <x:v>Low</x:v>
      </x:c>
      <x:c r="L78" s="49" t="str">
        <x:f>IF(K78="High","Block/update vendor before payment",IF(K78="Medium","Request vendor data update","No action"))</x:f>
        <x:v>No action</x:v>
      </x:c>
    </x:row>
    <x:row r="79">
      <x:c r="A79" s="47" t="str">
        <x:v>VEN-0078</x:v>
      </x:c>
      <x:c r="B79" s="48" t="str">
        <x:v>Prime Supply 78</x:v>
      </x:c>
      <x:c r="C79" s="48" t="str">
        <x:f>UPPER(SUBSTITUTE(SUBSTITUTE(SUBSTITUTE(B79," INC.","")," LTD","")," INCORPORATED",""))</x:f>
        <x:v>PRIME SUPPLY 78</x:v>
      </x:c>
      <x:c r="D79" s="48" t="str"/>
      <x:c r="E79" s="48" t="str">
        <x:v>Outdated</x:v>
      </x:c>
      <x:c r="F79" s="48" t="str">
        <x:v>Active</x:v>
      </x:c>
      <x:c r="G79" s="48" t="n">
        <x:v>7</x:v>
      </x:c>
      <x:c r="H79" s="68" t="n">
        <x:v>161365.27</x:v>
      </x:c>
      <x:c r="I79" s="48" t="n">
        <x:f>COUNTIF($C:$C,C79)</x:f>
        <x:v>1</x:v>
      </x:c>
      <x:c r="J79" s="48" t="n">
        <x:f>IF(I79&gt;1,30,0)+IF(D79="",25,0)+IF(E79&lt;&gt;"Verified",25,0)+IF(AND(F79="Inactive",G79&gt;0),20,0)+IF(H79&gt;100000,10,0)</x:f>
        <x:v>60</x:v>
      </x:c>
      <x:c r="K79" s="48" t="str">
        <x:f>IF(J79&gt;=60,"High",IF(J79&gt;=30,"Medium","Low"))</x:f>
        <x:v>High</x:v>
      </x:c>
      <x:c r="L79" s="49" t="str">
        <x:f>IF(K79="High","Block/update vendor before payment",IF(K79="Medium","Request vendor data update","No action"))</x:f>
        <x:v>Block/update vendor before payment</x:v>
      </x:c>
    </x:row>
    <x:row r="80">
      <x:c r="A80" s="47" t="str">
        <x:v>VEN-0079</x:v>
      </x:c>
      <x:c r="B80" s="48" t="str">
        <x:v>Global Logistics 79</x:v>
      </x:c>
      <x:c r="C80" s="48" t="str">
        <x:f>UPPER(SUBSTITUTE(SUBSTITUTE(SUBSTITUTE(B80," INC.","")," LTD","")," INCORPORATED",""))</x:f>
        <x:v>GLOBAL LOGISTICS 79</x:v>
      </x:c>
      <x:c r="D80" s="48" t="str">
        <x:v>583833733RT0001</x:v>
      </x:c>
      <x:c r="E80" s="48" t="str">
        <x:v>Verified</x:v>
      </x:c>
      <x:c r="F80" s="48" t="str">
        <x:v>Active</x:v>
      </x:c>
      <x:c r="G80" s="48" t="n">
        <x:v>10</x:v>
      </x:c>
      <x:c r="H80" s="68" t="n">
        <x:v>26475.43</x:v>
      </x:c>
      <x:c r="I80" s="48" t="n">
        <x:f>COUNTIF($C:$C,C80)</x:f>
        <x:v>1</x:v>
      </x:c>
      <x:c r="J80" s="48" t="n">
        <x:f>IF(I80&gt;1,30,0)+IF(D80="",25,0)+IF(E80&lt;&gt;"Verified",25,0)+IF(AND(F80="Inactive",G80&gt;0),20,0)+IF(H80&gt;100000,10,0)</x:f>
        <x:v>0</x:v>
      </x:c>
      <x:c r="K80" s="48" t="str">
        <x:f>IF(J80&gt;=60,"High",IF(J80&gt;=30,"Medium","Low"))</x:f>
        <x:v>Low</x:v>
      </x:c>
      <x:c r="L80" s="49" t="str">
        <x:f>IF(K80="High","Block/update vendor before payment",IF(K80="Medium","Request vendor data update","No action"))</x:f>
        <x:v>No action</x:v>
      </x:c>
    </x:row>
    <x:row r="81">
      <x:c r="A81" s="47" t="str">
        <x:v>VEN-0080</x:v>
      </x:c>
      <x:c r="B81" s="48" t="str">
        <x:v>Urban Services 80</x:v>
      </x:c>
      <x:c r="C81" s="48" t="str">
        <x:f>UPPER(SUBSTITUTE(SUBSTITUTE(SUBSTITUTE(B81," INC.","")," LTD","")," INCORPORATED",""))</x:f>
        <x:v>URBAN SERVICES 80</x:v>
      </x:c>
      <x:c r="D81" s="48" t="str">
        <x:v>260101850RT0001</x:v>
      </x:c>
      <x:c r="E81" s="48" t="str">
        <x:v>Missing</x:v>
      </x:c>
      <x:c r="F81" s="48" t="str">
        <x:v>Active</x:v>
      </x:c>
      <x:c r="G81" s="48" t="n">
        <x:v>27</x:v>
      </x:c>
      <x:c r="H81" s="68" t="n">
        <x:v>168512.73</x:v>
      </x:c>
      <x:c r="I81" s="48" t="n">
        <x:f>COUNTIF($C:$C,C81)</x:f>
        <x:v>1</x:v>
      </x:c>
      <x:c r="J81" s="48" t="n">
        <x:f>IF(I81&gt;1,30,0)+IF(D81="",25,0)+IF(E81&lt;&gt;"Verified",25,0)+IF(AND(F81="Inactive",G81&gt;0),20,0)+IF(H81&gt;100000,10,0)</x:f>
        <x:v>35</x:v>
      </x:c>
      <x:c r="K81" s="48" t="str">
        <x:f>IF(J81&gt;=60,"High",IF(J81&gt;=30,"Medium","Low"))</x:f>
        <x:v>Medium</x:v>
      </x:c>
      <x:c r="L81" s="49" t="str">
        <x:f>IF(K81="High","Block/update vendor before payment",IF(K81="Medium","Request vendor data update","No action"))</x:f>
        <x:v>Request vendor data update</x:v>
      </x:c>
    </x:row>
    <x:row r="82">
      <x:c r="A82" s="47" t="str">
        <x:v>VEN-0081</x:v>
      </x:c>
      <x:c r="B82" s="48" t="str">
        <x:v>Urban Trading 81</x:v>
      </x:c>
      <x:c r="C82" s="48" t="str">
        <x:f>UPPER(SUBSTITUTE(SUBSTITUTE(SUBSTITUTE(B82," INC.","")," LTD","")," INCORPORATED",""))</x:f>
        <x:v>URBAN TRADING 81</x:v>
      </x:c>
      <x:c r="D82" s="48" t="str">
        <x:v>254712195RT0001</x:v>
      </x:c>
      <x:c r="E82" s="48" t="str">
        <x:v>Verified</x:v>
      </x:c>
      <x:c r="F82" s="48" t="str">
        <x:v>Active</x:v>
      </x:c>
      <x:c r="G82" s="48" t="n">
        <x:v>36</x:v>
      </x:c>
      <x:c r="H82" s="68" t="n">
        <x:v>89735.03</x:v>
      </x:c>
      <x:c r="I82" s="48" t="n">
        <x:f>COUNTIF($C:$C,C82)</x:f>
        <x:v>1</x:v>
      </x:c>
      <x:c r="J82" s="48" t="n">
        <x:f>IF(I82&gt;1,30,0)+IF(D82="",25,0)+IF(E82&lt;&gt;"Verified",25,0)+IF(AND(F82="Inactive",G82&gt;0),20,0)+IF(H82&gt;100000,10,0)</x:f>
        <x:v>0</x:v>
      </x:c>
      <x:c r="K82" s="48" t="str">
        <x:f>IF(J82&gt;=60,"High",IF(J82&gt;=30,"Medium","Low"))</x:f>
        <x:v>Low</x:v>
      </x:c>
      <x:c r="L82" s="49" t="str">
        <x:f>IF(K82="High","Block/update vendor before payment",IF(K82="Medium","Request vendor data update","No action"))</x:f>
        <x:v>No action</x:v>
      </x:c>
    </x:row>
    <x:row r="83">
      <x:c r="A83" s="47" t="str">
        <x:v>VEN-0082</x:v>
      </x:c>
      <x:c r="B83" s="48" t="str">
        <x:v>Maple Supply 82</x:v>
      </x:c>
      <x:c r="C83" s="48" t="str">
        <x:f>UPPER(SUBSTITUTE(SUBSTITUTE(SUBSTITUTE(B83," INC.","")," LTD","")," INCORPORATED",""))</x:f>
        <x:v>MAPLE SUPPLY 82</x:v>
      </x:c>
      <x:c r="D83" s="48" t="str">
        <x:v>659352233RT0001</x:v>
      </x:c>
      <x:c r="E83" s="48" t="str">
        <x:v>Verified</x:v>
      </x:c>
      <x:c r="F83" s="48" t="str">
        <x:v>Inactive</x:v>
      </x:c>
      <x:c r="G83" s="48" t="n">
        <x:v>5</x:v>
      </x:c>
      <x:c r="H83" s="68" t="n">
        <x:v>127584.03</x:v>
      </x:c>
      <x:c r="I83" s="48" t="n">
        <x:f>COUNTIF($C:$C,C83)</x:f>
        <x:v>1</x:v>
      </x:c>
      <x:c r="J83" s="48" t="n">
        <x:f>IF(I83&gt;1,30,0)+IF(D83="",25,0)+IF(E83&lt;&gt;"Verified",25,0)+IF(AND(F83="Inactive",G83&gt;0),20,0)+IF(H83&gt;100000,10,0)</x:f>
        <x:v>30</x:v>
      </x:c>
      <x:c r="K83" s="48" t="str">
        <x:f>IF(J83&gt;=60,"High",IF(J83&gt;=30,"Medium","Low"))</x:f>
        <x:v>Medium</x:v>
      </x:c>
      <x:c r="L83" s="49" t="str">
        <x:f>IF(K83="High","Block/update vendor before payment",IF(K83="Medium","Request vendor data update","No action"))</x:f>
        <x:v>Request vendor data update</x:v>
      </x:c>
    </x:row>
    <x:row r="84">
      <x:c r="A84" s="47" t="str">
        <x:v>VEN-0083</x:v>
      </x:c>
      <x:c r="B84" s="48" t="str">
        <x:v>Global Supply 83</x:v>
      </x:c>
      <x:c r="C84" s="48" t="str">
        <x:f>UPPER(SUBSTITUTE(SUBSTITUTE(SUBSTITUTE(B84," INC.","")," LTD","")," INCORPORATED",""))</x:f>
        <x:v>GLOBAL SUPPLY 83</x:v>
      </x:c>
      <x:c r="D84" s="48" t="str">
        <x:v>564806984RT0001</x:v>
      </x:c>
      <x:c r="E84" s="48" t="str">
        <x:v>Verified</x:v>
      </x:c>
      <x:c r="F84" s="48" t="str">
        <x:v>Active</x:v>
      </x:c>
      <x:c r="G84" s="48" t="n">
        <x:v>16</x:v>
      </x:c>
      <x:c r="H84" s="68" t="n">
        <x:v>2146.8</x:v>
      </x:c>
      <x:c r="I84" s="48" t="n">
        <x:f>COUNTIF($C:$C,C84)</x:f>
        <x:v>1</x:v>
      </x:c>
      <x:c r="J84" s="48" t="n">
        <x:f>IF(I84&gt;1,30,0)+IF(D84="",25,0)+IF(E84&lt;&gt;"Verified",25,0)+IF(AND(F84="Inactive",G84&gt;0),20,0)+IF(H84&gt;100000,10,0)</x:f>
        <x:v>0</x:v>
      </x:c>
      <x:c r="K84" s="48" t="str">
        <x:f>IF(J84&gt;=60,"High",IF(J84&gt;=30,"Medium","Low"))</x:f>
        <x:v>Low</x:v>
      </x:c>
      <x:c r="L84" s="49" t="str">
        <x:f>IF(K84="High","Block/update vendor before payment",IF(K84="Medium","Request vendor data update","No action"))</x:f>
        <x:v>No action</x:v>
      </x:c>
    </x:row>
    <x:row r="85">
      <x:c r="A85" s="47" t="str">
        <x:v>VEN-0084</x:v>
      </x:c>
      <x:c r="B85" s="48" t="str">
        <x:v>Global Supply 84</x:v>
      </x:c>
      <x:c r="C85" s="48" t="str">
        <x:f>UPPER(SUBSTITUTE(SUBSTITUTE(SUBSTITUTE(B85," INC.","")," LTD","")," INCORPORATED",""))</x:f>
        <x:v>GLOBAL SUPPLY 84</x:v>
      </x:c>
      <x:c r="D85" s="48" t="str">
        <x:v>410472112RT0001</x:v>
      </x:c>
      <x:c r="E85" s="48" t="str">
        <x:v>Verified</x:v>
      </x:c>
      <x:c r="F85" s="48" t="str">
        <x:v>Active</x:v>
      </x:c>
      <x:c r="G85" s="48" t="n">
        <x:v>40</x:v>
      </x:c>
      <x:c r="H85" s="68" t="n">
        <x:v>49769.01</x:v>
      </x:c>
      <x:c r="I85" s="48" t="n">
        <x:f>COUNTIF($C:$C,C85)</x:f>
        <x:v>1</x:v>
      </x:c>
      <x:c r="J85" s="48" t="n">
        <x:f>IF(I85&gt;1,30,0)+IF(D85="",25,0)+IF(E85&lt;&gt;"Verified",25,0)+IF(AND(F85="Inactive",G85&gt;0),20,0)+IF(H85&gt;100000,10,0)</x:f>
        <x:v>0</x:v>
      </x:c>
      <x:c r="K85" s="48" t="str">
        <x:f>IF(J85&gt;=60,"High",IF(J85&gt;=30,"Medium","Low"))</x:f>
        <x:v>Low</x:v>
      </x:c>
      <x:c r="L85" s="49" t="str">
        <x:f>IF(K85="High","Block/update vendor before payment",IF(K85="Medium","Request vendor data update","No action"))</x:f>
        <x:v>No action</x:v>
      </x:c>
    </x:row>
    <x:row r="86">
      <x:c r="A86" s="47" t="str">
        <x:v>VEN-0085</x:v>
      </x:c>
      <x:c r="B86" s="48" t="str">
        <x:v>Metro Supply 85</x:v>
      </x:c>
      <x:c r="C86" s="48" t="str">
        <x:f>UPPER(SUBSTITUTE(SUBSTITUTE(SUBSTITUTE(B86," INC.","")," LTD","")," INCORPORATED",""))</x:f>
        <x:v>METRO SUPPLY 85</x:v>
      </x:c>
      <x:c r="D86" s="48" t="str">
        <x:v>474230720RT0001</x:v>
      </x:c>
      <x:c r="E86" s="48" t="str">
        <x:v>Verified</x:v>
      </x:c>
      <x:c r="F86" s="48" t="str">
        <x:v>Active</x:v>
      </x:c>
      <x:c r="G86" s="48" t="n">
        <x:v>27</x:v>
      </x:c>
      <x:c r="H86" s="68" t="n">
        <x:v>116155.66</x:v>
      </x:c>
      <x:c r="I86" s="48" t="n">
        <x:f>COUNTIF($C:$C,C86)</x:f>
        <x:v>1</x:v>
      </x:c>
      <x:c r="J86" s="48" t="n">
        <x:f>IF(I86&gt;1,30,0)+IF(D86="",25,0)+IF(E86&lt;&gt;"Verified",25,0)+IF(AND(F86="Inactive",G86&gt;0),20,0)+IF(H86&gt;100000,10,0)</x:f>
        <x:v>10</x:v>
      </x:c>
      <x:c r="K86" s="48" t="str">
        <x:f>IF(J86&gt;=60,"High",IF(J86&gt;=30,"Medium","Low"))</x:f>
        <x:v>Low</x:v>
      </x:c>
      <x:c r="L86" s="49" t="str">
        <x:f>IF(K86="High","Block/update vendor before payment",IF(K86="Medium","Request vendor data update","No action"))</x:f>
        <x:v>No action</x:v>
      </x:c>
    </x:row>
    <x:row r="87">
      <x:c r="A87" s="47" t="str">
        <x:v>VEN-0086</x:v>
      </x:c>
      <x:c r="B87" s="48" t="str">
        <x:v>Global Trading 86</x:v>
      </x:c>
      <x:c r="C87" s="48" t="str">
        <x:f>UPPER(SUBSTITUTE(SUBSTITUTE(SUBSTITUTE(B87," INC.","")," LTD","")," INCORPORATED",""))</x:f>
        <x:v>GLOBAL TRADING 86</x:v>
      </x:c>
      <x:c r="D87" s="48" t="str">
        <x:v>618701798RT0001</x:v>
      </x:c>
      <x:c r="E87" s="48" t="str">
        <x:v>Verified</x:v>
      </x:c>
      <x:c r="F87" s="48" t="str">
        <x:v>Active</x:v>
      </x:c>
      <x:c r="G87" s="48" t="n">
        <x:v>11</x:v>
      </x:c>
      <x:c r="H87" s="68" t="n">
        <x:v>93436.74</x:v>
      </x:c>
      <x:c r="I87" s="48" t="n">
        <x:f>COUNTIF($C:$C,C87)</x:f>
        <x:v>1</x:v>
      </x:c>
      <x:c r="J87" s="48" t="n">
        <x:f>IF(I87&gt;1,30,0)+IF(D87="",25,0)+IF(E87&lt;&gt;"Verified",25,0)+IF(AND(F87="Inactive",G87&gt;0),20,0)+IF(H87&gt;100000,10,0)</x:f>
        <x:v>0</x:v>
      </x:c>
      <x:c r="K87" s="48" t="str">
        <x:f>IF(J87&gt;=60,"High",IF(J87&gt;=30,"Medium","Low"))</x:f>
        <x:v>Low</x:v>
      </x:c>
      <x:c r="L87" s="49" t="str">
        <x:f>IF(K87="High","Block/update vendor before payment",IF(K87="Medium","Request vendor data update","No action"))</x:f>
        <x:v>No action</x:v>
      </x:c>
    </x:row>
    <x:row r="88">
      <x:c r="A88" s="47" t="str">
        <x:v>VEN-0087</x:v>
      </x:c>
      <x:c r="B88" s="48" t="str">
        <x:v>Metro Services 87</x:v>
      </x:c>
      <x:c r="C88" s="48" t="str">
        <x:f>UPPER(SUBSTITUTE(SUBSTITUTE(SUBSTITUTE(B88," INC.","")," LTD","")," INCORPORATED",""))</x:f>
        <x:v>METRO SERVICES 87</x:v>
      </x:c>
      <x:c r="D88" s="48" t="str">
        <x:v>397849731RT0001</x:v>
      </x:c>
      <x:c r="E88" s="48" t="str">
        <x:v>Verified</x:v>
      </x:c>
      <x:c r="F88" s="48" t="str">
        <x:v>Active</x:v>
      </x:c>
      <x:c r="G88" s="48" t="n">
        <x:v>12</x:v>
      </x:c>
      <x:c r="H88" s="68" t="n">
        <x:v>34531.26</x:v>
      </x:c>
      <x:c r="I88" s="48" t="n">
        <x:f>COUNTIF($C:$C,C88)</x:f>
        <x:v>1</x:v>
      </x:c>
      <x:c r="J88" s="48" t="n">
        <x:f>IF(I88&gt;1,30,0)+IF(D88="",25,0)+IF(E88&lt;&gt;"Verified",25,0)+IF(AND(F88="Inactive",G88&gt;0),20,0)+IF(H88&gt;100000,10,0)</x:f>
        <x:v>0</x:v>
      </x:c>
      <x:c r="K88" s="48" t="str">
        <x:f>IF(J88&gt;=60,"High",IF(J88&gt;=30,"Medium","Low"))</x:f>
        <x:v>Low</x:v>
      </x:c>
      <x:c r="L88" s="49" t="str">
        <x:f>IF(K88="High","Block/update vendor before payment",IF(K88="Medium","Request vendor data update","No action"))</x:f>
        <x:v>No action</x:v>
      </x:c>
    </x:row>
    <x:row r="89">
      <x:c r="A89" s="47" t="str">
        <x:v>VEN-0088</x:v>
      </x:c>
      <x:c r="B89" s="48" t="str">
        <x:v>Pacific Logistics 88</x:v>
      </x:c>
      <x:c r="C89" s="48" t="str">
        <x:f>UPPER(SUBSTITUTE(SUBSTITUTE(SUBSTITUTE(B89," INC.","")," LTD","")," INCORPORATED",""))</x:f>
        <x:v>PACIFIC LOGISTICS 88</x:v>
      </x:c>
      <x:c r="D89" s="48" t="str">
        <x:v>593711722RT0001</x:v>
      </x:c>
      <x:c r="E89" s="48" t="str">
        <x:v>Missing</x:v>
      </x:c>
      <x:c r="F89" s="48" t="str">
        <x:v>Inactive</x:v>
      </x:c>
      <x:c r="G89" s="48" t="n">
        <x:v>20</x:v>
      </x:c>
      <x:c r="H89" s="68" t="n">
        <x:v>113777.86</x:v>
      </x:c>
      <x:c r="I89" s="48" t="n">
        <x:f>COUNTIF($C:$C,C89)</x:f>
        <x:v>1</x:v>
      </x:c>
      <x:c r="J89" s="48" t="n">
        <x:f>IF(I89&gt;1,30,0)+IF(D89="",25,0)+IF(E89&lt;&gt;"Verified",25,0)+IF(AND(F89="Inactive",G89&gt;0),20,0)+IF(H89&gt;100000,10,0)</x:f>
        <x:v>55</x:v>
      </x:c>
      <x:c r="K89" s="48" t="str">
        <x:f>IF(J89&gt;=60,"High",IF(J89&gt;=30,"Medium","Low"))</x:f>
        <x:v>Medium</x:v>
      </x:c>
      <x:c r="L89" s="49" t="str">
        <x:f>IF(K89="High","Block/update vendor before payment",IF(K89="Medium","Request vendor data update","No action"))</x:f>
        <x:v>Request vendor data update</x:v>
      </x:c>
    </x:row>
    <x:row r="90">
      <x:c r="A90" s="47" t="str">
        <x:v>VEN-0089</x:v>
      </x:c>
      <x:c r="B90" s="48" t="str">
        <x:v>Global Logistics 89</x:v>
      </x:c>
      <x:c r="C90" s="48" t="str">
        <x:f>UPPER(SUBSTITUTE(SUBSTITUTE(SUBSTITUTE(B90," INC.","")," LTD","")," INCORPORATED",""))</x:f>
        <x:v>GLOBAL LOGISTICS 89</x:v>
      </x:c>
      <x:c r="D90" s="48" t="str">
        <x:v>881567084RT0001</x:v>
      </x:c>
      <x:c r="E90" s="48" t="str">
        <x:v>Verified</x:v>
      </x:c>
      <x:c r="F90" s="48" t="str">
        <x:v>Active</x:v>
      </x:c>
      <x:c r="G90" s="48" t="n">
        <x:v>17</x:v>
      </x:c>
      <x:c r="H90" s="68" t="n">
        <x:v>79584.29</x:v>
      </x:c>
      <x:c r="I90" s="48" t="n">
        <x:f>COUNTIF($C:$C,C90)</x:f>
        <x:v>1</x:v>
      </x:c>
      <x:c r="J90" s="48" t="n">
        <x:f>IF(I90&gt;1,30,0)+IF(D90="",25,0)+IF(E90&lt;&gt;"Verified",25,0)+IF(AND(F90="Inactive",G90&gt;0),20,0)+IF(H90&gt;100000,10,0)</x:f>
        <x:v>0</x:v>
      </x:c>
      <x:c r="K90" s="48" t="str">
        <x:f>IF(J90&gt;=60,"High",IF(J90&gt;=30,"Medium","Low"))</x:f>
        <x:v>Low</x:v>
      </x:c>
      <x:c r="L90" s="49" t="str">
        <x:f>IF(K90="High","Block/update vendor before payment",IF(K90="Medium","Request vendor data update","No action"))</x:f>
        <x:v>No action</x:v>
      </x:c>
    </x:row>
    <x:row r="91">
      <x:c r="A91" s="47" t="str">
        <x:v>VEN-0090</x:v>
      </x:c>
      <x:c r="B91" s="48" t="str">
        <x:v>Prime Trading Ltd</x:v>
      </x:c>
      <x:c r="C91" s="48" t="str">
        <x:f>UPPER(SUBSTITUTE(SUBSTITUTE(SUBSTITUTE(B91," INC.","")," LTD","")," INCORPORATED",""))</x:f>
        <x:v>PRIME TRADING LTD</x:v>
      </x:c>
      <x:c r="D91" s="48" t="str">
        <x:v>166033114RT0001</x:v>
      </x:c>
      <x:c r="E91" s="48" t="str">
        <x:v>Outdated</x:v>
      </x:c>
      <x:c r="F91" s="48" t="str">
        <x:v>Active</x:v>
      </x:c>
      <x:c r="G91" s="48" t="n">
        <x:v>38</x:v>
      </x:c>
      <x:c r="H91" s="68" t="n">
        <x:v>47223.31</x:v>
      </x:c>
      <x:c r="I91" s="48" t="n">
        <x:f>COUNTIF($C:$C,C91)</x:f>
        <x:v>1</x:v>
      </x:c>
      <x:c r="J91" s="48" t="n">
        <x:f>IF(I91&gt;1,30,0)+IF(D91="",25,0)+IF(E91&lt;&gt;"Verified",25,0)+IF(AND(F91="Inactive",G91&gt;0),20,0)+IF(H91&gt;100000,10,0)</x:f>
        <x:v>25</x:v>
      </x:c>
      <x:c r="K91" s="48" t="str">
        <x:f>IF(J91&gt;=60,"High",IF(J91&gt;=30,"Medium","Low"))</x:f>
        <x:v>Low</x:v>
      </x:c>
      <x:c r="L91" s="49" t="str">
        <x:f>IF(K91="High","Block/update vendor before payment",IF(K91="Medium","Request vendor data update","No action"))</x:f>
        <x:v>No action</x:v>
      </x:c>
    </x:row>
    <x:row r="92">
      <x:c r="A92" s="47" t="str">
        <x:v>VEN-0091</x:v>
      </x:c>
      <x:c r="B92" s="48" t="str">
        <x:v>Urban Trading Incorporated</x:v>
      </x:c>
      <x:c r="C92" s="48" t="str">
        <x:f>UPPER(SUBSTITUTE(SUBSTITUTE(SUBSTITUTE(B92," INC.","")," LTD","")," INCORPORATED",""))</x:f>
        <x:v>URBAN TRADING INCORPORATED</x:v>
      </x:c>
      <x:c r="D92" s="48" t="str">
        <x:v>272855274RT0001</x:v>
      </x:c>
      <x:c r="E92" s="48" t="str">
        <x:v>Outdated</x:v>
      </x:c>
      <x:c r="F92" s="48" t="str">
        <x:v>Active</x:v>
      </x:c>
      <x:c r="G92" s="48" t="n">
        <x:v>20</x:v>
      </x:c>
      <x:c r="H92" s="68" t="n">
        <x:v>52227.33</x:v>
      </x:c>
      <x:c r="I92" s="48" t="n">
        <x:f>COUNTIF($C:$C,C92)</x:f>
        <x:v>1</x:v>
      </x:c>
      <x:c r="J92" s="48" t="n">
        <x:f>IF(I92&gt;1,30,0)+IF(D92="",25,0)+IF(E92&lt;&gt;"Verified",25,0)+IF(AND(F92="Inactive",G92&gt;0),20,0)+IF(H92&gt;100000,10,0)</x:f>
        <x:v>25</x:v>
      </x:c>
      <x:c r="K92" s="48" t="str">
        <x:f>IF(J92&gt;=60,"High",IF(J92&gt;=30,"Medium","Low"))</x:f>
        <x:v>Low</x:v>
      </x:c>
      <x:c r="L92" s="49" t="str">
        <x:f>IF(K92="High","Block/update vendor before payment",IF(K92="Medium","Request vendor data update","No action"))</x:f>
        <x:v>No action</x:v>
      </x:c>
    </x:row>
    <x:row r="93">
      <x:c r="A93" s="47" t="str">
        <x:v>VEN-0092</x:v>
      </x:c>
      <x:c r="B93" s="48" t="str">
        <x:v>Pacific Services 92</x:v>
      </x:c>
      <x:c r="C93" s="48" t="str">
        <x:f>UPPER(SUBSTITUTE(SUBSTITUTE(SUBSTITUTE(B93," INC.","")," LTD","")," INCORPORATED",""))</x:f>
        <x:v>PACIFIC SERVICES 92</x:v>
      </x:c>
      <x:c r="D93" s="48" t="str">
        <x:v>237912463RT0001</x:v>
      </x:c>
      <x:c r="E93" s="48" t="str">
        <x:v>Verified</x:v>
      </x:c>
      <x:c r="F93" s="48" t="str">
        <x:v>Active</x:v>
      </x:c>
      <x:c r="G93" s="48" t="n">
        <x:v>27</x:v>
      </x:c>
      <x:c r="H93" s="68" t="n">
        <x:v>116089.49</x:v>
      </x:c>
      <x:c r="I93" s="48" t="n">
        <x:f>COUNTIF($C:$C,C93)</x:f>
        <x:v>1</x:v>
      </x:c>
      <x:c r="J93" s="48" t="n">
        <x:f>IF(I93&gt;1,30,0)+IF(D93="",25,0)+IF(E93&lt;&gt;"Verified",25,0)+IF(AND(F93="Inactive",G93&gt;0),20,0)+IF(H93&gt;100000,10,0)</x:f>
        <x:v>10</x:v>
      </x:c>
      <x:c r="K93" s="48" t="str">
        <x:f>IF(J93&gt;=60,"High",IF(J93&gt;=30,"Medium","Low"))</x:f>
        <x:v>Low</x:v>
      </x:c>
      <x:c r="L93" s="49" t="str">
        <x:f>IF(K93="High","Block/update vendor before payment",IF(K93="Medium","Request vendor data update","No action"))</x:f>
        <x:v>No action</x:v>
      </x:c>
    </x:row>
    <x:row r="94">
      <x:c r="A94" s="47" t="str">
        <x:v>VEN-0093</x:v>
      </x:c>
      <x:c r="B94" s="48" t="str">
        <x:v>Urban Logistics 93</x:v>
      </x:c>
      <x:c r="C94" s="48" t="str">
        <x:f>UPPER(SUBSTITUTE(SUBSTITUTE(SUBSTITUTE(B94," INC.","")," LTD","")," INCORPORATED",""))</x:f>
        <x:v>URBAN LOGISTICS 93</x:v>
      </x:c>
      <x:c r="D94" s="48" t="str">
        <x:v>697651556RT0001</x:v>
      </x:c>
      <x:c r="E94" s="48" t="str">
        <x:v>Verified</x:v>
      </x:c>
      <x:c r="F94" s="48" t="str">
        <x:v>Active</x:v>
      </x:c>
      <x:c r="G94" s="48" t="n">
        <x:v>39</x:v>
      </x:c>
      <x:c r="H94" s="68" t="n">
        <x:v>120537.34</x:v>
      </x:c>
      <x:c r="I94" s="48" t="n">
        <x:f>COUNTIF($C:$C,C94)</x:f>
        <x:v>1</x:v>
      </x:c>
      <x:c r="J94" s="48" t="n">
        <x:f>IF(I94&gt;1,30,0)+IF(D94="",25,0)+IF(E94&lt;&gt;"Verified",25,0)+IF(AND(F94="Inactive",G94&gt;0),20,0)+IF(H94&gt;100000,10,0)</x:f>
        <x:v>10</x:v>
      </x:c>
      <x:c r="K94" s="48" t="str">
        <x:f>IF(J94&gt;=60,"High",IF(J94&gt;=30,"Medium","Low"))</x:f>
        <x:v>Low</x:v>
      </x:c>
      <x:c r="L94" s="49" t="str">
        <x:f>IF(K94="High","Block/update vendor before payment",IF(K94="Medium","Request vendor data update","No action"))</x:f>
        <x:v>No action</x:v>
      </x:c>
    </x:row>
    <x:row r="95">
      <x:c r="A95" s="47" t="str">
        <x:v>VEN-0094</x:v>
      </x:c>
      <x:c r="B95" s="48" t="str">
        <x:v>Maple Logistics 94</x:v>
      </x:c>
      <x:c r="C95" s="48" t="str">
        <x:f>UPPER(SUBSTITUTE(SUBSTITUTE(SUBSTITUTE(B95," INC.","")," LTD","")," INCORPORATED",""))</x:f>
        <x:v>MAPLE LOGISTICS 94</x:v>
      </x:c>
      <x:c r="D95" s="48" t="str">
        <x:v>372865490RT0001</x:v>
      </x:c>
      <x:c r="E95" s="48" t="str">
        <x:v>Verified</x:v>
      </x:c>
      <x:c r="F95" s="48" t="str">
        <x:v>Inactive</x:v>
      </x:c>
      <x:c r="G95" s="48" t="n">
        <x:v>14</x:v>
      </x:c>
      <x:c r="H95" s="68" t="n">
        <x:v>116611.56</x:v>
      </x:c>
      <x:c r="I95" s="48" t="n">
        <x:f>COUNTIF($C:$C,C95)</x:f>
        <x:v>1</x:v>
      </x:c>
      <x:c r="J95" s="48" t="n">
        <x:f>IF(I95&gt;1,30,0)+IF(D95="",25,0)+IF(E95&lt;&gt;"Verified",25,0)+IF(AND(F95="Inactive",G95&gt;0),20,0)+IF(H95&gt;100000,10,0)</x:f>
        <x:v>30</x:v>
      </x:c>
      <x:c r="K95" s="48" t="str">
        <x:f>IF(J95&gt;=60,"High",IF(J95&gt;=30,"Medium","Low"))</x:f>
        <x:v>Medium</x:v>
      </x:c>
      <x:c r="L95" s="49" t="str">
        <x:f>IF(K95="High","Block/update vendor before payment",IF(K95="Medium","Request vendor data update","No action"))</x:f>
        <x:v>Request vendor data update</x:v>
      </x:c>
    </x:row>
    <x:row r="96">
      <x:c r="A96" s="47" t="str">
        <x:v>VEN-0095</x:v>
      </x:c>
      <x:c r="B96" s="48" t="str">
        <x:v>Global Logistics 95</x:v>
      </x:c>
      <x:c r="C96" s="48" t="str">
        <x:f>UPPER(SUBSTITUTE(SUBSTITUTE(SUBSTITUTE(B96," INC.","")," LTD","")," INCORPORATED",""))</x:f>
        <x:v>GLOBAL LOGISTICS 95</x:v>
      </x:c>
      <x:c r="D96" s="48" t="str">
        <x:v>444544385RT0001</x:v>
      </x:c>
      <x:c r="E96" s="48" t="str">
        <x:v>Verified</x:v>
      </x:c>
      <x:c r="F96" s="48" t="str">
        <x:v>Active</x:v>
      </x:c>
      <x:c r="G96" s="48" t="n">
        <x:v>3</x:v>
      </x:c>
      <x:c r="H96" s="68" t="n">
        <x:v>13041.51</x:v>
      </x:c>
      <x:c r="I96" s="48" t="n">
        <x:f>COUNTIF($C:$C,C96)</x:f>
        <x:v>1</x:v>
      </x:c>
      <x:c r="J96" s="48" t="n">
        <x:f>IF(I96&gt;1,30,0)+IF(D96="",25,0)+IF(E96&lt;&gt;"Verified",25,0)+IF(AND(F96="Inactive",G96&gt;0),20,0)+IF(H96&gt;100000,10,0)</x:f>
        <x:v>0</x:v>
      </x:c>
      <x:c r="K96" s="48" t="str">
        <x:f>IF(J96&gt;=60,"High",IF(J96&gt;=30,"Medium","Low"))</x:f>
        <x:v>Low</x:v>
      </x:c>
      <x:c r="L96" s="49" t="str">
        <x:f>IF(K96="High","Block/update vendor before payment",IF(K96="Medium","Request vendor data update","No action"))</x:f>
        <x:v>No action</x:v>
      </x:c>
    </x:row>
    <x:row r="97">
      <x:c r="A97" s="47" t="str">
        <x:v>VEN-0096</x:v>
      </x:c>
      <x:c r="B97" s="48" t="str">
        <x:v>Metro Logistics 96</x:v>
      </x:c>
      <x:c r="C97" s="48" t="str">
        <x:f>UPPER(SUBSTITUTE(SUBSTITUTE(SUBSTITUTE(B97," INC.","")," LTD","")," INCORPORATED",""))</x:f>
        <x:v>METRO LOGISTICS 96</x:v>
      </x:c>
      <x:c r="D97" s="48" t="str">
        <x:v>299157278RT0001</x:v>
      </x:c>
      <x:c r="E97" s="48" t="str">
        <x:v>Verified</x:v>
      </x:c>
      <x:c r="F97" s="48" t="str">
        <x:v>Active</x:v>
      </x:c>
      <x:c r="G97" s="48" t="n">
        <x:v>15</x:v>
      </x:c>
      <x:c r="H97" s="68" t="n">
        <x:v>38071.23</x:v>
      </x:c>
      <x:c r="I97" s="48" t="n">
        <x:f>COUNTIF($C:$C,C97)</x:f>
        <x:v>1</x:v>
      </x:c>
      <x:c r="J97" s="48" t="n">
        <x:f>IF(I97&gt;1,30,0)+IF(D97="",25,0)+IF(E97&lt;&gt;"Verified",25,0)+IF(AND(F97="Inactive",G97&gt;0),20,0)+IF(H97&gt;100000,10,0)</x:f>
        <x:v>0</x:v>
      </x:c>
      <x:c r="K97" s="48" t="str">
        <x:f>IF(J97&gt;=60,"High",IF(J97&gt;=30,"Medium","Low"))</x:f>
        <x:v>Low</x:v>
      </x:c>
      <x:c r="L97" s="49" t="str">
        <x:f>IF(K97="High","Block/update vendor before payment",IF(K97="Medium","Request vendor data update","No action"))</x:f>
        <x:v>No action</x:v>
      </x:c>
    </x:row>
    <x:row r="98">
      <x:c r="A98" s="47" t="str">
        <x:v>VEN-0097</x:v>
      </x:c>
      <x:c r="B98" s="48" t="str">
        <x:v>Prime Logistics 97</x:v>
      </x:c>
      <x:c r="C98" s="48" t="str">
        <x:f>UPPER(SUBSTITUTE(SUBSTITUTE(SUBSTITUTE(B98," INC.","")," LTD","")," INCORPORATED",""))</x:f>
        <x:v>PRIME LOGISTICS 97</x:v>
      </x:c>
      <x:c r="D98" s="48" t="str">
        <x:v>446484759RT0001</x:v>
      </x:c>
      <x:c r="E98" s="48" t="str">
        <x:v>Missing</x:v>
      </x:c>
      <x:c r="F98" s="48" t="str">
        <x:v>Active</x:v>
      </x:c>
      <x:c r="G98" s="48" t="n">
        <x:v>15</x:v>
      </x:c>
      <x:c r="H98" s="68" t="n">
        <x:v>82441.79</x:v>
      </x:c>
      <x:c r="I98" s="48" t="n">
        <x:f>COUNTIF($C:$C,C98)</x:f>
        <x:v>1</x:v>
      </x:c>
      <x:c r="J98" s="48" t="n">
        <x:f>IF(I98&gt;1,30,0)+IF(D98="",25,0)+IF(E98&lt;&gt;"Verified",25,0)+IF(AND(F98="Inactive",G98&gt;0),20,0)+IF(H98&gt;100000,10,0)</x:f>
        <x:v>25</x:v>
      </x:c>
      <x:c r="K98" s="48" t="str">
        <x:f>IF(J98&gt;=60,"High",IF(J98&gt;=30,"Medium","Low"))</x:f>
        <x:v>Low</x:v>
      </x:c>
      <x:c r="L98" s="49" t="str">
        <x:f>IF(K98="High","Block/update vendor before payment",IF(K98="Medium","Request vendor data update","No action"))</x:f>
        <x:v>No action</x:v>
      </x:c>
    </x:row>
    <x:row r="99">
      <x:c r="A99" s="47" t="str">
        <x:v>VEN-0098</x:v>
      </x:c>
      <x:c r="B99" s="48" t="str">
        <x:v>Prime Supply 98</x:v>
      </x:c>
      <x:c r="C99" s="48" t="str">
        <x:f>UPPER(SUBSTITUTE(SUBSTITUTE(SUBSTITUTE(B99," INC.","")," LTD","")," INCORPORATED",""))</x:f>
        <x:v>PRIME SUPPLY 98</x:v>
      </x:c>
      <x:c r="D99" s="48" t="str">
        <x:v>467201856RT0001</x:v>
      </x:c>
      <x:c r="E99" s="48" t="str">
        <x:v>Verified</x:v>
      </x:c>
      <x:c r="F99" s="48" t="str">
        <x:v>Active</x:v>
      </x:c>
      <x:c r="G99" s="48" t="n">
        <x:v>37</x:v>
      </x:c>
      <x:c r="H99" s="68" t="n">
        <x:v>123025.95</x:v>
      </x:c>
      <x:c r="I99" s="48" t="n">
        <x:f>COUNTIF($C:$C,C99)</x:f>
        <x:v>1</x:v>
      </x:c>
      <x:c r="J99" s="48" t="n">
        <x:f>IF(I99&gt;1,30,0)+IF(D99="",25,0)+IF(E99&lt;&gt;"Verified",25,0)+IF(AND(F99="Inactive",G99&gt;0),20,0)+IF(H99&gt;100000,10,0)</x:f>
        <x:v>10</x:v>
      </x:c>
      <x:c r="K99" s="48" t="str">
        <x:f>IF(J99&gt;=60,"High",IF(J99&gt;=30,"Medium","Low"))</x:f>
        <x:v>Low</x:v>
      </x:c>
      <x:c r="L99" s="49" t="str">
        <x:f>IF(K99="High","Block/update vendor before payment",IF(K99="Medium","Request vendor data update","No action"))</x:f>
        <x:v>No action</x:v>
      </x:c>
    </x:row>
    <x:row r="100">
      <x:c r="A100" s="47" t="str">
        <x:v>VEN-0099</x:v>
      </x:c>
      <x:c r="B100" s="48" t="str">
        <x:v>Metro Logistics 99</x:v>
      </x:c>
      <x:c r="C100" s="48" t="str">
        <x:f>UPPER(SUBSTITUTE(SUBSTITUTE(SUBSTITUTE(B100," INC.","")," LTD","")," INCORPORATED",""))</x:f>
        <x:v>METRO LOGISTICS 99</x:v>
      </x:c>
      <x:c r="D100" s="48" t="str">
        <x:v>666192291RT0001</x:v>
      </x:c>
      <x:c r="E100" s="48" t="str">
        <x:v>Verified</x:v>
      </x:c>
      <x:c r="F100" s="48" t="str">
        <x:v>Active</x:v>
      </x:c>
      <x:c r="G100" s="48" t="n">
        <x:v>14</x:v>
      </x:c>
      <x:c r="H100" s="68" t="n">
        <x:v>76602.25</x:v>
      </x:c>
      <x:c r="I100" s="48" t="n">
        <x:f>COUNTIF($C:$C,C100)</x:f>
        <x:v>1</x:v>
      </x:c>
      <x:c r="J100" s="48" t="n">
        <x:f>IF(I100&gt;1,30,0)+IF(D100="",25,0)+IF(E100&lt;&gt;"Verified",25,0)+IF(AND(F100="Inactive",G100&gt;0),20,0)+IF(H100&gt;100000,10,0)</x:f>
        <x:v>0</x:v>
      </x:c>
      <x:c r="K100" s="48" t="str">
        <x:f>IF(J100&gt;=60,"High",IF(J100&gt;=30,"Medium","Low"))</x:f>
        <x:v>Low</x:v>
      </x:c>
      <x:c r="L100" s="49" t="str">
        <x:f>IF(K100="High","Block/update vendor before payment",IF(K100="Medium","Request vendor data update","No action"))</x:f>
        <x:v>No action</x:v>
      </x:c>
    </x:row>
    <x:row r="101">
      <x:c r="A101" s="47" t="str">
        <x:v>VEN-0100</x:v>
      </x:c>
      <x:c r="B101" s="48" t="str">
        <x:v>Urban Supply 100</x:v>
      </x:c>
      <x:c r="C101" s="48" t="str">
        <x:f>UPPER(SUBSTITUTE(SUBSTITUTE(SUBSTITUTE(B101," INC.","")," LTD","")," INCORPORATED",""))</x:f>
        <x:v>URBAN SUPPLY 100</x:v>
      </x:c>
      <x:c r="D101" s="48" t="str">
        <x:v>520331718RT0001</x:v>
      </x:c>
      <x:c r="E101" s="48" t="str">
        <x:v>Verified</x:v>
      </x:c>
      <x:c r="F101" s="48" t="str">
        <x:v>Inactive</x:v>
      </x:c>
      <x:c r="G101" s="48" t="n">
        <x:v>24</x:v>
      </x:c>
      <x:c r="H101" s="68" t="n">
        <x:v>170467.11</x:v>
      </x:c>
      <x:c r="I101" s="48" t="n">
        <x:f>COUNTIF($C:$C,C101)</x:f>
        <x:v>1</x:v>
      </x:c>
      <x:c r="J101" s="48" t="n">
        <x:f>IF(I101&gt;1,30,0)+IF(D101="",25,0)+IF(E101&lt;&gt;"Verified",25,0)+IF(AND(F101="Inactive",G101&gt;0),20,0)+IF(H101&gt;100000,10,0)</x:f>
        <x:v>30</x:v>
      </x:c>
      <x:c r="K101" s="48" t="str">
        <x:f>IF(J101&gt;=60,"High",IF(J101&gt;=30,"Medium","Low"))</x:f>
        <x:v>Medium</x:v>
      </x:c>
      <x:c r="L101" s="49" t="str">
        <x:f>IF(K101="High","Block/update vendor before payment",IF(K101="Medium","Request vendor data update","No action"))</x:f>
        <x:v>Request vendor data update</x:v>
      </x:c>
    </x:row>
    <x:row r="102">
      <x:c r="A102" s="47" t="str">
        <x:v>VEN-0101</x:v>
      </x:c>
      <x:c r="B102" s="48" t="str">
        <x:v>Global Logistics 101</x:v>
      </x:c>
      <x:c r="C102" s="48" t="str">
        <x:f>UPPER(SUBSTITUTE(SUBSTITUTE(SUBSTITUTE(B102," INC.","")," LTD","")," INCORPORATED",""))</x:f>
        <x:v>GLOBAL LOGISTICS 101</x:v>
      </x:c>
      <x:c r="D102" s="48" t="str">
        <x:v>324474188RT0001</x:v>
      </x:c>
      <x:c r="E102" s="48" t="str">
        <x:v>Verified</x:v>
      </x:c>
      <x:c r="F102" s="48" t="str">
        <x:v>Active</x:v>
      </x:c>
      <x:c r="G102" s="48" t="n">
        <x:v>24</x:v>
      </x:c>
      <x:c r="H102" s="68" t="n">
        <x:v>141543.39</x:v>
      </x:c>
      <x:c r="I102" s="48" t="n">
        <x:f>COUNTIF($C:$C,C102)</x:f>
        <x:v>1</x:v>
      </x:c>
      <x:c r="J102" s="48" t="n">
        <x:f>IF(I102&gt;1,30,0)+IF(D102="",25,0)+IF(E102&lt;&gt;"Verified",25,0)+IF(AND(F102="Inactive",G102&gt;0),20,0)+IF(H102&gt;100000,10,0)</x:f>
        <x:v>10</x:v>
      </x:c>
      <x:c r="K102" s="48" t="str">
        <x:f>IF(J102&gt;=60,"High",IF(J102&gt;=30,"Medium","Low"))</x:f>
        <x:v>Low</x:v>
      </x:c>
      <x:c r="L102" s="49" t="str">
        <x:f>IF(K102="High","Block/update vendor before payment",IF(K102="Medium","Request vendor data update","No action"))</x:f>
        <x:v>No action</x:v>
      </x:c>
    </x:row>
    <x:row r="103">
      <x:c r="A103" s="47" t="str">
        <x:v>VEN-0102</x:v>
      </x:c>
      <x:c r="B103" s="48" t="str">
        <x:v>Metro Services Inc.</x:v>
      </x:c>
      <x:c r="C103" s="48" t="str">
        <x:f>UPPER(SUBSTITUTE(SUBSTITUTE(SUBSTITUTE(B103," INC.","")," LTD","")," INCORPORATED",""))</x:f>
        <x:v>METRO SERVICES INC.</x:v>
      </x:c>
      <x:c r="D103" s="48" t="str">
        <x:v>867668910RT0001</x:v>
      </x:c>
      <x:c r="E103" s="48" t="str">
        <x:v>Verified</x:v>
      </x:c>
      <x:c r="F103" s="48" t="str">
        <x:v>Active</x:v>
      </x:c>
      <x:c r="G103" s="48" t="n">
        <x:v>18</x:v>
      </x:c>
      <x:c r="H103" s="68" t="n">
        <x:v>105533.36</x:v>
      </x:c>
      <x:c r="I103" s="48" t="n">
        <x:f>COUNTIF($C:$C,C103)</x:f>
        <x:v>1</x:v>
      </x:c>
      <x:c r="J103" s="48" t="n">
        <x:f>IF(I103&gt;1,30,0)+IF(D103="",25,0)+IF(E103&lt;&gt;"Verified",25,0)+IF(AND(F103="Inactive",G103&gt;0),20,0)+IF(H103&gt;100000,10,0)</x:f>
        <x:v>10</x:v>
      </x:c>
      <x:c r="K103" s="48" t="str">
        <x:f>IF(J103&gt;=60,"High",IF(J103&gt;=30,"Medium","Low"))</x:f>
        <x:v>Low</x:v>
      </x:c>
      <x:c r="L103" s="49" t="str">
        <x:f>IF(K103="High","Block/update vendor before payment",IF(K103="Medium","Request vendor data update","No action"))</x:f>
        <x:v>No action</x:v>
      </x:c>
    </x:row>
    <x:row r="104">
      <x:c r="A104" s="47" t="str">
        <x:v>VEN-0103</x:v>
      </x:c>
      <x:c r="B104" s="48" t="str">
        <x:v>Metro Services</x:v>
      </x:c>
      <x:c r="C104" s="48" t="str">
        <x:f>UPPER(SUBSTITUTE(SUBSTITUTE(SUBSTITUTE(B104," INC.","")," LTD","")," INCORPORATED",""))</x:f>
        <x:v>METRO SERVICES</x:v>
      </x:c>
      <x:c r="D104" s="48" t="str">
        <x:v>539154804RT0001</x:v>
      </x:c>
      <x:c r="E104" s="48" t="str">
        <x:v>Verified</x:v>
      </x:c>
      <x:c r="F104" s="48" t="str">
        <x:v>Active</x:v>
      </x:c>
      <x:c r="G104" s="48" t="n">
        <x:v>9</x:v>
      </x:c>
      <x:c r="H104" s="68" t="n">
        <x:v>19590.61</x:v>
      </x:c>
      <x:c r="I104" s="48" t="n">
        <x:f>COUNTIF($C:$C,C104)</x:f>
        <x:v>1</x:v>
      </x:c>
      <x:c r="J104" s="48" t="n">
        <x:f>IF(I104&gt;1,30,0)+IF(D104="",25,0)+IF(E104&lt;&gt;"Verified",25,0)+IF(AND(F104="Inactive",G104&gt;0),20,0)+IF(H104&gt;100000,10,0)</x:f>
        <x:v>0</x:v>
      </x:c>
      <x:c r="K104" s="48" t="str">
        <x:f>IF(J104&gt;=60,"High",IF(J104&gt;=30,"Medium","Low"))</x:f>
        <x:v>Low</x:v>
      </x:c>
      <x:c r="L104" s="49" t="str">
        <x:f>IF(K104="High","Block/update vendor before payment",IF(K104="Medium","Request vendor data update","No action"))</x:f>
        <x:v>No action</x:v>
      </x:c>
    </x:row>
    <x:row r="105">
      <x:c r="A105" s="47" t="str">
        <x:v>VEN-0104</x:v>
      </x:c>
      <x:c r="B105" s="48" t="str">
        <x:v>Urban Trading 104</x:v>
      </x:c>
      <x:c r="C105" s="48" t="str">
        <x:f>UPPER(SUBSTITUTE(SUBSTITUTE(SUBSTITUTE(B105," INC.","")," LTD","")," INCORPORATED",""))</x:f>
        <x:v>URBAN TRADING 104</x:v>
      </x:c>
      <x:c r="D105" s="48" t="str"/>
      <x:c r="E105" s="48" t="str">
        <x:v>Verified</x:v>
      </x:c>
      <x:c r="F105" s="48" t="str">
        <x:v>Inactive</x:v>
      </x:c>
      <x:c r="G105" s="48" t="n">
        <x:v>15</x:v>
      </x:c>
      <x:c r="H105" s="68" t="n">
        <x:v>39409.12</x:v>
      </x:c>
      <x:c r="I105" s="48" t="n">
        <x:f>COUNTIF($C:$C,C105)</x:f>
        <x:v>1</x:v>
      </x:c>
      <x:c r="J105" s="48" t="n">
        <x:f>IF(I105&gt;1,30,0)+IF(D105="",25,0)+IF(E105&lt;&gt;"Verified",25,0)+IF(AND(F105="Inactive",G105&gt;0),20,0)+IF(H105&gt;100000,10,0)</x:f>
        <x:v>45</x:v>
      </x:c>
      <x:c r="K105" s="48" t="str">
        <x:f>IF(J105&gt;=60,"High",IF(J105&gt;=30,"Medium","Low"))</x:f>
        <x:v>Medium</x:v>
      </x:c>
      <x:c r="L105" s="49" t="str">
        <x:f>IF(K105="High","Block/update vendor before payment",IF(K105="Medium","Request vendor data update","No action"))</x:f>
        <x:v>Request vendor data update</x:v>
      </x:c>
    </x:row>
    <x:row r="106">
      <x:c r="A106" s="47" t="str">
        <x:v>VEN-0105</x:v>
      </x:c>
      <x:c r="B106" s="48" t="str">
        <x:v>Pacific Services 105</x:v>
      </x:c>
      <x:c r="C106" s="48" t="str">
        <x:f>UPPER(SUBSTITUTE(SUBSTITUTE(SUBSTITUTE(B106," INC.","")," LTD","")," INCORPORATED",""))</x:f>
        <x:v>PACIFIC SERVICES 105</x:v>
      </x:c>
      <x:c r="D106" s="48" t="str">
        <x:v>896616766RT0001</x:v>
      </x:c>
      <x:c r="E106" s="48" t="str">
        <x:v>Missing</x:v>
      </x:c>
      <x:c r="F106" s="48" t="str">
        <x:v>Active</x:v>
      </x:c>
      <x:c r="G106" s="48" t="n">
        <x:v>26</x:v>
      </x:c>
      <x:c r="H106" s="68" t="n">
        <x:v>41694.55</x:v>
      </x:c>
      <x:c r="I106" s="48" t="n">
        <x:f>COUNTIF($C:$C,C106)</x:f>
        <x:v>1</x:v>
      </x:c>
      <x:c r="J106" s="48" t="n">
        <x:f>IF(I106&gt;1,30,0)+IF(D106="",25,0)+IF(E106&lt;&gt;"Verified",25,0)+IF(AND(F106="Inactive",G106&gt;0),20,0)+IF(H106&gt;100000,10,0)</x:f>
        <x:v>25</x:v>
      </x:c>
      <x:c r="K106" s="48" t="str">
        <x:f>IF(J106&gt;=60,"High",IF(J106&gt;=30,"Medium","Low"))</x:f>
        <x:v>Low</x:v>
      </x:c>
      <x:c r="L106" s="49" t="str">
        <x:f>IF(K106="High","Block/update vendor before payment",IF(K106="Medium","Request vendor data update","No action"))</x:f>
        <x:v>No action</x:v>
      </x:c>
    </x:row>
    <x:row r="107">
      <x:c r="A107" s="47" t="str">
        <x:v>VEN-0106</x:v>
      </x:c>
      <x:c r="B107" s="48" t="str">
        <x:v>Maple Services 106</x:v>
      </x:c>
      <x:c r="C107" s="48" t="str">
        <x:f>UPPER(SUBSTITUTE(SUBSTITUTE(SUBSTITUTE(B107," INC.","")," LTD","")," INCORPORATED",""))</x:f>
        <x:v>MAPLE SERVICES 106</x:v>
      </x:c>
      <x:c r="D107" s="48" t="str">
        <x:v>616800877RT0001</x:v>
      </x:c>
      <x:c r="E107" s="48" t="str">
        <x:v>Outdated</x:v>
      </x:c>
      <x:c r="F107" s="48" t="str">
        <x:v>Active</x:v>
      </x:c>
      <x:c r="G107" s="48" t="n">
        <x:v>14</x:v>
      </x:c>
      <x:c r="H107" s="68" t="n">
        <x:v>67895.36</x:v>
      </x:c>
      <x:c r="I107" s="48" t="n">
        <x:f>COUNTIF($C:$C,C107)</x:f>
        <x:v>1</x:v>
      </x:c>
      <x:c r="J107" s="48" t="n">
        <x:f>IF(I107&gt;1,30,0)+IF(D107="",25,0)+IF(E107&lt;&gt;"Verified",25,0)+IF(AND(F107="Inactive",G107&gt;0),20,0)+IF(H107&gt;100000,10,0)</x:f>
        <x:v>25</x:v>
      </x:c>
      <x:c r="K107" s="48" t="str">
        <x:f>IF(J107&gt;=60,"High",IF(J107&gt;=30,"Medium","Low"))</x:f>
        <x:v>Low</x:v>
      </x:c>
      <x:c r="L107" s="49" t="str">
        <x:f>IF(K107="High","Block/update vendor before payment",IF(K107="Medium","Request vendor data update","No action"))</x:f>
        <x:v>No action</x:v>
      </x:c>
    </x:row>
    <x:row r="108">
      <x:c r="A108" s="47" t="str">
        <x:v>VEN-0107</x:v>
      </x:c>
      <x:c r="B108" s="48" t="str">
        <x:v>Global Logistics</x:v>
      </x:c>
      <x:c r="C108" s="48" t="str">
        <x:f>UPPER(SUBSTITUTE(SUBSTITUTE(SUBSTITUTE(B108," INC.","")," LTD","")," INCORPORATED",""))</x:f>
        <x:v>GLOBAL LOGISTICS</x:v>
      </x:c>
      <x:c r="D108" s="48" t="str">
        <x:v>995388264RT0001</x:v>
      </x:c>
      <x:c r="E108" s="48" t="str">
        <x:v>Verified</x:v>
      </x:c>
      <x:c r="F108" s="48" t="str">
        <x:v>Active</x:v>
      </x:c>
      <x:c r="G108" s="48" t="n">
        <x:v>38</x:v>
      </x:c>
      <x:c r="H108" s="68" t="n">
        <x:v>79363.57</x:v>
      </x:c>
      <x:c r="I108" s="48" t="n">
        <x:f>COUNTIF($C:$C,C108)</x:f>
        <x:v>1</x:v>
      </x:c>
      <x:c r="J108" s="48" t="n">
        <x:f>IF(I108&gt;1,30,0)+IF(D108="",25,0)+IF(E108&lt;&gt;"Verified",25,0)+IF(AND(F108="Inactive",G108&gt;0),20,0)+IF(H108&gt;100000,10,0)</x:f>
        <x:v>0</x:v>
      </x:c>
      <x:c r="K108" s="48" t="str">
        <x:f>IF(J108&gt;=60,"High",IF(J108&gt;=30,"Medium","Low"))</x:f>
        <x:v>Low</x:v>
      </x:c>
      <x:c r="L108" s="49" t="str">
        <x:f>IF(K108="High","Block/update vendor before payment",IF(K108="Medium","Request vendor data update","No action"))</x:f>
        <x:v>No action</x:v>
      </x:c>
    </x:row>
    <x:row r="109">
      <x:c r="A109" s="47" t="str">
        <x:v>VEN-0108</x:v>
      </x:c>
      <x:c r="B109" s="48" t="str">
        <x:v>Global Services 108</x:v>
      </x:c>
      <x:c r="C109" s="48" t="str">
        <x:f>UPPER(SUBSTITUTE(SUBSTITUTE(SUBSTITUTE(B109," INC.","")," LTD","")," INCORPORATED",""))</x:f>
        <x:v>GLOBAL SERVICES 108</x:v>
      </x:c>
      <x:c r="D109" s="48" t="str">
        <x:v>397308130RT0001</x:v>
      </x:c>
      <x:c r="E109" s="48" t="str">
        <x:v>Outdated</x:v>
      </x:c>
      <x:c r="F109" s="48" t="str">
        <x:v>Active</x:v>
      </x:c>
      <x:c r="G109" s="48" t="n">
        <x:v>22</x:v>
      </x:c>
      <x:c r="H109" s="68" t="n">
        <x:v>157995.47</x:v>
      </x:c>
      <x:c r="I109" s="48" t="n">
        <x:f>COUNTIF($C:$C,C109)</x:f>
        <x:v>1</x:v>
      </x:c>
      <x:c r="J109" s="48" t="n">
        <x:f>IF(I109&gt;1,30,0)+IF(D109="",25,0)+IF(E109&lt;&gt;"Verified",25,0)+IF(AND(F109="Inactive",G109&gt;0),20,0)+IF(H109&gt;100000,10,0)</x:f>
        <x:v>35</x:v>
      </x:c>
      <x:c r="K109" s="48" t="str">
        <x:f>IF(J109&gt;=60,"High",IF(J109&gt;=30,"Medium","Low"))</x:f>
        <x:v>Medium</x:v>
      </x:c>
      <x:c r="L109" s="49" t="str">
        <x:f>IF(K109="High","Block/update vendor before payment",IF(K109="Medium","Request vendor data update","No action"))</x:f>
        <x:v>Request vendor data update</x:v>
      </x:c>
    </x:row>
    <x:row r="110">
      <x:c r="A110" s="47" t="str">
        <x:v>VEN-0109</x:v>
      </x:c>
      <x:c r="B110" s="48" t="str">
        <x:v>Prime Services 109</x:v>
      </x:c>
      <x:c r="C110" s="48" t="str">
        <x:f>UPPER(SUBSTITUTE(SUBSTITUTE(SUBSTITUTE(B110," INC.","")," LTD","")," INCORPORATED",""))</x:f>
        <x:v>PRIME SERVICES 109</x:v>
      </x:c>
      <x:c r="D110" s="48" t="str">
        <x:v>816138834RT0001</x:v>
      </x:c>
      <x:c r="E110" s="48" t="str">
        <x:v>Outdated</x:v>
      </x:c>
      <x:c r="F110" s="48" t="str">
        <x:v>Active</x:v>
      </x:c>
      <x:c r="G110" s="48" t="n">
        <x:v>29</x:v>
      </x:c>
      <x:c r="H110" s="68" t="n">
        <x:v>69793</x:v>
      </x:c>
      <x:c r="I110" s="48" t="n">
        <x:f>COUNTIF($C:$C,C110)</x:f>
        <x:v>1</x:v>
      </x:c>
      <x:c r="J110" s="48" t="n">
        <x:f>IF(I110&gt;1,30,0)+IF(D110="",25,0)+IF(E110&lt;&gt;"Verified",25,0)+IF(AND(F110="Inactive",G110&gt;0),20,0)+IF(H110&gt;100000,10,0)</x:f>
        <x:v>25</x:v>
      </x:c>
      <x:c r="K110" s="48" t="str">
        <x:f>IF(J110&gt;=60,"High",IF(J110&gt;=30,"Medium","Low"))</x:f>
        <x:v>Low</x:v>
      </x:c>
      <x:c r="L110" s="49" t="str">
        <x:f>IF(K110="High","Block/update vendor before payment",IF(K110="Medium","Request vendor data update","No action"))</x:f>
        <x:v>No action</x:v>
      </x:c>
    </x:row>
    <x:row r="111">
      <x:c r="A111" s="47" t="str">
        <x:v>VEN-0110</x:v>
      </x:c>
      <x:c r="B111" s="48" t="str">
        <x:v>Maple Supply 110</x:v>
      </x:c>
      <x:c r="C111" s="48" t="str">
        <x:f>UPPER(SUBSTITUTE(SUBSTITUTE(SUBSTITUTE(B111," INC.","")," LTD","")," INCORPORATED",""))</x:f>
        <x:v>MAPLE SUPPLY 110</x:v>
      </x:c>
      <x:c r="D111" s="48" t="str">
        <x:v>870293743RT0001</x:v>
      </x:c>
      <x:c r="E111" s="48" t="str">
        <x:v>Outdated</x:v>
      </x:c>
      <x:c r="F111" s="48" t="str">
        <x:v>Active</x:v>
      </x:c>
      <x:c r="G111" s="48" t="n">
        <x:v>21</x:v>
      </x:c>
      <x:c r="H111" s="68" t="n">
        <x:v>29162.21</x:v>
      </x:c>
      <x:c r="I111" s="48" t="n">
        <x:f>COUNTIF($C:$C,C111)</x:f>
        <x:v>1</x:v>
      </x:c>
      <x:c r="J111" s="48" t="n">
        <x:f>IF(I111&gt;1,30,0)+IF(D111="",25,0)+IF(E111&lt;&gt;"Verified",25,0)+IF(AND(F111="Inactive",G111&gt;0),20,0)+IF(H111&gt;100000,10,0)</x:f>
        <x:v>25</x:v>
      </x:c>
      <x:c r="K111" s="48" t="str">
        <x:f>IF(J111&gt;=60,"High",IF(J111&gt;=30,"Medium","Low"))</x:f>
        <x:v>Low</x:v>
      </x:c>
      <x:c r="L111" s="49" t="str">
        <x:f>IF(K111="High","Block/update vendor before payment",IF(K111="Medium","Request vendor data update","No action"))</x:f>
        <x:v>No action</x:v>
      </x:c>
    </x:row>
    <x:row r="112">
      <x:c r="A112" s="47" t="str">
        <x:v>VEN-0111</x:v>
      </x:c>
      <x:c r="B112" s="48" t="str">
        <x:v>Pacific Supply 111</x:v>
      </x:c>
      <x:c r="C112" s="48" t="str">
        <x:f>UPPER(SUBSTITUTE(SUBSTITUTE(SUBSTITUTE(B112," INC.","")," LTD","")," INCORPORATED",""))</x:f>
        <x:v>PACIFIC SUPPLY 111</x:v>
      </x:c>
      <x:c r="D112" s="48" t="str">
        <x:v>251297728RT0001</x:v>
      </x:c>
      <x:c r="E112" s="48" t="str">
        <x:v>Verified</x:v>
      </x:c>
      <x:c r="F112" s="48" t="str">
        <x:v>Inactive</x:v>
      </x:c>
      <x:c r="G112" s="48" t="n">
        <x:v>24</x:v>
      </x:c>
      <x:c r="H112" s="68" t="n">
        <x:v>173444.99</x:v>
      </x:c>
      <x:c r="I112" s="48" t="n">
        <x:f>COUNTIF($C:$C,C112)</x:f>
        <x:v>1</x:v>
      </x:c>
      <x:c r="J112" s="48" t="n">
        <x:f>IF(I112&gt;1,30,0)+IF(D112="",25,0)+IF(E112&lt;&gt;"Verified",25,0)+IF(AND(F112="Inactive",G112&gt;0),20,0)+IF(H112&gt;100000,10,0)</x:f>
        <x:v>30</x:v>
      </x:c>
      <x:c r="K112" s="48" t="str">
        <x:f>IF(J112&gt;=60,"High",IF(J112&gt;=30,"Medium","Low"))</x:f>
        <x:v>Medium</x:v>
      </x:c>
      <x:c r="L112" s="49" t="str">
        <x:f>IF(K112="High","Block/update vendor before payment",IF(K112="Medium","Request vendor data update","No action"))</x:f>
        <x:v>Request vendor data update</x:v>
      </x:c>
    </x:row>
    <x:row r="113">
      <x:c r="A113" s="47" t="str">
        <x:v>VEN-0112</x:v>
      </x:c>
      <x:c r="B113" s="48" t="str">
        <x:v>Urban Supply Incorporated</x:v>
      </x:c>
      <x:c r="C113" s="48" t="str">
        <x:f>UPPER(SUBSTITUTE(SUBSTITUTE(SUBSTITUTE(B113," INC.","")," LTD","")," INCORPORATED",""))</x:f>
        <x:v>URBAN SUPPLY INCORPORATED</x:v>
      </x:c>
      <x:c r="D113" s="48" t="str">
        <x:v>285285359RT0001</x:v>
      </x:c>
      <x:c r="E113" s="48" t="str">
        <x:v>Verified</x:v>
      </x:c>
      <x:c r="F113" s="48" t="str">
        <x:v>Active</x:v>
      </x:c>
      <x:c r="G113" s="48" t="n">
        <x:v>26</x:v>
      </x:c>
      <x:c r="H113" s="68" t="n">
        <x:v>171743.96</x:v>
      </x:c>
      <x:c r="I113" s="48" t="n">
        <x:f>COUNTIF($C:$C,C113)</x:f>
        <x:v>2</x:v>
      </x:c>
      <x:c r="J113" s="48" t="n">
        <x:f>IF(I113&gt;1,30,0)+IF(D113="",25,0)+IF(E113&lt;&gt;"Verified",25,0)+IF(AND(F113="Inactive",G113&gt;0),20,0)+IF(H113&gt;100000,10,0)</x:f>
        <x:v>40</x:v>
      </x:c>
      <x:c r="K113" s="48" t="str">
        <x:f>IF(J113&gt;=60,"High",IF(J113&gt;=30,"Medium","Low"))</x:f>
        <x:v>Medium</x:v>
      </x:c>
      <x:c r="L113" s="49" t="str">
        <x:f>IF(K113="High","Block/update vendor before payment",IF(K113="Medium","Request vendor data update","No action"))</x:f>
        <x:v>Request vendor data update</x:v>
      </x:c>
    </x:row>
    <x:row r="114">
      <x:c r="A114" s="47" t="str">
        <x:v>VEN-0113</x:v>
      </x:c>
      <x:c r="B114" s="48" t="str">
        <x:v>Metro Supply Incorporated</x:v>
      </x:c>
      <x:c r="C114" s="48" t="str">
        <x:f>UPPER(SUBSTITUTE(SUBSTITUTE(SUBSTITUTE(B114," INC.","")," LTD","")," INCORPORATED",""))</x:f>
        <x:v>METRO SUPPLY INCORPORATED</x:v>
      </x:c>
      <x:c r="D114" s="48" t="str">
        <x:v>127076261RT0001</x:v>
      </x:c>
      <x:c r="E114" s="48" t="str">
        <x:v>Missing</x:v>
      </x:c>
      <x:c r="F114" s="48" t="str">
        <x:v>Active</x:v>
      </x:c>
      <x:c r="G114" s="48" t="n">
        <x:v>36</x:v>
      </x:c>
      <x:c r="H114" s="68" t="n">
        <x:v>155272.88</x:v>
      </x:c>
      <x:c r="I114" s="48" t="n">
        <x:f>COUNTIF($C:$C,C114)</x:f>
        <x:v>1</x:v>
      </x:c>
      <x:c r="J114" s="48" t="n">
        <x:f>IF(I114&gt;1,30,0)+IF(D114="",25,0)+IF(E114&lt;&gt;"Verified",25,0)+IF(AND(F114="Inactive",G114&gt;0),20,0)+IF(H114&gt;100000,10,0)</x:f>
        <x:v>35</x:v>
      </x:c>
      <x:c r="K114" s="48" t="str">
        <x:f>IF(J114&gt;=60,"High",IF(J114&gt;=30,"Medium","Low"))</x:f>
        <x:v>Medium</x:v>
      </x:c>
      <x:c r="L114" s="49" t="str">
        <x:f>IF(K114="High","Block/update vendor before payment",IF(K114="Medium","Request vendor data update","No action"))</x:f>
        <x:v>Request vendor data update</x:v>
      </x:c>
    </x:row>
    <x:row r="115">
      <x:c r="A115" s="47" t="str">
        <x:v>VEN-0114</x:v>
      </x:c>
      <x:c r="B115" s="48" t="str">
        <x:v>Metro Logistics 114</x:v>
      </x:c>
      <x:c r="C115" s="48" t="str">
        <x:f>UPPER(SUBSTITUTE(SUBSTITUTE(SUBSTITUTE(B115," INC.","")," LTD","")," INCORPORATED",""))</x:f>
        <x:v>METRO LOGISTICS 114</x:v>
      </x:c>
      <x:c r="D115" s="48" t="str">
        <x:v>863667188RT0001</x:v>
      </x:c>
      <x:c r="E115" s="48" t="str">
        <x:v>Missing</x:v>
      </x:c>
      <x:c r="F115" s="48" t="str">
        <x:v>Active</x:v>
      </x:c>
      <x:c r="G115" s="48" t="n">
        <x:v>21</x:v>
      </x:c>
      <x:c r="H115" s="68" t="n">
        <x:v>175267.86</x:v>
      </x:c>
      <x:c r="I115" s="48" t="n">
        <x:f>COUNTIF($C:$C,C115)</x:f>
        <x:v>1</x:v>
      </x:c>
      <x:c r="J115" s="48" t="n">
        <x:f>IF(I115&gt;1,30,0)+IF(D115="",25,0)+IF(E115&lt;&gt;"Verified",25,0)+IF(AND(F115="Inactive",G115&gt;0),20,0)+IF(H115&gt;100000,10,0)</x:f>
        <x:v>35</x:v>
      </x:c>
      <x:c r="K115" s="48" t="str">
        <x:f>IF(J115&gt;=60,"High",IF(J115&gt;=30,"Medium","Low"))</x:f>
        <x:v>Medium</x:v>
      </x:c>
      <x:c r="L115" s="49" t="str">
        <x:f>IF(K115="High","Block/update vendor before payment",IF(K115="Medium","Request vendor data update","No action"))</x:f>
        <x:v>Request vendor data update</x:v>
      </x:c>
    </x:row>
    <x:row r="116">
      <x:c r="A116" s="47" t="str">
        <x:v>VEN-0115</x:v>
      </x:c>
      <x:c r="B116" s="48" t="str">
        <x:v>Metro Services 115</x:v>
      </x:c>
      <x:c r="C116" s="48" t="str">
        <x:f>UPPER(SUBSTITUTE(SUBSTITUTE(SUBSTITUTE(B116," INC.","")," LTD","")," INCORPORATED",""))</x:f>
        <x:v>METRO SERVICES 115</x:v>
      </x:c>
      <x:c r="D116" s="48" t="str">
        <x:v>261658822RT0001</x:v>
      </x:c>
      <x:c r="E116" s="48" t="str">
        <x:v>Outdated</x:v>
      </x:c>
      <x:c r="F116" s="48" t="str">
        <x:v>Active</x:v>
      </x:c>
      <x:c r="G116" s="48" t="n">
        <x:v>5</x:v>
      </x:c>
      <x:c r="H116" s="68" t="n">
        <x:v>4575.32</x:v>
      </x:c>
      <x:c r="I116" s="48" t="n">
        <x:f>COUNTIF($C:$C,C116)</x:f>
        <x:v>1</x:v>
      </x:c>
      <x:c r="J116" s="48" t="n">
        <x:f>IF(I116&gt;1,30,0)+IF(D116="",25,0)+IF(E116&lt;&gt;"Verified",25,0)+IF(AND(F116="Inactive",G116&gt;0),20,0)+IF(H116&gt;100000,10,0)</x:f>
        <x:v>25</x:v>
      </x:c>
      <x:c r="K116" s="48" t="str">
        <x:f>IF(J116&gt;=60,"High",IF(J116&gt;=30,"Medium","Low"))</x:f>
        <x:v>Low</x:v>
      </x:c>
      <x:c r="L116" s="49" t="str">
        <x:f>IF(K116="High","Block/update vendor before payment",IF(K116="Medium","Request vendor data update","No action"))</x:f>
        <x:v>No action</x:v>
      </x:c>
    </x:row>
    <x:row r="117">
      <x:c r="A117" s="47" t="str">
        <x:v>VEN-0116</x:v>
      </x:c>
      <x:c r="B117" s="48" t="str">
        <x:v>Metro Services 116</x:v>
      </x:c>
      <x:c r="C117" s="48" t="str">
        <x:f>UPPER(SUBSTITUTE(SUBSTITUTE(SUBSTITUTE(B117," INC.","")," LTD","")," INCORPORATED",""))</x:f>
        <x:v>METRO SERVICES 116</x:v>
      </x:c>
      <x:c r="D117" s="48" t="str"/>
      <x:c r="E117" s="48" t="str">
        <x:v>Verified</x:v>
      </x:c>
      <x:c r="F117" s="48" t="str">
        <x:v>Active</x:v>
      </x:c>
      <x:c r="G117" s="48" t="n">
        <x:v>15</x:v>
      </x:c>
      <x:c r="H117" s="68" t="n">
        <x:v>104180.35</x:v>
      </x:c>
      <x:c r="I117" s="48" t="n">
        <x:f>COUNTIF($C:$C,C117)</x:f>
        <x:v>1</x:v>
      </x:c>
      <x:c r="J117" s="48" t="n">
        <x:f>IF(I117&gt;1,30,0)+IF(D117="",25,0)+IF(E117&lt;&gt;"Verified",25,0)+IF(AND(F117="Inactive",G117&gt;0),20,0)+IF(H117&gt;100000,10,0)</x:f>
        <x:v>35</x:v>
      </x:c>
      <x:c r="K117" s="48" t="str">
        <x:f>IF(J117&gt;=60,"High",IF(J117&gt;=30,"Medium","Low"))</x:f>
        <x:v>Medium</x:v>
      </x:c>
      <x:c r="L117" s="49" t="str">
        <x:f>IF(K117="High","Block/update vendor before payment",IF(K117="Medium","Request vendor data update","No action"))</x:f>
        <x:v>Request vendor data update</x:v>
      </x:c>
    </x:row>
    <x:row r="118">
      <x:c r="A118" s="47" t="str">
        <x:v>VEN-0117</x:v>
      </x:c>
      <x:c r="B118" s="48" t="str">
        <x:v>Global Trading 117</x:v>
      </x:c>
      <x:c r="C118" s="48" t="str">
        <x:f>UPPER(SUBSTITUTE(SUBSTITUTE(SUBSTITUTE(B118," INC.","")," LTD","")," INCORPORATED",""))</x:f>
        <x:v>GLOBAL TRADING 117</x:v>
      </x:c>
      <x:c r="D118" s="48" t="str">
        <x:v>220138404RT0001</x:v>
      </x:c>
      <x:c r="E118" s="48" t="str">
        <x:v>Missing</x:v>
      </x:c>
      <x:c r="F118" s="48" t="str">
        <x:v>Active</x:v>
      </x:c>
      <x:c r="G118" s="48" t="n">
        <x:v>40</x:v>
      </x:c>
      <x:c r="H118" s="68" t="n">
        <x:v>111726.36</x:v>
      </x:c>
      <x:c r="I118" s="48" t="n">
        <x:f>COUNTIF($C:$C,C118)</x:f>
        <x:v>1</x:v>
      </x:c>
      <x:c r="J118" s="48" t="n">
        <x:f>IF(I118&gt;1,30,0)+IF(D118="",25,0)+IF(E118&lt;&gt;"Verified",25,0)+IF(AND(F118="Inactive",G118&gt;0),20,0)+IF(H118&gt;100000,10,0)</x:f>
        <x:v>35</x:v>
      </x:c>
      <x:c r="K118" s="48" t="str">
        <x:f>IF(J118&gt;=60,"High",IF(J118&gt;=30,"Medium","Low"))</x:f>
        <x:v>Medium</x:v>
      </x:c>
      <x:c r="L118" s="49" t="str">
        <x:f>IF(K118="High","Block/update vendor before payment",IF(K118="Medium","Request vendor data update","No action"))</x:f>
        <x:v>Request vendor data update</x:v>
      </x:c>
    </x:row>
    <x:row r="119">
      <x:c r="A119" s="47" t="str">
        <x:v>VEN-0118</x:v>
      </x:c>
      <x:c r="B119" s="48" t="str">
        <x:v>Maple Logistics</x:v>
      </x:c>
      <x:c r="C119" s="48" t="str">
        <x:f>UPPER(SUBSTITUTE(SUBSTITUTE(SUBSTITUTE(B119," INC.","")," LTD","")," INCORPORATED",""))</x:f>
        <x:v>MAPLE LOGISTICS</x:v>
      </x:c>
      <x:c r="D119" s="48" t="str">
        <x:v>411434752RT0001</x:v>
      </x:c>
      <x:c r="E119" s="48" t="str">
        <x:v>Verified</x:v>
      </x:c>
      <x:c r="F119" s="48" t="str">
        <x:v>Active</x:v>
      </x:c>
      <x:c r="G119" s="48" t="n">
        <x:v>26</x:v>
      </x:c>
      <x:c r="H119" s="68" t="n">
        <x:v>60369.05</x:v>
      </x:c>
      <x:c r="I119" s="48" t="n">
        <x:f>COUNTIF($C:$C,C119)</x:f>
        <x:v>1</x:v>
      </x:c>
      <x:c r="J119" s="48" t="n">
        <x:f>IF(I119&gt;1,30,0)+IF(D119="",25,0)+IF(E119&lt;&gt;"Verified",25,0)+IF(AND(F119="Inactive",G119&gt;0),20,0)+IF(H119&gt;100000,10,0)</x:f>
        <x:v>0</x:v>
      </x:c>
      <x:c r="K119" s="48" t="str">
        <x:f>IF(J119&gt;=60,"High",IF(J119&gt;=30,"Medium","Low"))</x:f>
        <x:v>Low</x:v>
      </x:c>
      <x:c r="L119" s="49" t="str">
        <x:f>IF(K119="High","Block/update vendor before payment",IF(K119="Medium","Request vendor data update","No action"))</x:f>
        <x:v>No action</x:v>
      </x:c>
    </x:row>
    <x:row r="120">
      <x:c r="A120" s="47" t="str">
        <x:v>VEN-0119</x:v>
      </x:c>
      <x:c r="B120" s="48" t="str">
        <x:v>Global Trading 119</x:v>
      </x:c>
      <x:c r="C120" s="48" t="str">
        <x:f>UPPER(SUBSTITUTE(SUBSTITUTE(SUBSTITUTE(B120," INC.","")," LTD","")," INCORPORATED",""))</x:f>
        <x:v>GLOBAL TRADING 119</x:v>
      </x:c>
      <x:c r="D120" s="48" t="str">
        <x:v>816066346RT0001</x:v>
      </x:c>
      <x:c r="E120" s="48" t="str">
        <x:v>Verified</x:v>
      </x:c>
      <x:c r="F120" s="48" t="str">
        <x:v>Active</x:v>
      </x:c>
      <x:c r="G120" s="48" t="n">
        <x:v>7</x:v>
      </x:c>
      <x:c r="H120" s="68" t="n">
        <x:v>25401</x:v>
      </x:c>
      <x:c r="I120" s="48" t="n">
        <x:f>COUNTIF($C:$C,C120)</x:f>
        <x:v>1</x:v>
      </x:c>
      <x:c r="J120" s="48" t="n">
        <x:f>IF(I120&gt;1,30,0)+IF(D120="",25,0)+IF(E120&lt;&gt;"Verified",25,0)+IF(AND(F120="Inactive",G120&gt;0),20,0)+IF(H120&gt;100000,10,0)</x:f>
        <x:v>0</x:v>
      </x:c>
      <x:c r="K120" s="48" t="str">
        <x:f>IF(J120&gt;=60,"High",IF(J120&gt;=30,"Medium","Low"))</x:f>
        <x:v>Low</x:v>
      </x:c>
      <x:c r="L120" s="49" t="str">
        <x:f>IF(K120="High","Block/update vendor before payment",IF(K120="Medium","Request vendor data update","No action"))</x:f>
        <x:v>No action</x:v>
      </x:c>
    </x:row>
    <x:row r="121">
      <x:c r="A121" s="50" t="str">
        <x:v>VEN-0120</x:v>
      </x:c>
      <x:c r="B121" s="51" t="str">
        <x:v>Metro Trading 120</x:v>
      </x:c>
      <x:c r="C121" s="51" t="str">
        <x:f>UPPER(SUBSTITUTE(SUBSTITUTE(SUBSTITUTE(B121," INC.","")," LTD","")," INCORPORATED",""))</x:f>
        <x:v>METRO TRADING 120</x:v>
      </x:c>
      <x:c r="D121" s="51" t="str">
        <x:v>490296385RT0001</x:v>
      </x:c>
      <x:c r="E121" s="51" t="str">
        <x:v>Verified</x:v>
      </x:c>
      <x:c r="F121" s="51" t="str">
        <x:v>Active</x:v>
      </x:c>
      <x:c r="G121" s="51" t="n">
        <x:v>10</x:v>
      </x:c>
      <x:c r="H121" s="69" t="n">
        <x:v>119719.72</x:v>
      </x:c>
      <x:c r="I121" s="51" t="n">
        <x:f>COUNTIF($C:$C,C121)</x:f>
        <x:v>1</x:v>
      </x:c>
      <x:c r="J121" s="51" t="n">
        <x:f>IF(I121&gt;1,30,0)+IF(D121="",25,0)+IF(E121&lt;&gt;"Verified",25,0)+IF(AND(F121="Inactive",G121&gt;0),20,0)+IF(H121&gt;100000,10,0)</x:f>
        <x:v>10</x:v>
      </x:c>
      <x:c r="K121" s="51" t="str">
        <x:f>IF(J121&gt;=60,"High",IF(J121&gt;=30,"Medium","Low"))</x:f>
        <x:v>Low</x:v>
      </x:c>
      <x:c r="L121" s="52" t="str">
        <x:f>IF(K121="High","Block/update vendor before payment",IF(K121="Medium","Request vendor data update","No action"))</x:f>
        <x:v>No action</x:v>
      </x:c>
    </x:row>
  </x:sheetData>
  <x:conditionalFormatting sqref="K2:K121">
    <x:cfRule type="expression" dxfId="0" priority="1">
      <x:formula>K2="High"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5" hidden="0" customWidth="1"/>
  </x:cols>
  <x:sheetData>
    <x:row r="1" ht="30" customHeight="1">
      <x:c r="A1" s="76" t="str">
        <x:v>Vendor_ID</x:v>
      </x:c>
      <x:c r="B1" s="76" t="str">
        <x:v>Vendor_Name</x:v>
      </x:c>
      <x:c r="C1" s="76" t="str">
        <x:v>Normalized_Name</x:v>
      </x:c>
      <x:c r="D1" s="76" t="str">
        <x:v>Tax_ID</x:v>
      </x:c>
      <x:c r="E1" s="76" t="str">
        <x:v>Bank_Info_Status</x:v>
      </x:c>
      <x:c r="F1" s="76" t="str">
        <x:v>Status</x:v>
      </x:c>
      <x:c r="G1" s="76" t="str">
        <x:v>Invoice_Count</x:v>
      </x:c>
      <x:c r="H1" s="76" t="str">
        <x:v>Total_Spend</x:v>
      </x:c>
      <x:c r="I1" s="76" t="str">
        <x:v>Duplicate_Name_Count</x:v>
      </x:c>
      <x:c r="J1" s="76" t="str">
        <x:v>Risk_Score</x:v>
      </x:c>
      <x:c r="K1" s="76" t="str">
        <x:v>Risk_Level</x:v>
      </x:c>
      <x:c r="L1" s="76" t="str">
        <x:v>Recommended_Action</x:v>
      </x:c>
    </x:row>
    <x:row r="2">
      <x:c r="A2" t="e">
        <x:f>FILTER(Data!A:L,(Data!K:K="High")+(Data!K:K="Medium"),"No vendor risk items")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84" t="str">
        <x:v>Vendor Data Quality Dashboard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2" t="str">
        <x:v>KPI</x:v>
      </x:c>
      <x:c r="B4" s="22" t="str">
        <x:v>Value</x:v>
      </x:c>
      <x:c r="D4" s="101" t="str">
        <x:v>Category</x:v>
      </x:c>
      <x:c r="E4" s="101" t="str">
        <x:v>Value</x:v>
      </x:c>
    </x:row>
    <x:row r="5">
      <x:c r="A5" s="91" t="str">
        <x:v>Total Vendors</x:v>
      </x:c>
      <x:c r="B5" s="95" t="n">
        <x:f>COUNTA(Data!$A$2:$A$121)</x:f>
        <x:v>120</x:v>
      </x:c>
      <x:c r="D5" t="str">
        <x:v>Low</x:v>
      </x:c>
      <x:c r="E5" s="88" t="n">
        <x:f>COUNTIF(Data!$K:$K,D5)</x:f>
        <x:v>89</x:v>
      </x:c>
    </x:row>
    <x:row r="6">
      <x:c r="A6" s="91" t="str">
        <x:v>High Risk Vendors</x:v>
      </x:c>
      <x:c r="B6" s="95" t="n">
        <x:f>COUNTIF(Data!$K:$K,"High")</x:f>
        <x:v>1</x:v>
      </x:c>
      <x:c r="D6" t="str">
        <x:v>Medium</x:v>
      </x:c>
      <x:c r="E6" s="88" t="n">
        <x:f>COUNTIF(Data!$K:$K,D6)</x:f>
        <x:v>30</x:v>
      </x:c>
    </x:row>
    <x:row r="7">
      <x:c r="A7" s="91" t="str">
        <x:v>Medium Risk Vendors</x:v>
      </x:c>
      <x:c r="B7" s="95" t="n">
        <x:f>COUNTIF(Data!$K:$K,"Medium")</x:f>
        <x:v>30</x:v>
      </x:c>
      <x:c r="D7" t="str">
        <x:v>High</x:v>
      </x:c>
      <x:c r="E7" s="88" t="n">
        <x:f>COUNTIF(Data!$K:$K,D7)</x:f>
        <x:v>1</x:v>
      </x:c>
    </x:row>
    <x:row r="8">
      <x:c r="A8" s="91" t="str">
        <x:v>Missing Tax IDs</x:v>
      </x:c>
      <x:c r="B8" s="95" t="n">
        <x:f>COUNTIF(Data!$D:$D,"")-1</x:f>
        <x:v>-1</x:v>
      </x:c>
    </x:row>
    <x:row r="9">
      <x:c r="A9" s="91" t="str">
        <x:v>Bank Info Issues</x:v>
      </x:c>
      <x:c r="B9" s="95" t="n">
        <x:f>COUNTIF(Data!$E:$E,"&lt;&gt;Verified")-1</x:f>
        <x:v>29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03206da62a064da8"/>
</x:worksheet>
</file>