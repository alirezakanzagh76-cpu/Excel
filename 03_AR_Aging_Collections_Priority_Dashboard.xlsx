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a2abc9826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5e48be772b84caa"/>
    <x:sheet xmlns:r="http://schemas.openxmlformats.org/officeDocument/2006/relationships" name="Data" sheetId="2" r:id="Rfabdff19d2f341be"/>
    <x:sheet xmlns:r="http://schemas.openxmlformats.org/officeDocument/2006/relationships" name="Exceptions" sheetId="3" r:id="R5c8567391b6448d0"/>
    <x:sheet xmlns:r="http://schemas.openxmlformats.org/officeDocument/2006/relationships" name="Dashboard" sheetId="4" r:id="R3d492fa3556e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$#,##0"/>
    <x:numFmt numFmtId="203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C00000"/>
      </x:patternFill>
    </x:fill>
    <x:fill>
      <x:patternFill patternType="solid">
        <x:fgColor rgb="FFF2F2F2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3" fillId="6" borderId="11" xfId="0" applyNumberFormat="1" applyFont="1" applyFill="1" applyBorder="1" applyAlignment="1">
      <x:alignment horizontal="center" vertical="center" wrapText="1"/>
    </x:xf>
    <x:xf numFmtId="0" fontId="3" fillId="6" borderId="12" xfId="0" applyNumberFormat="1" applyFont="1" applyFill="1" applyBorder="1" applyAlignment="1">
      <x:alignment horizontal="center" vertical="center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3" fontId="4" fillId="0" borderId="0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/>
    <x:xf numFmtId="203" fontId="4" fillId="0" borderId="1" xfId="0" applyNumberFormat="1" applyFont="1" applyFill="1" applyBorder="1"/>
    <x:xf numFmtId="202" fontId="4" fillId="0" borderId="1" xfId="0" applyNumberFormat="1" applyFont="1" applyFill="1" applyBorder="1" applyAlignment="1">
      <x:alignment horizontal="right"/>
    </x:xf>
    <x:xf numFmtId="203" fontId="4" fillId="0" borderId="1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92a2620dc4cd2" /><Relationship Type="http://schemas.openxmlformats.org/officeDocument/2006/relationships/theme" Target="/xl/theme/theme1.xml" Id="R1ac2ae6c57d74a55" /><Relationship Type="http://schemas.openxmlformats.org/officeDocument/2006/relationships/sharedStrings" Target="/xl/sharedStrings.xml" Id="R5363f237326c4f29" /><Relationship Type="http://schemas.openxmlformats.org/officeDocument/2006/relationships/worksheet" Target="/xl/worksheets/sheet1.xml" Id="R15e48be772b84caa" /><Relationship Type="http://schemas.openxmlformats.org/officeDocument/2006/relationships/worksheet" Target="/xl/worksheets/sheet2.xml" Id="Rfabdff19d2f341be" /><Relationship Type="http://schemas.openxmlformats.org/officeDocument/2006/relationships/worksheet" Target="/xl/worksheets/sheet3.xml" Id="R5c8567391b6448d0" /><Relationship Type="http://schemas.openxmlformats.org/officeDocument/2006/relationships/worksheet" Target="/xl/worksheets/sheet4.xml" Id="R3d492fa3556e4e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b0ebf321ac4d0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b0ebf321ac4d0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e89fb17643d422d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5" t="str">
        <x:v>AR Aging &amp; Collections Priority Dashboard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22" t="str">
        <x:v>Section</x:v>
      </x:c>
      <x:c r="B4" s="22" t="str">
        <x:v>Details</x:v>
      </x:c>
    </x:row>
    <x:row r="5" ht="52" customHeight="1">
      <x:c r="A5" s="30" t="str">
        <x:v>Business Problem</x:v>
      </x:c>
      <x:c r="B5" s="35" t="str">
        <x:v>AR teams need to monitor unpaid customer invoices, prioritize collection action, and report overdue balances by aging bucket.</x:v>
      </x:c>
    </x:row>
    <x:row r="6" ht="52" customHeight="1">
      <x:c r="A6" s="30" t="str">
        <x:v>How to Use</x:v>
      </x:c>
      <x:c r="B6" s="35" t="str">
        <x:v>Replace the sample data with company exports, refresh formulas, review the Exceptions sheet, then present the Dashboard KPIs.</x:v>
      </x:c>
    </x:row>
    <x:row r="7" ht="52" customHeight="1">
      <x:c r="A7" s="30" t="str">
        <x:v>Excel / Finance Skills Shown</x:v>
      </x:c>
      <x:c r="B7" s="35" t="str">
        <x:v>Aging buckets, days past due, IF logic, SUMIFS, collection priority, dashboard, exception list.</x:v>
      </x:c>
    </x:row>
    <x:row r="8" ht="52" customHeight="1">
      <x:c r="A8" s="30" t="str">
        <x:v>Workbook Sheets</x:v>
      </x:c>
      <x:c r="B8" s="35" t="str">
        <x:v>README, Data, Exceptions, Dashboard</x:v>
      </x:c>
    </x:row>
    <x:row r="9" ht="52" customHeight="1">
      <x:c r="A9" s="30" t="str">
        <x:v>Interview Talking Points</x:v>
      </x:c>
      <x:c r="B9" s="35" t="str">
        <x:v>Show how collectors can focus on large and old overdue balances first.</x:v>
      </x:c>
    </x:row>
    <x:row r="10" ht="52" customHeight="1">
      <x:c r="A10" s="30" t="str">
        <x:v>Important Note</x:v>
      </x:c>
      <x:c r="B10" s="35" t="str">
        <x:v>This file uses realistic sample data and is designed as a portfolio project. It is not confidential company data.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3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24" hidden="0" customWidth="1"/>
  </x:cols>
  <x:sheetData>
    <x:row r="1" ht="30" customHeight="1">
      <x:c r="A1" s="48" t="str">
        <x:v>Invoice_ID</x:v>
      </x:c>
      <x:c r="B1" s="49" t="str">
        <x:v>Customer</x:v>
      </x:c>
      <x:c r="C1" s="49" t="str">
        <x:v>Invoice_Date</x:v>
      </x:c>
      <x:c r="D1" s="49" t="str">
        <x:v>Due_Date</x:v>
      </x:c>
      <x:c r="E1" s="49" t="str">
        <x:v>Invoice_Amount</x:v>
      </x:c>
      <x:c r="F1" s="49" t="str">
        <x:v>Amount_Paid</x:v>
      </x:c>
      <x:c r="G1" s="49" t="str">
        <x:v>Outstanding</x:v>
      </x:c>
      <x:c r="H1" s="49" t="str">
        <x:v>Payment_Status</x:v>
      </x:c>
      <x:c r="I1" s="49" t="str">
        <x:v>Days_Past_Due</x:v>
      </x:c>
      <x:c r="J1" s="49" t="str">
        <x:v>Aging_Bucket</x:v>
      </x:c>
      <x:c r="K1" s="49" t="str">
        <x:v>Priority</x:v>
      </x:c>
      <x:c r="L1" s="50" t="str">
        <x:v>Action</x:v>
      </x:c>
    </x:row>
    <x:row r="2">
      <x:c r="A2" s="57" t="str">
        <x:v>AR-0001</x:v>
      </x:c>
      <x:c r="B2" s="58" t="str">
        <x:v>Customer 48</x:v>
      </x:c>
      <x:c r="C2" s="78" t="n">
        <x:v>46132</x:v>
      </x:c>
      <x:c r="D2" s="78" t="n">
        <x:v>46147</x:v>
      </x:c>
      <x:c r="E2" s="82" t="n">
        <x:v>15363.61</x:v>
      </x:c>
      <x:c r="F2" s="82" t="n">
        <x:v>15363.61</x:v>
      </x:c>
      <x:c r="G2" s="82" t="n">
        <x:f>E2-F2</x:f>
        <x:v>0</x:v>
      </x:c>
      <x:c r="H2" s="58" t="str">
        <x:f>IF(G2&lt;=0,"Paid","Open")</x:f>
        <x:v>Paid</x:v>
      </x:c>
      <x:c r="I2" s="58" t="n">
        <x:f>IF(G2&lt;=0,0,MAX(0,TODAY()-D2))</x:f>
        <x:v>0</x:v>
      </x:c>
      <x:c r="J2" s="58" t="str">
        <x:f>IF(I2=0,"Current",IF(I2&lt;=30,"1-30",IF(I2&lt;=60,"31-60",IF(I2&lt;=90,"61-90","90+"))))</x:f>
        <x:v>Current</x:v>
      </x:c>
      <x:c r="K2" s="58" t="str">
        <x:f>IF(AND(G2&gt;10000,I2&gt;60),"Critical",IF(OR(G2&gt;5000,I2&gt;30),"High",IF(G2&gt;0,"Normal","Closed")))</x:f>
        <x:v>Closed</x:v>
      </x:c>
      <x:c r="L2" s="59" t="str">
        <x:f>IF(K2="Critical","Call and escalate",IF(K2="High","Send reminder","Monitor"))</x:f>
        <x:v>Monitor</x:v>
      </x:c>
    </x:row>
    <x:row r="3">
      <x:c r="A3" s="57" t="str">
        <x:v>AR-0002</x:v>
      </x:c>
      <x:c r="B3" s="58" t="str">
        <x:v>Customer 20</x:v>
      </x:c>
      <x:c r="C3" s="78" t="n">
        <x:v>46106</x:v>
      </x:c>
      <x:c r="D3" s="78" t="n">
        <x:v>46151</x:v>
      </x:c>
      <x:c r="E3" s="82" t="n">
        <x:v>24564.69</x:v>
      </x:c>
      <x:c r="F3" s="82" t="n">
        <x:v>0</x:v>
      </x:c>
      <x:c r="G3" s="82" t="n">
        <x:f>E3-F3</x:f>
        <x:v>24564.69</x:v>
      </x:c>
      <x:c r="H3" s="58" t="str">
        <x:f>IF(G3&lt;=0,"Paid","Open")</x:f>
        <x:v>Open</x:v>
      </x:c>
      <x:c r="I3" s="58" t="n">
        <x:f>IF(G3&lt;=0,0,MAX(0,TODAY()-D3))</x:f>
        <x:v>51</x:v>
      </x:c>
      <x:c r="J3" s="58" t="str">
        <x:f>IF(I3=0,"Current",IF(I3&lt;=30,"1-30",IF(I3&lt;=60,"31-60",IF(I3&lt;=90,"61-90","90+"))))</x:f>
        <x:v>31-60</x:v>
      </x:c>
      <x:c r="K3" s="58" t="str">
        <x:f>IF(AND(G3&gt;10000,I3&gt;60),"Critical",IF(OR(G3&gt;5000,I3&gt;30),"High",IF(G3&gt;0,"Normal","Closed")))</x:f>
        <x:v>High</x:v>
      </x:c>
      <x:c r="L3" s="59" t="str">
        <x:f>IF(K3="Critical","Call and escalate",IF(K3="High","Send reminder","Monitor"))</x:f>
        <x:v>Send reminder</x:v>
      </x:c>
    </x:row>
    <x:row r="4">
      <x:c r="A4" s="57" t="str">
        <x:v>AR-0003</x:v>
      </x:c>
      <x:c r="B4" s="58" t="str">
        <x:v>Customer 43</x:v>
      </x:c>
      <x:c r="C4" s="78" t="n">
        <x:v>46101</x:v>
      </x:c>
      <x:c r="D4" s="78" t="n">
        <x:v>46146</x:v>
      </x:c>
      <x:c r="E4" s="82" t="n">
        <x:v>20695.21</x:v>
      </x:c>
      <x:c r="F4" s="82" t="n">
        <x:v>15521.41</x:v>
      </x:c>
      <x:c r="G4" s="82" t="n">
        <x:f>E4-F4</x:f>
        <x:v>5173.799999999999</x:v>
      </x:c>
      <x:c r="H4" s="58" t="str">
        <x:f>IF(G4&lt;=0,"Paid","Open")</x:f>
        <x:v>Open</x:v>
      </x:c>
      <x:c r="I4" s="58" t="n">
        <x:f>IF(G4&lt;=0,0,MAX(0,TODAY()-D4))</x:f>
        <x:v>56</x:v>
      </x:c>
      <x:c r="J4" s="58" t="str">
        <x:f>IF(I4=0,"Current",IF(I4&lt;=30,"1-30",IF(I4&lt;=60,"31-60",IF(I4&lt;=90,"61-90","90+"))))</x:f>
        <x:v>31-60</x:v>
      </x:c>
      <x:c r="K4" s="58" t="str">
        <x:f>IF(AND(G4&gt;10000,I4&gt;60),"Critical",IF(OR(G4&gt;5000,I4&gt;30),"High",IF(G4&gt;0,"Normal","Closed")))</x:f>
        <x:v>High</x:v>
      </x:c>
      <x:c r="L4" s="59" t="str">
        <x:f>IF(K4="Critical","Call and escalate",IF(K4="High","Send reminder","Monitor"))</x:f>
        <x:v>Send reminder</x:v>
      </x:c>
    </x:row>
    <x:row r="5">
      <x:c r="A5" s="57" t="str">
        <x:v>AR-0004</x:v>
      </x:c>
      <x:c r="B5" s="58" t="str">
        <x:v>Customer 20</x:v>
      </x:c>
      <x:c r="C5" s="78" t="n">
        <x:v>46113</x:v>
      </x:c>
      <x:c r="D5" s="78" t="n">
        <x:v>46128</x:v>
      </x:c>
      <x:c r="E5" s="82" t="n">
        <x:v>1919.18</x:v>
      </x:c>
      <x:c r="F5" s="82" t="n">
        <x:v>1919.18</x:v>
      </x:c>
      <x:c r="G5" s="82" t="n">
        <x:f>E5-F5</x:f>
        <x:v>0</x:v>
      </x:c>
      <x:c r="H5" s="58" t="str">
        <x:f>IF(G5&lt;=0,"Paid","Open")</x:f>
        <x:v>Paid</x:v>
      </x:c>
      <x:c r="I5" s="58" t="n">
        <x:f>IF(G5&lt;=0,0,MAX(0,TODAY()-D5))</x:f>
        <x:v>0</x:v>
      </x:c>
      <x:c r="J5" s="58" t="str">
        <x:f>IF(I5=0,"Current",IF(I5&lt;=30,"1-30",IF(I5&lt;=60,"31-60",IF(I5&lt;=90,"61-90","90+"))))</x:f>
        <x:v>Current</x:v>
      </x:c>
      <x:c r="K5" s="58" t="str">
        <x:f>IF(AND(G5&gt;10000,I5&gt;60),"Critical",IF(OR(G5&gt;5000,I5&gt;30),"High",IF(G5&gt;0,"Normal","Closed")))</x:f>
        <x:v>Closed</x:v>
      </x:c>
      <x:c r="L5" s="59" t="str">
        <x:f>IF(K5="Critical","Call and escalate",IF(K5="High","Send reminder","Monitor"))</x:f>
        <x:v>Monitor</x:v>
      </x:c>
    </x:row>
    <x:row r="6">
      <x:c r="A6" s="57" t="str">
        <x:v>AR-0005</x:v>
      </x:c>
      <x:c r="B6" s="58" t="str">
        <x:v>Customer 12</x:v>
      </x:c>
      <x:c r="C6" s="78" t="n">
        <x:v>46112</x:v>
      </x:c>
      <x:c r="D6" s="78" t="n">
        <x:v>46142</x:v>
      </x:c>
      <x:c r="E6" s="82" t="n">
        <x:v>5296.93</x:v>
      </x:c>
      <x:c r="F6" s="82" t="n">
        <x:v>0</x:v>
      </x:c>
      <x:c r="G6" s="82" t="n">
        <x:f>E6-F6</x:f>
        <x:v>5296.93</x:v>
      </x:c>
      <x:c r="H6" s="58" t="str">
        <x:f>IF(G6&lt;=0,"Paid","Open")</x:f>
        <x:v>Open</x:v>
      </x:c>
      <x:c r="I6" s="58" t="n">
        <x:f>IF(G6&lt;=0,0,MAX(0,TODAY()-D6))</x:f>
        <x:v>60</x:v>
      </x:c>
      <x:c r="J6" s="58" t="str">
        <x:f>IF(I6=0,"Current",IF(I6&lt;=30,"1-30",IF(I6&lt;=60,"31-60",IF(I6&lt;=90,"61-90","90+"))))</x:f>
        <x:v>31-60</x:v>
      </x:c>
      <x:c r="K6" s="58" t="str">
        <x:f>IF(AND(G6&gt;10000,I6&gt;60),"Critical",IF(OR(G6&gt;5000,I6&gt;30),"High",IF(G6&gt;0,"Normal","Closed")))</x:f>
        <x:v>High</x:v>
      </x:c>
      <x:c r="L6" s="59" t="str">
        <x:f>IF(K6="Critical","Call and escalate",IF(K6="High","Send reminder","Monitor"))</x:f>
        <x:v>Send reminder</x:v>
      </x:c>
    </x:row>
    <x:row r="7">
      <x:c r="A7" s="57" t="str">
        <x:v>AR-0006</x:v>
      </x:c>
      <x:c r="B7" s="58" t="str">
        <x:v>Customer 8</x:v>
      </x:c>
      <x:c r="C7" s="78" t="n">
        <x:v>46069</x:v>
      </x:c>
      <x:c r="D7" s="78" t="n">
        <x:v>46099</x:v>
      </x:c>
      <x:c r="E7" s="82" t="n">
        <x:v>20427.04</x:v>
      </x:c>
      <x:c r="F7" s="82" t="n">
        <x:v>10213.52</x:v>
      </x:c>
      <x:c r="G7" s="82" t="n">
        <x:f>E7-F7</x:f>
        <x:v>10213.52</x:v>
      </x:c>
      <x:c r="H7" s="58" t="str">
        <x:f>IF(G7&lt;=0,"Paid","Open")</x:f>
        <x:v>Open</x:v>
      </x:c>
      <x:c r="I7" s="58" t="n">
        <x:f>IF(G7&lt;=0,0,MAX(0,TODAY()-D7))</x:f>
        <x:v>103</x:v>
      </x:c>
      <x:c r="J7" s="58" t="str">
        <x:f>IF(I7=0,"Current",IF(I7&lt;=30,"1-30",IF(I7&lt;=60,"31-60",IF(I7&lt;=90,"61-90","90+"))))</x:f>
        <x:v>90+</x:v>
      </x:c>
      <x:c r="K7" s="58" t="str">
        <x:f>IF(AND(G7&gt;10000,I7&gt;60),"Critical",IF(OR(G7&gt;5000,I7&gt;30),"High",IF(G7&gt;0,"Normal","Closed")))</x:f>
        <x:v>Critical</x:v>
      </x:c>
      <x:c r="L7" s="59" t="str">
        <x:f>IF(K7="Critical","Call and escalate",IF(K7="High","Send reminder","Monitor"))</x:f>
        <x:v>Call and escalate</x:v>
      </x:c>
    </x:row>
    <x:row r="8">
      <x:c r="A8" s="57" t="str">
        <x:v>AR-0007</x:v>
      </x:c>
      <x:c r="B8" s="58" t="str">
        <x:v>Customer 4</x:v>
      </x:c>
      <x:c r="C8" s="78" t="n">
        <x:v>46189</x:v>
      </x:c>
      <x:c r="D8" s="78" t="n">
        <x:v>46234</x:v>
      </x:c>
      <x:c r="E8" s="82" t="n">
        <x:v>2093.69</x:v>
      </x:c>
      <x:c r="F8" s="82" t="n">
        <x:v>523.42</x:v>
      </x:c>
      <x:c r="G8" s="82" t="n">
        <x:f>E8-F8</x:f>
        <x:v>1570.27</x:v>
      </x:c>
      <x:c r="H8" s="58" t="str">
        <x:f>IF(G8&lt;=0,"Paid","Open")</x:f>
        <x:v>Open</x:v>
      </x:c>
      <x:c r="I8" s="58" t="n">
        <x:f>IF(G8&lt;=0,0,MAX(0,TODAY()-D8))</x:f>
        <x:v>0</x:v>
      </x:c>
      <x:c r="J8" s="58" t="str">
        <x:f>IF(I8=0,"Current",IF(I8&lt;=30,"1-30",IF(I8&lt;=60,"31-60",IF(I8&lt;=90,"61-90","90+"))))</x:f>
        <x:v>Current</x:v>
      </x:c>
      <x:c r="K8" s="58" t="str">
        <x:f>IF(AND(G8&gt;10000,I8&gt;60),"Critical",IF(OR(G8&gt;5000,I8&gt;30),"High",IF(G8&gt;0,"Normal","Closed")))</x:f>
        <x:v>Normal</x:v>
      </x:c>
      <x:c r="L8" s="59" t="str">
        <x:f>IF(K8="Critical","Call and escalate",IF(K8="High","Send reminder","Monitor"))</x:f>
        <x:v>Monitor</x:v>
      </x:c>
    </x:row>
    <x:row r="9">
      <x:c r="A9" s="57" t="str">
        <x:v>AR-0008</x:v>
      </x:c>
      <x:c r="B9" s="58" t="str">
        <x:v>Customer 21</x:v>
      </x:c>
      <x:c r="C9" s="78" t="n">
        <x:v>46138</x:v>
      </x:c>
      <x:c r="D9" s="78" t="n">
        <x:v>46183</x:v>
      </x:c>
      <x:c r="E9" s="82" t="n">
        <x:v>6486.19</x:v>
      </x:c>
      <x:c r="F9" s="82" t="n">
        <x:v>1621.55</x:v>
      </x:c>
      <x:c r="G9" s="82" t="n">
        <x:f>E9-F9</x:f>
        <x:v>4864.639999999999</x:v>
      </x:c>
      <x:c r="H9" s="58" t="str">
        <x:f>IF(G9&lt;=0,"Paid","Open")</x:f>
        <x:v>Open</x:v>
      </x:c>
      <x:c r="I9" s="58" t="n">
        <x:f>IF(G9&lt;=0,0,MAX(0,TODAY()-D9))</x:f>
        <x:v>19</x:v>
      </x:c>
      <x:c r="J9" s="58" t="str">
        <x:f>IF(I9=0,"Current",IF(I9&lt;=30,"1-30",IF(I9&lt;=60,"31-60",IF(I9&lt;=90,"61-90","90+"))))</x:f>
        <x:v>1-30</x:v>
      </x:c>
      <x:c r="K9" s="58" t="str">
        <x:f>IF(AND(G9&gt;10000,I9&gt;60),"Critical",IF(OR(G9&gt;5000,I9&gt;30),"High",IF(G9&gt;0,"Normal","Closed")))</x:f>
        <x:v>Normal</x:v>
      </x:c>
      <x:c r="L9" s="59" t="str">
        <x:f>IF(K9="Critical","Call and escalate",IF(K9="High","Send reminder","Monitor"))</x:f>
        <x:v>Monitor</x:v>
      </x:c>
    </x:row>
    <x:row r="10">
      <x:c r="A10" s="57" t="str">
        <x:v>AR-0009</x:v>
      </x:c>
      <x:c r="B10" s="58" t="str">
        <x:v>Customer 24</x:v>
      </x:c>
      <x:c r="C10" s="78" t="n">
        <x:v>46199</x:v>
      </x:c>
      <x:c r="D10" s="78" t="n">
        <x:v>46229</x:v>
      </x:c>
      <x:c r="E10" s="82" t="n">
        <x:v>14489.74</x:v>
      </x:c>
      <x:c r="F10" s="82" t="n">
        <x:v>7244.87</x:v>
      </x:c>
      <x:c r="G10" s="82" t="n">
        <x:f>E10-F10</x:f>
        <x:v>7244.87</x:v>
      </x:c>
      <x:c r="H10" s="58" t="str">
        <x:f>IF(G10&lt;=0,"Paid","Open")</x:f>
        <x:v>Open</x:v>
      </x:c>
      <x:c r="I10" s="58" t="n">
        <x:f>IF(G10&lt;=0,0,MAX(0,TODAY()-D10))</x:f>
        <x:v>0</x:v>
      </x:c>
      <x:c r="J10" s="58" t="str">
        <x:f>IF(I10=0,"Current",IF(I10&lt;=30,"1-30",IF(I10&lt;=60,"31-60",IF(I10&lt;=90,"61-90","90+"))))</x:f>
        <x:v>Current</x:v>
      </x:c>
      <x:c r="K10" s="58" t="str">
        <x:f>IF(AND(G10&gt;10000,I10&gt;60),"Critical",IF(OR(G10&gt;5000,I10&gt;30),"High",IF(G10&gt;0,"Normal","Closed")))</x:f>
        <x:v>High</x:v>
      </x:c>
      <x:c r="L10" s="59" t="str">
        <x:f>IF(K10="Critical","Call and escalate",IF(K10="High","Send reminder","Monitor"))</x:f>
        <x:v>Send reminder</x:v>
      </x:c>
    </x:row>
    <x:row r="11">
      <x:c r="A11" s="57" t="str">
        <x:v>AR-0010</x:v>
      </x:c>
      <x:c r="B11" s="58" t="str">
        <x:v>Customer 7</x:v>
      </x:c>
      <x:c r="C11" s="78" t="n">
        <x:v>46089</x:v>
      </x:c>
      <x:c r="D11" s="78" t="n">
        <x:v>46134</x:v>
      </x:c>
      <x:c r="E11" s="82" t="n">
        <x:v>18442.19</x:v>
      </x:c>
      <x:c r="F11" s="82" t="n">
        <x:v>0</x:v>
      </x:c>
      <x:c r="G11" s="82" t="n">
        <x:f>E11-F11</x:f>
        <x:v>18442.19</x:v>
      </x:c>
      <x:c r="H11" s="58" t="str">
        <x:f>IF(G11&lt;=0,"Paid","Open")</x:f>
        <x:v>Open</x:v>
      </x:c>
      <x:c r="I11" s="58" t="n">
        <x:f>IF(G11&lt;=0,0,MAX(0,TODAY()-D11))</x:f>
        <x:v>68</x:v>
      </x:c>
      <x:c r="J11" s="58" t="str">
        <x:f>IF(I11=0,"Current",IF(I11&lt;=30,"1-30",IF(I11&lt;=60,"31-60",IF(I11&lt;=90,"61-90","90+"))))</x:f>
        <x:v>61-90</x:v>
      </x:c>
      <x:c r="K11" s="58" t="str">
        <x:f>IF(AND(G11&gt;10000,I11&gt;60),"Critical",IF(OR(G11&gt;5000,I11&gt;30),"High",IF(G11&gt;0,"Normal","Closed")))</x:f>
        <x:v>Critical</x:v>
      </x:c>
      <x:c r="L11" s="59" t="str">
        <x:f>IF(K11="Critical","Call and escalate",IF(K11="High","Send reminder","Monitor"))</x:f>
        <x:v>Call and escalate</x:v>
      </x:c>
    </x:row>
    <x:row r="12">
      <x:c r="A12" s="57" t="str">
        <x:v>AR-0011</x:v>
      </x:c>
      <x:c r="B12" s="58" t="str">
        <x:v>Customer 11</x:v>
      </x:c>
      <x:c r="C12" s="78" t="n">
        <x:v>46112</x:v>
      </x:c>
      <x:c r="D12" s="78" t="n">
        <x:v>46127</x:v>
      </x:c>
      <x:c r="E12" s="82" t="n">
        <x:v>19986.55</x:v>
      </x:c>
      <x:c r="F12" s="82" t="n">
        <x:v>14989.91</x:v>
      </x:c>
      <x:c r="G12" s="82" t="n">
        <x:f>E12-F12</x:f>
        <x:v>4996.639999999999</x:v>
      </x:c>
      <x:c r="H12" s="58" t="str">
        <x:f>IF(G12&lt;=0,"Paid","Open")</x:f>
        <x:v>Open</x:v>
      </x:c>
      <x:c r="I12" s="58" t="n">
        <x:f>IF(G12&lt;=0,0,MAX(0,TODAY()-D12))</x:f>
        <x:v>75</x:v>
      </x:c>
      <x:c r="J12" s="58" t="str">
        <x:f>IF(I12=0,"Current",IF(I12&lt;=30,"1-30",IF(I12&lt;=60,"31-60",IF(I12&lt;=90,"61-90","90+"))))</x:f>
        <x:v>61-90</x:v>
      </x:c>
      <x:c r="K12" s="58" t="str">
        <x:f>IF(AND(G12&gt;10000,I12&gt;60),"Critical",IF(OR(G12&gt;5000,I12&gt;30),"High",IF(G12&gt;0,"Normal","Closed")))</x:f>
        <x:v>High</x:v>
      </x:c>
      <x:c r="L12" s="59" t="str">
        <x:f>IF(K12="Critical","Call and escalate",IF(K12="High","Send reminder","Monitor"))</x:f>
        <x:v>Send reminder</x:v>
      </x:c>
    </x:row>
    <x:row r="13">
      <x:c r="A13" s="57" t="str">
        <x:v>AR-0012</x:v>
      </x:c>
      <x:c r="B13" s="58" t="str">
        <x:v>Customer 36</x:v>
      </x:c>
      <x:c r="C13" s="78" t="n">
        <x:v>46194</x:v>
      </x:c>
      <x:c r="D13" s="78" t="n">
        <x:v>46209</x:v>
      </x:c>
      <x:c r="E13" s="82" t="n">
        <x:v>13264.71</x:v>
      </x:c>
      <x:c r="F13" s="82" t="n">
        <x:v>13264.71</x:v>
      </x:c>
      <x:c r="G13" s="82" t="n">
        <x:f>E13-F13</x:f>
        <x:v>0</x:v>
      </x:c>
      <x:c r="H13" s="58" t="str">
        <x:f>IF(G13&lt;=0,"Paid","Open")</x:f>
        <x:v>Paid</x:v>
      </x:c>
      <x:c r="I13" s="58" t="n">
        <x:f>IF(G13&lt;=0,0,MAX(0,TODAY()-D13))</x:f>
        <x:v>0</x:v>
      </x:c>
      <x:c r="J13" s="58" t="str">
        <x:f>IF(I13=0,"Current",IF(I13&lt;=30,"1-30",IF(I13&lt;=60,"31-60",IF(I13&lt;=90,"61-90","90+"))))</x:f>
        <x:v>Current</x:v>
      </x:c>
      <x:c r="K13" s="58" t="str">
        <x:f>IF(AND(G13&gt;10000,I13&gt;60),"Critical",IF(OR(G13&gt;5000,I13&gt;30),"High",IF(G13&gt;0,"Normal","Closed")))</x:f>
        <x:v>Closed</x:v>
      </x:c>
      <x:c r="L13" s="59" t="str">
        <x:f>IF(K13="Critical","Call and escalate",IF(K13="High","Send reminder","Monitor"))</x:f>
        <x:v>Monitor</x:v>
      </x:c>
    </x:row>
    <x:row r="14">
      <x:c r="A14" s="57" t="str">
        <x:v>AR-0013</x:v>
      </x:c>
      <x:c r="B14" s="58" t="str">
        <x:v>Customer 39</x:v>
      </x:c>
      <x:c r="C14" s="78" t="n">
        <x:v>46132</x:v>
      </x:c>
      <x:c r="D14" s="78" t="n">
        <x:v>46162</x:v>
      </x:c>
      <x:c r="E14" s="82" t="n">
        <x:v>426.72</x:v>
      </x:c>
      <x:c r="F14" s="82" t="n">
        <x:v>426.72</x:v>
      </x:c>
      <x:c r="G14" s="82" t="n">
        <x:f>E14-F14</x:f>
        <x:v>0</x:v>
      </x:c>
      <x:c r="H14" s="58" t="str">
        <x:f>IF(G14&lt;=0,"Paid","Open")</x:f>
        <x:v>Paid</x:v>
      </x:c>
      <x:c r="I14" s="58" t="n">
        <x:f>IF(G14&lt;=0,0,MAX(0,TODAY()-D14))</x:f>
        <x:v>0</x:v>
      </x:c>
      <x:c r="J14" s="58" t="str">
        <x:f>IF(I14=0,"Current",IF(I14&lt;=30,"1-30",IF(I14&lt;=60,"31-60",IF(I14&lt;=90,"61-90","90+"))))</x:f>
        <x:v>Current</x:v>
      </x:c>
      <x:c r="K14" s="58" t="str">
        <x:f>IF(AND(G14&gt;10000,I14&gt;60),"Critical",IF(OR(G14&gt;5000,I14&gt;30),"High",IF(G14&gt;0,"Normal","Closed")))</x:f>
        <x:v>Closed</x:v>
      </x:c>
      <x:c r="L14" s="59" t="str">
        <x:f>IF(K14="Critical","Call and escalate",IF(K14="High","Send reminder","Monitor"))</x:f>
        <x:v>Monitor</x:v>
      </x:c>
    </x:row>
    <x:row r="15">
      <x:c r="A15" s="57" t="str">
        <x:v>AR-0014</x:v>
      </x:c>
      <x:c r="B15" s="58" t="str">
        <x:v>Customer 11</x:v>
      </x:c>
      <x:c r="C15" s="78" t="n">
        <x:v>46198</x:v>
      </x:c>
      <x:c r="D15" s="78" t="n">
        <x:v>46243</x:v>
      </x:c>
      <x:c r="E15" s="82" t="n">
        <x:v>2294.55</x:v>
      </x:c>
      <x:c r="F15" s="82" t="n">
        <x:v>2294.55</x:v>
      </x:c>
      <x:c r="G15" s="82" t="n">
        <x:f>E15-F15</x:f>
        <x:v>0</x:v>
      </x:c>
      <x:c r="H15" s="58" t="str">
        <x:f>IF(G15&lt;=0,"Paid","Open")</x:f>
        <x:v>Paid</x:v>
      </x:c>
      <x:c r="I15" s="58" t="n">
        <x:f>IF(G15&lt;=0,0,MAX(0,TODAY()-D15))</x:f>
        <x:v>0</x:v>
      </x:c>
      <x:c r="J15" s="58" t="str">
        <x:f>IF(I15=0,"Current",IF(I15&lt;=30,"1-30",IF(I15&lt;=60,"31-60",IF(I15&lt;=90,"61-90","90+"))))</x:f>
        <x:v>Current</x:v>
      </x:c>
      <x:c r="K15" s="58" t="str">
        <x:f>IF(AND(G15&gt;10000,I15&gt;60),"Critical",IF(OR(G15&gt;5000,I15&gt;30),"High",IF(G15&gt;0,"Normal","Closed")))</x:f>
        <x:v>Closed</x:v>
      </x:c>
      <x:c r="L15" s="59" t="str">
        <x:f>IF(K15="Critical","Call and escalate",IF(K15="High","Send reminder","Monitor"))</x:f>
        <x:v>Monitor</x:v>
      </x:c>
    </x:row>
    <x:row r="16">
      <x:c r="A16" s="57" t="str">
        <x:v>AR-0015</x:v>
      </x:c>
      <x:c r="B16" s="58" t="str">
        <x:v>Customer 2</x:v>
      </x:c>
      <x:c r="C16" s="78" t="n">
        <x:v>46106</x:v>
      </x:c>
      <x:c r="D16" s="78" t="n">
        <x:v>46136</x:v>
      </x:c>
      <x:c r="E16" s="82" t="n">
        <x:v>13866.91</x:v>
      </x:c>
      <x:c r="F16" s="82" t="n">
        <x:v>3466.73</x:v>
      </x:c>
      <x:c r="G16" s="82" t="n">
        <x:f>E16-F16</x:f>
        <x:v>10400.18</x:v>
      </x:c>
      <x:c r="H16" s="58" t="str">
        <x:f>IF(G16&lt;=0,"Paid","Open")</x:f>
        <x:v>Open</x:v>
      </x:c>
      <x:c r="I16" s="58" t="n">
        <x:f>IF(G16&lt;=0,0,MAX(0,TODAY()-D16))</x:f>
        <x:v>66</x:v>
      </x:c>
      <x:c r="J16" s="58" t="str">
        <x:f>IF(I16=0,"Current",IF(I16&lt;=30,"1-30",IF(I16&lt;=60,"31-60",IF(I16&lt;=90,"61-90","90+"))))</x:f>
        <x:v>61-90</x:v>
      </x:c>
      <x:c r="K16" s="58" t="str">
        <x:f>IF(AND(G16&gt;10000,I16&gt;60),"Critical",IF(OR(G16&gt;5000,I16&gt;30),"High",IF(G16&gt;0,"Normal","Closed")))</x:f>
        <x:v>Critical</x:v>
      </x:c>
      <x:c r="L16" s="59" t="str">
        <x:f>IF(K16="Critical","Call and escalate",IF(K16="High","Send reminder","Monitor"))</x:f>
        <x:v>Call and escalate</x:v>
      </x:c>
    </x:row>
    <x:row r="17">
      <x:c r="A17" s="57" t="str">
        <x:v>AR-0016</x:v>
      </x:c>
      <x:c r="B17" s="58" t="str">
        <x:v>Customer 43</x:v>
      </x:c>
      <x:c r="C17" s="78" t="n">
        <x:v>46180</x:v>
      </x:c>
      <x:c r="D17" s="78" t="n">
        <x:v>46195</x:v>
      </x:c>
      <x:c r="E17" s="82" t="n">
        <x:v>18445.82</x:v>
      </x:c>
      <x:c r="F17" s="82" t="n">
        <x:v>0</x:v>
      </x:c>
      <x:c r="G17" s="82" t="n">
        <x:f>E17-F17</x:f>
        <x:v>18445.82</x:v>
      </x:c>
      <x:c r="H17" s="58" t="str">
        <x:f>IF(G17&lt;=0,"Paid","Open")</x:f>
        <x:v>Open</x:v>
      </x:c>
      <x:c r="I17" s="58" t="n">
        <x:f>IF(G17&lt;=0,0,MAX(0,TODAY()-D17))</x:f>
        <x:v>7</x:v>
      </x:c>
      <x:c r="J17" s="58" t="str">
        <x:f>IF(I17=0,"Current",IF(I17&lt;=30,"1-30",IF(I17&lt;=60,"31-60",IF(I17&lt;=90,"61-90","90+"))))</x:f>
        <x:v>1-30</x:v>
      </x:c>
      <x:c r="K17" s="58" t="str">
        <x:f>IF(AND(G17&gt;10000,I17&gt;60),"Critical",IF(OR(G17&gt;5000,I17&gt;30),"High",IF(G17&gt;0,"Normal","Closed")))</x:f>
        <x:v>High</x:v>
      </x:c>
      <x:c r="L17" s="59" t="str">
        <x:f>IF(K17="Critical","Call and escalate",IF(K17="High","Send reminder","Monitor"))</x:f>
        <x:v>Send reminder</x:v>
      </x:c>
    </x:row>
    <x:row r="18">
      <x:c r="A18" s="57" t="str">
        <x:v>AR-0017</x:v>
      </x:c>
      <x:c r="B18" s="58" t="str">
        <x:v>Customer 19</x:v>
      </x:c>
      <x:c r="C18" s="78" t="n">
        <x:v>46143</x:v>
      </x:c>
      <x:c r="D18" s="78" t="n">
        <x:v>46158</x:v>
      </x:c>
      <x:c r="E18" s="82" t="n">
        <x:v>6676.11</x:v>
      </x:c>
      <x:c r="F18" s="82" t="n">
        <x:v>0</x:v>
      </x:c>
      <x:c r="G18" s="82" t="n">
        <x:f>E18-F18</x:f>
        <x:v>6676.11</x:v>
      </x:c>
      <x:c r="H18" s="58" t="str">
        <x:f>IF(G18&lt;=0,"Paid","Open")</x:f>
        <x:v>Open</x:v>
      </x:c>
      <x:c r="I18" s="58" t="n">
        <x:f>IF(G18&lt;=0,0,MAX(0,TODAY()-D18))</x:f>
        <x:v>44</x:v>
      </x:c>
      <x:c r="J18" s="58" t="str">
        <x:f>IF(I18=0,"Current",IF(I18&lt;=30,"1-30",IF(I18&lt;=60,"31-60",IF(I18&lt;=90,"61-90","90+"))))</x:f>
        <x:v>31-60</x:v>
      </x:c>
      <x:c r="K18" s="58" t="str">
        <x:f>IF(AND(G18&gt;10000,I18&gt;60),"Critical",IF(OR(G18&gt;5000,I18&gt;30),"High",IF(G18&gt;0,"Normal","Closed")))</x:f>
        <x:v>High</x:v>
      </x:c>
      <x:c r="L18" s="59" t="str">
        <x:f>IF(K18="Critical","Call and escalate",IF(K18="High","Send reminder","Monitor"))</x:f>
        <x:v>Send reminder</x:v>
      </x:c>
    </x:row>
    <x:row r="19">
      <x:c r="A19" s="57" t="str">
        <x:v>AR-0018</x:v>
      </x:c>
      <x:c r="B19" s="58" t="str">
        <x:v>Customer 39</x:v>
      </x:c>
      <x:c r="C19" s="78" t="n">
        <x:v>46068</x:v>
      </x:c>
      <x:c r="D19" s="78" t="n">
        <x:v>46098</x:v>
      </x:c>
      <x:c r="E19" s="82" t="n">
        <x:v>9404.3</x:v>
      </x:c>
      <x:c r="F19" s="82" t="n">
        <x:v>2351.07</x:v>
      </x:c>
      <x:c r="G19" s="82" t="n">
        <x:f>E19-F19</x:f>
        <x:v>7053.23</x:v>
      </x:c>
      <x:c r="H19" s="58" t="str">
        <x:f>IF(G19&lt;=0,"Paid","Open")</x:f>
        <x:v>Open</x:v>
      </x:c>
      <x:c r="I19" s="58" t="n">
        <x:f>IF(G19&lt;=0,0,MAX(0,TODAY()-D19))</x:f>
        <x:v>104</x:v>
      </x:c>
      <x:c r="J19" s="58" t="str">
        <x:f>IF(I19=0,"Current",IF(I19&lt;=30,"1-30",IF(I19&lt;=60,"31-60",IF(I19&lt;=90,"61-90","90+"))))</x:f>
        <x:v>90+</x:v>
      </x:c>
      <x:c r="K19" s="58" t="str">
        <x:f>IF(AND(G19&gt;10000,I19&gt;60),"Critical",IF(OR(G19&gt;5000,I19&gt;30),"High",IF(G19&gt;0,"Normal","Closed")))</x:f>
        <x:v>High</x:v>
      </x:c>
      <x:c r="L19" s="59" t="str">
        <x:f>IF(K19="Critical","Call and escalate",IF(K19="High","Send reminder","Monitor"))</x:f>
        <x:v>Send reminder</x:v>
      </x:c>
    </x:row>
    <x:row r="20">
      <x:c r="A20" s="57" t="str">
        <x:v>AR-0019</x:v>
      </x:c>
      <x:c r="B20" s="58" t="str">
        <x:v>Customer 50</x:v>
      </x:c>
      <x:c r="C20" s="78" t="n">
        <x:v>46121</x:v>
      </x:c>
      <x:c r="D20" s="78" t="n">
        <x:v>46151</x:v>
      </x:c>
      <x:c r="E20" s="82" t="n">
        <x:v>11559.86</x:v>
      </x:c>
      <x:c r="F20" s="82" t="n">
        <x:v>0</x:v>
      </x:c>
      <x:c r="G20" s="82" t="n">
        <x:f>E20-F20</x:f>
        <x:v>11559.86</x:v>
      </x:c>
      <x:c r="H20" s="58" t="str">
        <x:f>IF(G20&lt;=0,"Paid","Open")</x:f>
        <x:v>Open</x:v>
      </x:c>
      <x:c r="I20" s="58" t="n">
        <x:f>IF(G20&lt;=0,0,MAX(0,TODAY()-D20))</x:f>
        <x:v>51</x:v>
      </x:c>
      <x:c r="J20" s="58" t="str">
        <x:f>IF(I20=0,"Current",IF(I20&lt;=30,"1-30",IF(I20&lt;=60,"31-60",IF(I20&lt;=90,"61-90","90+"))))</x:f>
        <x:v>31-60</x:v>
      </x:c>
      <x:c r="K20" s="58" t="str">
        <x:f>IF(AND(G20&gt;10000,I20&gt;60),"Critical",IF(OR(G20&gt;5000,I20&gt;30),"High",IF(G20&gt;0,"Normal","Closed")))</x:f>
        <x:v>High</x:v>
      </x:c>
      <x:c r="L20" s="59" t="str">
        <x:f>IF(K20="Critical","Call and escalate",IF(K20="High","Send reminder","Monitor"))</x:f>
        <x:v>Send reminder</x:v>
      </x:c>
    </x:row>
    <x:row r="21">
      <x:c r="A21" s="57" t="str">
        <x:v>AR-0020</x:v>
      </x:c>
      <x:c r="B21" s="58" t="str">
        <x:v>Customer 19</x:v>
      </x:c>
      <x:c r="C21" s="78" t="n">
        <x:v>46114</x:v>
      </x:c>
      <x:c r="D21" s="78" t="n">
        <x:v>46144</x:v>
      </x:c>
      <x:c r="E21" s="82" t="n">
        <x:v>29725.69</x:v>
      </x:c>
      <x:c r="F21" s="82" t="n">
        <x:v>22294.27</x:v>
      </x:c>
      <x:c r="G21" s="82" t="n">
        <x:f>E21-F21</x:f>
        <x:v>7431.419999999998</x:v>
      </x:c>
      <x:c r="H21" s="58" t="str">
        <x:f>IF(G21&lt;=0,"Paid","Open")</x:f>
        <x:v>Open</x:v>
      </x:c>
      <x:c r="I21" s="58" t="n">
        <x:f>IF(G21&lt;=0,0,MAX(0,TODAY()-D21))</x:f>
        <x:v>58</x:v>
      </x:c>
      <x:c r="J21" s="58" t="str">
        <x:f>IF(I21=0,"Current",IF(I21&lt;=30,"1-30",IF(I21&lt;=60,"31-60",IF(I21&lt;=90,"61-90","90+"))))</x:f>
        <x:v>31-60</x:v>
      </x:c>
      <x:c r="K21" s="58" t="str">
        <x:f>IF(AND(G21&gt;10000,I21&gt;60),"Critical",IF(OR(G21&gt;5000,I21&gt;30),"High",IF(G21&gt;0,"Normal","Closed")))</x:f>
        <x:v>High</x:v>
      </x:c>
      <x:c r="L21" s="59" t="str">
        <x:f>IF(K21="Critical","Call and escalate",IF(K21="High","Send reminder","Monitor"))</x:f>
        <x:v>Send reminder</x:v>
      </x:c>
    </x:row>
    <x:row r="22">
      <x:c r="A22" s="57" t="str">
        <x:v>AR-0021</x:v>
      </x:c>
      <x:c r="B22" s="58" t="str">
        <x:v>Customer 5</x:v>
      </x:c>
      <x:c r="C22" s="78" t="n">
        <x:v>46074</x:v>
      </x:c>
      <x:c r="D22" s="78" t="n">
        <x:v>46089</x:v>
      </x:c>
      <x:c r="E22" s="82" t="n">
        <x:v>18920.26</x:v>
      </x:c>
      <x:c r="F22" s="82" t="n">
        <x:v>14190.19</x:v>
      </x:c>
      <x:c r="G22" s="82" t="n">
        <x:f>E22-F22</x:f>
        <x:v>4730.069999999998</x:v>
      </x:c>
      <x:c r="H22" s="58" t="str">
        <x:f>IF(G22&lt;=0,"Paid","Open")</x:f>
        <x:v>Open</x:v>
      </x:c>
      <x:c r="I22" s="58" t="n">
        <x:f>IF(G22&lt;=0,0,MAX(0,TODAY()-D22))</x:f>
        <x:v>113</x:v>
      </x:c>
      <x:c r="J22" s="58" t="str">
        <x:f>IF(I22=0,"Current",IF(I22&lt;=30,"1-30",IF(I22&lt;=60,"31-60",IF(I22&lt;=90,"61-90","90+"))))</x:f>
        <x:v>90+</x:v>
      </x:c>
      <x:c r="K22" s="58" t="str">
        <x:f>IF(AND(G22&gt;10000,I22&gt;60),"Critical",IF(OR(G22&gt;5000,I22&gt;30),"High",IF(G22&gt;0,"Normal","Closed")))</x:f>
        <x:v>High</x:v>
      </x:c>
      <x:c r="L22" s="59" t="str">
        <x:f>IF(K22="Critical","Call and escalate",IF(K22="High","Send reminder","Monitor"))</x:f>
        <x:v>Send reminder</x:v>
      </x:c>
    </x:row>
    <x:row r="23">
      <x:c r="A23" s="57" t="str">
        <x:v>AR-0022</x:v>
      </x:c>
      <x:c r="B23" s="58" t="str">
        <x:v>Customer 50</x:v>
      </x:c>
      <x:c r="C23" s="78" t="n">
        <x:v>46090</x:v>
      </x:c>
      <x:c r="D23" s="78" t="n">
        <x:v>46105</x:v>
      </x:c>
      <x:c r="E23" s="82" t="n">
        <x:v>13425.42</x:v>
      </x:c>
      <x:c r="F23" s="82" t="n">
        <x:v>10069.07</x:v>
      </x:c>
      <x:c r="G23" s="82" t="n">
        <x:f>E23-F23</x:f>
        <x:v>3356.3500000000004</x:v>
      </x:c>
      <x:c r="H23" s="58" t="str">
        <x:f>IF(G23&lt;=0,"Paid","Open")</x:f>
        <x:v>Open</x:v>
      </x:c>
      <x:c r="I23" s="58" t="n">
        <x:f>IF(G23&lt;=0,0,MAX(0,TODAY()-D23))</x:f>
        <x:v>97</x:v>
      </x:c>
      <x:c r="J23" s="58" t="str">
        <x:f>IF(I23=0,"Current",IF(I23&lt;=30,"1-30",IF(I23&lt;=60,"31-60",IF(I23&lt;=90,"61-90","90+"))))</x:f>
        <x:v>90+</x:v>
      </x:c>
      <x:c r="K23" s="58" t="str">
        <x:f>IF(AND(G23&gt;10000,I23&gt;60),"Critical",IF(OR(G23&gt;5000,I23&gt;30),"High",IF(G23&gt;0,"Normal","Closed")))</x:f>
        <x:v>High</x:v>
      </x:c>
      <x:c r="L23" s="59" t="str">
        <x:f>IF(K23="Critical","Call and escalate",IF(K23="High","Send reminder","Monitor"))</x:f>
        <x:v>Send reminder</x:v>
      </x:c>
    </x:row>
    <x:row r="24">
      <x:c r="A24" s="57" t="str">
        <x:v>AR-0023</x:v>
      </x:c>
      <x:c r="B24" s="58" t="str">
        <x:v>Customer 42</x:v>
      </x:c>
      <x:c r="C24" s="78" t="n">
        <x:v>46064</x:v>
      </x:c>
      <x:c r="D24" s="78" t="n">
        <x:v>46094</x:v>
      </x:c>
      <x:c r="E24" s="82" t="n">
        <x:v>12841.75</x:v>
      </x:c>
      <x:c r="F24" s="82" t="n">
        <x:v>12841.75</x:v>
      </x:c>
      <x:c r="G24" s="82" t="n">
        <x:f>E24-F24</x:f>
        <x:v>0</x:v>
      </x:c>
      <x:c r="H24" s="58" t="str">
        <x:f>IF(G24&lt;=0,"Paid","Open")</x:f>
        <x:v>Paid</x:v>
      </x:c>
      <x:c r="I24" s="58" t="n">
        <x:f>IF(G24&lt;=0,0,MAX(0,TODAY()-D24))</x:f>
        <x:v>0</x:v>
      </x:c>
      <x:c r="J24" s="58" t="str">
        <x:f>IF(I24=0,"Current",IF(I24&lt;=30,"1-30",IF(I24&lt;=60,"31-60",IF(I24&lt;=90,"61-90","90+"))))</x:f>
        <x:v>Current</x:v>
      </x:c>
      <x:c r="K24" s="58" t="str">
        <x:f>IF(AND(G24&gt;10000,I24&gt;60),"Critical",IF(OR(G24&gt;5000,I24&gt;30),"High",IF(G24&gt;0,"Normal","Closed")))</x:f>
        <x:v>Closed</x:v>
      </x:c>
      <x:c r="L24" s="59" t="str">
        <x:f>IF(K24="Critical","Call and escalate",IF(K24="High","Send reminder","Monitor"))</x:f>
        <x:v>Monitor</x:v>
      </x:c>
    </x:row>
    <x:row r="25">
      <x:c r="A25" s="57" t="str">
        <x:v>AR-0024</x:v>
      </x:c>
      <x:c r="B25" s="58" t="str">
        <x:v>Customer 19</x:v>
      </x:c>
      <x:c r="C25" s="78" t="n">
        <x:v>46065</x:v>
      </x:c>
      <x:c r="D25" s="78" t="n">
        <x:v>46095</x:v>
      </x:c>
      <x:c r="E25" s="82" t="n">
        <x:v>4231.41</x:v>
      </x:c>
      <x:c r="F25" s="82" t="n">
        <x:v>1057.85</x:v>
      </x:c>
      <x:c r="G25" s="82" t="n">
        <x:f>E25-F25</x:f>
        <x:v>3173.56</x:v>
      </x:c>
      <x:c r="H25" s="58" t="str">
        <x:f>IF(G25&lt;=0,"Paid","Open")</x:f>
        <x:v>Open</x:v>
      </x:c>
      <x:c r="I25" s="58" t="n">
        <x:f>IF(G25&lt;=0,0,MAX(0,TODAY()-D25))</x:f>
        <x:v>107</x:v>
      </x:c>
      <x:c r="J25" s="58" t="str">
        <x:f>IF(I25=0,"Current",IF(I25&lt;=30,"1-30",IF(I25&lt;=60,"31-60",IF(I25&lt;=90,"61-90","90+"))))</x:f>
        <x:v>90+</x:v>
      </x:c>
      <x:c r="K25" s="58" t="str">
        <x:f>IF(AND(G25&gt;10000,I25&gt;60),"Critical",IF(OR(G25&gt;5000,I25&gt;30),"High",IF(G25&gt;0,"Normal","Closed")))</x:f>
        <x:v>High</x:v>
      </x:c>
      <x:c r="L25" s="59" t="str">
        <x:f>IF(K25="Critical","Call and escalate",IF(K25="High","Send reminder","Monitor"))</x:f>
        <x:v>Send reminder</x:v>
      </x:c>
    </x:row>
    <x:row r="26">
      <x:c r="A26" s="57" t="str">
        <x:v>AR-0025</x:v>
      </x:c>
      <x:c r="B26" s="58" t="str">
        <x:v>Customer 5</x:v>
      </x:c>
      <x:c r="C26" s="78" t="n">
        <x:v>46076</x:v>
      </x:c>
      <x:c r="D26" s="78" t="n">
        <x:v>46091</x:v>
      </x:c>
      <x:c r="E26" s="82" t="n">
        <x:v>29205.27</x:v>
      </x:c>
      <x:c r="F26" s="82" t="n">
        <x:v>7301.32</x:v>
      </x:c>
      <x:c r="G26" s="82" t="n">
        <x:f>E26-F26</x:f>
        <x:v>21903.95</x:v>
      </x:c>
      <x:c r="H26" s="58" t="str">
        <x:f>IF(G26&lt;=0,"Paid","Open")</x:f>
        <x:v>Open</x:v>
      </x:c>
      <x:c r="I26" s="58" t="n">
        <x:f>IF(G26&lt;=0,0,MAX(0,TODAY()-D26))</x:f>
        <x:v>111</x:v>
      </x:c>
      <x:c r="J26" s="58" t="str">
        <x:f>IF(I26=0,"Current",IF(I26&lt;=30,"1-30",IF(I26&lt;=60,"31-60",IF(I26&lt;=90,"61-90","90+"))))</x:f>
        <x:v>90+</x:v>
      </x:c>
      <x:c r="K26" s="58" t="str">
        <x:f>IF(AND(G26&gt;10000,I26&gt;60),"Critical",IF(OR(G26&gt;5000,I26&gt;30),"High",IF(G26&gt;0,"Normal","Closed")))</x:f>
        <x:v>Critical</x:v>
      </x:c>
      <x:c r="L26" s="59" t="str">
        <x:f>IF(K26="Critical","Call and escalate",IF(K26="High","Send reminder","Monitor"))</x:f>
        <x:v>Call and escalate</x:v>
      </x:c>
    </x:row>
    <x:row r="27">
      <x:c r="A27" s="57" t="str">
        <x:v>AR-0026</x:v>
      </x:c>
      <x:c r="B27" s="58" t="str">
        <x:v>Customer 32</x:v>
      </x:c>
      <x:c r="C27" s="78" t="n">
        <x:v>46166</x:v>
      </x:c>
      <x:c r="D27" s="78" t="n">
        <x:v>46196</x:v>
      </x:c>
      <x:c r="E27" s="82" t="n">
        <x:v>26534.75</x:v>
      </x:c>
      <x:c r="F27" s="82" t="n">
        <x:v>26534.75</x:v>
      </x:c>
      <x:c r="G27" s="82" t="n">
        <x:f>E27-F27</x:f>
        <x:v>0</x:v>
      </x:c>
      <x:c r="H27" s="58" t="str">
        <x:f>IF(G27&lt;=0,"Paid","Open")</x:f>
        <x:v>Paid</x:v>
      </x:c>
      <x:c r="I27" s="58" t="n">
        <x:f>IF(G27&lt;=0,0,MAX(0,TODAY()-D27))</x:f>
        <x:v>0</x:v>
      </x:c>
      <x:c r="J27" s="58" t="str">
        <x:f>IF(I27=0,"Current",IF(I27&lt;=30,"1-30",IF(I27&lt;=60,"31-60",IF(I27&lt;=90,"61-90","90+"))))</x:f>
        <x:v>Current</x:v>
      </x:c>
      <x:c r="K27" s="58" t="str">
        <x:f>IF(AND(G27&gt;10000,I27&gt;60),"Critical",IF(OR(G27&gt;5000,I27&gt;30),"High",IF(G27&gt;0,"Normal","Closed")))</x:f>
        <x:v>Closed</x:v>
      </x:c>
      <x:c r="L27" s="59" t="str">
        <x:f>IF(K27="Critical","Call and escalate",IF(K27="High","Send reminder","Monitor"))</x:f>
        <x:v>Monitor</x:v>
      </x:c>
    </x:row>
    <x:row r="28">
      <x:c r="A28" s="57" t="str">
        <x:v>AR-0027</x:v>
      </x:c>
      <x:c r="B28" s="58" t="str">
        <x:v>Customer 17</x:v>
      </x:c>
      <x:c r="C28" s="78" t="n">
        <x:v>46187</x:v>
      </x:c>
      <x:c r="D28" s="78" t="n">
        <x:v>46217</x:v>
      </x:c>
      <x:c r="E28" s="82" t="n">
        <x:v>5795.41</x:v>
      </x:c>
      <x:c r="F28" s="82" t="n">
        <x:v>1448.85</x:v>
      </x:c>
      <x:c r="G28" s="82" t="n">
        <x:f>E28-F28</x:f>
        <x:v>4346.5599999999995</x:v>
      </x:c>
      <x:c r="H28" s="58" t="str">
        <x:f>IF(G28&lt;=0,"Paid","Open")</x:f>
        <x:v>Open</x:v>
      </x:c>
      <x:c r="I28" s="58" t="n">
        <x:f>IF(G28&lt;=0,0,MAX(0,TODAY()-D28))</x:f>
        <x:v>0</x:v>
      </x:c>
      <x:c r="J28" s="58" t="str">
        <x:f>IF(I28=0,"Current",IF(I28&lt;=30,"1-30",IF(I28&lt;=60,"31-60",IF(I28&lt;=90,"61-90","90+"))))</x:f>
        <x:v>Current</x:v>
      </x:c>
      <x:c r="K28" s="58" t="str">
        <x:f>IF(AND(G28&gt;10000,I28&gt;60),"Critical",IF(OR(G28&gt;5000,I28&gt;30),"High",IF(G28&gt;0,"Normal","Closed")))</x:f>
        <x:v>Normal</x:v>
      </x:c>
      <x:c r="L28" s="59" t="str">
        <x:f>IF(K28="Critical","Call and escalate",IF(K28="High","Send reminder","Monitor"))</x:f>
        <x:v>Monitor</x:v>
      </x:c>
    </x:row>
    <x:row r="29">
      <x:c r="A29" s="57" t="str">
        <x:v>AR-0028</x:v>
      </x:c>
      <x:c r="B29" s="58" t="str">
        <x:v>Customer 48</x:v>
      </x:c>
      <x:c r="C29" s="78" t="n">
        <x:v>46075</x:v>
      </x:c>
      <x:c r="D29" s="78" t="n">
        <x:v>46090</x:v>
      </x:c>
      <x:c r="E29" s="82" t="n">
        <x:v>25465.82</x:v>
      </x:c>
      <x:c r="F29" s="82" t="n">
        <x:v>0</x:v>
      </x:c>
      <x:c r="G29" s="82" t="n">
        <x:f>E29-F29</x:f>
        <x:v>25465.82</x:v>
      </x:c>
      <x:c r="H29" s="58" t="str">
        <x:f>IF(G29&lt;=0,"Paid","Open")</x:f>
        <x:v>Open</x:v>
      </x:c>
      <x:c r="I29" s="58" t="n">
        <x:f>IF(G29&lt;=0,0,MAX(0,TODAY()-D29))</x:f>
        <x:v>112</x:v>
      </x:c>
      <x:c r="J29" s="58" t="str">
        <x:f>IF(I29=0,"Current",IF(I29&lt;=30,"1-30",IF(I29&lt;=60,"31-60",IF(I29&lt;=90,"61-90","90+"))))</x:f>
        <x:v>90+</x:v>
      </x:c>
      <x:c r="K29" s="58" t="str">
        <x:f>IF(AND(G29&gt;10000,I29&gt;60),"Critical",IF(OR(G29&gt;5000,I29&gt;30),"High",IF(G29&gt;0,"Normal","Closed")))</x:f>
        <x:v>Critical</x:v>
      </x:c>
      <x:c r="L29" s="59" t="str">
        <x:f>IF(K29="Critical","Call and escalate",IF(K29="High","Send reminder","Monitor"))</x:f>
        <x:v>Call and escalate</x:v>
      </x:c>
    </x:row>
    <x:row r="30">
      <x:c r="A30" s="57" t="str">
        <x:v>AR-0029</x:v>
      </x:c>
      <x:c r="B30" s="58" t="str">
        <x:v>Customer 6</x:v>
      </x:c>
      <x:c r="C30" s="78" t="n">
        <x:v>46085</x:v>
      </x:c>
      <x:c r="D30" s="78" t="n">
        <x:v>46115</x:v>
      </x:c>
      <x:c r="E30" s="82" t="n">
        <x:v>4596.52</x:v>
      </x:c>
      <x:c r="F30" s="82" t="n">
        <x:v>2298.26</x:v>
      </x:c>
      <x:c r="G30" s="82" t="n">
        <x:f>E30-F30</x:f>
        <x:v>2298.26</x:v>
      </x:c>
      <x:c r="H30" s="58" t="str">
        <x:f>IF(G30&lt;=0,"Paid","Open")</x:f>
        <x:v>Open</x:v>
      </x:c>
      <x:c r="I30" s="58" t="n">
        <x:f>IF(G30&lt;=0,0,MAX(0,TODAY()-D30))</x:f>
        <x:v>87</x:v>
      </x:c>
      <x:c r="J30" s="58" t="str">
        <x:f>IF(I30=0,"Current",IF(I30&lt;=30,"1-30",IF(I30&lt;=60,"31-60",IF(I30&lt;=90,"61-90","90+"))))</x:f>
        <x:v>61-90</x:v>
      </x:c>
      <x:c r="K30" s="58" t="str">
        <x:f>IF(AND(G30&gt;10000,I30&gt;60),"Critical",IF(OR(G30&gt;5000,I30&gt;30),"High",IF(G30&gt;0,"Normal","Closed")))</x:f>
        <x:v>High</x:v>
      </x:c>
      <x:c r="L30" s="59" t="str">
        <x:f>IF(K30="Critical","Call and escalate",IF(K30="High","Send reminder","Monitor"))</x:f>
        <x:v>Send reminder</x:v>
      </x:c>
    </x:row>
    <x:row r="31">
      <x:c r="A31" s="57" t="str">
        <x:v>AR-0030</x:v>
      </x:c>
      <x:c r="B31" s="58" t="str">
        <x:v>Customer 20</x:v>
      </x:c>
      <x:c r="C31" s="78" t="n">
        <x:v>46123</x:v>
      </x:c>
      <x:c r="D31" s="78" t="n">
        <x:v>46138</x:v>
      </x:c>
      <x:c r="E31" s="82" t="n">
        <x:v>2862.13</x:v>
      </x:c>
      <x:c r="F31" s="82" t="n">
        <x:v>2862.13</x:v>
      </x:c>
      <x:c r="G31" s="82" t="n">
        <x:f>E31-F31</x:f>
        <x:v>0</x:v>
      </x:c>
      <x:c r="H31" s="58" t="str">
        <x:f>IF(G31&lt;=0,"Paid","Open")</x:f>
        <x:v>Paid</x:v>
      </x:c>
      <x:c r="I31" s="58" t="n">
        <x:f>IF(G31&lt;=0,0,MAX(0,TODAY()-D31))</x:f>
        <x:v>0</x:v>
      </x:c>
      <x:c r="J31" s="58" t="str">
        <x:f>IF(I31=0,"Current",IF(I31&lt;=30,"1-30",IF(I31&lt;=60,"31-60",IF(I31&lt;=90,"61-90","90+"))))</x:f>
        <x:v>Current</x:v>
      </x:c>
      <x:c r="K31" s="58" t="str">
        <x:f>IF(AND(G31&gt;10000,I31&gt;60),"Critical",IF(OR(G31&gt;5000,I31&gt;30),"High",IF(G31&gt;0,"Normal","Closed")))</x:f>
        <x:v>Closed</x:v>
      </x:c>
      <x:c r="L31" s="59" t="str">
        <x:f>IF(K31="Critical","Call and escalate",IF(K31="High","Send reminder","Monitor"))</x:f>
        <x:v>Monitor</x:v>
      </x:c>
    </x:row>
    <x:row r="32">
      <x:c r="A32" s="57" t="str">
        <x:v>AR-0031</x:v>
      </x:c>
      <x:c r="B32" s="58" t="str">
        <x:v>Customer 45</x:v>
      </x:c>
      <x:c r="C32" s="78" t="n">
        <x:v>46107</x:v>
      </x:c>
      <x:c r="D32" s="78" t="n">
        <x:v>46152</x:v>
      </x:c>
      <x:c r="E32" s="82" t="n">
        <x:v>3681.01</x:v>
      </x:c>
      <x:c r="F32" s="82" t="n">
        <x:v>0</x:v>
      </x:c>
      <x:c r="G32" s="82" t="n">
        <x:f>E32-F32</x:f>
        <x:v>3681.01</x:v>
      </x:c>
      <x:c r="H32" s="58" t="str">
        <x:f>IF(G32&lt;=0,"Paid","Open")</x:f>
        <x:v>Open</x:v>
      </x:c>
      <x:c r="I32" s="58" t="n">
        <x:f>IF(G32&lt;=0,0,MAX(0,TODAY()-D32))</x:f>
        <x:v>50</x:v>
      </x:c>
      <x:c r="J32" s="58" t="str">
        <x:f>IF(I32=0,"Current",IF(I32&lt;=30,"1-30",IF(I32&lt;=60,"31-60",IF(I32&lt;=90,"61-90","90+"))))</x:f>
        <x:v>31-60</x:v>
      </x:c>
      <x:c r="K32" s="58" t="str">
        <x:f>IF(AND(G32&gt;10000,I32&gt;60),"Critical",IF(OR(G32&gt;5000,I32&gt;30),"High",IF(G32&gt;0,"Normal","Closed")))</x:f>
        <x:v>High</x:v>
      </x:c>
      <x:c r="L32" s="59" t="str">
        <x:f>IF(K32="Critical","Call and escalate",IF(K32="High","Send reminder","Monitor"))</x:f>
        <x:v>Send reminder</x:v>
      </x:c>
    </x:row>
    <x:row r="33">
      <x:c r="A33" s="57" t="str">
        <x:v>AR-0032</x:v>
      </x:c>
      <x:c r="B33" s="58" t="str">
        <x:v>Customer 42</x:v>
      </x:c>
      <x:c r="C33" s="78" t="n">
        <x:v>46084</x:v>
      </x:c>
      <x:c r="D33" s="78" t="n">
        <x:v>46114</x:v>
      </x:c>
      <x:c r="E33" s="82" t="n">
        <x:v>16703.9</x:v>
      </x:c>
      <x:c r="F33" s="82" t="n">
        <x:v>12527.93</x:v>
      </x:c>
      <x:c r="G33" s="82" t="n">
        <x:f>E33-F33</x:f>
        <x:v>4175.970000000001</x:v>
      </x:c>
      <x:c r="H33" s="58" t="str">
        <x:f>IF(G33&lt;=0,"Paid","Open")</x:f>
        <x:v>Open</x:v>
      </x:c>
      <x:c r="I33" s="58" t="n">
        <x:f>IF(G33&lt;=0,0,MAX(0,TODAY()-D33))</x:f>
        <x:v>88</x:v>
      </x:c>
      <x:c r="J33" s="58" t="str">
        <x:f>IF(I33=0,"Current",IF(I33&lt;=30,"1-30",IF(I33&lt;=60,"31-60",IF(I33&lt;=90,"61-90","90+"))))</x:f>
        <x:v>61-90</x:v>
      </x:c>
      <x:c r="K33" s="58" t="str">
        <x:f>IF(AND(G33&gt;10000,I33&gt;60),"Critical",IF(OR(G33&gt;5000,I33&gt;30),"High",IF(G33&gt;0,"Normal","Closed")))</x:f>
        <x:v>High</x:v>
      </x:c>
      <x:c r="L33" s="59" t="str">
        <x:f>IF(K33="Critical","Call and escalate",IF(K33="High","Send reminder","Monitor"))</x:f>
        <x:v>Send reminder</x:v>
      </x:c>
    </x:row>
    <x:row r="34">
      <x:c r="A34" s="57" t="str">
        <x:v>AR-0033</x:v>
      </x:c>
      <x:c r="B34" s="58" t="str">
        <x:v>Customer 28</x:v>
      </x:c>
      <x:c r="C34" s="78" t="n">
        <x:v>46069</x:v>
      </x:c>
      <x:c r="D34" s="78" t="n">
        <x:v>46084</x:v>
      </x:c>
      <x:c r="E34" s="82" t="n">
        <x:v>26886.81</x:v>
      </x:c>
      <x:c r="F34" s="82" t="n">
        <x:v>0</x:v>
      </x:c>
      <x:c r="G34" s="82" t="n">
        <x:f>E34-F34</x:f>
        <x:v>26886.81</x:v>
      </x:c>
      <x:c r="H34" s="58" t="str">
        <x:f>IF(G34&lt;=0,"Paid","Open")</x:f>
        <x:v>Open</x:v>
      </x:c>
      <x:c r="I34" s="58" t="n">
        <x:f>IF(G34&lt;=0,0,MAX(0,TODAY()-D34))</x:f>
        <x:v>118</x:v>
      </x:c>
      <x:c r="J34" s="58" t="str">
        <x:f>IF(I34=0,"Current",IF(I34&lt;=30,"1-30",IF(I34&lt;=60,"31-60",IF(I34&lt;=90,"61-90","90+"))))</x:f>
        <x:v>90+</x:v>
      </x:c>
      <x:c r="K34" s="58" t="str">
        <x:f>IF(AND(G34&gt;10000,I34&gt;60),"Critical",IF(OR(G34&gt;5000,I34&gt;30),"High",IF(G34&gt;0,"Normal","Closed")))</x:f>
        <x:v>Critical</x:v>
      </x:c>
      <x:c r="L34" s="59" t="str">
        <x:f>IF(K34="Critical","Call and escalate",IF(K34="High","Send reminder","Monitor"))</x:f>
        <x:v>Call and escalate</x:v>
      </x:c>
    </x:row>
    <x:row r="35">
      <x:c r="A35" s="57" t="str">
        <x:v>AR-0034</x:v>
      </x:c>
      <x:c r="B35" s="58" t="str">
        <x:v>Customer 10</x:v>
      </x:c>
      <x:c r="C35" s="78" t="n">
        <x:v>46162</x:v>
      </x:c>
      <x:c r="D35" s="78" t="n">
        <x:v>46207</x:v>
      </x:c>
      <x:c r="E35" s="82" t="n">
        <x:v>29313.73</x:v>
      </x:c>
      <x:c r="F35" s="82" t="n">
        <x:v>7328.43</x:v>
      </x:c>
      <x:c r="G35" s="82" t="n">
        <x:f>E35-F35</x:f>
        <x:v>21985.3</x:v>
      </x:c>
      <x:c r="H35" s="58" t="str">
        <x:f>IF(G35&lt;=0,"Paid","Open")</x:f>
        <x:v>Open</x:v>
      </x:c>
      <x:c r="I35" s="58" t="n">
        <x:f>IF(G35&lt;=0,0,MAX(0,TODAY()-D35))</x:f>
        <x:v>0</x:v>
      </x:c>
      <x:c r="J35" s="58" t="str">
        <x:f>IF(I35=0,"Current",IF(I35&lt;=30,"1-30",IF(I35&lt;=60,"31-60",IF(I35&lt;=90,"61-90","90+"))))</x:f>
        <x:v>Current</x:v>
      </x:c>
      <x:c r="K35" s="58" t="str">
        <x:f>IF(AND(G35&gt;10000,I35&gt;60),"Critical",IF(OR(G35&gt;5000,I35&gt;30),"High",IF(G35&gt;0,"Normal","Closed")))</x:f>
        <x:v>High</x:v>
      </x:c>
      <x:c r="L35" s="59" t="str">
        <x:f>IF(K35="Critical","Call and escalate",IF(K35="High","Send reminder","Monitor"))</x:f>
        <x:v>Send reminder</x:v>
      </x:c>
    </x:row>
    <x:row r="36">
      <x:c r="A36" s="57" t="str">
        <x:v>AR-0035</x:v>
      </x:c>
      <x:c r="B36" s="58" t="str">
        <x:v>Customer 12</x:v>
      </x:c>
      <x:c r="C36" s="78" t="n">
        <x:v>46063</x:v>
      </x:c>
      <x:c r="D36" s="78" t="n">
        <x:v>46108</x:v>
      </x:c>
      <x:c r="E36" s="82" t="n">
        <x:v>21792.32</x:v>
      </x:c>
      <x:c r="F36" s="82" t="n">
        <x:v>5448.08</x:v>
      </x:c>
      <x:c r="G36" s="82" t="n">
        <x:f>E36-F36</x:f>
        <x:v>16344.24</x:v>
      </x:c>
      <x:c r="H36" s="58" t="str">
        <x:f>IF(G36&lt;=0,"Paid","Open")</x:f>
        <x:v>Open</x:v>
      </x:c>
      <x:c r="I36" s="58" t="n">
        <x:f>IF(G36&lt;=0,0,MAX(0,TODAY()-D36))</x:f>
        <x:v>94</x:v>
      </x:c>
      <x:c r="J36" s="58" t="str">
        <x:f>IF(I36=0,"Current",IF(I36&lt;=30,"1-30",IF(I36&lt;=60,"31-60",IF(I36&lt;=90,"61-90","90+"))))</x:f>
        <x:v>90+</x:v>
      </x:c>
      <x:c r="K36" s="58" t="str">
        <x:f>IF(AND(G36&gt;10000,I36&gt;60),"Critical",IF(OR(G36&gt;5000,I36&gt;30),"High",IF(G36&gt;0,"Normal","Closed")))</x:f>
        <x:v>Critical</x:v>
      </x:c>
      <x:c r="L36" s="59" t="str">
        <x:f>IF(K36="Critical","Call and escalate",IF(K36="High","Send reminder","Monitor"))</x:f>
        <x:v>Call and escalate</x:v>
      </x:c>
    </x:row>
    <x:row r="37">
      <x:c r="A37" s="57" t="str">
        <x:v>AR-0036</x:v>
      </x:c>
      <x:c r="B37" s="58" t="str">
        <x:v>Customer 2</x:v>
      </x:c>
      <x:c r="C37" s="78" t="n">
        <x:v>46141</x:v>
      </x:c>
      <x:c r="D37" s="78" t="n">
        <x:v>46156</x:v>
      </x:c>
      <x:c r="E37" s="82" t="n">
        <x:v>3453.7</x:v>
      </x:c>
      <x:c r="F37" s="82" t="n">
        <x:v>3453.7</x:v>
      </x:c>
      <x:c r="G37" s="82" t="n">
        <x:f>E37-F37</x:f>
        <x:v>0</x:v>
      </x:c>
      <x:c r="H37" s="58" t="str">
        <x:f>IF(G37&lt;=0,"Paid","Open")</x:f>
        <x:v>Paid</x:v>
      </x:c>
      <x:c r="I37" s="58" t="n">
        <x:f>IF(G37&lt;=0,0,MAX(0,TODAY()-D37))</x:f>
        <x:v>0</x:v>
      </x:c>
      <x:c r="J37" s="58" t="str">
        <x:f>IF(I37=0,"Current",IF(I37&lt;=30,"1-30",IF(I37&lt;=60,"31-60",IF(I37&lt;=90,"61-90","90+"))))</x:f>
        <x:v>Current</x:v>
      </x:c>
      <x:c r="K37" s="58" t="str">
        <x:f>IF(AND(G37&gt;10000,I37&gt;60),"Critical",IF(OR(G37&gt;5000,I37&gt;30),"High",IF(G37&gt;0,"Normal","Closed")))</x:f>
        <x:v>Closed</x:v>
      </x:c>
      <x:c r="L37" s="59" t="str">
        <x:f>IF(K37="Critical","Call and escalate",IF(K37="High","Send reminder","Monitor"))</x:f>
        <x:v>Monitor</x:v>
      </x:c>
    </x:row>
    <x:row r="38">
      <x:c r="A38" s="57" t="str">
        <x:v>AR-0037</x:v>
      </x:c>
      <x:c r="B38" s="58" t="str">
        <x:v>Customer 16</x:v>
      </x:c>
      <x:c r="C38" s="78" t="n">
        <x:v>46155</x:v>
      </x:c>
      <x:c r="D38" s="78" t="n">
        <x:v>46170</x:v>
      </x:c>
      <x:c r="E38" s="82" t="n">
        <x:v>22184.75</x:v>
      </x:c>
      <x:c r="F38" s="82" t="n">
        <x:v>11092.38</x:v>
      </x:c>
      <x:c r="G38" s="82" t="n">
        <x:f>E38-F38</x:f>
        <x:v>11092.37</x:v>
      </x:c>
      <x:c r="H38" s="58" t="str">
        <x:f>IF(G38&lt;=0,"Paid","Open")</x:f>
        <x:v>Open</x:v>
      </x:c>
      <x:c r="I38" s="58" t="n">
        <x:f>IF(G38&lt;=0,0,MAX(0,TODAY()-D38))</x:f>
        <x:v>32</x:v>
      </x:c>
      <x:c r="J38" s="58" t="str">
        <x:f>IF(I38=0,"Current",IF(I38&lt;=30,"1-30",IF(I38&lt;=60,"31-60",IF(I38&lt;=90,"61-90","90+"))))</x:f>
        <x:v>31-60</x:v>
      </x:c>
      <x:c r="K38" s="58" t="str">
        <x:f>IF(AND(G38&gt;10000,I38&gt;60),"Critical",IF(OR(G38&gt;5000,I38&gt;30),"High",IF(G38&gt;0,"Normal","Closed")))</x:f>
        <x:v>High</x:v>
      </x:c>
      <x:c r="L38" s="59" t="str">
        <x:f>IF(K38="Critical","Call and escalate",IF(K38="High","Send reminder","Monitor"))</x:f>
        <x:v>Send reminder</x:v>
      </x:c>
    </x:row>
    <x:row r="39">
      <x:c r="A39" s="57" t="str">
        <x:v>AR-0038</x:v>
      </x:c>
      <x:c r="B39" s="58" t="str">
        <x:v>Customer 22</x:v>
      </x:c>
      <x:c r="C39" s="78" t="n">
        <x:v>46085</x:v>
      </x:c>
      <x:c r="D39" s="78" t="n">
        <x:v>46115</x:v>
      </x:c>
      <x:c r="E39" s="82" t="n">
        <x:v>3661.76</x:v>
      </x:c>
      <x:c r="F39" s="82" t="n">
        <x:v>0</x:v>
      </x:c>
      <x:c r="G39" s="82" t="n">
        <x:f>E39-F39</x:f>
        <x:v>3661.76</x:v>
      </x:c>
      <x:c r="H39" s="58" t="str">
        <x:f>IF(G39&lt;=0,"Paid","Open")</x:f>
        <x:v>Open</x:v>
      </x:c>
      <x:c r="I39" s="58" t="n">
        <x:f>IF(G39&lt;=0,0,MAX(0,TODAY()-D39))</x:f>
        <x:v>87</x:v>
      </x:c>
      <x:c r="J39" s="58" t="str">
        <x:f>IF(I39=0,"Current",IF(I39&lt;=30,"1-30",IF(I39&lt;=60,"31-60",IF(I39&lt;=90,"61-90","90+"))))</x:f>
        <x:v>61-90</x:v>
      </x:c>
      <x:c r="K39" s="58" t="str">
        <x:f>IF(AND(G39&gt;10000,I39&gt;60),"Critical",IF(OR(G39&gt;5000,I39&gt;30),"High",IF(G39&gt;0,"Normal","Closed")))</x:f>
        <x:v>High</x:v>
      </x:c>
      <x:c r="L39" s="59" t="str">
        <x:f>IF(K39="Critical","Call and escalate",IF(K39="High","Send reminder","Monitor"))</x:f>
        <x:v>Send reminder</x:v>
      </x:c>
    </x:row>
    <x:row r="40">
      <x:c r="A40" s="57" t="str">
        <x:v>AR-0039</x:v>
      </x:c>
      <x:c r="B40" s="58" t="str">
        <x:v>Customer 27</x:v>
      </x:c>
      <x:c r="C40" s="78" t="n">
        <x:v>46092</x:v>
      </x:c>
      <x:c r="D40" s="78" t="n">
        <x:v>46107</x:v>
      </x:c>
      <x:c r="E40" s="82" t="n">
        <x:v>22094.96</x:v>
      </x:c>
      <x:c r="F40" s="82" t="n">
        <x:v>0</x:v>
      </x:c>
      <x:c r="G40" s="82" t="n">
        <x:f>E40-F40</x:f>
        <x:v>22094.96</x:v>
      </x:c>
      <x:c r="H40" s="58" t="str">
        <x:f>IF(G40&lt;=0,"Paid","Open")</x:f>
        <x:v>Open</x:v>
      </x:c>
      <x:c r="I40" s="58" t="n">
        <x:f>IF(G40&lt;=0,0,MAX(0,TODAY()-D40))</x:f>
        <x:v>95</x:v>
      </x:c>
      <x:c r="J40" s="58" t="str">
        <x:f>IF(I40=0,"Current",IF(I40&lt;=30,"1-30",IF(I40&lt;=60,"31-60",IF(I40&lt;=90,"61-90","90+"))))</x:f>
        <x:v>90+</x:v>
      </x:c>
      <x:c r="K40" s="58" t="str">
        <x:f>IF(AND(G40&gt;10000,I40&gt;60),"Critical",IF(OR(G40&gt;5000,I40&gt;30),"High",IF(G40&gt;0,"Normal","Closed")))</x:f>
        <x:v>Critical</x:v>
      </x:c>
      <x:c r="L40" s="59" t="str">
        <x:f>IF(K40="Critical","Call and escalate",IF(K40="High","Send reminder","Monitor"))</x:f>
        <x:v>Call and escalate</x:v>
      </x:c>
    </x:row>
    <x:row r="41">
      <x:c r="A41" s="57" t="str">
        <x:v>AR-0040</x:v>
      </x:c>
      <x:c r="B41" s="58" t="str">
        <x:v>Customer 17</x:v>
      </x:c>
      <x:c r="C41" s="78" t="n">
        <x:v>46154</x:v>
      </x:c>
      <x:c r="D41" s="78" t="n">
        <x:v>46184</x:v>
      </x:c>
      <x:c r="E41" s="82" t="n">
        <x:v>27010.14</x:v>
      </x:c>
      <x:c r="F41" s="82" t="n">
        <x:v>6752.53</x:v>
      </x:c>
      <x:c r="G41" s="82" t="n">
        <x:f>E41-F41</x:f>
        <x:v>20257.61</x:v>
      </x:c>
      <x:c r="H41" s="58" t="str">
        <x:f>IF(G41&lt;=0,"Paid","Open")</x:f>
        <x:v>Open</x:v>
      </x:c>
      <x:c r="I41" s="58" t="n">
        <x:f>IF(G41&lt;=0,0,MAX(0,TODAY()-D41))</x:f>
        <x:v>18</x:v>
      </x:c>
      <x:c r="J41" s="58" t="str">
        <x:f>IF(I41=0,"Current",IF(I41&lt;=30,"1-30",IF(I41&lt;=60,"31-60",IF(I41&lt;=90,"61-90","90+"))))</x:f>
        <x:v>1-30</x:v>
      </x:c>
      <x:c r="K41" s="58" t="str">
        <x:f>IF(AND(G41&gt;10000,I41&gt;60),"Critical",IF(OR(G41&gt;5000,I41&gt;30),"High",IF(G41&gt;0,"Normal","Closed")))</x:f>
        <x:v>High</x:v>
      </x:c>
      <x:c r="L41" s="59" t="str">
        <x:f>IF(K41="Critical","Call and escalate",IF(K41="High","Send reminder","Monitor"))</x:f>
        <x:v>Send reminder</x:v>
      </x:c>
    </x:row>
    <x:row r="42">
      <x:c r="A42" s="57" t="str">
        <x:v>AR-0041</x:v>
      </x:c>
      <x:c r="B42" s="58" t="str">
        <x:v>Customer 31</x:v>
      </x:c>
      <x:c r="C42" s="78" t="n">
        <x:v>46105</x:v>
      </x:c>
      <x:c r="D42" s="78" t="n">
        <x:v>46135</x:v>
      </x:c>
      <x:c r="E42" s="82" t="n">
        <x:v>7156.65</x:v>
      </x:c>
      <x:c r="F42" s="82" t="n">
        <x:v>5367.49</x:v>
      </x:c>
      <x:c r="G42" s="82" t="n">
        <x:f>E42-F42</x:f>
        <x:v>1789.1599999999999</x:v>
      </x:c>
      <x:c r="H42" s="58" t="str">
        <x:f>IF(G42&lt;=0,"Paid","Open")</x:f>
        <x:v>Open</x:v>
      </x:c>
      <x:c r="I42" s="58" t="n">
        <x:f>IF(G42&lt;=0,0,MAX(0,TODAY()-D42))</x:f>
        <x:v>67</x:v>
      </x:c>
      <x:c r="J42" s="58" t="str">
        <x:f>IF(I42=0,"Current",IF(I42&lt;=30,"1-30",IF(I42&lt;=60,"31-60",IF(I42&lt;=90,"61-90","90+"))))</x:f>
        <x:v>61-90</x:v>
      </x:c>
      <x:c r="K42" s="58" t="str">
        <x:f>IF(AND(G42&gt;10000,I42&gt;60),"Critical",IF(OR(G42&gt;5000,I42&gt;30),"High",IF(G42&gt;0,"Normal","Closed")))</x:f>
        <x:v>High</x:v>
      </x:c>
      <x:c r="L42" s="59" t="str">
        <x:f>IF(K42="Critical","Call and escalate",IF(K42="High","Send reminder","Monitor"))</x:f>
        <x:v>Send reminder</x:v>
      </x:c>
    </x:row>
    <x:row r="43">
      <x:c r="A43" s="57" t="str">
        <x:v>AR-0042</x:v>
      </x:c>
      <x:c r="B43" s="58" t="str">
        <x:v>Customer 1</x:v>
      </x:c>
      <x:c r="C43" s="78" t="n">
        <x:v>46112</x:v>
      </x:c>
      <x:c r="D43" s="78" t="n">
        <x:v>46127</x:v>
      </x:c>
      <x:c r="E43" s="82" t="n">
        <x:v>16778.36</x:v>
      </x:c>
      <x:c r="F43" s="82" t="n">
        <x:v>0</x:v>
      </x:c>
      <x:c r="G43" s="82" t="n">
        <x:f>E43-F43</x:f>
        <x:v>16778.36</x:v>
      </x:c>
      <x:c r="H43" s="58" t="str">
        <x:f>IF(G43&lt;=0,"Paid","Open")</x:f>
        <x:v>Open</x:v>
      </x:c>
      <x:c r="I43" s="58" t="n">
        <x:f>IF(G43&lt;=0,0,MAX(0,TODAY()-D43))</x:f>
        <x:v>75</x:v>
      </x:c>
      <x:c r="J43" s="58" t="str">
        <x:f>IF(I43=0,"Current",IF(I43&lt;=30,"1-30",IF(I43&lt;=60,"31-60",IF(I43&lt;=90,"61-90","90+"))))</x:f>
        <x:v>61-90</x:v>
      </x:c>
      <x:c r="K43" s="58" t="str">
        <x:f>IF(AND(G43&gt;10000,I43&gt;60),"Critical",IF(OR(G43&gt;5000,I43&gt;30),"High",IF(G43&gt;0,"Normal","Closed")))</x:f>
        <x:v>Critical</x:v>
      </x:c>
      <x:c r="L43" s="59" t="str">
        <x:f>IF(K43="Critical","Call and escalate",IF(K43="High","Send reminder","Monitor"))</x:f>
        <x:v>Call and escalate</x:v>
      </x:c>
    </x:row>
    <x:row r="44">
      <x:c r="A44" s="57" t="str">
        <x:v>AR-0043</x:v>
      </x:c>
      <x:c r="B44" s="58" t="str">
        <x:v>Customer 34</x:v>
      </x:c>
      <x:c r="C44" s="78" t="n">
        <x:v>46142</x:v>
      </x:c>
      <x:c r="D44" s="78" t="n">
        <x:v>46187</x:v>
      </x:c>
      <x:c r="E44" s="82" t="n">
        <x:v>568.96</x:v>
      </x:c>
      <x:c r="F44" s="82" t="n">
        <x:v>284.48</x:v>
      </x:c>
      <x:c r="G44" s="82" t="n">
        <x:f>E44-F44</x:f>
        <x:v>284.48</x:v>
      </x:c>
      <x:c r="H44" s="58" t="str">
        <x:f>IF(G44&lt;=0,"Paid","Open")</x:f>
        <x:v>Open</x:v>
      </x:c>
      <x:c r="I44" s="58" t="n">
        <x:f>IF(G44&lt;=0,0,MAX(0,TODAY()-D44))</x:f>
        <x:v>15</x:v>
      </x:c>
      <x:c r="J44" s="58" t="str">
        <x:f>IF(I44=0,"Current",IF(I44&lt;=30,"1-30",IF(I44&lt;=60,"31-60",IF(I44&lt;=90,"61-90","90+"))))</x:f>
        <x:v>1-30</x:v>
      </x:c>
      <x:c r="K44" s="58" t="str">
        <x:f>IF(AND(G44&gt;10000,I44&gt;60),"Critical",IF(OR(G44&gt;5000,I44&gt;30),"High",IF(G44&gt;0,"Normal","Closed")))</x:f>
        <x:v>Normal</x:v>
      </x:c>
      <x:c r="L44" s="59" t="str">
        <x:f>IF(K44="Critical","Call and escalate",IF(K44="High","Send reminder","Monitor"))</x:f>
        <x:v>Monitor</x:v>
      </x:c>
    </x:row>
    <x:row r="45">
      <x:c r="A45" s="57" t="str">
        <x:v>AR-0044</x:v>
      </x:c>
      <x:c r="B45" s="58" t="str">
        <x:v>Customer 16</x:v>
      </x:c>
      <x:c r="C45" s="78" t="n">
        <x:v>46161</x:v>
      </x:c>
      <x:c r="D45" s="78" t="n">
        <x:v>46176</x:v>
      </x:c>
      <x:c r="E45" s="82" t="n">
        <x:v>22488.89</x:v>
      </x:c>
      <x:c r="F45" s="82" t="n">
        <x:v>5622.22</x:v>
      </x:c>
      <x:c r="G45" s="82" t="n">
        <x:f>E45-F45</x:f>
        <x:v>16866.67</x:v>
      </x:c>
      <x:c r="H45" s="58" t="str">
        <x:f>IF(G45&lt;=0,"Paid","Open")</x:f>
        <x:v>Open</x:v>
      </x:c>
      <x:c r="I45" s="58" t="n">
        <x:f>IF(G45&lt;=0,0,MAX(0,TODAY()-D45))</x:f>
        <x:v>26</x:v>
      </x:c>
      <x:c r="J45" s="58" t="str">
        <x:f>IF(I45=0,"Current",IF(I45&lt;=30,"1-30",IF(I45&lt;=60,"31-60",IF(I45&lt;=90,"61-90","90+"))))</x:f>
        <x:v>1-30</x:v>
      </x:c>
      <x:c r="K45" s="58" t="str">
        <x:f>IF(AND(G45&gt;10000,I45&gt;60),"Critical",IF(OR(G45&gt;5000,I45&gt;30),"High",IF(G45&gt;0,"Normal","Closed")))</x:f>
        <x:v>High</x:v>
      </x:c>
      <x:c r="L45" s="59" t="str">
        <x:f>IF(K45="Critical","Call and escalate",IF(K45="High","Send reminder","Monitor"))</x:f>
        <x:v>Send reminder</x:v>
      </x:c>
    </x:row>
    <x:row r="46">
      <x:c r="A46" s="57" t="str">
        <x:v>AR-0045</x:v>
      </x:c>
      <x:c r="B46" s="58" t="str">
        <x:v>Customer 6</x:v>
      </x:c>
      <x:c r="C46" s="78" t="n">
        <x:v>46121</x:v>
      </x:c>
      <x:c r="D46" s="78" t="n">
        <x:v>46136</x:v>
      </x:c>
      <x:c r="E46" s="82" t="n">
        <x:v>15123.46</x:v>
      </x:c>
      <x:c r="F46" s="82" t="n">
        <x:v>11342.59</x:v>
      </x:c>
      <x:c r="G46" s="82" t="n">
        <x:f>E46-F46</x:f>
        <x:v>3780.869999999999</x:v>
      </x:c>
      <x:c r="H46" s="58" t="str">
        <x:f>IF(G46&lt;=0,"Paid","Open")</x:f>
        <x:v>Open</x:v>
      </x:c>
      <x:c r="I46" s="58" t="n">
        <x:f>IF(G46&lt;=0,0,MAX(0,TODAY()-D46))</x:f>
        <x:v>66</x:v>
      </x:c>
      <x:c r="J46" s="58" t="str">
        <x:f>IF(I46=0,"Current",IF(I46&lt;=30,"1-30",IF(I46&lt;=60,"31-60",IF(I46&lt;=90,"61-90","90+"))))</x:f>
        <x:v>61-90</x:v>
      </x:c>
      <x:c r="K46" s="58" t="str">
        <x:f>IF(AND(G46&gt;10000,I46&gt;60),"Critical",IF(OR(G46&gt;5000,I46&gt;30),"High",IF(G46&gt;0,"Normal","Closed")))</x:f>
        <x:v>High</x:v>
      </x:c>
      <x:c r="L46" s="59" t="str">
        <x:f>IF(K46="Critical","Call and escalate",IF(K46="High","Send reminder","Monitor"))</x:f>
        <x:v>Send reminder</x:v>
      </x:c>
    </x:row>
    <x:row r="47">
      <x:c r="A47" s="57" t="str">
        <x:v>AR-0046</x:v>
      </x:c>
      <x:c r="B47" s="58" t="str">
        <x:v>Customer 40</x:v>
      </x:c>
      <x:c r="C47" s="78" t="n">
        <x:v>46081</x:v>
      </x:c>
      <x:c r="D47" s="78" t="n">
        <x:v>46096</x:v>
      </x:c>
      <x:c r="E47" s="82" t="n">
        <x:v>6091.47</x:v>
      </x:c>
      <x:c r="F47" s="82" t="n">
        <x:v>0</x:v>
      </x:c>
      <x:c r="G47" s="82" t="n">
        <x:f>E47-F47</x:f>
        <x:v>6091.47</x:v>
      </x:c>
      <x:c r="H47" s="58" t="str">
        <x:f>IF(G47&lt;=0,"Paid","Open")</x:f>
        <x:v>Open</x:v>
      </x:c>
      <x:c r="I47" s="58" t="n">
        <x:f>IF(G47&lt;=0,0,MAX(0,TODAY()-D47))</x:f>
        <x:v>106</x:v>
      </x:c>
      <x:c r="J47" s="58" t="str">
        <x:f>IF(I47=0,"Current",IF(I47&lt;=30,"1-30",IF(I47&lt;=60,"31-60",IF(I47&lt;=90,"61-90","90+"))))</x:f>
        <x:v>90+</x:v>
      </x:c>
      <x:c r="K47" s="58" t="str">
        <x:f>IF(AND(G47&gt;10000,I47&gt;60),"Critical",IF(OR(G47&gt;5000,I47&gt;30),"High",IF(G47&gt;0,"Normal","Closed")))</x:f>
        <x:v>High</x:v>
      </x:c>
      <x:c r="L47" s="59" t="str">
        <x:f>IF(K47="Critical","Call and escalate",IF(K47="High","Send reminder","Monitor"))</x:f>
        <x:v>Send reminder</x:v>
      </x:c>
    </x:row>
    <x:row r="48">
      <x:c r="A48" s="57" t="str">
        <x:v>AR-0047</x:v>
      </x:c>
      <x:c r="B48" s="58" t="str">
        <x:v>Customer 46</x:v>
      </x:c>
      <x:c r="C48" s="78" t="n">
        <x:v>46068</x:v>
      </x:c>
      <x:c r="D48" s="78" t="n">
        <x:v>46083</x:v>
      </x:c>
      <x:c r="E48" s="82" t="n">
        <x:v>18264.24</x:v>
      </x:c>
      <x:c r="F48" s="82" t="n">
        <x:v>13698.18</x:v>
      </x:c>
      <x:c r="G48" s="82" t="n">
        <x:f>E48-F48</x:f>
        <x:v>4566.060000000001</x:v>
      </x:c>
      <x:c r="H48" s="58" t="str">
        <x:f>IF(G48&lt;=0,"Paid","Open")</x:f>
        <x:v>Open</x:v>
      </x:c>
      <x:c r="I48" s="58" t="n">
        <x:f>IF(G48&lt;=0,0,MAX(0,TODAY()-D48))</x:f>
        <x:v>119</x:v>
      </x:c>
      <x:c r="J48" s="58" t="str">
        <x:f>IF(I48=0,"Current",IF(I48&lt;=30,"1-30",IF(I48&lt;=60,"31-60",IF(I48&lt;=90,"61-90","90+"))))</x:f>
        <x:v>90+</x:v>
      </x:c>
      <x:c r="K48" s="58" t="str">
        <x:f>IF(AND(G48&gt;10000,I48&gt;60),"Critical",IF(OR(G48&gt;5000,I48&gt;30),"High",IF(G48&gt;0,"Normal","Closed")))</x:f>
        <x:v>High</x:v>
      </x:c>
      <x:c r="L48" s="59" t="str">
        <x:f>IF(K48="Critical","Call and escalate",IF(K48="High","Send reminder","Monitor"))</x:f>
        <x:v>Send reminder</x:v>
      </x:c>
    </x:row>
    <x:row r="49">
      <x:c r="A49" s="57" t="str">
        <x:v>AR-0048</x:v>
      </x:c>
      <x:c r="B49" s="58" t="str">
        <x:v>Customer 40</x:v>
      </x:c>
      <x:c r="C49" s="78" t="n">
        <x:v>46101</x:v>
      </x:c>
      <x:c r="D49" s="78" t="n">
        <x:v>46146</x:v>
      </x:c>
      <x:c r="E49" s="82" t="n">
        <x:v>21960.9</x:v>
      </x:c>
      <x:c r="F49" s="82" t="n">
        <x:v>16470.68</x:v>
      </x:c>
      <x:c r="G49" s="82" t="n">
        <x:f>E49-F49</x:f>
        <x:v>5490.220000000001</x:v>
      </x:c>
      <x:c r="H49" s="58" t="str">
        <x:f>IF(G49&lt;=0,"Paid","Open")</x:f>
        <x:v>Open</x:v>
      </x:c>
      <x:c r="I49" s="58" t="n">
        <x:f>IF(G49&lt;=0,0,MAX(0,TODAY()-D49))</x:f>
        <x:v>56</x:v>
      </x:c>
      <x:c r="J49" s="58" t="str">
        <x:f>IF(I49=0,"Current",IF(I49&lt;=30,"1-30",IF(I49&lt;=60,"31-60",IF(I49&lt;=90,"61-90","90+"))))</x:f>
        <x:v>31-60</x:v>
      </x:c>
      <x:c r="K49" s="58" t="str">
        <x:f>IF(AND(G49&gt;10000,I49&gt;60),"Critical",IF(OR(G49&gt;5000,I49&gt;30),"High",IF(G49&gt;0,"Normal","Closed")))</x:f>
        <x:v>High</x:v>
      </x:c>
      <x:c r="L49" s="59" t="str">
        <x:f>IF(K49="Critical","Call and escalate",IF(K49="High","Send reminder","Monitor"))</x:f>
        <x:v>Send reminder</x:v>
      </x:c>
    </x:row>
    <x:row r="50">
      <x:c r="A50" s="57" t="str">
        <x:v>AR-0049</x:v>
      </x:c>
      <x:c r="B50" s="58" t="str">
        <x:v>Customer 41</x:v>
      </x:c>
      <x:c r="C50" s="78" t="n">
        <x:v>46177</x:v>
      </x:c>
      <x:c r="D50" s="78" t="n">
        <x:v>46207</x:v>
      </x:c>
      <x:c r="E50" s="82" t="n">
        <x:v>29147.96</x:v>
      </x:c>
      <x:c r="F50" s="82" t="n">
        <x:v>7286.99</x:v>
      </x:c>
      <x:c r="G50" s="82" t="n">
        <x:f>E50-F50</x:f>
        <x:v>21860.97</x:v>
      </x:c>
      <x:c r="H50" s="58" t="str">
        <x:f>IF(G50&lt;=0,"Paid","Open")</x:f>
        <x:v>Open</x:v>
      </x:c>
      <x:c r="I50" s="58" t="n">
        <x:f>IF(G50&lt;=0,0,MAX(0,TODAY()-D50))</x:f>
        <x:v>0</x:v>
      </x:c>
      <x:c r="J50" s="58" t="str">
        <x:f>IF(I50=0,"Current",IF(I50&lt;=30,"1-30",IF(I50&lt;=60,"31-60",IF(I50&lt;=90,"61-90","90+"))))</x:f>
        <x:v>Current</x:v>
      </x:c>
      <x:c r="K50" s="58" t="str">
        <x:f>IF(AND(G50&gt;10000,I50&gt;60),"Critical",IF(OR(G50&gt;5000,I50&gt;30),"High",IF(G50&gt;0,"Normal","Closed")))</x:f>
        <x:v>High</x:v>
      </x:c>
      <x:c r="L50" s="59" t="str">
        <x:f>IF(K50="Critical","Call and escalate",IF(K50="High","Send reminder","Monitor"))</x:f>
        <x:v>Send reminder</x:v>
      </x:c>
    </x:row>
    <x:row r="51">
      <x:c r="A51" s="57" t="str">
        <x:v>AR-0050</x:v>
      </x:c>
      <x:c r="B51" s="58" t="str">
        <x:v>Customer 38</x:v>
      </x:c>
      <x:c r="C51" s="78" t="n">
        <x:v>46141</x:v>
      </x:c>
      <x:c r="D51" s="78" t="n">
        <x:v>46156</x:v>
      </x:c>
      <x:c r="E51" s="82" t="n">
        <x:v>12594.68</x:v>
      </x:c>
      <x:c r="F51" s="82" t="n">
        <x:v>6297.34</x:v>
      </x:c>
      <x:c r="G51" s="82" t="n">
        <x:f>E51-F51</x:f>
        <x:v>6297.34</x:v>
      </x:c>
      <x:c r="H51" s="58" t="str">
        <x:f>IF(G51&lt;=0,"Paid","Open")</x:f>
        <x:v>Open</x:v>
      </x:c>
      <x:c r="I51" s="58" t="n">
        <x:f>IF(G51&lt;=0,0,MAX(0,TODAY()-D51))</x:f>
        <x:v>46</x:v>
      </x:c>
      <x:c r="J51" s="58" t="str">
        <x:f>IF(I51=0,"Current",IF(I51&lt;=30,"1-30",IF(I51&lt;=60,"31-60",IF(I51&lt;=90,"61-90","90+"))))</x:f>
        <x:v>31-60</x:v>
      </x:c>
      <x:c r="K51" s="58" t="str">
        <x:f>IF(AND(G51&gt;10000,I51&gt;60),"Critical",IF(OR(G51&gt;5000,I51&gt;30),"High",IF(G51&gt;0,"Normal","Closed")))</x:f>
        <x:v>High</x:v>
      </x:c>
      <x:c r="L51" s="59" t="str">
        <x:f>IF(K51="Critical","Call and escalate",IF(K51="High","Send reminder","Monitor"))</x:f>
        <x:v>Send reminder</x:v>
      </x:c>
    </x:row>
    <x:row r="52">
      <x:c r="A52" s="57" t="str">
        <x:v>AR-0051</x:v>
      </x:c>
      <x:c r="B52" s="58" t="str">
        <x:v>Customer 50</x:v>
      </x:c>
      <x:c r="C52" s="78" t="n">
        <x:v>46124</x:v>
      </x:c>
      <x:c r="D52" s="78" t="n">
        <x:v>46169</x:v>
      </x:c>
      <x:c r="E52" s="82" t="n">
        <x:v>26953.94</x:v>
      </x:c>
      <x:c r="F52" s="82" t="n">
        <x:v>6738.48</x:v>
      </x:c>
      <x:c r="G52" s="82" t="n">
        <x:f>E52-F52</x:f>
        <x:v>20215.46</x:v>
      </x:c>
      <x:c r="H52" s="58" t="str">
        <x:f>IF(G52&lt;=0,"Paid","Open")</x:f>
        <x:v>Open</x:v>
      </x:c>
      <x:c r="I52" s="58" t="n">
        <x:f>IF(G52&lt;=0,0,MAX(0,TODAY()-D52))</x:f>
        <x:v>33</x:v>
      </x:c>
      <x:c r="J52" s="58" t="str">
        <x:f>IF(I52=0,"Current",IF(I52&lt;=30,"1-30",IF(I52&lt;=60,"31-60",IF(I52&lt;=90,"61-90","90+"))))</x:f>
        <x:v>31-60</x:v>
      </x:c>
      <x:c r="K52" s="58" t="str">
        <x:f>IF(AND(G52&gt;10000,I52&gt;60),"Critical",IF(OR(G52&gt;5000,I52&gt;30),"High",IF(G52&gt;0,"Normal","Closed")))</x:f>
        <x:v>High</x:v>
      </x:c>
      <x:c r="L52" s="59" t="str">
        <x:f>IF(K52="Critical","Call and escalate",IF(K52="High","Send reminder","Monitor"))</x:f>
        <x:v>Send reminder</x:v>
      </x:c>
    </x:row>
    <x:row r="53">
      <x:c r="A53" s="57" t="str">
        <x:v>AR-0052</x:v>
      </x:c>
      <x:c r="B53" s="58" t="str">
        <x:v>Customer 46</x:v>
      </x:c>
      <x:c r="C53" s="78" t="n">
        <x:v>46084</x:v>
      </x:c>
      <x:c r="D53" s="78" t="n">
        <x:v>46129</x:v>
      </x:c>
      <x:c r="E53" s="82" t="n">
        <x:v>26418.37</x:v>
      </x:c>
      <x:c r="F53" s="82" t="n">
        <x:v>0</x:v>
      </x:c>
      <x:c r="G53" s="82" t="n">
        <x:f>E53-F53</x:f>
        <x:v>26418.37</x:v>
      </x:c>
      <x:c r="H53" s="58" t="str">
        <x:f>IF(G53&lt;=0,"Paid","Open")</x:f>
        <x:v>Open</x:v>
      </x:c>
      <x:c r="I53" s="58" t="n">
        <x:f>IF(G53&lt;=0,0,MAX(0,TODAY()-D53))</x:f>
        <x:v>73</x:v>
      </x:c>
      <x:c r="J53" s="58" t="str">
        <x:f>IF(I53=0,"Current",IF(I53&lt;=30,"1-30",IF(I53&lt;=60,"31-60",IF(I53&lt;=90,"61-90","90+"))))</x:f>
        <x:v>61-90</x:v>
      </x:c>
      <x:c r="K53" s="58" t="str">
        <x:f>IF(AND(G53&gt;10000,I53&gt;60),"Critical",IF(OR(G53&gt;5000,I53&gt;30),"High",IF(G53&gt;0,"Normal","Closed")))</x:f>
        <x:v>Critical</x:v>
      </x:c>
      <x:c r="L53" s="59" t="str">
        <x:f>IF(K53="Critical","Call and escalate",IF(K53="High","Send reminder","Monitor"))</x:f>
        <x:v>Call and escalate</x:v>
      </x:c>
    </x:row>
    <x:row r="54">
      <x:c r="A54" s="57" t="str">
        <x:v>AR-0053</x:v>
      </x:c>
      <x:c r="B54" s="58" t="str">
        <x:v>Customer 14</x:v>
      </x:c>
      <x:c r="C54" s="78" t="n">
        <x:v>46071</x:v>
      </x:c>
      <x:c r="D54" s="78" t="n">
        <x:v>46101</x:v>
      </x:c>
      <x:c r="E54" s="82" t="n">
        <x:v>21998.41</x:v>
      </x:c>
      <x:c r="F54" s="82" t="n">
        <x:v>16498.81</x:v>
      </x:c>
      <x:c r="G54" s="82" t="n">
        <x:f>E54-F54</x:f>
        <x:v>5499.5999999999985</x:v>
      </x:c>
      <x:c r="H54" s="58" t="str">
        <x:f>IF(G54&lt;=0,"Paid","Open")</x:f>
        <x:v>Open</x:v>
      </x:c>
      <x:c r="I54" s="58" t="n">
        <x:f>IF(G54&lt;=0,0,MAX(0,TODAY()-D54))</x:f>
        <x:v>101</x:v>
      </x:c>
      <x:c r="J54" s="58" t="str">
        <x:f>IF(I54=0,"Current",IF(I54&lt;=30,"1-30",IF(I54&lt;=60,"31-60",IF(I54&lt;=90,"61-90","90+"))))</x:f>
        <x:v>90+</x:v>
      </x:c>
      <x:c r="K54" s="58" t="str">
        <x:f>IF(AND(G54&gt;10000,I54&gt;60),"Critical",IF(OR(G54&gt;5000,I54&gt;30),"High",IF(G54&gt;0,"Normal","Closed")))</x:f>
        <x:v>High</x:v>
      </x:c>
      <x:c r="L54" s="59" t="str">
        <x:f>IF(K54="Critical","Call and escalate",IF(K54="High","Send reminder","Monitor"))</x:f>
        <x:v>Send reminder</x:v>
      </x:c>
    </x:row>
    <x:row r="55">
      <x:c r="A55" s="57" t="str">
        <x:v>AR-0054</x:v>
      </x:c>
      <x:c r="B55" s="58" t="str">
        <x:v>Customer 3</x:v>
      </x:c>
      <x:c r="C55" s="78" t="n">
        <x:v>46193</x:v>
      </x:c>
      <x:c r="D55" s="78" t="n">
        <x:v>46223</x:v>
      </x:c>
      <x:c r="E55" s="82" t="n">
        <x:v>29558.8</x:v>
      </x:c>
      <x:c r="F55" s="82" t="n">
        <x:v>0</x:v>
      </x:c>
      <x:c r="G55" s="82" t="n">
        <x:f>E55-F55</x:f>
        <x:v>29558.8</x:v>
      </x:c>
      <x:c r="H55" s="58" t="str">
        <x:f>IF(G55&lt;=0,"Paid","Open")</x:f>
        <x:v>Open</x:v>
      </x:c>
      <x:c r="I55" s="58" t="n">
        <x:f>IF(G55&lt;=0,0,MAX(0,TODAY()-D55))</x:f>
        <x:v>0</x:v>
      </x:c>
      <x:c r="J55" s="58" t="str">
        <x:f>IF(I55=0,"Current",IF(I55&lt;=30,"1-30",IF(I55&lt;=60,"31-60",IF(I55&lt;=90,"61-90","90+"))))</x:f>
        <x:v>Current</x:v>
      </x:c>
      <x:c r="K55" s="58" t="str">
        <x:f>IF(AND(G55&gt;10000,I55&gt;60),"Critical",IF(OR(G55&gt;5000,I55&gt;30),"High",IF(G55&gt;0,"Normal","Closed")))</x:f>
        <x:v>High</x:v>
      </x:c>
      <x:c r="L55" s="59" t="str">
        <x:f>IF(K55="Critical","Call and escalate",IF(K55="High","Send reminder","Monitor"))</x:f>
        <x:v>Send reminder</x:v>
      </x:c>
    </x:row>
    <x:row r="56">
      <x:c r="A56" s="57" t="str">
        <x:v>AR-0055</x:v>
      </x:c>
      <x:c r="B56" s="58" t="str">
        <x:v>Customer 39</x:v>
      </x:c>
      <x:c r="C56" s="78" t="n">
        <x:v>46147</x:v>
      </x:c>
      <x:c r="D56" s="78" t="n">
        <x:v>46177</x:v>
      </x:c>
      <x:c r="E56" s="82" t="n">
        <x:v>18982.44</x:v>
      </x:c>
      <x:c r="F56" s="82" t="n">
        <x:v>0</x:v>
      </x:c>
      <x:c r="G56" s="82" t="n">
        <x:f>E56-F56</x:f>
        <x:v>18982.44</x:v>
      </x:c>
      <x:c r="H56" s="58" t="str">
        <x:f>IF(G56&lt;=0,"Paid","Open")</x:f>
        <x:v>Open</x:v>
      </x:c>
      <x:c r="I56" s="58" t="n">
        <x:f>IF(G56&lt;=0,0,MAX(0,TODAY()-D56))</x:f>
        <x:v>25</x:v>
      </x:c>
      <x:c r="J56" s="58" t="str">
        <x:f>IF(I56=0,"Current",IF(I56&lt;=30,"1-30",IF(I56&lt;=60,"31-60",IF(I56&lt;=90,"61-90","90+"))))</x:f>
        <x:v>1-30</x:v>
      </x:c>
      <x:c r="K56" s="58" t="str">
        <x:f>IF(AND(G56&gt;10000,I56&gt;60),"Critical",IF(OR(G56&gt;5000,I56&gt;30),"High",IF(G56&gt;0,"Normal","Closed")))</x:f>
        <x:v>High</x:v>
      </x:c>
      <x:c r="L56" s="59" t="str">
        <x:f>IF(K56="Critical","Call and escalate",IF(K56="High","Send reminder","Monitor"))</x:f>
        <x:v>Send reminder</x:v>
      </x:c>
    </x:row>
    <x:row r="57">
      <x:c r="A57" s="57" t="str">
        <x:v>AR-0056</x:v>
      </x:c>
      <x:c r="B57" s="58" t="str">
        <x:v>Customer 43</x:v>
      </x:c>
      <x:c r="C57" s="78" t="n">
        <x:v>46054</x:v>
      </x:c>
      <x:c r="D57" s="78" t="n">
        <x:v>46084</x:v>
      </x:c>
      <x:c r="E57" s="82" t="n">
        <x:v>20620.38</x:v>
      </x:c>
      <x:c r="F57" s="82" t="n">
        <x:v>5155.1</x:v>
      </x:c>
      <x:c r="G57" s="82" t="n">
        <x:f>E57-F57</x:f>
        <x:v>15465.28</x:v>
      </x:c>
      <x:c r="H57" s="58" t="str">
        <x:f>IF(G57&lt;=0,"Paid","Open")</x:f>
        <x:v>Open</x:v>
      </x:c>
      <x:c r="I57" s="58" t="n">
        <x:f>IF(G57&lt;=0,0,MAX(0,TODAY()-D57))</x:f>
        <x:v>118</x:v>
      </x:c>
      <x:c r="J57" s="58" t="str">
        <x:f>IF(I57=0,"Current",IF(I57&lt;=30,"1-30",IF(I57&lt;=60,"31-60",IF(I57&lt;=90,"61-90","90+"))))</x:f>
        <x:v>90+</x:v>
      </x:c>
      <x:c r="K57" s="58" t="str">
        <x:f>IF(AND(G57&gt;10000,I57&gt;60),"Critical",IF(OR(G57&gt;5000,I57&gt;30),"High",IF(G57&gt;0,"Normal","Closed")))</x:f>
        <x:v>Critical</x:v>
      </x:c>
      <x:c r="L57" s="59" t="str">
        <x:f>IF(K57="Critical","Call and escalate",IF(K57="High","Send reminder","Monitor"))</x:f>
        <x:v>Call and escalate</x:v>
      </x:c>
    </x:row>
    <x:row r="58">
      <x:c r="A58" s="57" t="str">
        <x:v>AR-0057</x:v>
      </x:c>
      <x:c r="B58" s="58" t="str">
        <x:v>Customer 41</x:v>
      </x:c>
      <x:c r="C58" s="78" t="n">
        <x:v>46081</x:v>
      </x:c>
      <x:c r="D58" s="78" t="n">
        <x:v>46126</x:v>
      </x:c>
      <x:c r="E58" s="82" t="n">
        <x:v>3177.92</x:v>
      </x:c>
      <x:c r="F58" s="82" t="n">
        <x:v>794.48</x:v>
      </x:c>
      <x:c r="G58" s="82" t="n">
        <x:f>E58-F58</x:f>
        <x:v>2383.44</x:v>
      </x:c>
      <x:c r="H58" s="58" t="str">
        <x:f>IF(G58&lt;=0,"Paid","Open")</x:f>
        <x:v>Open</x:v>
      </x:c>
      <x:c r="I58" s="58" t="n">
        <x:f>IF(G58&lt;=0,0,MAX(0,TODAY()-D58))</x:f>
        <x:v>76</x:v>
      </x:c>
      <x:c r="J58" s="58" t="str">
        <x:f>IF(I58=0,"Current",IF(I58&lt;=30,"1-30",IF(I58&lt;=60,"31-60",IF(I58&lt;=90,"61-90","90+"))))</x:f>
        <x:v>61-90</x:v>
      </x:c>
      <x:c r="K58" s="58" t="str">
        <x:f>IF(AND(G58&gt;10000,I58&gt;60),"Critical",IF(OR(G58&gt;5000,I58&gt;30),"High",IF(G58&gt;0,"Normal","Closed")))</x:f>
        <x:v>High</x:v>
      </x:c>
      <x:c r="L58" s="59" t="str">
        <x:f>IF(K58="Critical","Call and escalate",IF(K58="High","Send reminder","Monitor"))</x:f>
        <x:v>Send reminder</x:v>
      </x:c>
    </x:row>
    <x:row r="59">
      <x:c r="A59" s="57" t="str">
        <x:v>AR-0058</x:v>
      </x:c>
      <x:c r="B59" s="58" t="str">
        <x:v>Customer 32</x:v>
      </x:c>
      <x:c r="C59" s="78" t="n">
        <x:v>46122</x:v>
      </x:c>
      <x:c r="D59" s="78" t="n">
        <x:v>46152</x:v>
      </x:c>
      <x:c r="E59" s="82" t="n">
        <x:v>14611.08</x:v>
      </x:c>
      <x:c r="F59" s="82" t="n">
        <x:v>0</x:v>
      </x:c>
      <x:c r="G59" s="82" t="n">
        <x:f>E59-F59</x:f>
        <x:v>14611.08</x:v>
      </x:c>
      <x:c r="H59" s="58" t="str">
        <x:f>IF(G59&lt;=0,"Paid","Open")</x:f>
        <x:v>Open</x:v>
      </x:c>
      <x:c r="I59" s="58" t="n">
        <x:f>IF(G59&lt;=0,0,MAX(0,TODAY()-D59))</x:f>
        <x:v>50</x:v>
      </x:c>
      <x:c r="J59" s="58" t="str">
        <x:f>IF(I59=0,"Current",IF(I59&lt;=30,"1-30",IF(I59&lt;=60,"31-60",IF(I59&lt;=90,"61-90","90+"))))</x:f>
        <x:v>31-60</x:v>
      </x:c>
      <x:c r="K59" s="58" t="str">
        <x:f>IF(AND(G59&gt;10000,I59&gt;60),"Critical",IF(OR(G59&gt;5000,I59&gt;30),"High",IF(G59&gt;0,"Normal","Closed")))</x:f>
        <x:v>High</x:v>
      </x:c>
      <x:c r="L59" s="59" t="str">
        <x:f>IF(K59="Critical","Call and escalate",IF(K59="High","Send reminder","Monitor"))</x:f>
        <x:v>Send reminder</x:v>
      </x:c>
    </x:row>
    <x:row r="60">
      <x:c r="A60" s="57" t="str">
        <x:v>AR-0059</x:v>
      </x:c>
      <x:c r="B60" s="58" t="str">
        <x:v>Customer 25</x:v>
      </x:c>
      <x:c r="C60" s="78" t="n">
        <x:v>46131</x:v>
      </x:c>
      <x:c r="D60" s="78" t="n">
        <x:v>46146</x:v>
      </x:c>
      <x:c r="E60" s="82" t="n">
        <x:v>25661.87</x:v>
      </x:c>
      <x:c r="F60" s="82" t="n">
        <x:v>0</x:v>
      </x:c>
      <x:c r="G60" s="82" t="n">
        <x:f>E60-F60</x:f>
        <x:v>25661.87</x:v>
      </x:c>
      <x:c r="H60" s="58" t="str">
        <x:f>IF(G60&lt;=0,"Paid","Open")</x:f>
        <x:v>Open</x:v>
      </x:c>
      <x:c r="I60" s="58" t="n">
        <x:f>IF(G60&lt;=0,0,MAX(0,TODAY()-D60))</x:f>
        <x:v>56</x:v>
      </x:c>
      <x:c r="J60" s="58" t="str">
        <x:f>IF(I60=0,"Current",IF(I60&lt;=30,"1-30",IF(I60&lt;=60,"31-60",IF(I60&lt;=90,"61-90","90+"))))</x:f>
        <x:v>31-60</x:v>
      </x:c>
      <x:c r="K60" s="58" t="str">
        <x:f>IF(AND(G60&gt;10000,I60&gt;60),"Critical",IF(OR(G60&gt;5000,I60&gt;30),"High",IF(G60&gt;0,"Normal","Closed")))</x:f>
        <x:v>High</x:v>
      </x:c>
      <x:c r="L60" s="59" t="str">
        <x:f>IF(K60="Critical","Call and escalate",IF(K60="High","Send reminder","Monitor"))</x:f>
        <x:v>Send reminder</x:v>
      </x:c>
    </x:row>
    <x:row r="61">
      <x:c r="A61" s="57" t="str">
        <x:v>AR-0060</x:v>
      </x:c>
      <x:c r="B61" s="58" t="str">
        <x:v>Customer 9</x:v>
      </x:c>
      <x:c r="C61" s="78" t="n">
        <x:v>46152</x:v>
      </x:c>
      <x:c r="D61" s="78" t="n">
        <x:v>46197</x:v>
      </x:c>
      <x:c r="E61" s="82" t="n">
        <x:v>9326.75</x:v>
      </x:c>
      <x:c r="F61" s="82" t="n">
        <x:v>6995.06</x:v>
      </x:c>
      <x:c r="G61" s="82" t="n">
        <x:f>E61-F61</x:f>
        <x:v>2331.6899999999996</x:v>
      </x:c>
      <x:c r="H61" s="58" t="str">
        <x:f>IF(G61&lt;=0,"Paid","Open")</x:f>
        <x:v>Open</x:v>
      </x:c>
      <x:c r="I61" s="58" t="n">
        <x:f>IF(G61&lt;=0,0,MAX(0,TODAY()-D61))</x:f>
        <x:v>5</x:v>
      </x:c>
      <x:c r="J61" s="58" t="str">
        <x:f>IF(I61=0,"Current",IF(I61&lt;=30,"1-30",IF(I61&lt;=60,"31-60",IF(I61&lt;=90,"61-90","90+"))))</x:f>
        <x:v>1-30</x:v>
      </x:c>
      <x:c r="K61" s="58" t="str">
        <x:f>IF(AND(G61&gt;10000,I61&gt;60),"Critical",IF(OR(G61&gt;5000,I61&gt;30),"High",IF(G61&gt;0,"Normal","Closed")))</x:f>
        <x:v>Normal</x:v>
      </x:c>
      <x:c r="L61" s="59" t="str">
        <x:f>IF(K61="Critical","Call and escalate",IF(K61="High","Send reminder","Monitor"))</x:f>
        <x:v>Monitor</x:v>
      </x:c>
    </x:row>
    <x:row r="62">
      <x:c r="A62" s="57" t="str">
        <x:v>AR-0061</x:v>
      </x:c>
      <x:c r="B62" s="58" t="str">
        <x:v>Customer 2</x:v>
      </x:c>
      <x:c r="C62" s="78" t="n">
        <x:v>46100</x:v>
      </x:c>
      <x:c r="D62" s="78" t="n">
        <x:v>46145</x:v>
      </x:c>
      <x:c r="E62" s="82" t="n">
        <x:v>24711.87</x:v>
      </x:c>
      <x:c r="F62" s="82" t="n">
        <x:v>12355.93</x:v>
      </x:c>
      <x:c r="G62" s="82" t="n">
        <x:f>E62-F62</x:f>
        <x:v>12355.939999999999</x:v>
      </x:c>
      <x:c r="H62" s="58" t="str">
        <x:f>IF(G62&lt;=0,"Paid","Open")</x:f>
        <x:v>Open</x:v>
      </x:c>
      <x:c r="I62" s="58" t="n">
        <x:f>IF(G62&lt;=0,0,MAX(0,TODAY()-D62))</x:f>
        <x:v>57</x:v>
      </x:c>
      <x:c r="J62" s="58" t="str">
        <x:f>IF(I62=0,"Current",IF(I62&lt;=30,"1-30",IF(I62&lt;=60,"31-60",IF(I62&lt;=90,"61-90","90+"))))</x:f>
        <x:v>31-60</x:v>
      </x:c>
      <x:c r="K62" s="58" t="str">
        <x:f>IF(AND(G62&gt;10000,I62&gt;60),"Critical",IF(OR(G62&gt;5000,I62&gt;30),"High",IF(G62&gt;0,"Normal","Closed")))</x:f>
        <x:v>High</x:v>
      </x:c>
      <x:c r="L62" s="59" t="str">
        <x:f>IF(K62="Critical","Call and escalate",IF(K62="High","Send reminder","Monitor"))</x:f>
        <x:v>Send reminder</x:v>
      </x:c>
    </x:row>
    <x:row r="63">
      <x:c r="A63" s="57" t="str">
        <x:v>AR-0062</x:v>
      </x:c>
      <x:c r="B63" s="58" t="str">
        <x:v>Customer 28</x:v>
      </x:c>
      <x:c r="C63" s="78" t="n">
        <x:v>46157</x:v>
      </x:c>
      <x:c r="D63" s="78" t="n">
        <x:v>46172</x:v>
      </x:c>
      <x:c r="E63" s="82" t="n">
        <x:v>10598.04</x:v>
      </x:c>
      <x:c r="F63" s="82" t="n">
        <x:v>10598.04</x:v>
      </x:c>
      <x:c r="G63" s="82" t="n">
        <x:f>E63-F63</x:f>
        <x:v>0</x:v>
      </x:c>
      <x:c r="H63" s="58" t="str">
        <x:f>IF(G63&lt;=0,"Paid","Open")</x:f>
        <x:v>Paid</x:v>
      </x:c>
      <x:c r="I63" s="58" t="n">
        <x:f>IF(G63&lt;=0,0,MAX(0,TODAY()-D63))</x:f>
        <x:v>0</x:v>
      </x:c>
      <x:c r="J63" s="58" t="str">
        <x:f>IF(I63=0,"Current",IF(I63&lt;=30,"1-30",IF(I63&lt;=60,"31-60",IF(I63&lt;=90,"61-90","90+"))))</x:f>
        <x:v>Current</x:v>
      </x:c>
      <x:c r="K63" s="58" t="str">
        <x:f>IF(AND(G63&gt;10000,I63&gt;60),"Critical",IF(OR(G63&gt;5000,I63&gt;30),"High",IF(G63&gt;0,"Normal","Closed")))</x:f>
        <x:v>Closed</x:v>
      </x:c>
      <x:c r="L63" s="59" t="str">
        <x:f>IF(K63="Critical","Call and escalate",IF(K63="High","Send reminder","Monitor"))</x:f>
        <x:v>Monitor</x:v>
      </x:c>
    </x:row>
    <x:row r="64">
      <x:c r="A64" s="57" t="str">
        <x:v>AR-0063</x:v>
      </x:c>
      <x:c r="B64" s="58" t="str">
        <x:v>Customer 44</x:v>
      </x:c>
      <x:c r="C64" s="78" t="n">
        <x:v>46099</x:v>
      </x:c>
      <x:c r="D64" s="78" t="n">
        <x:v>46144</x:v>
      </x:c>
      <x:c r="E64" s="82" t="n">
        <x:v>7996.82</x:v>
      </x:c>
      <x:c r="F64" s="82" t="n">
        <x:v>0</x:v>
      </x:c>
      <x:c r="G64" s="82" t="n">
        <x:f>E64-F64</x:f>
        <x:v>7996.82</x:v>
      </x:c>
      <x:c r="H64" s="58" t="str">
        <x:f>IF(G64&lt;=0,"Paid","Open")</x:f>
        <x:v>Open</x:v>
      </x:c>
      <x:c r="I64" s="58" t="n">
        <x:f>IF(G64&lt;=0,0,MAX(0,TODAY()-D64))</x:f>
        <x:v>58</x:v>
      </x:c>
      <x:c r="J64" s="58" t="str">
        <x:f>IF(I64=0,"Current",IF(I64&lt;=30,"1-30",IF(I64&lt;=60,"31-60",IF(I64&lt;=90,"61-90","90+"))))</x:f>
        <x:v>31-60</x:v>
      </x:c>
      <x:c r="K64" s="58" t="str">
        <x:f>IF(AND(G64&gt;10000,I64&gt;60),"Critical",IF(OR(G64&gt;5000,I64&gt;30),"High",IF(G64&gt;0,"Normal","Closed")))</x:f>
        <x:v>High</x:v>
      </x:c>
      <x:c r="L64" s="59" t="str">
        <x:f>IF(K64="Critical","Call and escalate",IF(K64="High","Send reminder","Monitor"))</x:f>
        <x:v>Send reminder</x:v>
      </x:c>
    </x:row>
    <x:row r="65">
      <x:c r="A65" s="57" t="str">
        <x:v>AR-0064</x:v>
      </x:c>
      <x:c r="B65" s="58" t="str">
        <x:v>Customer 4</x:v>
      </x:c>
      <x:c r="C65" s="78" t="n">
        <x:v>46164</x:v>
      </x:c>
      <x:c r="D65" s="78" t="n">
        <x:v>46194</x:v>
      </x:c>
      <x:c r="E65" s="82" t="n">
        <x:v>19347.93</x:v>
      </x:c>
      <x:c r="F65" s="82" t="n">
        <x:v>14510.95</x:v>
      </x:c>
      <x:c r="G65" s="82" t="n">
        <x:f>E65-F65</x:f>
        <x:v>4836.98</x:v>
      </x:c>
      <x:c r="H65" s="58" t="str">
        <x:f>IF(G65&lt;=0,"Paid","Open")</x:f>
        <x:v>Open</x:v>
      </x:c>
      <x:c r="I65" s="58" t="n">
        <x:f>IF(G65&lt;=0,0,MAX(0,TODAY()-D65))</x:f>
        <x:v>8</x:v>
      </x:c>
      <x:c r="J65" s="58" t="str">
        <x:f>IF(I65=0,"Current",IF(I65&lt;=30,"1-30",IF(I65&lt;=60,"31-60",IF(I65&lt;=90,"61-90","90+"))))</x:f>
        <x:v>1-30</x:v>
      </x:c>
      <x:c r="K65" s="58" t="str">
        <x:f>IF(AND(G65&gt;10000,I65&gt;60),"Critical",IF(OR(G65&gt;5000,I65&gt;30),"High",IF(G65&gt;0,"Normal","Closed")))</x:f>
        <x:v>Normal</x:v>
      </x:c>
      <x:c r="L65" s="59" t="str">
        <x:f>IF(K65="Critical","Call and escalate",IF(K65="High","Send reminder","Monitor"))</x:f>
        <x:v>Monitor</x:v>
      </x:c>
    </x:row>
    <x:row r="66">
      <x:c r="A66" s="57" t="str">
        <x:v>AR-0065</x:v>
      </x:c>
      <x:c r="B66" s="58" t="str">
        <x:v>Customer 6</x:v>
      </x:c>
      <x:c r="C66" s="78" t="n">
        <x:v>46072</x:v>
      </x:c>
      <x:c r="D66" s="78" t="n">
        <x:v>46102</x:v>
      </x:c>
      <x:c r="E66" s="82" t="n">
        <x:v>23164.9</x:v>
      </x:c>
      <x:c r="F66" s="82" t="n">
        <x:v>11582.45</x:v>
      </x:c>
      <x:c r="G66" s="82" t="n">
        <x:f>E66-F66</x:f>
        <x:v>11582.45</x:v>
      </x:c>
      <x:c r="H66" s="58" t="str">
        <x:f>IF(G66&lt;=0,"Paid","Open")</x:f>
        <x:v>Open</x:v>
      </x:c>
      <x:c r="I66" s="58" t="n">
        <x:f>IF(G66&lt;=0,0,MAX(0,TODAY()-D66))</x:f>
        <x:v>100</x:v>
      </x:c>
      <x:c r="J66" s="58" t="str">
        <x:f>IF(I66=0,"Current",IF(I66&lt;=30,"1-30",IF(I66&lt;=60,"31-60",IF(I66&lt;=90,"61-90","90+"))))</x:f>
        <x:v>90+</x:v>
      </x:c>
      <x:c r="K66" s="58" t="str">
        <x:f>IF(AND(G66&gt;10000,I66&gt;60),"Critical",IF(OR(G66&gt;5000,I66&gt;30),"High",IF(G66&gt;0,"Normal","Closed")))</x:f>
        <x:v>Critical</x:v>
      </x:c>
      <x:c r="L66" s="59" t="str">
        <x:f>IF(K66="Critical","Call and escalate",IF(K66="High","Send reminder","Monitor"))</x:f>
        <x:v>Call and escalate</x:v>
      </x:c>
    </x:row>
    <x:row r="67">
      <x:c r="A67" s="57" t="str">
        <x:v>AR-0066</x:v>
      </x:c>
      <x:c r="B67" s="58" t="str">
        <x:v>Customer 8</x:v>
      </x:c>
      <x:c r="C67" s="78" t="n">
        <x:v>46134</x:v>
      </x:c>
      <x:c r="D67" s="78" t="n">
        <x:v>46164</x:v>
      </x:c>
      <x:c r="E67" s="82" t="n">
        <x:v>12234.98</x:v>
      </x:c>
      <x:c r="F67" s="82" t="n">
        <x:v>0</x:v>
      </x:c>
      <x:c r="G67" s="82" t="n">
        <x:f>E67-F67</x:f>
        <x:v>12234.98</x:v>
      </x:c>
      <x:c r="H67" s="58" t="str">
        <x:f>IF(G67&lt;=0,"Paid","Open")</x:f>
        <x:v>Open</x:v>
      </x:c>
      <x:c r="I67" s="58" t="n">
        <x:f>IF(G67&lt;=0,0,MAX(0,TODAY()-D67))</x:f>
        <x:v>38</x:v>
      </x:c>
      <x:c r="J67" s="58" t="str">
        <x:f>IF(I67=0,"Current",IF(I67&lt;=30,"1-30",IF(I67&lt;=60,"31-60",IF(I67&lt;=90,"61-90","90+"))))</x:f>
        <x:v>31-60</x:v>
      </x:c>
      <x:c r="K67" s="58" t="str">
        <x:f>IF(AND(G67&gt;10000,I67&gt;60),"Critical",IF(OR(G67&gt;5000,I67&gt;30),"High",IF(G67&gt;0,"Normal","Closed")))</x:f>
        <x:v>High</x:v>
      </x:c>
      <x:c r="L67" s="59" t="str">
        <x:f>IF(K67="Critical","Call and escalate",IF(K67="High","Send reminder","Monitor"))</x:f>
        <x:v>Send reminder</x:v>
      </x:c>
    </x:row>
    <x:row r="68">
      <x:c r="A68" s="57" t="str">
        <x:v>AR-0067</x:v>
      </x:c>
      <x:c r="B68" s="58" t="str">
        <x:v>Customer 25</x:v>
      </x:c>
      <x:c r="C68" s="78" t="n">
        <x:v>46081</x:v>
      </x:c>
      <x:c r="D68" s="78" t="n">
        <x:v>46096</x:v>
      </x:c>
      <x:c r="E68" s="82" t="n">
        <x:v>28856.62</x:v>
      </x:c>
      <x:c r="F68" s="82" t="n">
        <x:v>0</x:v>
      </x:c>
      <x:c r="G68" s="82" t="n">
        <x:f>E68-F68</x:f>
        <x:v>28856.62</x:v>
      </x:c>
      <x:c r="H68" s="58" t="str">
        <x:f>IF(G68&lt;=0,"Paid","Open")</x:f>
        <x:v>Open</x:v>
      </x:c>
      <x:c r="I68" s="58" t="n">
        <x:f>IF(G68&lt;=0,0,MAX(0,TODAY()-D68))</x:f>
        <x:v>106</x:v>
      </x:c>
      <x:c r="J68" s="58" t="str">
        <x:f>IF(I68=0,"Current",IF(I68&lt;=30,"1-30",IF(I68&lt;=60,"31-60",IF(I68&lt;=90,"61-90","90+"))))</x:f>
        <x:v>90+</x:v>
      </x:c>
      <x:c r="K68" s="58" t="str">
        <x:f>IF(AND(G68&gt;10000,I68&gt;60),"Critical",IF(OR(G68&gt;5000,I68&gt;30),"High",IF(G68&gt;0,"Normal","Closed")))</x:f>
        <x:v>Critical</x:v>
      </x:c>
      <x:c r="L68" s="59" t="str">
        <x:f>IF(K68="Critical","Call and escalate",IF(K68="High","Send reminder","Monitor"))</x:f>
        <x:v>Call and escalate</x:v>
      </x:c>
    </x:row>
    <x:row r="69">
      <x:c r="A69" s="57" t="str">
        <x:v>AR-0068</x:v>
      </x:c>
      <x:c r="B69" s="58" t="str">
        <x:v>Customer 18</x:v>
      </x:c>
      <x:c r="C69" s="78" t="n">
        <x:v>46055</x:v>
      </x:c>
      <x:c r="D69" s="78" t="n">
        <x:v>46085</x:v>
      </x:c>
      <x:c r="E69" s="82" t="n">
        <x:v>22487.84</x:v>
      </x:c>
      <x:c r="F69" s="82" t="n">
        <x:v>22487.84</x:v>
      </x:c>
      <x:c r="G69" s="82" t="n">
        <x:f>E69-F69</x:f>
        <x:v>0</x:v>
      </x:c>
      <x:c r="H69" s="58" t="str">
        <x:f>IF(G69&lt;=0,"Paid","Open")</x:f>
        <x:v>Paid</x:v>
      </x:c>
      <x:c r="I69" s="58" t="n">
        <x:f>IF(G69&lt;=0,0,MAX(0,TODAY()-D69))</x:f>
        <x:v>0</x:v>
      </x:c>
      <x:c r="J69" s="58" t="str">
        <x:f>IF(I69=0,"Current",IF(I69&lt;=30,"1-30",IF(I69&lt;=60,"31-60",IF(I69&lt;=90,"61-90","90+"))))</x:f>
        <x:v>Current</x:v>
      </x:c>
      <x:c r="K69" s="58" t="str">
        <x:f>IF(AND(G69&gt;10000,I69&gt;60),"Critical",IF(OR(G69&gt;5000,I69&gt;30),"High",IF(G69&gt;0,"Normal","Closed")))</x:f>
        <x:v>Closed</x:v>
      </x:c>
      <x:c r="L69" s="59" t="str">
        <x:f>IF(K69="Critical","Call and escalate",IF(K69="High","Send reminder","Monitor"))</x:f>
        <x:v>Monitor</x:v>
      </x:c>
    </x:row>
    <x:row r="70">
      <x:c r="A70" s="57" t="str">
        <x:v>AR-0069</x:v>
      </x:c>
      <x:c r="B70" s="58" t="str">
        <x:v>Customer 30</x:v>
      </x:c>
      <x:c r="C70" s="78" t="n">
        <x:v>46164</x:v>
      </x:c>
      <x:c r="D70" s="78" t="n">
        <x:v>46179</x:v>
      </x:c>
      <x:c r="E70" s="82" t="n">
        <x:v>26414.25</x:v>
      </x:c>
      <x:c r="F70" s="82" t="n">
        <x:v>26414.25</x:v>
      </x:c>
      <x:c r="G70" s="82" t="n">
        <x:f>E70-F70</x:f>
        <x:v>0</x:v>
      </x:c>
      <x:c r="H70" s="58" t="str">
        <x:f>IF(G70&lt;=0,"Paid","Open")</x:f>
        <x:v>Paid</x:v>
      </x:c>
      <x:c r="I70" s="58" t="n">
        <x:f>IF(G70&lt;=0,0,MAX(0,TODAY()-D70))</x:f>
        <x:v>0</x:v>
      </x:c>
      <x:c r="J70" s="58" t="str">
        <x:f>IF(I70=0,"Current",IF(I70&lt;=30,"1-30",IF(I70&lt;=60,"31-60",IF(I70&lt;=90,"61-90","90+"))))</x:f>
        <x:v>Current</x:v>
      </x:c>
      <x:c r="K70" s="58" t="str">
        <x:f>IF(AND(G70&gt;10000,I70&gt;60),"Critical",IF(OR(G70&gt;5000,I70&gt;30),"High",IF(G70&gt;0,"Normal","Closed")))</x:f>
        <x:v>Closed</x:v>
      </x:c>
      <x:c r="L70" s="59" t="str">
        <x:f>IF(K70="Critical","Call and escalate",IF(K70="High","Send reminder","Monitor"))</x:f>
        <x:v>Monitor</x:v>
      </x:c>
    </x:row>
    <x:row r="71">
      <x:c r="A71" s="57" t="str">
        <x:v>AR-0070</x:v>
      </x:c>
      <x:c r="B71" s="58" t="str">
        <x:v>Customer 30</x:v>
      </x:c>
      <x:c r="C71" s="78" t="n">
        <x:v>46120</x:v>
      </x:c>
      <x:c r="D71" s="78" t="n">
        <x:v>46165</x:v>
      </x:c>
      <x:c r="E71" s="82" t="n">
        <x:v>23264.93</x:v>
      </x:c>
      <x:c r="F71" s="82" t="n">
        <x:v>0</x:v>
      </x:c>
      <x:c r="G71" s="82" t="n">
        <x:f>E71-F71</x:f>
        <x:v>23264.93</x:v>
      </x:c>
      <x:c r="H71" s="58" t="str">
        <x:f>IF(G71&lt;=0,"Paid","Open")</x:f>
        <x:v>Open</x:v>
      </x:c>
      <x:c r="I71" s="58" t="n">
        <x:f>IF(G71&lt;=0,0,MAX(0,TODAY()-D71))</x:f>
        <x:v>37</x:v>
      </x:c>
      <x:c r="J71" s="58" t="str">
        <x:f>IF(I71=0,"Current",IF(I71&lt;=30,"1-30",IF(I71&lt;=60,"31-60",IF(I71&lt;=90,"61-90","90+"))))</x:f>
        <x:v>31-60</x:v>
      </x:c>
      <x:c r="K71" s="58" t="str">
        <x:f>IF(AND(G71&gt;10000,I71&gt;60),"Critical",IF(OR(G71&gt;5000,I71&gt;30),"High",IF(G71&gt;0,"Normal","Closed")))</x:f>
        <x:v>High</x:v>
      </x:c>
      <x:c r="L71" s="59" t="str">
        <x:f>IF(K71="Critical","Call and escalate",IF(K71="High","Send reminder","Monitor"))</x:f>
        <x:v>Send reminder</x:v>
      </x:c>
    </x:row>
    <x:row r="72">
      <x:c r="A72" s="57" t="str">
        <x:v>AR-0071</x:v>
      </x:c>
      <x:c r="B72" s="58" t="str">
        <x:v>Customer 6</x:v>
      </x:c>
      <x:c r="C72" s="78" t="n">
        <x:v>46166</x:v>
      </x:c>
      <x:c r="D72" s="78" t="n">
        <x:v>46181</x:v>
      </x:c>
      <x:c r="E72" s="82" t="n">
        <x:v>25077.48</x:v>
      </x:c>
      <x:c r="F72" s="82" t="n">
        <x:v>18808.11</x:v>
      </x:c>
      <x:c r="G72" s="82" t="n">
        <x:f>E72-F72</x:f>
        <x:v>6269.369999999999</x:v>
      </x:c>
      <x:c r="H72" s="58" t="str">
        <x:f>IF(G72&lt;=0,"Paid","Open")</x:f>
        <x:v>Open</x:v>
      </x:c>
      <x:c r="I72" s="58" t="n">
        <x:f>IF(G72&lt;=0,0,MAX(0,TODAY()-D72))</x:f>
        <x:v>21</x:v>
      </x:c>
      <x:c r="J72" s="58" t="str">
        <x:f>IF(I72=0,"Current",IF(I72&lt;=30,"1-30",IF(I72&lt;=60,"31-60",IF(I72&lt;=90,"61-90","90+"))))</x:f>
        <x:v>1-30</x:v>
      </x:c>
      <x:c r="K72" s="58" t="str">
        <x:f>IF(AND(G72&gt;10000,I72&gt;60),"Critical",IF(OR(G72&gt;5000,I72&gt;30),"High",IF(G72&gt;0,"Normal","Closed")))</x:f>
        <x:v>High</x:v>
      </x:c>
      <x:c r="L72" s="59" t="str">
        <x:f>IF(K72="Critical","Call and escalate",IF(K72="High","Send reminder","Monitor"))</x:f>
        <x:v>Send reminder</x:v>
      </x:c>
    </x:row>
    <x:row r="73">
      <x:c r="A73" s="57" t="str">
        <x:v>AR-0072</x:v>
      </x:c>
      <x:c r="B73" s="58" t="str">
        <x:v>Customer 38</x:v>
      </x:c>
      <x:c r="C73" s="78" t="n">
        <x:v>46122</x:v>
      </x:c>
      <x:c r="D73" s="78" t="n">
        <x:v>46137</x:v>
      </x:c>
      <x:c r="E73" s="82" t="n">
        <x:v>21424.24</x:v>
      </x:c>
      <x:c r="F73" s="82" t="n">
        <x:v>16068.18</x:v>
      </x:c>
      <x:c r="G73" s="82" t="n">
        <x:f>E73-F73</x:f>
        <x:v>5356.060000000001</x:v>
      </x:c>
      <x:c r="H73" s="58" t="str">
        <x:f>IF(G73&lt;=0,"Paid","Open")</x:f>
        <x:v>Open</x:v>
      </x:c>
      <x:c r="I73" s="58" t="n">
        <x:f>IF(G73&lt;=0,0,MAX(0,TODAY()-D73))</x:f>
        <x:v>65</x:v>
      </x:c>
      <x:c r="J73" s="58" t="str">
        <x:f>IF(I73=0,"Current",IF(I73&lt;=30,"1-30",IF(I73&lt;=60,"31-60",IF(I73&lt;=90,"61-90","90+"))))</x:f>
        <x:v>61-90</x:v>
      </x:c>
      <x:c r="K73" s="58" t="str">
        <x:f>IF(AND(G73&gt;10000,I73&gt;60),"Critical",IF(OR(G73&gt;5000,I73&gt;30),"High",IF(G73&gt;0,"Normal","Closed")))</x:f>
        <x:v>High</x:v>
      </x:c>
      <x:c r="L73" s="59" t="str">
        <x:f>IF(K73="Critical","Call and escalate",IF(K73="High","Send reminder","Monitor"))</x:f>
        <x:v>Send reminder</x:v>
      </x:c>
    </x:row>
    <x:row r="74">
      <x:c r="A74" s="57" t="str">
        <x:v>AR-0073</x:v>
      </x:c>
      <x:c r="B74" s="58" t="str">
        <x:v>Customer 45</x:v>
      </x:c>
      <x:c r="C74" s="78" t="n">
        <x:v>46084</x:v>
      </x:c>
      <x:c r="D74" s="78" t="n">
        <x:v>46129</x:v>
      </x:c>
      <x:c r="E74" s="82" t="n">
        <x:v>16274.54</x:v>
      </x:c>
      <x:c r="F74" s="82" t="n">
        <x:v>4068.64</x:v>
      </x:c>
      <x:c r="G74" s="82" t="n">
        <x:f>E74-F74</x:f>
        <x:v>12205.900000000001</x:v>
      </x:c>
      <x:c r="H74" s="58" t="str">
        <x:f>IF(G74&lt;=0,"Paid","Open")</x:f>
        <x:v>Open</x:v>
      </x:c>
      <x:c r="I74" s="58" t="n">
        <x:f>IF(G74&lt;=0,0,MAX(0,TODAY()-D74))</x:f>
        <x:v>73</x:v>
      </x:c>
      <x:c r="J74" s="58" t="str">
        <x:f>IF(I74=0,"Current",IF(I74&lt;=30,"1-30",IF(I74&lt;=60,"31-60",IF(I74&lt;=90,"61-90","90+"))))</x:f>
        <x:v>61-90</x:v>
      </x:c>
      <x:c r="K74" s="58" t="str">
        <x:f>IF(AND(G74&gt;10000,I74&gt;60),"Critical",IF(OR(G74&gt;5000,I74&gt;30),"High",IF(G74&gt;0,"Normal","Closed")))</x:f>
        <x:v>Critical</x:v>
      </x:c>
      <x:c r="L74" s="59" t="str">
        <x:f>IF(K74="Critical","Call and escalate",IF(K74="High","Send reminder","Monitor"))</x:f>
        <x:v>Call and escalate</x:v>
      </x:c>
    </x:row>
    <x:row r="75">
      <x:c r="A75" s="57" t="str">
        <x:v>AR-0074</x:v>
      </x:c>
      <x:c r="B75" s="58" t="str">
        <x:v>Customer 41</x:v>
      </x:c>
      <x:c r="C75" s="78" t="n">
        <x:v>46055</x:v>
      </x:c>
      <x:c r="D75" s="78" t="n">
        <x:v>46070</x:v>
      </x:c>
      <x:c r="E75" s="82" t="n">
        <x:v>21390.51</x:v>
      </x:c>
      <x:c r="F75" s="82" t="n">
        <x:v>21390.51</x:v>
      </x:c>
      <x:c r="G75" s="82" t="n">
        <x:f>E75-F75</x:f>
        <x:v>0</x:v>
      </x:c>
      <x:c r="H75" s="58" t="str">
        <x:f>IF(G75&lt;=0,"Paid","Open")</x:f>
        <x:v>Paid</x:v>
      </x:c>
      <x:c r="I75" s="58" t="n">
        <x:f>IF(G75&lt;=0,0,MAX(0,TODAY()-D75))</x:f>
        <x:v>0</x:v>
      </x:c>
      <x:c r="J75" s="58" t="str">
        <x:f>IF(I75=0,"Current",IF(I75&lt;=30,"1-30",IF(I75&lt;=60,"31-60",IF(I75&lt;=90,"61-90","90+"))))</x:f>
        <x:v>Current</x:v>
      </x:c>
      <x:c r="K75" s="58" t="str">
        <x:f>IF(AND(G75&gt;10000,I75&gt;60),"Critical",IF(OR(G75&gt;5000,I75&gt;30),"High",IF(G75&gt;0,"Normal","Closed")))</x:f>
        <x:v>Closed</x:v>
      </x:c>
      <x:c r="L75" s="59" t="str">
        <x:f>IF(K75="Critical","Call and escalate",IF(K75="High","Send reminder","Monitor"))</x:f>
        <x:v>Monitor</x:v>
      </x:c>
    </x:row>
    <x:row r="76">
      <x:c r="A76" s="57" t="str">
        <x:v>AR-0075</x:v>
      </x:c>
      <x:c r="B76" s="58" t="str">
        <x:v>Customer 23</x:v>
      </x:c>
      <x:c r="C76" s="78" t="n">
        <x:v>46078</x:v>
      </x:c>
      <x:c r="D76" s="78" t="n">
        <x:v>46093</x:v>
      </x:c>
      <x:c r="E76" s="82" t="n">
        <x:v>14420.57</x:v>
      </x:c>
      <x:c r="F76" s="82" t="n">
        <x:v>10815.43</x:v>
      </x:c>
      <x:c r="G76" s="82" t="n">
        <x:f>E76-F76</x:f>
        <x:v>3605.1399999999994</x:v>
      </x:c>
      <x:c r="H76" s="58" t="str">
        <x:f>IF(G76&lt;=0,"Paid","Open")</x:f>
        <x:v>Open</x:v>
      </x:c>
      <x:c r="I76" s="58" t="n">
        <x:f>IF(G76&lt;=0,0,MAX(0,TODAY()-D76))</x:f>
        <x:v>109</x:v>
      </x:c>
      <x:c r="J76" s="58" t="str">
        <x:f>IF(I76=0,"Current",IF(I76&lt;=30,"1-30",IF(I76&lt;=60,"31-60",IF(I76&lt;=90,"61-90","90+"))))</x:f>
        <x:v>90+</x:v>
      </x:c>
      <x:c r="K76" s="58" t="str">
        <x:f>IF(AND(G76&gt;10000,I76&gt;60),"Critical",IF(OR(G76&gt;5000,I76&gt;30),"High",IF(G76&gt;0,"Normal","Closed")))</x:f>
        <x:v>High</x:v>
      </x:c>
      <x:c r="L76" s="59" t="str">
        <x:f>IF(K76="Critical","Call and escalate",IF(K76="High","Send reminder","Monitor"))</x:f>
        <x:v>Send reminder</x:v>
      </x:c>
    </x:row>
    <x:row r="77">
      <x:c r="A77" s="57" t="str">
        <x:v>AR-0076</x:v>
      </x:c>
      <x:c r="B77" s="58" t="str">
        <x:v>Customer 23</x:v>
      </x:c>
      <x:c r="C77" s="78" t="n">
        <x:v>46186</x:v>
      </x:c>
      <x:c r="D77" s="78" t="n">
        <x:v>46216</x:v>
      </x:c>
      <x:c r="E77" s="82" t="n">
        <x:v>27523.56</x:v>
      </x:c>
      <x:c r="F77" s="82" t="n">
        <x:v>0</x:v>
      </x:c>
      <x:c r="G77" s="82" t="n">
        <x:f>E77-F77</x:f>
        <x:v>27523.56</x:v>
      </x:c>
      <x:c r="H77" s="58" t="str">
        <x:f>IF(G77&lt;=0,"Paid","Open")</x:f>
        <x:v>Open</x:v>
      </x:c>
      <x:c r="I77" s="58" t="n">
        <x:f>IF(G77&lt;=0,0,MAX(0,TODAY()-D77))</x:f>
        <x:v>0</x:v>
      </x:c>
      <x:c r="J77" s="58" t="str">
        <x:f>IF(I77=0,"Current",IF(I77&lt;=30,"1-30",IF(I77&lt;=60,"31-60",IF(I77&lt;=90,"61-90","90+"))))</x:f>
        <x:v>Current</x:v>
      </x:c>
      <x:c r="K77" s="58" t="str">
        <x:f>IF(AND(G77&gt;10000,I77&gt;60),"Critical",IF(OR(G77&gt;5000,I77&gt;30),"High",IF(G77&gt;0,"Normal","Closed")))</x:f>
        <x:v>High</x:v>
      </x:c>
      <x:c r="L77" s="59" t="str">
        <x:f>IF(K77="Critical","Call and escalate",IF(K77="High","Send reminder","Monitor"))</x:f>
        <x:v>Send reminder</x:v>
      </x:c>
    </x:row>
    <x:row r="78">
      <x:c r="A78" s="57" t="str">
        <x:v>AR-0077</x:v>
      </x:c>
      <x:c r="B78" s="58" t="str">
        <x:v>Customer 8</x:v>
      </x:c>
      <x:c r="C78" s="78" t="n">
        <x:v>46145</x:v>
      </x:c>
      <x:c r="D78" s="78" t="n">
        <x:v>46160</x:v>
      </x:c>
      <x:c r="E78" s="82" t="n">
        <x:v>18674.69</x:v>
      </x:c>
      <x:c r="F78" s="82" t="n">
        <x:v>9337.34</x:v>
      </x:c>
      <x:c r="G78" s="82" t="n">
        <x:f>E78-F78</x:f>
        <x:v>9337.349999999999</x:v>
      </x:c>
      <x:c r="H78" s="58" t="str">
        <x:f>IF(G78&lt;=0,"Paid","Open")</x:f>
        <x:v>Open</x:v>
      </x:c>
      <x:c r="I78" s="58" t="n">
        <x:f>IF(G78&lt;=0,0,MAX(0,TODAY()-D78))</x:f>
        <x:v>42</x:v>
      </x:c>
      <x:c r="J78" s="58" t="str">
        <x:f>IF(I78=0,"Current",IF(I78&lt;=30,"1-30",IF(I78&lt;=60,"31-60",IF(I78&lt;=90,"61-90","90+"))))</x:f>
        <x:v>31-60</x:v>
      </x:c>
      <x:c r="K78" s="58" t="str">
        <x:f>IF(AND(G78&gt;10000,I78&gt;60),"Critical",IF(OR(G78&gt;5000,I78&gt;30),"High",IF(G78&gt;0,"Normal","Closed")))</x:f>
        <x:v>High</x:v>
      </x:c>
      <x:c r="L78" s="59" t="str">
        <x:f>IF(K78="Critical","Call and escalate",IF(K78="High","Send reminder","Monitor"))</x:f>
        <x:v>Send reminder</x:v>
      </x:c>
    </x:row>
    <x:row r="79">
      <x:c r="A79" s="57" t="str">
        <x:v>AR-0078</x:v>
      </x:c>
      <x:c r="B79" s="58" t="str">
        <x:v>Customer 35</x:v>
      </x:c>
      <x:c r="C79" s="78" t="n">
        <x:v>46181</x:v>
      </x:c>
      <x:c r="D79" s="78" t="n">
        <x:v>46196</x:v>
      </x:c>
      <x:c r="E79" s="82" t="n">
        <x:v>26497.59</x:v>
      </x:c>
      <x:c r="F79" s="82" t="n">
        <x:v>13248.8</x:v>
      </x:c>
      <x:c r="G79" s="82" t="n">
        <x:f>E79-F79</x:f>
        <x:v>13248.79</x:v>
      </x:c>
      <x:c r="H79" s="58" t="str">
        <x:f>IF(G79&lt;=0,"Paid","Open")</x:f>
        <x:v>Open</x:v>
      </x:c>
      <x:c r="I79" s="58" t="n">
        <x:f>IF(G79&lt;=0,0,MAX(0,TODAY()-D79))</x:f>
        <x:v>6</x:v>
      </x:c>
      <x:c r="J79" s="58" t="str">
        <x:f>IF(I79=0,"Current",IF(I79&lt;=30,"1-30",IF(I79&lt;=60,"31-60",IF(I79&lt;=90,"61-90","90+"))))</x:f>
        <x:v>1-30</x:v>
      </x:c>
      <x:c r="K79" s="58" t="str">
        <x:f>IF(AND(G79&gt;10000,I79&gt;60),"Critical",IF(OR(G79&gt;5000,I79&gt;30),"High",IF(G79&gt;0,"Normal","Closed")))</x:f>
        <x:v>High</x:v>
      </x:c>
      <x:c r="L79" s="59" t="str">
        <x:f>IF(K79="Critical","Call and escalate",IF(K79="High","Send reminder","Monitor"))</x:f>
        <x:v>Send reminder</x:v>
      </x:c>
    </x:row>
    <x:row r="80">
      <x:c r="A80" s="57" t="str">
        <x:v>AR-0079</x:v>
      </x:c>
      <x:c r="B80" s="58" t="str">
        <x:v>Customer 44</x:v>
      </x:c>
      <x:c r="C80" s="78" t="n">
        <x:v>46095</x:v>
      </x:c>
      <x:c r="D80" s="78" t="n">
        <x:v>46140</x:v>
      </x:c>
      <x:c r="E80" s="82" t="n">
        <x:v>28353.55</x:v>
      </x:c>
      <x:c r="F80" s="82" t="n">
        <x:v>7088.39</x:v>
      </x:c>
      <x:c r="G80" s="82" t="n">
        <x:f>E80-F80</x:f>
        <x:v>21265.16</x:v>
      </x:c>
      <x:c r="H80" s="58" t="str">
        <x:f>IF(G80&lt;=0,"Paid","Open")</x:f>
        <x:v>Open</x:v>
      </x:c>
      <x:c r="I80" s="58" t="n">
        <x:f>IF(G80&lt;=0,0,MAX(0,TODAY()-D80))</x:f>
        <x:v>62</x:v>
      </x:c>
      <x:c r="J80" s="58" t="str">
        <x:f>IF(I80=0,"Current",IF(I80&lt;=30,"1-30",IF(I80&lt;=60,"31-60",IF(I80&lt;=90,"61-90","90+"))))</x:f>
        <x:v>61-90</x:v>
      </x:c>
      <x:c r="K80" s="58" t="str">
        <x:f>IF(AND(G80&gt;10000,I80&gt;60),"Critical",IF(OR(G80&gt;5000,I80&gt;30),"High",IF(G80&gt;0,"Normal","Closed")))</x:f>
        <x:v>Critical</x:v>
      </x:c>
      <x:c r="L80" s="59" t="str">
        <x:f>IF(K80="Critical","Call and escalate",IF(K80="High","Send reminder","Monitor"))</x:f>
        <x:v>Call and escalate</x:v>
      </x:c>
    </x:row>
    <x:row r="81">
      <x:c r="A81" s="57" t="str">
        <x:v>AR-0080</x:v>
      </x:c>
      <x:c r="B81" s="58" t="str">
        <x:v>Customer 9</x:v>
      </x:c>
      <x:c r="C81" s="78" t="n">
        <x:v>46130</x:v>
      </x:c>
      <x:c r="D81" s="78" t="n">
        <x:v>46145</x:v>
      </x:c>
      <x:c r="E81" s="82" t="n">
        <x:v>16799.72</x:v>
      </x:c>
      <x:c r="F81" s="82" t="n">
        <x:v>0</x:v>
      </x:c>
      <x:c r="G81" s="82" t="n">
        <x:f>E81-F81</x:f>
        <x:v>16799.72</x:v>
      </x:c>
      <x:c r="H81" s="58" t="str">
        <x:f>IF(G81&lt;=0,"Paid","Open")</x:f>
        <x:v>Open</x:v>
      </x:c>
      <x:c r="I81" s="58" t="n">
        <x:f>IF(G81&lt;=0,0,MAX(0,TODAY()-D81))</x:f>
        <x:v>57</x:v>
      </x:c>
      <x:c r="J81" s="58" t="str">
        <x:f>IF(I81=0,"Current",IF(I81&lt;=30,"1-30",IF(I81&lt;=60,"31-60",IF(I81&lt;=90,"61-90","90+"))))</x:f>
        <x:v>31-60</x:v>
      </x:c>
      <x:c r="K81" s="58" t="str">
        <x:f>IF(AND(G81&gt;10000,I81&gt;60),"Critical",IF(OR(G81&gt;5000,I81&gt;30),"High",IF(G81&gt;0,"Normal","Closed")))</x:f>
        <x:v>High</x:v>
      </x:c>
      <x:c r="L81" s="59" t="str">
        <x:f>IF(K81="Critical","Call and escalate",IF(K81="High","Send reminder","Monitor"))</x:f>
        <x:v>Send reminder</x:v>
      </x:c>
    </x:row>
    <x:row r="82">
      <x:c r="A82" s="57" t="str">
        <x:v>AR-0081</x:v>
      </x:c>
      <x:c r="B82" s="58" t="str">
        <x:v>Customer 37</x:v>
      </x:c>
      <x:c r="C82" s="78" t="n">
        <x:v>46152</x:v>
      </x:c>
      <x:c r="D82" s="78" t="n">
        <x:v>46182</x:v>
      </x:c>
      <x:c r="E82" s="82" t="n">
        <x:v>5253.92</x:v>
      </x:c>
      <x:c r="F82" s="82" t="n">
        <x:v>1313.48</x:v>
      </x:c>
      <x:c r="G82" s="82" t="n">
        <x:f>E82-F82</x:f>
        <x:v>3940.44</x:v>
      </x:c>
      <x:c r="H82" s="58" t="str">
        <x:f>IF(G82&lt;=0,"Paid","Open")</x:f>
        <x:v>Open</x:v>
      </x:c>
      <x:c r="I82" s="58" t="n">
        <x:f>IF(G82&lt;=0,0,MAX(0,TODAY()-D82))</x:f>
        <x:v>20</x:v>
      </x:c>
      <x:c r="J82" s="58" t="str">
        <x:f>IF(I82=0,"Current",IF(I82&lt;=30,"1-30",IF(I82&lt;=60,"31-60",IF(I82&lt;=90,"61-90","90+"))))</x:f>
        <x:v>1-30</x:v>
      </x:c>
      <x:c r="K82" s="58" t="str">
        <x:f>IF(AND(G82&gt;10000,I82&gt;60),"Critical",IF(OR(G82&gt;5000,I82&gt;30),"High",IF(G82&gt;0,"Normal","Closed")))</x:f>
        <x:v>Normal</x:v>
      </x:c>
      <x:c r="L82" s="59" t="str">
        <x:f>IF(K82="Critical","Call and escalate",IF(K82="High","Send reminder","Monitor"))</x:f>
        <x:v>Monitor</x:v>
      </x:c>
    </x:row>
    <x:row r="83">
      <x:c r="A83" s="57" t="str">
        <x:v>AR-0082</x:v>
      </x:c>
      <x:c r="B83" s="58" t="str">
        <x:v>Customer 43</x:v>
      </x:c>
      <x:c r="C83" s="78" t="n">
        <x:v>46104</x:v>
      </x:c>
      <x:c r="D83" s="78" t="n">
        <x:v>46134</x:v>
      </x:c>
      <x:c r="E83" s="82" t="n">
        <x:v>20533.48</x:v>
      </x:c>
      <x:c r="F83" s="82" t="n">
        <x:v>5133.37</x:v>
      </x:c>
      <x:c r="G83" s="82" t="n">
        <x:f>E83-F83</x:f>
        <x:v>15400.11</x:v>
      </x:c>
      <x:c r="H83" s="58" t="str">
        <x:f>IF(G83&lt;=0,"Paid","Open")</x:f>
        <x:v>Open</x:v>
      </x:c>
      <x:c r="I83" s="58" t="n">
        <x:f>IF(G83&lt;=0,0,MAX(0,TODAY()-D83))</x:f>
        <x:v>68</x:v>
      </x:c>
      <x:c r="J83" s="58" t="str">
        <x:f>IF(I83=0,"Current",IF(I83&lt;=30,"1-30",IF(I83&lt;=60,"31-60",IF(I83&lt;=90,"61-90","90+"))))</x:f>
        <x:v>61-90</x:v>
      </x:c>
      <x:c r="K83" s="58" t="str">
        <x:f>IF(AND(G83&gt;10000,I83&gt;60),"Critical",IF(OR(G83&gt;5000,I83&gt;30),"High",IF(G83&gt;0,"Normal","Closed")))</x:f>
        <x:v>Critical</x:v>
      </x:c>
      <x:c r="L83" s="59" t="str">
        <x:f>IF(K83="Critical","Call and escalate",IF(K83="High","Send reminder","Monitor"))</x:f>
        <x:v>Call and escalate</x:v>
      </x:c>
    </x:row>
    <x:row r="84">
      <x:c r="A84" s="57" t="str">
        <x:v>AR-0083</x:v>
      </x:c>
      <x:c r="B84" s="58" t="str">
        <x:v>Customer 40</x:v>
      </x:c>
      <x:c r="C84" s="78" t="n">
        <x:v>46091</x:v>
      </x:c>
      <x:c r="D84" s="78" t="n">
        <x:v>46136</x:v>
      </x:c>
      <x:c r="E84" s="82" t="n">
        <x:v>327.82</x:v>
      </x:c>
      <x:c r="F84" s="82" t="n">
        <x:v>81.95</x:v>
      </x:c>
      <x:c r="G84" s="82" t="n">
        <x:f>E84-F84</x:f>
        <x:v>245.87</x:v>
      </x:c>
      <x:c r="H84" s="58" t="str">
        <x:f>IF(G84&lt;=0,"Paid","Open")</x:f>
        <x:v>Open</x:v>
      </x:c>
      <x:c r="I84" s="58" t="n">
        <x:f>IF(G84&lt;=0,0,MAX(0,TODAY()-D84))</x:f>
        <x:v>66</x:v>
      </x:c>
      <x:c r="J84" s="58" t="str">
        <x:f>IF(I84=0,"Current",IF(I84&lt;=30,"1-30",IF(I84&lt;=60,"31-60",IF(I84&lt;=90,"61-90","90+"))))</x:f>
        <x:v>61-90</x:v>
      </x:c>
      <x:c r="K84" s="58" t="str">
        <x:f>IF(AND(G84&gt;10000,I84&gt;60),"Critical",IF(OR(G84&gt;5000,I84&gt;30),"High",IF(G84&gt;0,"Normal","Closed")))</x:f>
        <x:v>High</x:v>
      </x:c>
      <x:c r="L84" s="59" t="str">
        <x:f>IF(K84="Critical","Call and escalate",IF(K84="High","Send reminder","Monitor"))</x:f>
        <x:v>Send reminder</x:v>
      </x:c>
    </x:row>
    <x:row r="85">
      <x:c r="A85" s="57" t="str">
        <x:v>AR-0084</x:v>
      </x:c>
      <x:c r="B85" s="58" t="str">
        <x:v>Customer 8</x:v>
      </x:c>
      <x:c r="C85" s="78" t="n">
        <x:v>46069</x:v>
      </x:c>
      <x:c r="D85" s="78" t="n">
        <x:v>46099</x:v>
      </x:c>
      <x:c r="E85" s="82" t="n">
        <x:v>5990.14</x:v>
      </x:c>
      <x:c r="F85" s="82" t="n">
        <x:v>5990.14</x:v>
      </x:c>
      <x:c r="G85" s="82" t="n">
        <x:f>E85-F85</x:f>
        <x:v>0</x:v>
      </x:c>
      <x:c r="H85" s="58" t="str">
        <x:f>IF(G85&lt;=0,"Paid","Open")</x:f>
        <x:v>Paid</x:v>
      </x:c>
      <x:c r="I85" s="58" t="n">
        <x:f>IF(G85&lt;=0,0,MAX(0,TODAY()-D85))</x:f>
        <x:v>0</x:v>
      </x:c>
      <x:c r="J85" s="58" t="str">
        <x:f>IF(I85=0,"Current",IF(I85&lt;=30,"1-30",IF(I85&lt;=60,"31-60",IF(I85&lt;=90,"61-90","90+"))))</x:f>
        <x:v>Current</x:v>
      </x:c>
      <x:c r="K85" s="58" t="str">
        <x:f>IF(AND(G85&gt;10000,I85&gt;60),"Critical",IF(OR(G85&gt;5000,I85&gt;30),"High",IF(G85&gt;0,"Normal","Closed")))</x:f>
        <x:v>Closed</x:v>
      </x:c>
      <x:c r="L85" s="59" t="str">
        <x:f>IF(K85="Critical","Call and escalate",IF(K85="High","Send reminder","Monitor"))</x:f>
        <x:v>Monitor</x:v>
      </x:c>
    </x:row>
    <x:row r="86">
      <x:c r="A86" s="57" t="str">
        <x:v>AR-0085</x:v>
      </x:c>
      <x:c r="B86" s="58" t="str">
        <x:v>Customer 17</x:v>
      </x:c>
      <x:c r="C86" s="78" t="n">
        <x:v>46102</x:v>
      </x:c>
      <x:c r="D86" s="78" t="n">
        <x:v>46132</x:v>
      </x:c>
      <x:c r="E86" s="82" t="n">
        <x:v>3213.06</x:v>
      </x:c>
      <x:c r="F86" s="82" t="n">
        <x:v>0</x:v>
      </x:c>
      <x:c r="G86" s="82" t="n">
        <x:f>E86-F86</x:f>
        <x:v>3213.06</x:v>
      </x:c>
      <x:c r="H86" s="58" t="str">
        <x:f>IF(G86&lt;=0,"Paid","Open")</x:f>
        <x:v>Open</x:v>
      </x:c>
      <x:c r="I86" s="58" t="n">
        <x:f>IF(G86&lt;=0,0,MAX(0,TODAY()-D86))</x:f>
        <x:v>70</x:v>
      </x:c>
      <x:c r="J86" s="58" t="str">
        <x:f>IF(I86=0,"Current",IF(I86&lt;=30,"1-30",IF(I86&lt;=60,"31-60",IF(I86&lt;=90,"61-90","90+"))))</x:f>
        <x:v>61-90</x:v>
      </x:c>
      <x:c r="K86" s="58" t="str">
        <x:f>IF(AND(G86&gt;10000,I86&gt;60),"Critical",IF(OR(G86&gt;5000,I86&gt;30),"High",IF(G86&gt;0,"Normal","Closed")))</x:f>
        <x:v>High</x:v>
      </x:c>
      <x:c r="L86" s="59" t="str">
        <x:f>IF(K86="Critical","Call and escalate",IF(K86="High","Send reminder","Monitor"))</x:f>
        <x:v>Send reminder</x:v>
      </x:c>
    </x:row>
    <x:row r="87">
      <x:c r="A87" s="57" t="str">
        <x:v>AR-0086</x:v>
      </x:c>
      <x:c r="B87" s="58" t="str">
        <x:v>Customer 25</x:v>
      </x:c>
      <x:c r="C87" s="78" t="n">
        <x:v>46162</x:v>
      </x:c>
      <x:c r="D87" s="78" t="n">
        <x:v>46177</x:v>
      </x:c>
      <x:c r="E87" s="82" t="n">
        <x:v>19940.67</x:v>
      </x:c>
      <x:c r="F87" s="82" t="n">
        <x:v>14955.5</x:v>
      </x:c>
      <x:c r="G87" s="82" t="n">
        <x:f>E87-F87</x:f>
        <x:v>4985.169999999998</x:v>
      </x:c>
      <x:c r="H87" s="58" t="str">
        <x:f>IF(G87&lt;=0,"Paid","Open")</x:f>
        <x:v>Open</x:v>
      </x:c>
      <x:c r="I87" s="58" t="n">
        <x:f>IF(G87&lt;=0,0,MAX(0,TODAY()-D87))</x:f>
        <x:v>25</x:v>
      </x:c>
      <x:c r="J87" s="58" t="str">
        <x:f>IF(I87=0,"Current",IF(I87&lt;=30,"1-30",IF(I87&lt;=60,"31-60",IF(I87&lt;=90,"61-90","90+"))))</x:f>
        <x:v>1-30</x:v>
      </x:c>
      <x:c r="K87" s="58" t="str">
        <x:f>IF(AND(G87&gt;10000,I87&gt;60),"Critical",IF(OR(G87&gt;5000,I87&gt;30),"High",IF(G87&gt;0,"Normal","Closed")))</x:f>
        <x:v>Normal</x:v>
      </x:c>
      <x:c r="L87" s="59" t="str">
        <x:f>IF(K87="Critical","Call and escalate",IF(K87="High","Send reminder","Monitor"))</x:f>
        <x:v>Monitor</x:v>
      </x:c>
    </x:row>
    <x:row r="88">
      <x:c r="A88" s="57" t="str">
        <x:v>AR-0087</x:v>
      </x:c>
      <x:c r="B88" s="58" t="str">
        <x:v>Customer 11</x:v>
      </x:c>
      <x:c r="C88" s="78" t="n">
        <x:v>46155</x:v>
      </x:c>
      <x:c r="D88" s="78" t="n">
        <x:v>46200</x:v>
      </x:c>
      <x:c r="E88" s="82" t="n">
        <x:v>29025.96</x:v>
      </x:c>
      <x:c r="F88" s="82" t="n">
        <x:v>29025.96</x:v>
      </x:c>
      <x:c r="G88" s="82" t="n">
        <x:f>E88-F88</x:f>
        <x:v>0</x:v>
      </x:c>
      <x:c r="H88" s="58" t="str">
        <x:f>IF(G88&lt;=0,"Paid","Open")</x:f>
        <x:v>Paid</x:v>
      </x:c>
      <x:c r="I88" s="58" t="n">
        <x:f>IF(G88&lt;=0,0,MAX(0,TODAY()-D88))</x:f>
        <x:v>0</x:v>
      </x:c>
      <x:c r="J88" s="58" t="str">
        <x:f>IF(I88=0,"Current",IF(I88&lt;=30,"1-30",IF(I88&lt;=60,"31-60",IF(I88&lt;=90,"61-90","90+"))))</x:f>
        <x:v>Current</x:v>
      </x:c>
      <x:c r="K88" s="58" t="str">
        <x:f>IF(AND(G88&gt;10000,I88&gt;60),"Critical",IF(OR(G88&gt;5000,I88&gt;30),"High",IF(G88&gt;0,"Normal","Closed")))</x:f>
        <x:v>Closed</x:v>
      </x:c>
      <x:c r="L88" s="59" t="str">
        <x:f>IF(K88="Critical","Call and escalate",IF(K88="High","Send reminder","Monitor"))</x:f>
        <x:v>Monitor</x:v>
      </x:c>
    </x:row>
    <x:row r="89">
      <x:c r="A89" s="57" t="str">
        <x:v>AR-0088</x:v>
      </x:c>
      <x:c r="B89" s="58" t="str">
        <x:v>Customer 48</x:v>
      </x:c>
      <x:c r="C89" s="78" t="n">
        <x:v>46061</x:v>
      </x:c>
      <x:c r="D89" s="78" t="n">
        <x:v>46076</x:v>
      </x:c>
      <x:c r="E89" s="82" t="n">
        <x:v>20809.14</x:v>
      </x:c>
      <x:c r="F89" s="82" t="n">
        <x:v>0</x:v>
      </x:c>
      <x:c r="G89" s="82" t="n">
        <x:f>E89-F89</x:f>
        <x:v>20809.14</x:v>
      </x:c>
      <x:c r="H89" s="58" t="str">
        <x:f>IF(G89&lt;=0,"Paid","Open")</x:f>
        <x:v>Open</x:v>
      </x:c>
      <x:c r="I89" s="58" t="n">
        <x:f>IF(G89&lt;=0,0,MAX(0,TODAY()-D89))</x:f>
        <x:v>126</x:v>
      </x:c>
      <x:c r="J89" s="58" t="str">
        <x:f>IF(I89=0,"Current",IF(I89&lt;=30,"1-30",IF(I89&lt;=60,"31-60",IF(I89&lt;=90,"61-90","90+"))))</x:f>
        <x:v>90+</x:v>
      </x:c>
      <x:c r="K89" s="58" t="str">
        <x:f>IF(AND(G89&gt;10000,I89&gt;60),"Critical",IF(OR(G89&gt;5000,I89&gt;30),"High",IF(G89&gt;0,"Normal","Closed")))</x:f>
        <x:v>Critical</x:v>
      </x:c>
      <x:c r="L89" s="59" t="str">
        <x:f>IF(K89="Critical","Call and escalate",IF(K89="High","Send reminder","Monitor"))</x:f>
        <x:v>Call and escalate</x:v>
      </x:c>
    </x:row>
    <x:row r="90">
      <x:c r="A90" s="57" t="str">
        <x:v>AR-0089</x:v>
      </x:c>
      <x:c r="B90" s="58" t="str">
        <x:v>Customer 3</x:v>
      </x:c>
      <x:c r="C90" s="78" t="n">
        <x:v>46112</x:v>
      </x:c>
      <x:c r="D90" s="78" t="n">
        <x:v>46127</x:v>
      </x:c>
      <x:c r="E90" s="82" t="n">
        <x:v>2338.48</x:v>
      </x:c>
      <x:c r="F90" s="82" t="n">
        <x:v>0</x:v>
      </x:c>
      <x:c r="G90" s="82" t="n">
        <x:f>E90-F90</x:f>
        <x:v>2338.48</x:v>
      </x:c>
      <x:c r="H90" s="58" t="str">
        <x:f>IF(G90&lt;=0,"Paid","Open")</x:f>
        <x:v>Open</x:v>
      </x:c>
      <x:c r="I90" s="58" t="n">
        <x:f>IF(G90&lt;=0,0,MAX(0,TODAY()-D90))</x:f>
        <x:v>75</x:v>
      </x:c>
      <x:c r="J90" s="58" t="str">
        <x:f>IF(I90=0,"Current",IF(I90&lt;=30,"1-30",IF(I90&lt;=60,"31-60",IF(I90&lt;=90,"61-90","90+"))))</x:f>
        <x:v>61-90</x:v>
      </x:c>
      <x:c r="K90" s="58" t="str">
        <x:f>IF(AND(G90&gt;10000,I90&gt;60),"Critical",IF(OR(G90&gt;5000,I90&gt;30),"High",IF(G90&gt;0,"Normal","Closed")))</x:f>
        <x:v>High</x:v>
      </x:c>
      <x:c r="L90" s="59" t="str">
        <x:f>IF(K90="Critical","Call and escalate",IF(K90="High","Send reminder","Monitor"))</x:f>
        <x:v>Send reminder</x:v>
      </x:c>
    </x:row>
    <x:row r="91">
      <x:c r="A91" s="57" t="str">
        <x:v>AR-0090</x:v>
      </x:c>
      <x:c r="B91" s="58" t="str">
        <x:v>Customer 28</x:v>
      </x:c>
      <x:c r="C91" s="78" t="n">
        <x:v>46113</x:v>
      </x:c>
      <x:c r="D91" s="78" t="n">
        <x:v>46128</x:v>
      </x:c>
      <x:c r="E91" s="82" t="n">
        <x:v>29143.96</x:v>
      </x:c>
      <x:c r="F91" s="82" t="n">
        <x:v>21857.97</x:v>
      </x:c>
      <x:c r="G91" s="82" t="n">
        <x:f>E91-F91</x:f>
        <x:v>7285.989999999998</x:v>
      </x:c>
      <x:c r="H91" s="58" t="str">
        <x:f>IF(G91&lt;=0,"Paid","Open")</x:f>
        <x:v>Open</x:v>
      </x:c>
      <x:c r="I91" s="58" t="n">
        <x:f>IF(G91&lt;=0,0,MAX(0,TODAY()-D91))</x:f>
        <x:v>74</x:v>
      </x:c>
      <x:c r="J91" s="58" t="str">
        <x:f>IF(I91=0,"Current",IF(I91&lt;=30,"1-30",IF(I91&lt;=60,"31-60",IF(I91&lt;=90,"61-90","90+"))))</x:f>
        <x:v>61-90</x:v>
      </x:c>
      <x:c r="K91" s="58" t="str">
        <x:f>IF(AND(G91&gt;10000,I91&gt;60),"Critical",IF(OR(G91&gt;5000,I91&gt;30),"High",IF(G91&gt;0,"Normal","Closed")))</x:f>
        <x:v>High</x:v>
      </x:c>
      <x:c r="L91" s="59" t="str">
        <x:f>IF(K91="Critical","Call and escalate",IF(K91="High","Send reminder","Monitor"))</x:f>
        <x:v>Send reminder</x:v>
      </x:c>
    </x:row>
    <x:row r="92">
      <x:c r="A92" s="57" t="str">
        <x:v>AR-0091</x:v>
      </x:c>
      <x:c r="B92" s="58" t="str">
        <x:v>Customer 17</x:v>
      </x:c>
      <x:c r="C92" s="78" t="n">
        <x:v>46152</x:v>
      </x:c>
      <x:c r="D92" s="78" t="n">
        <x:v>46182</x:v>
      </x:c>
      <x:c r="E92" s="82" t="n">
        <x:v>9150.2</x:v>
      </x:c>
      <x:c r="F92" s="82" t="n">
        <x:v>2287.55</x:v>
      </x:c>
      <x:c r="G92" s="82" t="n">
        <x:f>E92-F92</x:f>
        <x:v>6862.650000000001</x:v>
      </x:c>
      <x:c r="H92" s="58" t="str">
        <x:f>IF(G92&lt;=0,"Paid","Open")</x:f>
        <x:v>Open</x:v>
      </x:c>
      <x:c r="I92" s="58" t="n">
        <x:f>IF(G92&lt;=0,0,MAX(0,TODAY()-D92))</x:f>
        <x:v>20</x:v>
      </x:c>
      <x:c r="J92" s="58" t="str">
        <x:f>IF(I92=0,"Current",IF(I92&lt;=30,"1-30",IF(I92&lt;=60,"31-60",IF(I92&lt;=90,"61-90","90+"))))</x:f>
        <x:v>1-30</x:v>
      </x:c>
      <x:c r="K92" s="58" t="str">
        <x:f>IF(AND(G92&gt;10000,I92&gt;60),"Critical",IF(OR(G92&gt;5000,I92&gt;30),"High",IF(G92&gt;0,"Normal","Closed")))</x:f>
        <x:v>High</x:v>
      </x:c>
      <x:c r="L92" s="59" t="str">
        <x:f>IF(K92="Critical","Call and escalate",IF(K92="High","Send reminder","Monitor"))</x:f>
        <x:v>Send reminder</x:v>
      </x:c>
    </x:row>
    <x:row r="93">
      <x:c r="A93" s="57" t="str">
        <x:v>AR-0092</x:v>
      </x:c>
      <x:c r="B93" s="58" t="str">
        <x:v>Customer 19</x:v>
      </x:c>
      <x:c r="C93" s="78" t="n">
        <x:v>46104</x:v>
      </x:c>
      <x:c r="D93" s="78" t="n">
        <x:v>46134</x:v>
      </x:c>
      <x:c r="E93" s="82" t="n">
        <x:v>14183.09</x:v>
      </x:c>
      <x:c r="F93" s="82" t="n">
        <x:v>7091.55</x:v>
      </x:c>
      <x:c r="G93" s="82" t="n">
        <x:f>E93-F93</x:f>
        <x:v>7091.54</x:v>
      </x:c>
      <x:c r="H93" s="58" t="str">
        <x:f>IF(G93&lt;=0,"Paid","Open")</x:f>
        <x:v>Open</x:v>
      </x:c>
      <x:c r="I93" s="58" t="n">
        <x:f>IF(G93&lt;=0,0,MAX(0,TODAY()-D93))</x:f>
        <x:v>68</x:v>
      </x:c>
      <x:c r="J93" s="58" t="str">
        <x:f>IF(I93=0,"Current",IF(I93&lt;=30,"1-30",IF(I93&lt;=60,"31-60",IF(I93&lt;=90,"61-90","90+"))))</x:f>
        <x:v>61-90</x:v>
      </x:c>
      <x:c r="K93" s="58" t="str">
        <x:f>IF(AND(G93&gt;10000,I93&gt;60),"Critical",IF(OR(G93&gt;5000,I93&gt;30),"High",IF(G93&gt;0,"Normal","Closed")))</x:f>
        <x:v>High</x:v>
      </x:c>
      <x:c r="L93" s="59" t="str">
        <x:f>IF(K93="Critical","Call and escalate",IF(K93="High","Send reminder","Monitor"))</x:f>
        <x:v>Send reminder</x:v>
      </x:c>
    </x:row>
    <x:row r="94">
      <x:c r="A94" s="57" t="str">
        <x:v>AR-0093</x:v>
      </x:c>
      <x:c r="B94" s="58" t="str">
        <x:v>Customer 22</x:v>
      </x:c>
      <x:c r="C94" s="78" t="n">
        <x:v>46085</x:v>
      </x:c>
      <x:c r="D94" s="78" t="n">
        <x:v>46100</x:v>
      </x:c>
      <x:c r="E94" s="82" t="n">
        <x:v>26997</x:v>
      </x:c>
      <x:c r="F94" s="82" t="n">
        <x:v>20247.75</x:v>
      </x:c>
      <x:c r="G94" s="82" t="n">
        <x:f>E94-F94</x:f>
        <x:v>6749.25</x:v>
      </x:c>
      <x:c r="H94" s="58" t="str">
        <x:f>IF(G94&lt;=0,"Paid","Open")</x:f>
        <x:v>Open</x:v>
      </x:c>
      <x:c r="I94" s="58" t="n">
        <x:f>IF(G94&lt;=0,0,MAX(0,TODAY()-D94))</x:f>
        <x:v>102</x:v>
      </x:c>
      <x:c r="J94" s="58" t="str">
        <x:f>IF(I94=0,"Current",IF(I94&lt;=30,"1-30",IF(I94&lt;=60,"31-60",IF(I94&lt;=90,"61-90","90+"))))</x:f>
        <x:v>90+</x:v>
      </x:c>
      <x:c r="K94" s="58" t="str">
        <x:f>IF(AND(G94&gt;10000,I94&gt;60),"Critical",IF(OR(G94&gt;5000,I94&gt;30),"High",IF(G94&gt;0,"Normal","Closed")))</x:f>
        <x:v>High</x:v>
      </x:c>
      <x:c r="L94" s="59" t="str">
        <x:f>IF(K94="Critical","Call and escalate",IF(K94="High","Send reminder","Monitor"))</x:f>
        <x:v>Send reminder</x:v>
      </x:c>
    </x:row>
    <x:row r="95">
      <x:c r="A95" s="57" t="str">
        <x:v>AR-0094</x:v>
      </x:c>
      <x:c r="B95" s="58" t="str">
        <x:v>Customer 15</x:v>
      </x:c>
      <x:c r="C95" s="78" t="n">
        <x:v>46149</x:v>
      </x:c>
      <x:c r="D95" s="78" t="n">
        <x:v>46164</x:v>
      </x:c>
      <x:c r="E95" s="82" t="n">
        <x:v>27933.1</x:v>
      </x:c>
      <x:c r="F95" s="82" t="n">
        <x:v>20949.82</x:v>
      </x:c>
      <x:c r="G95" s="82" t="n">
        <x:f>E95-F95</x:f>
        <x:v>6983.279999999999</x:v>
      </x:c>
      <x:c r="H95" s="58" t="str">
        <x:f>IF(G95&lt;=0,"Paid","Open")</x:f>
        <x:v>Open</x:v>
      </x:c>
      <x:c r="I95" s="58" t="n">
        <x:f>IF(G95&lt;=0,0,MAX(0,TODAY()-D95))</x:f>
        <x:v>38</x:v>
      </x:c>
      <x:c r="J95" s="58" t="str">
        <x:f>IF(I95=0,"Current",IF(I95&lt;=30,"1-30",IF(I95&lt;=60,"31-60",IF(I95&lt;=90,"61-90","90+"))))</x:f>
        <x:v>31-60</x:v>
      </x:c>
      <x:c r="K95" s="58" t="str">
        <x:f>IF(AND(G95&gt;10000,I95&gt;60),"Critical",IF(OR(G95&gt;5000,I95&gt;30),"High",IF(G95&gt;0,"Normal","Closed")))</x:f>
        <x:v>High</x:v>
      </x:c>
      <x:c r="L95" s="59" t="str">
        <x:f>IF(K95="Critical","Call and escalate",IF(K95="High","Send reminder","Monitor"))</x:f>
        <x:v>Send reminder</x:v>
      </x:c>
    </x:row>
    <x:row r="96">
      <x:c r="A96" s="57" t="str">
        <x:v>AR-0095</x:v>
      </x:c>
      <x:c r="B96" s="58" t="str">
        <x:v>Customer 38</x:v>
      </x:c>
      <x:c r="C96" s="78" t="n">
        <x:v>46079</x:v>
      </x:c>
      <x:c r="D96" s="78" t="n">
        <x:v>46124</x:v>
      </x:c>
      <x:c r="E96" s="82" t="n">
        <x:v>3242.76</x:v>
      </x:c>
      <x:c r="F96" s="82" t="n">
        <x:v>1621.38</x:v>
      </x:c>
      <x:c r="G96" s="82" t="n">
        <x:f>E96-F96</x:f>
        <x:v>1621.38</x:v>
      </x:c>
      <x:c r="H96" s="58" t="str">
        <x:f>IF(G96&lt;=0,"Paid","Open")</x:f>
        <x:v>Open</x:v>
      </x:c>
      <x:c r="I96" s="58" t="n">
        <x:f>IF(G96&lt;=0,0,MAX(0,TODAY()-D96))</x:f>
        <x:v>78</x:v>
      </x:c>
      <x:c r="J96" s="58" t="str">
        <x:f>IF(I96=0,"Current",IF(I96&lt;=30,"1-30",IF(I96&lt;=60,"31-60",IF(I96&lt;=90,"61-90","90+"))))</x:f>
        <x:v>61-90</x:v>
      </x:c>
      <x:c r="K96" s="58" t="str">
        <x:f>IF(AND(G96&gt;10000,I96&gt;60),"Critical",IF(OR(G96&gt;5000,I96&gt;30),"High",IF(G96&gt;0,"Normal","Closed")))</x:f>
        <x:v>High</x:v>
      </x:c>
      <x:c r="L96" s="59" t="str">
        <x:f>IF(K96="Critical","Call and escalate",IF(K96="High","Send reminder","Monitor"))</x:f>
        <x:v>Send reminder</x:v>
      </x:c>
    </x:row>
    <x:row r="97">
      <x:c r="A97" s="57" t="str">
        <x:v>AR-0096</x:v>
      </x:c>
      <x:c r="B97" s="58" t="str">
        <x:v>Customer 41</x:v>
      </x:c>
      <x:c r="C97" s="78" t="n">
        <x:v>46130</x:v>
      </x:c>
      <x:c r="D97" s="78" t="n">
        <x:v>46145</x:v>
      </x:c>
      <x:c r="E97" s="82" t="n">
        <x:v>29145.11</x:v>
      </x:c>
      <x:c r="F97" s="82" t="n">
        <x:v>29145.11</x:v>
      </x:c>
      <x:c r="G97" s="82" t="n">
        <x:f>E97-F97</x:f>
        <x:v>0</x:v>
      </x:c>
      <x:c r="H97" s="58" t="str">
        <x:f>IF(G97&lt;=0,"Paid","Open")</x:f>
        <x:v>Paid</x:v>
      </x:c>
      <x:c r="I97" s="58" t="n">
        <x:f>IF(G97&lt;=0,0,MAX(0,TODAY()-D97))</x:f>
        <x:v>0</x:v>
      </x:c>
      <x:c r="J97" s="58" t="str">
        <x:f>IF(I97=0,"Current",IF(I97&lt;=30,"1-30",IF(I97&lt;=60,"31-60",IF(I97&lt;=90,"61-90","90+"))))</x:f>
        <x:v>Current</x:v>
      </x:c>
      <x:c r="K97" s="58" t="str">
        <x:f>IF(AND(G97&gt;10000,I97&gt;60),"Critical",IF(OR(G97&gt;5000,I97&gt;30),"High",IF(G97&gt;0,"Normal","Closed")))</x:f>
        <x:v>Closed</x:v>
      </x:c>
      <x:c r="L97" s="59" t="str">
        <x:f>IF(K97="Critical","Call and escalate",IF(K97="High","Send reminder","Monitor"))</x:f>
        <x:v>Monitor</x:v>
      </x:c>
    </x:row>
    <x:row r="98">
      <x:c r="A98" s="57" t="str">
        <x:v>AR-0097</x:v>
      </x:c>
      <x:c r="B98" s="58" t="str">
        <x:v>Customer 17</x:v>
      </x:c>
      <x:c r="C98" s="78" t="n">
        <x:v>46054</x:v>
      </x:c>
      <x:c r="D98" s="78" t="n">
        <x:v>46084</x:v>
      </x:c>
      <x:c r="E98" s="82" t="n">
        <x:v>18859.16</x:v>
      </x:c>
      <x:c r="F98" s="82" t="n">
        <x:v>14144.37</x:v>
      </x:c>
      <x:c r="G98" s="82" t="n">
        <x:f>E98-F98</x:f>
        <x:v>4714.789999999999</x:v>
      </x:c>
      <x:c r="H98" s="58" t="str">
        <x:f>IF(G98&lt;=0,"Paid","Open")</x:f>
        <x:v>Open</x:v>
      </x:c>
      <x:c r="I98" s="58" t="n">
        <x:f>IF(G98&lt;=0,0,MAX(0,TODAY()-D98))</x:f>
        <x:v>118</x:v>
      </x:c>
      <x:c r="J98" s="58" t="str">
        <x:f>IF(I98=0,"Current",IF(I98&lt;=30,"1-30",IF(I98&lt;=60,"31-60",IF(I98&lt;=90,"61-90","90+"))))</x:f>
        <x:v>90+</x:v>
      </x:c>
      <x:c r="K98" s="58" t="str">
        <x:f>IF(AND(G98&gt;10000,I98&gt;60),"Critical",IF(OR(G98&gt;5000,I98&gt;30),"High",IF(G98&gt;0,"Normal","Closed")))</x:f>
        <x:v>High</x:v>
      </x:c>
      <x:c r="L98" s="59" t="str">
        <x:f>IF(K98="Critical","Call and escalate",IF(K98="High","Send reminder","Monitor"))</x:f>
        <x:v>Send reminder</x:v>
      </x:c>
    </x:row>
    <x:row r="99">
      <x:c r="A99" s="57" t="str">
        <x:v>AR-0098</x:v>
      </x:c>
      <x:c r="B99" s="58" t="str">
        <x:v>Customer 15</x:v>
      </x:c>
      <x:c r="C99" s="78" t="n">
        <x:v>46081</x:v>
      </x:c>
      <x:c r="D99" s="78" t="n">
        <x:v>46111</x:v>
      </x:c>
      <x:c r="E99" s="82" t="n">
        <x:v>13687.57</x:v>
      </x:c>
      <x:c r="F99" s="82" t="n">
        <x:v>10265.68</x:v>
      </x:c>
      <x:c r="G99" s="82" t="n">
        <x:f>E99-F99</x:f>
        <x:v>3421.8899999999994</x:v>
      </x:c>
      <x:c r="H99" s="58" t="str">
        <x:f>IF(G99&lt;=0,"Paid","Open")</x:f>
        <x:v>Open</x:v>
      </x:c>
      <x:c r="I99" s="58" t="n">
        <x:f>IF(G99&lt;=0,0,MAX(0,TODAY()-D99))</x:f>
        <x:v>91</x:v>
      </x:c>
      <x:c r="J99" s="58" t="str">
        <x:f>IF(I99=0,"Current",IF(I99&lt;=30,"1-30",IF(I99&lt;=60,"31-60",IF(I99&lt;=90,"61-90","90+"))))</x:f>
        <x:v>90+</x:v>
      </x:c>
      <x:c r="K99" s="58" t="str">
        <x:f>IF(AND(G99&gt;10000,I99&gt;60),"Critical",IF(OR(G99&gt;5000,I99&gt;30),"High",IF(G99&gt;0,"Normal","Closed")))</x:f>
        <x:v>High</x:v>
      </x:c>
      <x:c r="L99" s="59" t="str">
        <x:f>IF(K99="Critical","Call and escalate",IF(K99="High","Send reminder","Monitor"))</x:f>
        <x:v>Send reminder</x:v>
      </x:c>
    </x:row>
    <x:row r="100">
      <x:c r="A100" s="57" t="str">
        <x:v>AR-0099</x:v>
      </x:c>
      <x:c r="B100" s="58" t="str">
        <x:v>Customer 17</x:v>
      </x:c>
      <x:c r="C100" s="78" t="n">
        <x:v>46096</x:v>
      </x:c>
      <x:c r="D100" s="78" t="n">
        <x:v>46141</x:v>
      </x:c>
      <x:c r="E100" s="82" t="n">
        <x:v>22484.47</x:v>
      </x:c>
      <x:c r="F100" s="82" t="n">
        <x:v>0</x:v>
      </x:c>
      <x:c r="G100" s="82" t="n">
        <x:f>E100-F100</x:f>
        <x:v>22484.47</x:v>
      </x:c>
      <x:c r="H100" s="58" t="str">
        <x:f>IF(G100&lt;=0,"Paid","Open")</x:f>
        <x:v>Open</x:v>
      </x:c>
      <x:c r="I100" s="58" t="n">
        <x:f>IF(G100&lt;=0,0,MAX(0,TODAY()-D100))</x:f>
        <x:v>61</x:v>
      </x:c>
      <x:c r="J100" s="58" t="str">
        <x:f>IF(I100=0,"Current",IF(I100&lt;=30,"1-30",IF(I100&lt;=60,"31-60",IF(I100&lt;=90,"61-90","90+"))))</x:f>
        <x:v>61-90</x:v>
      </x:c>
      <x:c r="K100" s="58" t="str">
        <x:f>IF(AND(G100&gt;10000,I100&gt;60),"Critical",IF(OR(G100&gt;5000,I100&gt;30),"High",IF(G100&gt;0,"Normal","Closed")))</x:f>
        <x:v>Critical</x:v>
      </x:c>
      <x:c r="L100" s="59" t="str">
        <x:f>IF(K100="Critical","Call and escalate",IF(K100="High","Send reminder","Monitor"))</x:f>
        <x:v>Call and escalate</x:v>
      </x:c>
    </x:row>
    <x:row r="101">
      <x:c r="A101" s="57" t="str">
        <x:v>AR-0100</x:v>
      </x:c>
      <x:c r="B101" s="58" t="str">
        <x:v>Customer 9</x:v>
      </x:c>
      <x:c r="C101" s="78" t="n">
        <x:v>46103</x:v>
      </x:c>
      <x:c r="D101" s="78" t="n">
        <x:v>46118</x:v>
      </x:c>
      <x:c r="E101" s="82" t="n">
        <x:v>7963.6</x:v>
      </x:c>
      <x:c r="F101" s="82" t="n">
        <x:v>1990.9</x:v>
      </x:c>
      <x:c r="G101" s="82" t="n">
        <x:f>E101-F101</x:f>
        <x:v>5972.700000000001</x:v>
      </x:c>
      <x:c r="H101" s="58" t="str">
        <x:f>IF(G101&lt;=0,"Paid","Open")</x:f>
        <x:v>Open</x:v>
      </x:c>
      <x:c r="I101" s="58" t="n">
        <x:f>IF(G101&lt;=0,0,MAX(0,TODAY()-D101))</x:f>
        <x:v>84</x:v>
      </x:c>
      <x:c r="J101" s="58" t="str">
        <x:f>IF(I101=0,"Current",IF(I101&lt;=30,"1-30",IF(I101&lt;=60,"31-60",IF(I101&lt;=90,"61-90","90+"))))</x:f>
        <x:v>61-90</x:v>
      </x:c>
      <x:c r="K101" s="58" t="str">
        <x:f>IF(AND(G101&gt;10000,I101&gt;60),"Critical",IF(OR(G101&gt;5000,I101&gt;30),"High",IF(G101&gt;0,"Normal","Closed")))</x:f>
        <x:v>High</x:v>
      </x:c>
      <x:c r="L101" s="59" t="str">
        <x:f>IF(K101="Critical","Call and escalate",IF(K101="High","Send reminder","Monitor"))</x:f>
        <x:v>Send reminder</x:v>
      </x:c>
    </x:row>
    <x:row r="102">
      <x:c r="A102" s="57" t="str">
        <x:v>AR-0101</x:v>
      </x:c>
      <x:c r="B102" s="58" t="str">
        <x:v>Customer 19</x:v>
      </x:c>
      <x:c r="C102" s="78" t="n">
        <x:v>46170</x:v>
      </x:c>
      <x:c r="D102" s="78" t="n">
        <x:v>46200</x:v>
      </x:c>
      <x:c r="E102" s="82" t="n">
        <x:v>8495.69</x:v>
      </x:c>
      <x:c r="F102" s="82" t="n">
        <x:v>0</x:v>
      </x:c>
      <x:c r="G102" s="82" t="n">
        <x:f>E102-F102</x:f>
        <x:v>8495.69</x:v>
      </x:c>
      <x:c r="H102" s="58" t="str">
        <x:f>IF(G102&lt;=0,"Paid","Open")</x:f>
        <x:v>Open</x:v>
      </x:c>
      <x:c r="I102" s="58" t="n">
        <x:f>IF(G102&lt;=0,0,MAX(0,TODAY()-D102))</x:f>
        <x:v>2</x:v>
      </x:c>
      <x:c r="J102" s="58" t="str">
        <x:f>IF(I102=0,"Current",IF(I102&lt;=30,"1-30",IF(I102&lt;=60,"31-60",IF(I102&lt;=90,"61-90","90+"))))</x:f>
        <x:v>1-30</x:v>
      </x:c>
      <x:c r="K102" s="58" t="str">
        <x:f>IF(AND(G102&gt;10000,I102&gt;60),"Critical",IF(OR(G102&gt;5000,I102&gt;30),"High",IF(G102&gt;0,"Normal","Closed")))</x:f>
        <x:v>High</x:v>
      </x:c>
      <x:c r="L102" s="59" t="str">
        <x:f>IF(K102="Critical","Call and escalate",IF(K102="High","Send reminder","Monitor"))</x:f>
        <x:v>Send reminder</x:v>
      </x:c>
    </x:row>
    <x:row r="103">
      <x:c r="A103" s="57" t="str">
        <x:v>AR-0102</x:v>
      </x:c>
      <x:c r="B103" s="58" t="str">
        <x:v>Customer 23</x:v>
      </x:c>
      <x:c r="C103" s="78" t="n">
        <x:v>46111</x:v>
      </x:c>
      <x:c r="D103" s="78" t="n">
        <x:v>46156</x:v>
      </x:c>
      <x:c r="E103" s="82" t="n">
        <x:v>20200.18</x:v>
      </x:c>
      <x:c r="F103" s="82" t="n">
        <x:v>0</x:v>
      </x:c>
      <x:c r="G103" s="82" t="n">
        <x:f>E103-F103</x:f>
        <x:v>20200.18</x:v>
      </x:c>
      <x:c r="H103" s="58" t="str">
        <x:f>IF(G103&lt;=0,"Paid","Open")</x:f>
        <x:v>Open</x:v>
      </x:c>
      <x:c r="I103" s="58" t="n">
        <x:f>IF(G103&lt;=0,0,MAX(0,TODAY()-D103))</x:f>
        <x:v>46</x:v>
      </x:c>
      <x:c r="J103" s="58" t="str">
        <x:f>IF(I103=0,"Current",IF(I103&lt;=30,"1-30",IF(I103&lt;=60,"31-60",IF(I103&lt;=90,"61-90","90+"))))</x:f>
        <x:v>31-60</x:v>
      </x:c>
      <x:c r="K103" s="58" t="str">
        <x:f>IF(AND(G103&gt;10000,I103&gt;60),"Critical",IF(OR(G103&gt;5000,I103&gt;30),"High",IF(G103&gt;0,"Normal","Closed")))</x:f>
        <x:v>High</x:v>
      </x:c>
      <x:c r="L103" s="59" t="str">
        <x:f>IF(K103="Critical","Call and escalate",IF(K103="High","Send reminder","Monitor"))</x:f>
        <x:v>Send reminder</x:v>
      </x:c>
    </x:row>
    <x:row r="104">
      <x:c r="A104" s="57" t="str">
        <x:v>AR-0103</x:v>
      </x:c>
      <x:c r="B104" s="58" t="str">
        <x:v>Customer 5</x:v>
      </x:c>
      <x:c r="C104" s="78" t="n">
        <x:v>46141</x:v>
      </x:c>
      <x:c r="D104" s="78" t="n">
        <x:v>46156</x:v>
      </x:c>
      <x:c r="E104" s="82" t="n">
        <x:v>25288.56</x:v>
      </x:c>
      <x:c r="F104" s="82" t="n">
        <x:v>25288.56</x:v>
      </x:c>
      <x:c r="G104" s="82" t="n">
        <x:f>E104-F104</x:f>
        <x:v>0</x:v>
      </x:c>
      <x:c r="H104" s="58" t="str">
        <x:f>IF(G104&lt;=0,"Paid","Open")</x:f>
        <x:v>Paid</x:v>
      </x:c>
      <x:c r="I104" s="58" t="n">
        <x:f>IF(G104&lt;=0,0,MAX(0,TODAY()-D104))</x:f>
        <x:v>0</x:v>
      </x:c>
      <x:c r="J104" s="58" t="str">
        <x:f>IF(I104=0,"Current",IF(I104&lt;=30,"1-30",IF(I104&lt;=60,"31-60",IF(I104&lt;=90,"61-90","90+"))))</x:f>
        <x:v>Current</x:v>
      </x:c>
      <x:c r="K104" s="58" t="str">
        <x:f>IF(AND(G104&gt;10000,I104&gt;60),"Critical",IF(OR(G104&gt;5000,I104&gt;30),"High",IF(G104&gt;0,"Normal","Closed")))</x:f>
        <x:v>Closed</x:v>
      </x:c>
      <x:c r="L104" s="59" t="str">
        <x:f>IF(K104="Critical","Call and escalate",IF(K104="High","Send reminder","Monitor"))</x:f>
        <x:v>Monitor</x:v>
      </x:c>
    </x:row>
    <x:row r="105">
      <x:c r="A105" s="57" t="str">
        <x:v>AR-0104</x:v>
      </x:c>
      <x:c r="B105" s="58" t="str">
        <x:v>Customer 34</x:v>
      </x:c>
      <x:c r="C105" s="78" t="n">
        <x:v>46175</x:v>
      </x:c>
      <x:c r="D105" s="78" t="n">
        <x:v>46190</x:v>
      </x:c>
      <x:c r="E105" s="82" t="n">
        <x:v>17176.88</x:v>
      </x:c>
      <x:c r="F105" s="82" t="n">
        <x:v>12882.66</x:v>
      </x:c>
      <x:c r="G105" s="82" t="n">
        <x:f>E105-F105</x:f>
        <x:v>4294.220000000001</x:v>
      </x:c>
      <x:c r="H105" s="58" t="str">
        <x:f>IF(G105&lt;=0,"Paid","Open")</x:f>
        <x:v>Open</x:v>
      </x:c>
      <x:c r="I105" s="58" t="n">
        <x:f>IF(G105&lt;=0,0,MAX(0,TODAY()-D105))</x:f>
        <x:v>12</x:v>
      </x:c>
      <x:c r="J105" s="58" t="str">
        <x:f>IF(I105=0,"Current",IF(I105&lt;=30,"1-30",IF(I105&lt;=60,"31-60",IF(I105&lt;=90,"61-90","90+"))))</x:f>
        <x:v>1-30</x:v>
      </x:c>
      <x:c r="K105" s="58" t="str">
        <x:f>IF(AND(G105&gt;10000,I105&gt;60),"Critical",IF(OR(G105&gt;5000,I105&gt;30),"High",IF(G105&gt;0,"Normal","Closed")))</x:f>
        <x:v>Normal</x:v>
      </x:c>
      <x:c r="L105" s="59" t="str">
        <x:f>IF(K105="Critical","Call and escalate",IF(K105="High","Send reminder","Monitor"))</x:f>
        <x:v>Monitor</x:v>
      </x:c>
    </x:row>
    <x:row r="106">
      <x:c r="A106" s="57" t="str">
        <x:v>AR-0105</x:v>
      </x:c>
      <x:c r="B106" s="58" t="str">
        <x:v>Customer 2</x:v>
      </x:c>
      <x:c r="C106" s="78" t="n">
        <x:v>46090</x:v>
      </x:c>
      <x:c r="D106" s="78" t="n">
        <x:v>46105</x:v>
      </x:c>
      <x:c r="E106" s="82" t="n">
        <x:v>10213.75</x:v>
      </x:c>
      <x:c r="F106" s="82" t="n">
        <x:v>2553.44</x:v>
      </x:c>
      <x:c r="G106" s="82" t="n">
        <x:f>E106-F106</x:f>
        <x:v>7660.3099999999995</x:v>
      </x:c>
      <x:c r="H106" s="58" t="str">
        <x:f>IF(G106&lt;=0,"Paid","Open")</x:f>
        <x:v>Open</x:v>
      </x:c>
      <x:c r="I106" s="58" t="n">
        <x:f>IF(G106&lt;=0,0,MAX(0,TODAY()-D106))</x:f>
        <x:v>97</x:v>
      </x:c>
      <x:c r="J106" s="58" t="str">
        <x:f>IF(I106=0,"Current",IF(I106&lt;=30,"1-30",IF(I106&lt;=60,"31-60",IF(I106&lt;=90,"61-90","90+"))))</x:f>
        <x:v>90+</x:v>
      </x:c>
      <x:c r="K106" s="58" t="str">
        <x:f>IF(AND(G106&gt;10000,I106&gt;60),"Critical",IF(OR(G106&gt;5000,I106&gt;30),"High",IF(G106&gt;0,"Normal","Closed")))</x:f>
        <x:v>High</x:v>
      </x:c>
      <x:c r="L106" s="59" t="str">
        <x:f>IF(K106="Critical","Call and escalate",IF(K106="High","Send reminder","Monitor"))</x:f>
        <x:v>Send reminder</x:v>
      </x:c>
    </x:row>
    <x:row r="107">
      <x:c r="A107" s="57" t="str">
        <x:v>AR-0106</x:v>
      </x:c>
      <x:c r="B107" s="58" t="str">
        <x:v>Customer 50</x:v>
      </x:c>
      <x:c r="C107" s="78" t="n">
        <x:v>46122</x:v>
      </x:c>
      <x:c r="D107" s="78" t="n">
        <x:v>46167</x:v>
      </x:c>
      <x:c r="E107" s="82" t="n">
        <x:v>19217.44</x:v>
      </x:c>
      <x:c r="F107" s="82" t="n">
        <x:v>0</x:v>
      </x:c>
      <x:c r="G107" s="82" t="n">
        <x:f>E107-F107</x:f>
        <x:v>19217.44</x:v>
      </x:c>
      <x:c r="H107" s="58" t="str">
        <x:f>IF(G107&lt;=0,"Paid","Open")</x:f>
        <x:v>Open</x:v>
      </x:c>
      <x:c r="I107" s="58" t="n">
        <x:f>IF(G107&lt;=0,0,MAX(0,TODAY()-D107))</x:f>
        <x:v>35</x:v>
      </x:c>
      <x:c r="J107" s="58" t="str">
        <x:f>IF(I107=0,"Current",IF(I107&lt;=30,"1-30",IF(I107&lt;=60,"31-60",IF(I107&lt;=90,"61-90","90+"))))</x:f>
        <x:v>31-60</x:v>
      </x:c>
      <x:c r="K107" s="58" t="str">
        <x:f>IF(AND(G107&gt;10000,I107&gt;60),"Critical",IF(OR(G107&gt;5000,I107&gt;30),"High",IF(G107&gt;0,"Normal","Closed")))</x:f>
        <x:v>High</x:v>
      </x:c>
      <x:c r="L107" s="59" t="str">
        <x:f>IF(K107="Critical","Call and escalate",IF(K107="High","Send reminder","Monitor"))</x:f>
        <x:v>Send reminder</x:v>
      </x:c>
    </x:row>
    <x:row r="108">
      <x:c r="A108" s="57" t="str">
        <x:v>AR-0107</x:v>
      </x:c>
      <x:c r="B108" s="58" t="str">
        <x:v>Customer 27</x:v>
      </x:c>
      <x:c r="C108" s="78" t="n">
        <x:v>46125</x:v>
      </x:c>
      <x:c r="D108" s="78" t="n">
        <x:v>46170</x:v>
      </x:c>
      <x:c r="E108" s="82" t="n">
        <x:v>12556.68</x:v>
      </x:c>
      <x:c r="F108" s="82" t="n">
        <x:v>0</x:v>
      </x:c>
      <x:c r="G108" s="82" t="n">
        <x:f>E108-F108</x:f>
        <x:v>12556.68</x:v>
      </x:c>
      <x:c r="H108" s="58" t="str">
        <x:f>IF(G108&lt;=0,"Paid","Open")</x:f>
        <x:v>Open</x:v>
      </x:c>
      <x:c r="I108" s="58" t="n">
        <x:f>IF(G108&lt;=0,0,MAX(0,TODAY()-D108))</x:f>
        <x:v>32</x:v>
      </x:c>
      <x:c r="J108" s="58" t="str">
        <x:f>IF(I108=0,"Current",IF(I108&lt;=30,"1-30",IF(I108&lt;=60,"31-60",IF(I108&lt;=90,"61-90","90+"))))</x:f>
        <x:v>31-60</x:v>
      </x:c>
      <x:c r="K108" s="58" t="str">
        <x:f>IF(AND(G108&gt;10000,I108&gt;60),"Critical",IF(OR(G108&gt;5000,I108&gt;30),"High",IF(G108&gt;0,"Normal","Closed")))</x:f>
        <x:v>High</x:v>
      </x:c>
      <x:c r="L108" s="59" t="str">
        <x:f>IF(K108="Critical","Call and escalate",IF(K108="High","Send reminder","Monitor"))</x:f>
        <x:v>Send reminder</x:v>
      </x:c>
    </x:row>
    <x:row r="109">
      <x:c r="A109" s="57" t="str">
        <x:v>AR-0108</x:v>
      </x:c>
      <x:c r="B109" s="58" t="str">
        <x:v>Customer 3</x:v>
      </x:c>
      <x:c r="C109" s="78" t="n">
        <x:v>46116</x:v>
      </x:c>
      <x:c r="D109" s="78" t="n">
        <x:v>46131</x:v>
      </x:c>
      <x:c r="E109" s="82" t="n">
        <x:v>20509.05</x:v>
      </x:c>
      <x:c r="F109" s="82" t="n">
        <x:v>20509.05</x:v>
      </x:c>
      <x:c r="G109" s="82" t="n">
        <x:f>E109-F109</x:f>
        <x:v>0</x:v>
      </x:c>
      <x:c r="H109" s="58" t="str">
        <x:f>IF(G109&lt;=0,"Paid","Open")</x:f>
        <x:v>Paid</x:v>
      </x:c>
      <x:c r="I109" s="58" t="n">
        <x:f>IF(G109&lt;=0,0,MAX(0,TODAY()-D109))</x:f>
        <x:v>0</x:v>
      </x:c>
      <x:c r="J109" s="58" t="str">
        <x:f>IF(I109=0,"Current",IF(I109&lt;=30,"1-30",IF(I109&lt;=60,"31-60",IF(I109&lt;=90,"61-90","90+"))))</x:f>
        <x:v>Current</x:v>
      </x:c>
      <x:c r="K109" s="58" t="str">
        <x:f>IF(AND(G109&gt;10000,I109&gt;60),"Critical",IF(OR(G109&gt;5000,I109&gt;30),"High",IF(G109&gt;0,"Normal","Closed")))</x:f>
        <x:v>Closed</x:v>
      </x:c>
      <x:c r="L109" s="59" t="str">
        <x:f>IF(K109="Critical","Call and escalate",IF(K109="High","Send reminder","Monitor"))</x:f>
        <x:v>Monitor</x:v>
      </x:c>
    </x:row>
    <x:row r="110">
      <x:c r="A110" s="57" t="str">
        <x:v>AR-0109</x:v>
      </x:c>
      <x:c r="B110" s="58" t="str">
        <x:v>Customer 33</x:v>
      </x:c>
      <x:c r="C110" s="78" t="n">
        <x:v>46067</x:v>
      </x:c>
      <x:c r="D110" s="78" t="n">
        <x:v>46097</x:v>
      </x:c>
      <x:c r="E110" s="82" t="n">
        <x:v>23488.42</x:v>
      </x:c>
      <x:c r="F110" s="82" t="n">
        <x:v>5872.1</x:v>
      </x:c>
      <x:c r="G110" s="82" t="n">
        <x:f>E110-F110</x:f>
        <x:v>17616.32</x:v>
      </x:c>
      <x:c r="H110" s="58" t="str">
        <x:f>IF(G110&lt;=0,"Paid","Open")</x:f>
        <x:v>Open</x:v>
      </x:c>
      <x:c r="I110" s="58" t="n">
        <x:f>IF(G110&lt;=0,0,MAX(0,TODAY()-D110))</x:f>
        <x:v>105</x:v>
      </x:c>
      <x:c r="J110" s="58" t="str">
        <x:f>IF(I110=0,"Current",IF(I110&lt;=30,"1-30",IF(I110&lt;=60,"31-60",IF(I110&lt;=90,"61-90","90+"))))</x:f>
        <x:v>90+</x:v>
      </x:c>
      <x:c r="K110" s="58" t="str">
        <x:f>IF(AND(G110&gt;10000,I110&gt;60),"Critical",IF(OR(G110&gt;5000,I110&gt;30),"High",IF(G110&gt;0,"Normal","Closed")))</x:f>
        <x:v>Critical</x:v>
      </x:c>
      <x:c r="L110" s="59" t="str">
        <x:f>IF(K110="Critical","Call and escalate",IF(K110="High","Send reminder","Monitor"))</x:f>
        <x:v>Call and escalate</x:v>
      </x:c>
    </x:row>
    <x:row r="111">
      <x:c r="A111" s="57" t="str">
        <x:v>AR-0110</x:v>
      </x:c>
      <x:c r="B111" s="58" t="str">
        <x:v>Customer 43</x:v>
      </x:c>
      <x:c r="C111" s="78" t="n">
        <x:v>46100</x:v>
      </x:c>
      <x:c r="D111" s="78" t="n">
        <x:v>46145</x:v>
      </x:c>
      <x:c r="E111" s="82" t="n">
        <x:v>10431.67</x:v>
      </x:c>
      <x:c r="F111" s="82" t="n">
        <x:v>2607.92</x:v>
      </x:c>
      <x:c r="G111" s="82" t="n">
        <x:f>E111-F111</x:f>
        <x:v>7823.75</x:v>
      </x:c>
      <x:c r="H111" s="58" t="str">
        <x:f>IF(G111&lt;=0,"Paid","Open")</x:f>
        <x:v>Open</x:v>
      </x:c>
      <x:c r="I111" s="58" t="n">
        <x:f>IF(G111&lt;=0,0,MAX(0,TODAY()-D111))</x:f>
        <x:v>57</x:v>
      </x:c>
      <x:c r="J111" s="58" t="str">
        <x:f>IF(I111=0,"Current",IF(I111&lt;=30,"1-30",IF(I111&lt;=60,"31-60",IF(I111&lt;=90,"61-90","90+"))))</x:f>
        <x:v>31-60</x:v>
      </x:c>
      <x:c r="K111" s="58" t="str">
        <x:f>IF(AND(G111&gt;10000,I111&gt;60),"Critical",IF(OR(G111&gt;5000,I111&gt;30),"High",IF(G111&gt;0,"Normal","Closed")))</x:f>
        <x:v>High</x:v>
      </x:c>
      <x:c r="L111" s="59" t="str">
        <x:f>IF(K111="Critical","Call and escalate",IF(K111="High","Send reminder","Monitor"))</x:f>
        <x:v>Send reminder</x:v>
      </x:c>
    </x:row>
    <x:row r="112">
      <x:c r="A112" s="57" t="str">
        <x:v>AR-0111</x:v>
      </x:c>
      <x:c r="B112" s="58" t="str">
        <x:v>Customer 18</x:v>
      </x:c>
      <x:c r="C112" s="78" t="n">
        <x:v>46057</x:v>
      </x:c>
      <x:c r="D112" s="78" t="n">
        <x:v>46087</x:v>
      </x:c>
      <x:c r="E112" s="82" t="n">
        <x:v>22171.05</x:v>
      </x:c>
      <x:c r="F112" s="82" t="n">
        <x:v>22171.05</x:v>
      </x:c>
      <x:c r="G112" s="82" t="n">
        <x:f>E112-F112</x:f>
        <x:v>0</x:v>
      </x:c>
      <x:c r="H112" s="58" t="str">
        <x:f>IF(G112&lt;=0,"Paid","Open")</x:f>
        <x:v>Paid</x:v>
      </x:c>
      <x:c r="I112" s="58" t="n">
        <x:f>IF(G112&lt;=0,0,MAX(0,TODAY()-D112))</x:f>
        <x:v>0</x:v>
      </x:c>
      <x:c r="J112" s="58" t="str">
        <x:f>IF(I112=0,"Current",IF(I112&lt;=30,"1-30",IF(I112&lt;=60,"31-60",IF(I112&lt;=90,"61-90","90+"))))</x:f>
        <x:v>Current</x:v>
      </x:c>
      <x:c r="K112" s="58" t="str">
        <x:f>IF(AND(G112&gt;10000,I112&gt;60),"Critical",IF(OR(G112&gt;5000,I112&gt;30),"High",IF(G112&gt;0,"Normal","Closed")))</x:f>
        <x:v>Closed</x:v>
      </x:c>
      <x:c r="L112" s="59" t="str">
        <x:f>IF(K112="Critical","Call and escalate",IF(K112="High","Send reminder","Monitor"))</x:f>
        <x:v>Monitor</x:v>
      </x:c>
    </x:row>
    <x:row r="113">
      <x:c r="A113" s="57" t="str">
        <x:v>AR-0112</x:v>
      </x:c>
      <x:c r="B113" s="58" t="str">
        <x:v>Customer 16</x:v>
      </x:c>
      <x:c r="C113" s="78" t="n">
        <x:v>46153</x:v>
      </x:c>
      <x:c r="D113" s="78" t="n">
        <x:v>46198</x:v>
      </x:c>
      <x:c r="E113" s="82" t="n">
        <x:v>29898.22</x:v>
      </x:c>
      <x:c r="F113" s="82" t="n">
        <x:v>7474.56</x:v>
      </x:c>
      <x:c r="G113" s="82" t="n">
        <x:f>E113-F113</x:f>
        <x:v>22423.66</x:v>
      </x:c>
      <x:c r="H113" s="58" t="str">
        <x:f>IF(G113&lt;=0,"Paid","Open")</x:f>
        <x:v>Open</x:v>
      </x:c>
      <x:c r="I113" s="58" t="n">
        <x:f>IF(G113&lt;=0,0,MAX(0,TODAY()-D113))</x:f>
        <x:v>4</x:v>
      </x:c>
      <x:c r="J113" s="58" t="str">
        <x:f>IF(I113=0,"Current",IF(I113&lt;=30,"1-30",IF(I113&lt;=60,"31-60",IF(I113&lt;=90,"61-90","90+"))))</x:f>
        <x:v>1-30</x:v>
      </x:c>
      <x:c r="K113" s="58" t="str">
        <x:f>IF(AND(G113&gt;10000,I113&gt;60),"Critical",IF(OR(G113&gt;5000,I113&gt;30),"High",IF(G113&gt;0,"Normal","Closed")))</x:f>
        <x:v>High</x:v>
      </x:c>
      <x:c r="L113" s="59" t="str">
        <x:f>IF(K113="Critical","Call and escalate",IF(K113="High","Send reminder","Monitor"))</x:f>
        <x:v>Send reminder</x:v>
      </x:c>
    </x:row>
    <x:row r="114">
      <x:c r="A114" s="57" t="str">
        <x:v>AR-0113</x:v>
      </x:c>
      <x:c r="B114" s="58" t="str">
        <x:v>Customer 27</x:v>
      </x:c>
      <x:c r="C114" s="78" t="n">
        <x:v>46186</x:v>
      </x:c>
      <x:c r="D114" s="78" t="n">
        <x:v>46216</x:v>
      </x:c>
      <x:c r="E114" s="82" t="n">
        <x:v>871.49</x:v>
      </x:c>
      <x:c r="F114" s="82" t="n">
        <x:v>653.62</x:v>
      </x:c>
      <x:c r="G114" s="82" t="n">
        <x:f>E114-F114</x:f>
        <x:v>217.87</x:v>
      </x:c>
      <x:c r="H114" s="58" t="str">
        <x:f>IF(G114&lt;=0,"Paid","Open")</x:f>
        <x:v>Open</x:v>
      </x:c>
      <x:c r="I114" s="58" t="n">
        <x:f>IF(G114&lt;=0,0,MAX(0,TODAY()-D114))</x:f>
        <x:v>0</x:v>
      </x:c>
      <x:c r="J114" s="58" t="str">
        <x:f>IF(I114=0,"Current",IF(I114&lt;=30,"1-30",IF(I114&lt;=60,"31-60",IF(I114&lt;=90,"61-90","90+"))))</x:f>
        <x:v>Current</x:v>
      </x:c>
      <x:c r="K114" s="58" t="str">
        <x:f>IF(AND(G114&gt;10000,I114&gt;60),"Critical",IF(OR(G114&gt;5000,I114&gt;30),"High",IF(G114&gt;0,"Normal","Closed")))</x:f>
        <x:v>Normal</x:v>
      </x:c>
      <x:c r="L114" s="59" t="str">
        <x:f>IF(K114="Critical","Call and escalate",IF(K114="High","Send reminder","Monitor"))</x:f>
        <x:v>Monitor</x:v>
      </x:c>
    </x:row>
    <x:row r="115">
      <x:c r="A115" s="57" t="str">
        <x:v>AR-0114</x:v>
      </x:c>
      <x:c r="B115" s="58" t="str">
        <x:v>Customer 40</x:v>
      </x:c>
      <x:c r="C115" s="78" t="n">
        <x:v>46161</x:v>
      </x:c>
      <x:c r="D115" s="78" t="n">
        <x:v>46176</x:v>
      </x:c>
      <x:c r="E115" s="82" t="n">
        <x:v>21982.08</x:v>
      </x:c>
      <x:c r="F115" s="82" t="n">
        <x:v>0</x:v>
      </x:c>
      <x:c r="G115" s="82" t="n">
        <x:f>E115-F115</x:f>
        <x:v>21982.08</x:v>
      </x:c>
      <x:c r="H115" s="58" t="str">
        <x:f>IF(G115&lt;=0,"Paid","Open")</x:f>
        <x:v>Open</x:v>
      </x:c>
      <x:c r="I115" s="58" t="n">
        <x:f>IF(G115&lt;=0,0,MAX(0,TODAY()-D115))</x:f>
        <x:v>26</x:v>
      </x:c>
      <x:c r="J115" s="58" t="str">
        <x:f>IF(I115=0,"Current",IF(I115&lt;=30,"1-30",IF(I115&lt;=60,"31-60",IF(I115&lt;=90,"61-90","90+"))))</x:f>
        <x:v>1-30</x:v>
      </x:c>
      <x:c r="K115" s="58" t="str">
        <x:f>IF(AND(G115&gt;10000,I115&gt;60),"Critical",IF(OR(G115&gt;5000,I115&gt;30),"High",IF(G115&gt;0,"Normal","Closed")))</x:f>
        <x:v>High</x:v>
      </x:c>
      <x:c r="L115" s="59" t="str">
        <x:f>IF(K115="Critical","Call and escalate",IF(K115="High","Send reminder","Monitor"))</x:f>
        <x:v>Send reminder</x:v>
      </x:c>
    </x:row>
    <x:row r="116">
      <x:c r="A116" s="57" t="str">
        <x:v>AR-0115</x:v>
      </x:c>
      <x:c r="B116" s="58" t="str">
        <x:v>Customer 7</x:v>
      </x:c>
      <x:c r="C116" s="78" t="n">
        <x:v>46195</x:v>
      </x:c>
      <x:c r="D116" s="78" t="n">
        <x:v>46240</x:v>
      </x:c>
      <x:c r="E116" s="82" t="n">
        <x:v>1386.15</x:v>
      </x:c>
      <x:c r="F116" s="82" t="n">
        <x:v>1039.61</x:v>
      </x:c>
      <x:c r="G116" s="82" t="n">
        <x:f>E116-F116</x:f>
        <x:v>346.5400000000002</x:v>
      </x:c>
      <x:c r="H116" s="58" t="str">
        <x:f>IF(G116&lt;=0,"Paid","Open")</x:f>
        <x:v>Open</x:v>
      </x:c>
      <x:c r="I116" s="58" t="n">
        <x:f>IF(G116&lt;=0,0,MAX(0,TODAY()-D116))</x:f>
        <x:v>0</x:v>
      </x:c>
      <x:c r="J116" s="58" t="str">
        <x:f>IF(I116=0,"Current",IF(I116&lt;=30,"1-30",IF(I116&lt;=60,"31-60",IF(I116&lt;=90,"61-90","90+"))))</x:f>
        <x:v>Current</x:v>
      </x:c>
      <x:c r="K116" s="58" t="str">
        <x:f>IF(AND(G116&gt;10000,I116&gt;60),"Critical",IF(OR(G116&gt;5000,I116&gt;30),"High",IF(G116&gt;0,"Normal","Closed")))</x:f>
        <x:v>Normal</x:v>
      </x:c>
      <x:c r="L116" s="59" t="str">
        <x:f>IF(K116="Critical","Call and escalate",IF(K116="High","Send reminder","Monitor"))</x:f>
        <x:v>Monitor</x:v>
      </x:c>
    </x:row>
    <x:row r="117">
      <x:c r="A117" s="57" t="str">
        <x:v>AR-0116</x:v>
      </x:c>
      <x:c r="B117" s="58" t="str">
        <x:v>Customer 28</x:v>
      </x:c>
      <x:c r="C117" s="78" t="n">
        <x:v>46066</x:v>
      </x:c>
      <x:c r="D117" s="78" t="n">
        <x:v>46111</x:v>
      </x:c>
      <x:c r="E117" s="82" t="n">
        <x:v>17977.7</x:v>
      </x:c>
      <x:c r="F117" s="82" t="n">
        <x:v>4494.43</x:v>
      </x:c>
      <x:c r="G117" s="82" t="n">
        <x:f>E117-F117</x:f>
        <x:v>13483.27</x:v>
      </x:c>
      <x:c r="H117" s="58" t="str">
        <x:f>IF(G117&lt;=0,"Paid","Open")</x:f>
        <x:v>Open</x:v>
      </x:c>
      <x:c r="I117" s="58" t="n">
        <x:f>IF(G117&lt;=0,0,MAX(0,TODAY()-D117))</x:f>
        <x:v>91</x:v>
      </x:c>
      <x:c r="J117" s="58" t="str">
        <x:f>IF(I117=0,"Current",IF(I117&lt;=30,"1-30",IF(I117&lt;=60,"31-60",IF(I117&lt;=90,"61-90","90+"))))</x:f>
        <x:v>90+</x:v>
      </x:c>
      <x:c r="K117" s="58" t="str">
        <x:f>IF(AND(G117&gt;10000,I117&gt;60),"Critical",IF(OR(G117&gt;5000,I117&gt;30),"High",IF(G117&gt;0,"Normal","Closed")))</x:f>
        <x:v>Critical</x:v>
      </x:c>
      <x:c r="L117" s="59" t="str">
        <x:f>IF(K117="Critical","Call and escalate",IF(K117="High","Send reminder","Monitor"))</x:f>
        <x:v>Call and escalate</x:v>
      </x:c>
    </x:row>
    <x:row r="118">
      <x:c r="A118" s="57" t="str">
        <x:v>AR-0117</x:v>
      </x:c>
      <x:c r="B118" s="58" t="str">
        <x:v>Customer 43</x:v>
      </x:c>
      <x:c r="C118" s="78" t="n">
        <x:v>46106</x:v>
      </x:c>
      <x:c r="D118" s="78" t="n">
        <x:v>46136</x:v>
      </x:c>
      <x:c r="E118" s="82" t="n">
        <x:v>1673.47</x:v>
      </x:c>
      <x:c r="F118" s="82" t="n">
        <x:v>418.37</x:v>
      </x:c>
      <x:c r="G118" s="82" t="n">
        <x:f>E118-F118</x:f>
        <x:v>1255.1</x:v>
      </x:c>
      <x:c r="H118" s="58" t="str">
        <x:f>IF(G118&lt;=0,"Paid","Open")</x:f>
        <x:v>Open</x:v>
      </x:c>
      <x:c r="I118" s="58" t="n">
        <x:f>IF(G118&lt;=0,0,MAX(0,TODAY()-D118))</x:f>
        <x:v>66</x:v>
      </x:c>
      <x:c r="J118" s="58" t="str">
        <x:f>IF(I118=0,"Current",IF(I118&lt;=30,"1-30",IF(I118&lt;=60,"31-60",IF(I118&lt;=90,"61-90","90+"))))</x:f>
        <x:v>61-90</x:v>
      </x:c>
      <x:c r="K118" s="58" t="str">
        <x:f>IF(AND(G118&gt;10000,I118&gt;60),"Critical",IF(OR(G118&gt;5000,I118&gt;30),"High",IF(G118&gt;0,"Normal","Closed")))</x:f>
        <x:v>High</x:v>
      </x:c>
      <x:c r="L118" s="59" t="str">
        <x:f>IF(K118="Critical","Call and escalate",IF(K118="High","Send reminder","Monitor"))</x:f>
        <x:v>Send reminder</x:v>
      </x:c>
    </x:row>
    <x:row r="119">
      <x:c r="A119" s="57" t="str">
        <x:v>AR-0118</x:v>
      </x:c>
      <x:c r="B119" s="58" t="str">
        <x:v>Customer 35</x:v>
      </x:c>
      <x:c r="C119" s="78" t="n">
        <x:v>46194</x:v>
      </x:c>
      <x:c r="D119" s="78" t="n">
        <x:v>46209</x:v>
      </x:c>
      <x:c r="E119" s="82" t="n">
        <x:v>15002.71</x:v>
      </x:c>
      <x:c r="F119" s="82" t="n">
        <x:v>0</x:v>
      </x:c>
      <x:c r="G119" s="82" t="n">
        <x:f>E119-F119</x:f>
        <x:v>15002.71</x:v>
      </x:c>
      <x:c r="H119" s="58" t="str">
        <x:f>IF(G119&lt;=0,"Paid","Open")</x:f>
        <x:v>Open</x:v>
      </x:c>
      <x:c r="I119" s="58" t="n">
        <x:f>IF(G119&lt;=0,0,MAX(0,TODAY()-D119))</x:f>
        <x:v>0</x:v>
      </x:c>
      <x:c r="J119" s="58" t="str">
        <x:f>IF(I119=0,"Current",IF(I119&lt;=30,"1-30",IF(I119&lt;=60,"31-60",IF(I119&lt;=90,"61-90","90+"))))</x:f>
        <x:v>Current</x:v>
      </x:c>
      <x:c r="K119" s="58" t="str">
        <x:f>IF(AND(G119&gt;10000,I119&gt;60),"Critical",IF(OR(G119&gt;5000,I119&gt;30),"High",IF(G119&gt;0,"Normal","Closed")))</x:f>
        <x:v>High</x:v>
      </x:c>
      <x:c r="L119" s="59" t="str">
        <x:f>IF(K119="Critical","Call and escalate",IF(K119="High","Send reminder","Monitor"))</x:f>
        <x:v>Send reminder</x:v>
      </x:c>
    </x:row>
    <x:row r="120">
      <x:c r="A120" s="57" t="str">
        <x:v>AR-0119</x:v>
      </x:c>
      <x:c r="B120" s="58" t="str">
        <x:v>Customer 21</x:v>
      </x:c>
      <x:c r="C120" s="78" t="n">
        <x:v>46196</x:v>
      </x:c>
      <x:c r="D120" s="78" t="n">
        <x:v>46211</x:v>
      </x:c>
      <x:c r="E120" s="82" t="n">
        <x:v>18338.47</x:v>
      </x:c>
      <x:c r="F120" s="82" t="n">
        <x:v>0</x:v>
      </x:c>
      <x:c r="G120" s="82" t="n">
        <x:f>E120-F120</x:f>
        <x:v>18338.47</x:v>
      </x:c>
      <x:c r="H120" s="58" t="str">
        <x:f>IF(G120&lt;=0,"Paid","Open")</x:f>
        <x:v>Open</x:v>
      </x:c>
      <x:c r="I120" s="58" t="n">
        <x:f>IF(G120&lt;=0,0,MAX(0,TODAY()-D120))</x:f>
        <x:v>0</x:v>
      </x:c>
      <x:c r="J120" s="58" t="str">
        <x:f>IF(I120=0,"Current",IF(I120&lt;=30,"1-30",IF(I120&lt;=60,"31-60",IF(I120&lt;=90,"61-90","90+"))))</x:f>
        <x:v>Current</x:v>
      </x:c>
      <x:c r="K120" s="58" t="str">
        <x:f>IF(AND(G120&gt;10000,I120&gt;60),"Critical",IF(OR(G120&gt;5000,I120&gt;30),"High",IF(G120&gt;0,"Normal","Closed")))</x:f>
        <x:v>High</x:v>
      </x:c>
      <x:c r="L120" s="59" t="str">
        <x:f>IF(K120="Critical","Call and escalate",IF(K120="High","Send reminder","Monitor"))</x:f>
        <x:v>Send reminder</x:v>
      </x:c>
    </x:row>
    <x:row r="121">
      <x:c r="A121" s="57" t="str">
        <x:v>AR-0120</x:v>
      </x:c>
      <x:c r="B121" s="58" t="str">
        <x:v>Customer 35</x:v>
      </x:c>
      <x:c r="C121" s="78" t="n">
        <x:v>46138</x:v>
      </x:c>
      <x:c r="D121" s="78" t="n">
        <x:v>46183</x:v>
      </x:c>
      <x:c r="E121" s="82" t="n">
        <x:v>23266.09</x:v>
      </x:c>
      <x:c r="F121" s="82" t="n">
        <x:v>11633.05</x:v>
      </x:c>
      <x:c r="G121" s="82" t="n">
        <x:f>E121-F121</x:f>
        <x:v>11633.04</x:v>
      </x:c>
      <x:c r="H121" s="58" t="str">
        <x:f>IF(G121&lt;=0,"Paid","Open")</x:f>
        <x:v>Open</x:v>
      </x:c>
      <x:c r="I121" s="58" t="n">
        <x:f>IF(G121&lt;=0,0,MAX(0,TODAY()-D121))</x:f>
        <x:v>19</x:v>
      </x:c>
      <x:c r="J121" s="58" t="str">
        <x:f>IF(I121=0,"Current",IF(I121&lt;=30,"1-30",IF(I121&lt;=60,"31-60",IF(I121&lt;=90,"61-90","90+"))))</x:f>
        <x:v>1-30</x:v>
      </x:c>
      <x:c r="K121" s="58" t="str">
        <x:f>IF(AND(G121&gt;10000,I121&gt;60),"Critical",IF(OR(G121&gt;5000,I121&gt;30),"High",IF(G121&gt;0,"Normal","Closed")))</x:f>
        <x:v>High</x:v>
      </x:c>
      <x:c r="L121" s="59" t="str">
        <x:f>IF(K121="Critical","Call and escalate",IF(K121="High","Send reminder","Monitor"))</x:f>
        <x:v>Send reminder</x:v>
      </x:c>
    </x:row>
    <x:row r="122">
      <x:c r="A122" s="57" t="str">
        <x:v>AR-0121</x:v>
      </x:c>
      <x:c r="B122" s="58" t="str">
        <x:v>Customer 50</x:v>
      </x:c>
      <x:c r="C122" s="78" t="n">
        <x:v>46079</x:v>
      </x:c>
      <x:c r="D122" s="78" t="n">
        <x:v>46109</x:v>
      </x:c>
      <x:c r="E122" s="82" t="n">
        <x:v>8738.59</x:v>
      </x:c>
      <x:c r="F122" s="82" t="n">
        <x:v>8738.59</x:v>
      </x:c>
      <x:c r="G122" s="82" t="n">
        <x:f>E122-F122</x:f>
        <x:v>0</x:v>
      </x:c>
      <x:c r="H122" s="58" t="str">
        <x:f>IF(G122&lt;=0,"Paid","Open")</x:f>
        <x:v>Paid</x:v>
      </x:c>
      <x:c r="I122" s="58" t="n">
        <x:f>IF(G122&lt;=0,0,MAX(0,TODAY()-D122))</x:f>
        <x:v>0</x:v>
      </x:c>
      <x:c r="J122" s="58" t="str">
        <x:f>IF(I122=0,"Current",IF(I122&lt;=30,"1-30",IF(I122&lt;=60,"31-60",IF(I122&lt;=90,"61-90","90+"))))</x:f>
        <x:v>Current</x:v>
      </x:c>
      <x:c r="K122" s="58" t="str">
        <x:f>IF(AND(G122&gt;10000,I122&gt;60),"Critical",IF(OR(G122&gt;5000,I122&gt;30),"High",IF(G122&gt;0,"Normal","Closed")))</x:f>
        <x:v>Closed</x:v>
      </x:c>
      <x:c r="L122" s="59" t="str">
        <x:f>IF(K122="Critical","Call and escalate",IF(K122="High","Send reminder","Monitor"))</x:f>
        <x:v>Monitor</x:v>
      </x:c>
    </x:row>
    <x:row r="123">
      <x:c r="A123" s="57" t="str">
        <x:v>AR-0122</x:v>
      </x:c>
      <x:c r="B123" s="58" t="str">
        <x:v>Customer 3</x:v>
      </x:c>
      <x:c r="C123" s="78" t="n">
        <x:v>46123</x:v>
      </x:c>
      <x:c r="D123" s="78" t="n">
        <x:v>46168</x:v>
      </x:c>
      <x:c r="E123" s="82" t="n">
        <x:v>18768</x:v>
      </x:c>
      <x:c r="F123" s="82" t="n">
        <x:v>14076</x:v>
      </x:c>
      <x:c r="G123" s="82" t="n">
        <x:f>E123-F123</x:f>
        <x:v>4692</x:v>
      </x:c>
      <x:c r="H123" s="58" t="str">
        <x:f>IF(G123&lt;=0,"Paid","Open")</x:f>
        <x:v>Open</x:v>
      </x:c>
      <x:c r="I123" s="58" t="n">
        <x:f>IF(G123&lt;=0,0,MAX(0,TODAY()-D123))</x:f>
        <x:v>34</x:v>
      </x:c>
      <x:c r="J123" s="58" t="str">
        <x:f>IF(I123=0,"Current",IF(I123&lt;=30,"1-30",IF(I123&lt;=60,"31-60",IF(I123&lt;=90,"61-90","90+"))))</x:f>
        <x:v>31-60</x:v>
      </x:c>
      <x:c r="K123" s="58" t="str">
        <x:f>IF(AND(G123&gt;10000,I123&gt;60),"Critical",IF(OR(G123&gt;5000,I123&gt;30),"High",IF(G123&gt;0,"Normal","Closed")))</x:f>
        <x:v>High</x:v>
      </x:c>
      <x:c r="L123" s="59" t="str">
        <x:f>IF(K123="Critical","Call and escalate",IF(K123="High","Send reminder","Monitor"))</x:f>
        <x:v>Send reminder</x:v>
      </x:c>
    </x:row>
    <x:row r="124">
      <x:c r="A124" s="57" t="str">
        <x:v>AR-0123</x:v>
      </x:c>
      <x:c r="B124" s="58" t="str">
        <x:v>Customer 24</x:v>
      </x:c>
      <x:c r="C124" s="78" t="n">
        <x:v>46164</x:v>
      </x:c>
      <x:c r="D124" s="78" t="n">
        <x:v>46209</x:v>
      </x:c>
      <x:c r="E124" s="82" t="n">
        <x:v>14314.48</x:v>
      </x:c>
      <x:c r="F124" s="82" t="n">
        <x:v>7157.24</x:v>
      </x:c>
      <x:c r="G124" s="82" t="n">
        <x:f>E124-F124</x:f>
        <x:v>7157.24</x:v>
      </x:c>
      <x:c r="H124" s="58" t="str">
        <x:f>IF(G124&lt;=0,"Paid","Open")</x:f>
        <x:v>Open</x:v>
      </x:c>
      <x:c r="I124" s="58" t="n">
        <x:f>IF(G124&lt;=0,0,MAX(0,TODAY()-D124))</x:f>
        <x:v>0</x:v>
      </x:c>
      <x:c r="J124" s="58" t="str">
        <x:f>IF(I124=0,"Current",IF(I124&lt;=30,"1-30",IF(I124&lt;=60,"31-60",IF(I124&lt;=90,"61-90","90+"))))</x:f>
        <x:v>Current</x:v>
      </x:c>
      <x:c r="K124" s="58" t="str">
        <x:f>IF(AND(G124&gt;10000,I124&gt;60),"Critical",IF(OR(G124&gt;5000,I124&gt;30),"High",IF(G124&gt;0,"Normal","Closed")))</x:f>
        <x:v>High</x:v>
      </x:c>
      <x:c r="L124" s="59" t="str">
        <x:f>IF(K124="Critical","Call and escalate",IF(K124="High","Send reminder","Monitor"))</x:f>
        <x:v>Send reminder</x:v>
      </x:c>
    </x:row>
    <x:row r="125">
      <x:c r="A125" s="57" t="str">
        <x:v>AR-0124</x:v>
      </x:c>
      <x:c r="B125" s="58" t="str">
        <x:v>Customer 30</x:v>
      </x:c>
      <x:c r="C125" s="78" t="n">
        <x:v>46120</x:v>
      </x:c>
      <x:c r="D125" s="78" t="n">
        <x:v>46165</x:v>
      </x:c>
      <x:c r="E125" s="82" t="n">
        <x:v>9056.71</x:v>
      </x:c>
      <x:c r="F125" s="82" t="n">
        <x:v>0</x:v>
      </x:c>
      <x:c r="G125" s="82" t="n">
        <x:f>E125-F125</x:f>
        <x:v>9056.71</x:v>
      </x:c>
      <x:c r="H125" s="58" t="str">
        <x:f>IF(G125&lt;=0,"Paid","Open")</x:f>
        <x:v>Open</x:v>
      </x:c>
      <x:c r="I125" s="58" t="n">
        <x:f>IF(G125&lt;=0,0,MAX(0,TODAY()-D125))</x:f>
        <x:v>37</x:v>
      </x:c>
      <x:c r="J125" s="58" t="str">
        <x:f>IF(I125=0,"Current",IF(I125&lt;=30,"1-30",IF(I125&lt;=60,"31-60",IF(I125&lt;=90,"61-90","90+"))))</x:f>
        <x:v>31-60</x:v>
      </x:c>
      <x:c r="K125" s="58" t="str">
        <x:f>IF(AND(G125&gt;10000,I125&gt;60),"Critical",IF(OR(G125&gt;5000,I125&gt;30),"High",IF(G125&gt;0,"Normal","Closed")))</x:f>
        <x:v>High</x:v>
      </x:c>
      <x:c r="L125" s="59" t="str">
        <x:f>IF(K125="Critical","Call and escalate",IF(K125="High","Send reminder","Monitor"))</x:f>
        <x:v>Send reminder</x:v>
      </x:c>
    </x:row>
    <x:row r="126">
      <x:c r="A126" s="57" t="str">
        <x:v>AR-0125</x:v>
      </x:c>
      <x:c r="B126" s="58" t="str">
        <x:v>Customer 24</x:v>
      </x:c>
      <x:c r="C126" s="78" t="n">
        <x:v>46195</x:v>
      </x:c>
      <x:c r="D126" s="78" t="n">
        <x:v>46225</x:v>
      </x:c>
      <x:c r="E126" s="82" t="n">
        <x:v>6271.96</x:v>
      </x:c>
      <x:c r="F126" s="82" t="n">
        <x:v>0</x:v>
      </x:c>
      <x:c r="G126" s="82" t="n">
        <x:f>E126-F126</x:f>
        <x:v>6271.96</x:v>
      </x:c>
      <x:c r="H126" s="58" t="str">
        <x:f>IF(G126&lt;=0,"Paid","Open")</x:f>
        <x:v>Open</x:v>
      </x:c>
      <x:c r="I126" s="58" t="n">
        <x:f>IF(G126&lt;=0,0,MAX(0,TODAY()-D126))</x:f>
        <x:v>0</x:v>
      </x:c>
      <x:c r="J126" s="58" t="str">
        <x:f>IF(I126=0,"Current",IF(I126&lt;=30,"1-30",IF(I126&lt;=60,"31-60",IF(I126&lt;=90,"61-90","90+"))))</x:f>
        <x:v>Current</x:v>
      </x:c>
      <x:c r="K126" s="58" t="str">
        <x:f>IF(AND(G126&gt;10000,I126&gt;60),"Critical",IF(OR(G126&gt;5000,I126&gt;30),"High",IF(G126&gt;0,"Normal","Closed")))</x:f>
        <x:v>High</x:v>
      </x:c>
      <x:c r="L126" s="59" t="str">
        <x:f>IF(K126="Critical","Call and escalate",IF(K126="High","Send reminder","Monitor"))</x:f>
        <x:v>Send reminder</x:v>
      </x:c>
    </x:row>
    <x:row r="127">
      <x:c r="A127" s="57" t="str">
        <x:v>AR-0126</x:v>
      </x:c>
      <x:c r="B127" s="58" t="str">
        <x:v>Customer 29</x:v>
      </x:c>
      <x:c r="C127" s="78" t="n">
        <x:v>46166</x:v>
      </x:c>
      <x:c r="D127" s="78" t="n">
        <x:v>46211</x:v>
      </x:c>
      <x:c r="E127" s="82" t="n">
        <x:v>18339.91</x:v>
      </x:c>
      <x:c r="F127" s="82" t="n">
        <x:v>9169.95</x:v>
      </x:c>
      <x:c r="G127" s="82" t="n">
        <x:f>E127-F127</x:f>
        <x:v>9169.96</x:v>
      </x:c>
      <x:c r="H127" s="58" t="str">
        <x:f>IF(G127&lt;=0,"Paid","Open")</x:f>
        <x:v>Open</x:v>
      </x:c>
      <x:c r="I127" s="58" t="n">
        <x:f>IF(G127&lt;=0,0,MAX(0,TODAY()-D127))</x:f>
        <x:v>0</x:v>
      </x:c>
      <x:c r="J127" s="58" t="str">
        <x:f>IF(I127=0,"Current",IF(I127&lt;=30,"1-30",IF(I127&lt;=60,"31-60",IF(I127&lt;=90,"61-90","90+"))))</x:f>
        <x:v>Current</x:v>
      </x:c>
      <x:c r="K127" s="58" t="str">
        <x:f>IF(AND(G127&gt;10000,I127&gt;60),"Critical",IF(OR(G127&gt;5000,I127&gt;30),"High",IF(G127&gt;0,"Normal","Closed")))</x:f>
        <x:v>High</x:v>
      </x:c>
      <x:c r="L127" s="59" t="str">
        <x:f>IF(K127="Critical","Call and escalate",IF(K127="High","Send reminder","Monitor"))</x:f>
        <x:v>Send reminder</x:v>
      </x:c>
    </x:row>
    <x:row r="128">
      <x:c r="A128" s="57" t="str">
        <x:v>AR-0127</x:v>
      </x:c>
      <x:c r="B128" s="58" t="str">
        <x:v>Customer 47</x:v>
      </x:c>
      <x:c r="C128" s="78" t="n">
        <x:v>46062</x:v>
      </x:c>
      <x:c r="D128" s="78" t="n">
        <x:v>46092</x:v>
      </x:c>
      <x:c r="E128" s="82" t="n">
        <x:v>9724.89</x:v>
      </x:c>
      <x:c r="F128" s="82" t="n">
        <x:v>9724.89</x:v>
      </x:c>
      <x:c r="G128" s="82" t="n">
        <x:f>E128-F128</x:f>
        <x:v>0</x:v>
      </x:c>
      <x:c r="H128" s="58" t="str">
        <x:f>IF(G128&lt;=0,"Paid","Open")</x:f>
        <x:v>Paid</x:v>
      </x:c>
      <x:c r="I128" s="58" t="n">
        <x:f>IF(G128&lt;=0,0,MAX(0,TODAY()-D128))</x:f>
        <x:v>0</x:v>
      </x:c>
      <x:c r="J128" s="58" t="str">
        <x:f>IF(I128=0,"Current",IF(I128&lt;=30,"1-30",IF(I128&lt;=60,"31-60",IF(I128&lt;=90,"61-90","90+"))))</x:f>
        <x:v>Current</x:v>
      </x:c>
      <x:c r="K128" s="58" t="str">
        <x:f>IF(AND(G128&gt;10000,I128&gt;60),"Critical",IF(OR(G128&gt;5000,I128&gt;30),"High",IF(G128&gt;0,"Normal","Closed")))</x:f>
        <x:v>Closed</x:v>
      </x:c>
      <x:c r="L128" s="59" t="str">
        <x:f>IF(K128="Critical","Call and escalate",IF(K128="High","Send reminder","Monitor"))</x:f>
        <x:v>Monitor</x:v>
      </x:c>
    </x:row>
    <x:row r="129">
      <x:c r="A129" s="57" t="str">
        <x:v>AR-0128</x:v>
      </x:c>
      <x:c r="B129" s="58" t="str">
        <x:v>Customer 36</x:v>
      </x:c>
      <x:c r="C129" s="78" t="n">
        <x:v>46135</x:v>
      </x:c>
      <x:c r="D129" s="78" t="n">
        <x:v>46150</x:v>
      </x:c>
      <x:c r="E129" s="82" t="n">
        <x:v>3468.43</x:v>
      </x:c>
      <x:c r="F129" s="82" t="n">
        <x:v>0</x:v>
      </x:c>
      <x:c r="G129" s="82" t="n">
        <x:f>E129-F129</x:f>
        <x:v>3468.43</x:v>
      </x:c>
      <x:c r="H129" s="58" t="str">
        <x:f>IF(G129&lt;=0,"Paid","Open")</x:f>
        <x:v>Open</x:v>
      </x:c>
      <x:c r="I129" s="58" t="n">
        <x:f>IF(G129&lt;=0,0,MAX(0,TODAY()-D129))</x:f>
        <x:v>52</x:v>
      </x:c>
      <x:c r="J129" s="58" t="str">
        <x:f>IF(I129=0,"Current",IF(I129&lt;=30,"1-30",IF(I129&lt;=60,"31-60",IF(I129&lt;=90,"61-90","90+"))))</x:f>
        <x:v>31-60</x:v>
      </x:c>
      <x:c r="K129" s="58" t="str">
        <x:f>IF(AND(G129&gt;10000,I129&gt;60),"Critical",IF(OR(G129&gt;5000,I129&gt;30),"High",IF(G129&gt;0,"Normal","Closed")))</x:f>
        <x:v>High</x:v>
      </x:c>
      <x:c r="L129" s="59" t="str">
        <x:f>IF(K129="Critical","Call and escalate",IF(K129="High","Send reminder","Monitor"))</x:f>
        <x:v>Send reminder</x:v>
      </x:c>
    </x:row>
    <x:row r="130">
      <x:c r="A130" s="57" t="str">
        <x:v>AR-0129</x:v>
      </x:c>
      <x:c r="B130" s="58" t="str">
        <x:v>Customer 50</x:v>
      </x:c>
      <x:c r="C130" s="78" t="n">
        <x:v>46140</x:v>
      </x:c>
      <x:c r="D130" s="78" t="n">
        <x:v>46185</x:v>
      </x:c>
      <x:c r="E130" s="82" t="n">
        <x:v>7902.21</x:v>
      </x:c>
      <x:c r="F130" s="82" t="n">
        <x:v>1975.55</x:v>
      </x:c>
      <x:c r="G130" s="82" t="n">
        <x:f>E130-F130</x:f>
        <x:v>5926.66</x:v>
      </x:c>
      <x:c r="H130" s="58" t="str">
        <x:f>IF(G130&lt;=0,"Paid","Open")</x:f>
        <x:v>Open</x:v>
      </x:c>
      <x:c r="I130" s="58" t="n">
        <x:f>IF(G130&lt;=0,0,MAX(0,TODAY()-D130))</x:f>
        <x:v>17</x:v>
      </x:c>
      <x:c r="J130" s="58" t="str">
        <x:f>IF(I130=0,"Current",IF(I130&lt;=30,"1-30",IF(I130&lt;=60,"31-60",IF(I130&lt;=90,"61-90","90+"))))</x:f>
        <x:v>1-30</x:v>
      </x:c>
      <x:c r="K130" s="58" t="str">
        <x:f>IF(AND(G130&gt;10000,I130&gt;60),"Critical",IF(OR(G130&gt;5000,I130&gt;30),"High",IF(G130&gt;0,"Normal","Closed")))</x:f>
        <x:v>High</x:v>
      </x:c>
      <x:c r="L130" s="59" t="str">
        <x:f>IF(K130="Critical","Call and escalate",IF(K130="High","Send reminder","Monitor"))</x:f>
        <x:v>Send reminder</x:v>
      </x:c>
    </x:row>
    <x:row r="131">
      <x:c r="A131" s="57" t="str">
        <x:v>AR-0130</x:v>
      </x:c>
      <x:c r="B131" s="58" t="str">
        <x:v>Customer 30</x:v>
      </x:c>
      <x:c r="C131" s="78" t="n">
        <x:v>46176</x:v>
      </x:c>
      <x:c r="D131" s="78" t="n">
        <x:v>46221</x:v>
      </x:c>
      <x:c r="E131" s="82" t="n">
        <x:v>15686.02</x:v>
      </x:c>
      <x:c r="F131" s="82" t="n">
        <x:v>11764.51</x:v>
      </x:c>
      <x:c r="G131" s="82" t="n">
        <x:f>E131-F131</x:f>
        <x:v>3921.51</x:v>
      </x:c>
      <x:c r="H131" s="58" t="str">
        <x:f>IF(G131&lt;=0,"Paid","Open")</x:f>
        <x:v>Open</x:v>
      </x:c>
      <x:c r="I131" s="58" t="n">
        <x:f>IF(G131&lt;=0,0,MAX(0,TODAY()-D131))</x:f>
        <x:v>0</x:v>
      </x:c>
      <x:c r="J131" s="58" t="str">
        <x:f>IF(I131=0,"Current",IF(I131&lt;=30,"1-30",IF(I131&lt;=60,"31-60",IF(I131&lt;=90,"61-90","90+"))))</x:f>
        <x:v>Current</x:v>
      </x:c>
      <x:c r="K131" s="58" t="str">
        <x:f>IF(AND(G131&gt;10000,I131&gt;60),"Critical",IF(OR(G131&gt;5000,I131&gt;30),"High",IF(G131&gt;0,"Normal","Closed")))</x:f>
        <x:v>Normal</x:v>
      </x:c>
      <x:c r="L131" s="59" t="str">
        <x:f>IF(K131="Critical","Call and escalate",IF(K131="High","Send reminder","Monitor"))</x:f>
        <x:v>Monitor</x:v>
      </x:c>
    </x:row>
    <x:row r="132">
      <x:c r="A132" s="57" t="str">
        <x:v>AR-0131</x:v>
      </x:c>
      <x:c r="B132" s="58" t="str">
        <x:v>Customer 30</x:v>
      </x:c>
      <x:c r="C132" s="78" t="n">
        <x:v>46160</x:v>
      </x:c>
      <x:c r="D132" s="78" t="n">
        <x:v>46190</x:v>
      </x:c>
      <x:c r="E132" s="82" t="n">
        <x:v>13324.89</x:v>
      </x:c>
      <x:c r="F132" s="82" t="n">
        <x:v>0</x:v>
      </x:c>
      <x:c r="G132" s="82" t="n">
        <x:f>E132-F132</x:f>
        <x:v>13324.89</x:v>
      </x:c>
      <x:c r="H132" s="58" t="str">
        <x:f>IF(G132&lt;=0,"Paid","Open")</x:f>
        <x:v>Open</x:v>
      </x:c>
      <x:c r="I132" s="58" t="n">
        <x:f>IF(G132&lt;=0,0,MAX(0,TODAY()-D132))</x:f>
        <x:v>12</x:v>
      </x:c>
      <x:c r="J132" s="58" t="str">
        <x:f>IF(I132=0,"Current",IF(I132&lt;=30,"1-30",IF(I132&lt;=60,"31-60",IF(I132&lt;=90,"61-90","90+"))))</x:f>
        <x:v>1-30</x:v>
      </x:c>
      <x:c r="K132" s="58" t="str">
        <x:f>IF(AND(G132&gt;10000,I132&gt;60),"Critical",IF(OR(G132&gt;5000,I132&gt;30),"High",IF(G132&gt;0,"Normal","Closed")))</x:f>
        <x:v>High</x:v>
      </x:c>
      <x:c r="L132" s="59" t="str">
        <x:f>IF(K132="Critical","Call and escalate",IF(K132="High","Send reminder","Monitor"))</x:f>
        <x:v>Send reminder</x:v>
      </x:c>
    </x:row>
    <x:row r="133">
      <x:c r="A133" s="57" t="str">
        <x:v>AR-0132</x:v>
      </x:c>
      <x:c r="B133" s="58" t="str">
        <x:v>Customer 8</x:v>
      </x:c>
      <x:c r="C133" s="78" t="n">
        <x:v>46148</x:v>
      </x:c>
      <x:c r="D133" s="78" t="n">
        <x:v>46193</x:v>
      </x:c>
      <x:c r="E133" s="82" t="n">
        <x:v>20674.45</x:v>
      </x:c>
      <x:c r="F133" s="82" t="n">
        <x:v>15505.84</x:v>
      </x:c>
      <x:c r="G133" s="82" t="n">
        <x:f>E133-F133</x:f>
        <x:v>5168.610000000001</x:v>
      </x:c>
      <x:c r="H133" s="58" t="str">
        <x:f>IF(G133&lt;=0,"Paid","Open")</x:f>
        <x:v>Open</x:v>
      </x:c>
      <x:c r="I133" s="58" t="n">
        <x:f>IF(G133&lt;=0,0,MAX(0,TODAY()-D133))</x:f>
        <x:v>9</x:v>
      </x:c>
      <x:c r="J133" s="58" t="str">
        <x:f>IF(I133=0,"Current",IF(I133&lt;=30,"1-30",IF(I133&lt;=60,"31-60",IF(I133&lt;=90,"61-90","90+"))))</x:f>
        <x:v>1-30</x:v>
      </x:c>
      <x:c r="K133" s="58" t="str">
        <x:f>IF(AND(G133&gt;10000,I133&gt;60),"Critical",IF(OR(G133&gt;5000,I133&gt;30),"High",IF(G133&gt;0,"Normal","Closed")))</x:f>
        <x:v>High</x:v>
      </x:c>
      <x:c r="L133" s="59" t="str">
        <x:f>IF(K133="Critical","Call and escalate",IF(K133="High","Send reminder","Monitor"))</x:f>
        <x:v>Send reminder</x:v>
      </x:c>
    </x:row>
    <x:row r="134">
      <x:c r="A134" s="57" t="str">
        <x:v>AR-0133</x:v>
      </x:c>
      <x:c r="B134" s="58" t="str">
        <x:v>Customer 32</x:v>
      </x:c>
      <x:c r="C134" s="78" t="n">
        <x:v>46180</x:v>
      </x:c>
      <x:c r="D134" s="78" t="n">
        <x:v>46225</x:v>
      </x:c>
      <x:c r="E134" s="82" t="n">
        <x:v>1513.5</x:v>
      </x:c>
      <x:c r="F134" s="82" t="n">
        <x:v>756.75</x:v>
      </x:c>
      <x:c r="G134" s="82" t="n">
        <x:f>E134-F134</x:f>
        <x:v>756.75</x:v>
      </x:c>
      <x:c r="H134" s="58" t="str">
        <x:f>IF(G134&lt;=0,"Paid","Open")</x:f>
        <x:v>Open</x:v>
      </x:c>
      <x:c r="I134" s="58" t="n">
        <x:f>IF(G134&lt;=0,0,MAX(0,TODAY()-D134))</x:f>
        <x:v>0</x:v>
      </x:c>
      <x:c r="J134" s="58" t="str">
        <x:f>IF(I134=0,"Current",IF(I134&lt;=30,"1-30",IF(I134&lt;=60,"31-60",IF(I134&lt;=90,"61-90","90+"))))</x:f>
        <x:v>Current</x:v>
      </x:c>
      <x:c r="K134" s="58" t="str">
        <x:f>IF(AND(G134&gt;10000,I134&gt;60),"Critical",IF(OR(G134&gt;5000,I134&gt;30),"High",IF(G134&gt;0,"Normal","Closed")))</x:f>
        <x:v>Normal</x:v>
      </x:c>
      <x:c r="L134" s="59" t="str">
        <x:f>IF(K134="Critical","Call and escalate",IF(K134="High","Send reminder","Monitor"))</x:f>
        <x:v>Monitor</x:v>
      </x:c>
    </x:row>
    <x:row r="135">
      <x:c r="A135" s="57" t="str">
        <x:v>AR-0134</x:v>
      </x:c>
      <x:c r="B135" s="58" t="str">
        <x:v>Customer 42</x:v>
      </x:c>
      <x:c r="C135" s="78" t="n">
        <x:v>46095</x:v>
      </x:c>
      <x:c r="D135" s="78" t="n">
        <x:v>46125</x:v>
      </x:c>
      <x:c r="E135" s="82" t="n">
        <x:v>5427.28</x:v>
      </x:c>
      <x:c r="F135" s="82" t="n">
        <x:v>5427.28</x:v>
      </x:c>
      <x:c r="G135" s="82" t="n">
        <x:f>E135-F135</x:f>
        <x:v>0</x:v>
      </x:c>
      <x:c r="H135" s="58" t="str">
        <x:f>IF(G135&lt;=0,"Paid","Open")</x:f>
        <x:v>Paid</x:v>
      </x:c>
      <x:c r="I135" s="58" t="n">
        <x:f>IF(G135&lt;=0,0,MAX(0,TODAY()-D135))</x:f>
        <x:v>0</x:v>
      </x:c>
      <x:c r="J135" s="58" t="str">
        <x:f>IF(I135=0,"Current",IF(I135&lt;=30,"1-30",IF(I135&lt;=60,"31-60",IF(I135&lt;=90,"61-90","90+"))))</x:f>
        <x:v>Current</x:v>
      </x:c>
      <x:c r="K135" s="58" t="str">
        <x:f>IF(AND(G135&gt;10000,I135&gt;60),"Critical",IF(OR(G135&gt;5000,I135&gt;30),"High",IF(G135&gt;0,"Normal","Closed")))</x:f>
        <x:v>Closed</x:v>
      </x:c>
      <x:c r="L135" s="59" t="str">
        <x:f>IF(K135="Critical","Call and escalate",IF(K135="High","Send reminder","Monitor"))</x:f>
        <x:v>Monitor</x:v>
      </x:c>
    </x:row>
    <x:row r="136">
      <x:c r="A136" s="57" t="str">
        <x:v>AR-0135</x:v>
      </x:c>
      <x:c r="B136" s="58" t="str">
        <x:v>Customer 30</x:v>
      </x:c>
      <x:c r="C136" s="78" t="n">
        <x:v>46084</x:v>
      </x:c>
      <x:c r="D136" s="78" t="n">
        <x:v>46129</x:v>
      </x:c>
      <x:c r="E136" s="82" t="n">
        <x:v>14861.75</x:v>
      </x:c>
      <x:c r="F136" s="82" t="n">
        <x:v>7430.88</x:v>
      </x:c>
      <x:c r="G136" s="82" t="n">
        <x:f>E136-F136</x:f>
        <x:v>7430.87</x:v>
      </x:c>
      <x:c r="H136" s="58" t="str">
        <x:f>IF(G136&lt;=0,"Paid","Open")</x:f>
        <x:v>Open</x:v>
      </x:c>
      <x:c r="I136" s="58" t="n">
        <x:f>IF(G136&lt;=0,0,MAX(0,TODAY()-D136))</x:f>
        <x:v>73</x:v>
      </x:c>
      <x:c r="J136" s="58" t="str">
        <x:f>IF(I136=0,"Current",IF(I136&lt;=30,"1-30",IF(I136&lt;=60,"31-60",IF(I136&lt;=90,"61-90","90+"))))</x:f>
        <x:v>61-90</x:v>
      </x:c>
      <x:c r="K136" s="58" t="str">
        <x:f>IF(AND(G136&gt;10000,I136&gt;60),"Critical",IF(OR(G136&gt;5000,I136&gt;30),"High",IF(G136&gt;0,"Normal","Closed")))</x:f>
        <x:v>High</x:v>
      </x:c>
      <x:c r="L136" s="59" t="str">
        <x:f>IF(K136="Critical","Call and escalate",IF(K136="High","Send reminder","Monitor"))</x:f>
        <x:v>Send reminder</x:v>
      </x:c>
    </x:row>
    <x:row r="137">
      <x:c r="A137" s="57" t="str">
        <x:v>AR-0136</x:v>
      </x:c>
      <x:c r="B137" s="58" t="str">
        <x:v>Customer 30</x:v>
      </x:c>
      <x:c r="C137" s="78" t="n">
        <x:v>46191</x:v>
      </x:c>
      <x:c r="D137" s="78" t="n">
        <x:v>46221</x:v>
      </x:c>
      <x:c r="E137" s="82" t="n">
        <x:v>14618.77</x:v>
      </x:c>
      <x:c r="F137" s="82" t="n">
        <x:v>3654.69</x:v>
      </x:c>
      <x:c r="G137" s="82" t="n">
        <x:f>E137-F137</x:f>
        <x:v>10964.08</x:v>
      </x:c>
      <x:c r="H137" s="58" t="str">
        <x:f>IF(G137&lt;=0,"Paid","Open")</x:f>
        <x:v>Open</x:v>
      </x:c>
      <x:c r="I137" s="58" t="n">
        <x:f>IF(G137&lt;=0,0,MAX(0,TODAY()-D137))</x:f>
        <x:v>0</x:v>
      </x:c>
      <x:c r="J137" s="58" t="str">
        <x:f>IF(I137=0,"Current",IF(I137&lt;=30,"1-30",IF(I137&lt;=60,"31-60",IF(I137&lt;=90,"61-90","90+"))))</x:f>
        <x:v>Current</x:v>
      </x:c>
      <x:c r="K137" s="58" t="str">
        <x:f>IF(AND(G137&gt;10000,I137&gt;60),"Critical",IF(OR(G137&gt;5000,I137&gt;30),"High",IF(G137&gt;0,"Normal","Closed")))</x:f>
        <x:v>High</x:v>
      </x:c>
      <x:c r="L137" s="59" t="str">
        <x:f>IF(K137="Critical","Call and escalate",IF(K137="High","Send reminder","Monitor"))</x:f>
        <x:v>Send reminder</x:v>
      </x:c>
    </x:row>
    <x:row r="138">
      <x:c r="A138" s="57" t="str">
        <x:v>AR-0137</x:v>
      </x:c>
      <x:c r="B138" s="58" t="str">
        <x:v>Customer 20</x:v>
      </x:c>
      <x:c r="C138" s="78" t="n">
        <x:v>46144</x:v>
      </x:c>
      <x:c r="D138" s="78" t="n">
        <x:v>46174</x:v>
      </x:c>
      <x:c r="E138" s="82" t="n">
        <x:v>22485.94</x:v>
      </x:c>
      <x:c r="F138" s="82" t="n">
        <x:v>0</x:v>
      </x:c>
      <x:c r="G138" s="82" t="n">
        <x:f>E138-F138</x:f>
        <x:v>22485.94</x:v>
      </x:c>
      <x:c r="H138" s="58" t="str">
        <x:f>IF(G138&lt;=0,"Paid","Open")</x:f>
        <x:v>Open</x:v>
      </x:c>
      <x:c r="I138" s="58" t="n">
        <x:f>IF(G138&lt;=0,0,MAX(0,TODAY()-D138))</x:f>
        <x:v>28</x:v>
      </x:c>
      <x:c r="J138" s="58" t="str">
        <x:f>IF(I138=0,"Current",IF(I138&lt;=30,"1-30",IF(I138&lt;=60,"31-60",IF(I138&lt;=90,"61-90","90+"))))</x:f>
        <x:v>1-30</x:v>
      </x:c>
      <x:c r="K138" s="58" t="str">
        <x:f>IF(AND(G138&gt;10000,I138&gt;60),"Critical",IF(OR(G138&gt;5000,I138&gt;30),"High",IF(G138&gt;0,"Normal","Closed")))</x:f>
        <x:v>High</x:v>
      </x:c>
      <x:c r="L138" s="59" t="str">
        <x:f>IF(K138="Critical","Call and escalate",IF(K138="High","Send reminder","Monitor"))</x:f>
        <x:v>Send reminder</x:v>
      </x:c>
    </x:row>
    <x:row r="139">
      <x:c r="A139" s="57" t="str">
        <x:v>AR-0138</x:v>
      </x:c>
      <x:c r="B139" s="58" t="str">
        <x:v>Customer 31</x:v>
      </x:c>
      <x:c r="C139" s="78" t="n">
        <x:v>46061</x:v>
      </x:c>
      <x:c r="D139" s="78" t="n">
        <x:v>46106</x:v>
      </x:c>
      <x:c r="E139" s="82" t="n">
        <x:v>14794.85</x:v>
      </x:c>
      <x:c r="F139" s="82" t="n">
        <x:v>0</x:v>
      </x:c>
      <x:c r="G139" s="82" t="n">
        <x:f>E139-F139</x:f>
        <x:v>14794.85</x:v>
      </x:c>
      <x:c r="H139" s="58" t="str">
        <x:f>IF(G139&lt;=0,"Paid","Open")</x:f>
        <x:v>Open</x:v>
      </x:c>
      <x:c r="I139" s="58" t="n">
        <x:f>IF(G139&lt;=0,0,MAX(0,TODAY()-D139))</x:f>
        <x:v>96</x:v>
      </x:c>
      <x:c r="J139" s="58" t="str">
        <x:f>IF(I139=0,"Current",IF(I139&lt;=30,"1-30",IF(I139&lt;=60,"31-60",IF(I139&lt;=90,"61-90","90+"))))</x:f>
        <x:v>90+</x:v>
      </x:c>
      <x:c r="K139" s="58" t="str">
        <x:f>IF(AND(G139&gt;10000,I139&gt;60),"Critical",IF(OR(G139&gt;5000,I139&gt;30),"High",IF(G139&gt;0,"Normal","Closed")))</x:f>
        <x:v>Critical</x:v>
      </x:c>
      <x:c r="L139" s="59" t="str">
        <x:f>IF(K139="Critical","Call and escalate",IF(K139="High","Send reminder","Monitor"))</x:f>
        <x:v>Call and escalate</x:v>
      </x:c>
    </x:row>
    <x:row r="140">
      <x:c r="A140" s="57" t="str">
        <x:v>AR-0139</x:v>
      </x:c>
      <x:c r="B140" s="58" t="str">
        <x:v>Customer 3</x:v>
      </x:c>
      <x:c r="C140" s="78" t="n">
        <x:v>46191</x:v>
      </x:c>
      <x:c r="D140" s="78" t="n">
        <x:v>46236</x:v>
      </x:c>
      <x:c r="E140" s="82" t="n">
        <x:v>8899.12</x:v>
      </x:c>
      <x:c r="F140" s="82" t="n">
        <x:v>8899.12</x:v>
      </x:c>
      <x:c r="G140" s="82" t="n">
        <x:f>E140-F140</x:f>
        <x:v>0</x:v>
      </x:c>
      <x:c r="H140" s="58" t="str">
        <x:f>IF(G140&lt;=0,"Paid","Open")</x:f>
        <x:v>Paid</x:v>
      </x:c>
      <x:c r="I140" s="58" t="n">
        <x:f>IF(G140&lt;=0,0,MAX(0,TODAY()-D140))</x:f>
        <x:v>0</x:v>
      </x:c>
      <x:c r="J140" s="58" t="str">
        <x:f>IF(I140=0,"Current",IF(I140&lt;=30,"1-30",IF(I140&lt;=60,"31-60",IF(I140&lt;=90,"61-90","90+"))))</x:f>
        <x:v>Current</x:v>
      </x:c>
      <x:c r="K140" s="58" t="str">
        <x:f>IF(AND(G140&gt;10000,I140&gt;60),"Critical",IF(OR(G140&gt;5000,I140&gt;30),"High",IF(G140&gt;0,"Normal","Closed")))</x:f>
        <x:v>Closed</x:v>
      </x:c>
      <x:c r="L140" s="59" t="str">
        <x:f>IF(K140="Critical","Call and escalate",IF(K140="High","Send reminder","Monitor"))</x:f>
        <x:v>Monitor</x:v>
      </x:c>
    </x:row>
    <x:row r="141">
      <x:c r="A141" s="57" t="str">
        <x:v>AR-0140</x:v>
      </x:c>
      <x:c r="B141" s="58" t="str">
        <x:v>Customer 20</x:v>
      </x:c>
      <x:c r="C141" s="78" t="n">
        <x:v>46109</x:v>
      </x:c>
      <x:c r="D141" s="78" t="n">
        <x:v>46139</x:v>
      </x:c>
      <x:c r="E141" s="82" t="n">
        <x:v>6307.75</x:v>
      </x:c>
      <x:c r="F141" s="82" t="n">
        <x:v>0</x:v>
      </x:c>
      <x:c r="G141" s="82" t="n">
        <x:f>E141-F141</x:f>
        <x:v>6307.75</x:v>
      </x:c>
      <x:c r="H141" s="58" t="str">
        <x:f>IF(G141&lt;=0,"Paid","Open")</x:f>
        <x:v>Open</x:v>
      </x:c>
      <x:c r="I141" s="58" t="n">
        <x:f>IF(G141&lt;=0,0,MAX(0,TODAY()-D141))</x:f>
        <x:v>63</x:v>
      </x:c>
      <x:c r="J141" s="58" t="str">
        <x:f>IF(I141=0,"Current",IF(I141&lt;=30,"1-30",IF(I141&lt;=60,"31-60",IF(I141&lt;=90,"61-90","90+"))))</x:f>
        <x:v>61-90</x:v>
      </x:c>
      <x:c r="K141" s="58" t="str">
        <x:f>IF(AND(G141&gt;10000,I141&gt;60),"Critical",IF(OR(G141&gt;5000,I141&gt;30),"High",IF(G141&gt;0,"Normal","Closed")))</x:f>
        <x:v>High</x:v>
      </x:c>
      <x:c r="L141" s="59" t="str">
        <x:f>IF(K141="Critical","Call and escalate",IF(K141="High","Send reminder","Monitor"))</x:f>
        <x:v>Send reminder</x:v>
      </x:c>
    </x:row>
    <x:row r="142">
      <x:c r="A142" s="57" t="str">
        <x:v>AR-0141</x:v>
      </x:c>
      <x:c r="B142" s="58" t="str">
        <x:v>Customer 15</x:v>
      </x:c>
      <x:c r="C142" s="78" t="n">
        <x:v>46182</x:v>
      </x:c>
      <x:c r="D142" s="78" t="n">
        <x:v>46212</x:v>
      </x:c>
      <x:c r="E142" s="82" t="n">
        <x:v>15366.27</x:v>
      </x:c>
      <x:c r="F142" s="82" t="n">
        <x:v>11524.7</x:v>
      </x:c>
      <x:c r="G142" s="82" t="n">
        <x:f>E142-F142</x:f>
        <x:v>3841.5699999999997</x:v>
      </x:c>
      <x:c r="H142" s="58" t="str">
        <x:f>IF(G142&lt;=0,"Paid","Open")</x:f>
        <x:v>Open</x:v>
      </x:c>
      <x:c r="I142" s="58" t="n">
        <x:f>IF(G142&lt;=0,0,MAX(0,TODAY()-D142))</x:f>
        <x:v>0</x:v>
      </x:c>
      <x:c r="J142" s="58" t="str">
        <x:f>IF(I142=0,"Current",IF(I142&lt;=30,"1-30",IF(I142&lt;=60,"31-60",IF(I142&lt;=90,"61-90","90+"))))</x:f>
        <x:v>Current</x:v>
      </x:c>
      <x:c r="K142" s="58" t="str">
        <x:f>IF(AND(G142&gt;10000,I142&gt;60),"Critical",IF(OR(G142&gt;5000,I142&gt;30),"High",IF(G142&gt;0,"Normal","Closed")))</x:f>
        <x:v>Normal</x:v>
      </x:c>
      <x:c r="L142" s="59" t="str">
        <x:f>IF(K142="Critical","Call and escalate",IF(K142="High","Send reminder","Monitor"))</x:f>
        <x:v>Monitor</x:v>
      </x:c>
    </x:row>
    <x:row r="143">
      <x:c r="A143" s="57" t="str">
        <x:v>AR-0142</x:v>
      </x:c>
      <x:c r="B143" s="58" t="str">
        <x:v>Customer 7</x:v>
      </x:c>
      <x:c r="C143" s="78" t="n">
        <x:v>46134</x:v>
      </x:c>
      <x:c r="D143" s="78" t="n">
        <x:v>46149</x:v>
      </x:c>
      <x:c r="E143" s="82" t="n">
        <x:v>19592.92</x:v>
      </x:c>
      <x:c r="F143" s="82" t="n">
        <x:v>0</x:v>
      </x:c>
      <x:c r="G143" s="82" t="n">
        <x:f>E143-F143</x:f>
        <x:v>19592.92</x:v>
      </x:c>
      <x:c r="H143" s="58" t="str">
        <x:f>IF(G143&lt;=0,"Paid","Open")</x:f>
        <x:v>Open</x:v>
      </x:c>
      <x:c r="I143" s="58" t="n">
        <x:f>IF(G143&lt;=0,0,MAX(0,TODAY()-D143))</x:f>
        <x:v>53</x:v>
      </x:c>
      <x:c r="J143" s="58" t="str">
        <x:f>IF(I143=0,"Current",IF(I143&lt;=30,"1-30",IF(I143&lt;=60,"31-60",IF(I143&lt;=90,"61-90","90+"))))</x:f>
        <x:v>31-60</x:v>
      </x:c>
      <x:c r="K143" s="58" t="str">
        <x:f>IF(AND(G143&gt;10000,I143&gt;60),"Critical",IF(OR(G143&gt;5000,I143&gt;30),"High",IF(G143&gt;0,"Normal","Closed")))</x:f>
        <x:v>High</x:v>
      </x:c>
      <x:c r="L143" s="59" t="str">
        <x:f>IF(K143="Critical","Call and escalate",IF(K143="High","Send reminder","Monitor"))</x:f>
        <x:v>Send reminder</x:v>
      </x:c>
    </x:row>
    <x:row r="144">
      <x:c r="A144" s="57" t="str">
        <x:v>AR-0143</x:v>
      </x:c>
      <x:c r="B144" s="58" t="str">
        <x:v>Customer 44</x:v>
      </x:c>
      <x:c r="C144" s="78" t="n">
        <x:v>46079</x:v>
      </x:c>
      <x:c r="D144" s="78" t="n">
        <x:v>46109</x:v>
      </x:c>
      <x:c r="E144" s="82" t="n">
        <x:v>8799.6</x:v>
      </x:c>
      <x:c r="F144" s="82" t="n">
        <x:v>8799.6</x:v>
      </x:c>
      <x:c r="G144" s="82" t="n">
        <x:f>E144-F144</x:f>
        <x:v>0</x:v>
      </x:c>
      <x:c r="H144" s="58" t="str">
        <x:f>IF(G144&lt;=0,"Paid","Open")</x:f>
        <x:v>Paid</x:v>
      </x:c>
      <x:c r="I144" s="58" t="n">
        <x:f>IF(G144&lt;=0,0,MAX(0,TODAY()-D144))</x:f>
        <x:v>0</x:v>
      </x:c>
      <x:c r="J144" s="58" t="str">
        <x:f>IF(I144=0,"Current",IF(I144&lt;=30,"1-30",IF(I144&lt;=60,"31-60",IF(I144&lt;=90,"61-90","90+"))))</x:f>
        <x:v>Current</x:v>
      </x:c>
      <x:c r="K144" s="58" t="str">
        <x:f>IF(AND(G144&gt;10000,I144&gt;60),"Critical",IF(OR(G144&gt;5000,I144&gt;30),"High",IF(G144&gt;0,"Normal","Closed")))</x:f>
        <x:v>Closed</x:v>
      </x:c>
      <x:c r="L144" s="59" t="str">
        <x:f>IF(K144="Critical","Call and escalate",IF(K144="High","Send reminder","Monitor"))</x:f>
        <x:v>Monitor</x:v>
      </x:c>
    </x:row>
    <x:row r="145">
      <x:c r="A145" s="57" t="str">
        <x:v>AR-0144</x:v>
      </x:c>
      <x:c r="B145" s="58" t="str">
        <x:v>Customer 25</x:v>
      </x:c>
      <x:c r="C145" s="78" t="n">
        <x:v>46114</x:v>
      </x:c>
      <x:c r="D145" s="78" t="n">
        <x:v>46144</x:v>
      </x:c>
      <x:c r="E145" s="82" t="n">
        <x:v>15836.35</x:v>
      </x:c>
      <x:c r="F145" s="82" t="n">
        <x:v>15836.35</x:v>
      </x:c>
      <x:c r="G145" s="82" t="n">
        <x:f>E145-F145</x:f>
        <x:v>0</x:v>
      </x:c>
      <x:c r="H145" s="58" t="str">
        <x:f>IF(G145&lt;=0,"Paid","Open")</x:f>
        <x:v>Paid</x:v>
      </x:c>
      <x:c r="I145" s="58" t="n">
        <x:f>IF(G145&lt;=0,0,MAX(0,TODAY()-D145))</x:f>
        <x:v>0</x:v>
      </x:c>
      <x:c r="J145" s="58" t="str">
        <x:f>IF(I145=0,"Current",IF(I145&lt;=30,"1-30",IF(I145&lt;=60,"31-60",IF(I145&lt;=90,"61-90","90+"))))</x:f>
        <x:v>Current</x:v>
      </x:c>
      <x:c r="K145" s="58" t="str">
        <x:f>IF(AND(G145&gt;10000,I145&gt;60),"Critical",IF(OR(G145&gt;5000,I145&gt;30),"High",IF(G145&gt;0,"Normal","Closed")))</x:f>
        <x:v>Closed</x:v>
      </x:c>
      <x:c r="L145" s="59" t="str">
        <x:f>IF(K145="Critical","Call and escalate",IF(K145="High","Send reminder","Monitor"))</x:f>
        <x:v>Monitor</x:v>
      </x:c>
    </x:row>
    <x:row r="146">
      <x:c r="A146" s="57" t="str">
        <x:v>AR-0145</x:v>
      </x:c>
      <x:c r="B146" s="58" t="str">
        <x:v>Customer 12</x:v>
      </x:c>
      <x:c r="C146" s="78" t="n">
        <x:v>46164</x:v>
      </x:c>
      <x:c r="D146" s="78" t="n">
        <x:v>46209</x:v>
      </x:c>
      <x:c r="E146" s="82" t="n">
        <x:v>10464.1</x:v>
      </x:c>
      <x:c r="F146" s="82" t="n">
        <x:v>10464.1</x:v>
      </x:c>
      <x:c r="G146" s="82" t="n">
        <x:f>E146-F146</x:f>
        <x:v>0</x:v>
      </x:c>
      <x:c r="H146" s="58" t="str">
        <x:f>IF(G146&lt;=0,"Paid","Open")</x:f>
        <x:v>Paid</x:v>
      </x:c>
      <x:c r="I146" s="58" t="n">
        <x:f>IF(G146&lt;=0,0,MAX(0,TODAY()-D146))</x:f>
        <x:v>0</x:v>
      </x:c>
      <x:c r="J146" s="58" t="str">
        <x:f>IF(I146=0,"Current",IF(I146&lt;=30,"1-30",IF(I146&lt;=60,"31-60",IF(I146&lt;=90,"61-90","90+"))))</x:f>
        <x:v>Current</x:v>
      </x:c>
      <x:c r="K146" s="58" t="str">
        <x:f>IF(AND(G146&gt;10000,I146&gt;60),"Critical",IF(OR(G146&gt;5000,I146&gt;30),"High",IF(G146&gt;0,"Normal","Closed")))</x:f>
        <x:v>Closed</x:v>
      </x:c>
      <x:c r="L146" s="59" t="str">
        <x:f>IF(K146="Critical","Call and escalate",IF(K146="High","Send reminder","Monitor"))</x:f>
        <x:v>Monitor</x:v>
      </x:c>
    </x:row>
    <x:row r="147">
      <x:c r="A147" s="57" t="str">
        <x:v>AR-0146</x:v>
      </x:c>
      <x:c r="B147" s="58" t="str">
        <x:v>Customer 33</x:v>
      </x:c>
      <x:c r="C147" s="78" t="n">
        <x:v>46137</x:v>
      </x:c>
      <x:c r="D147" s="78" t="n">
        <x:v>46167</x:v>
      </x:c>
      <x:c r="E147" s="82" t="n">
        <x:v>5780.5</x:v>
      </x:c>
      <x:c r="F147" s="82" t="n">
        <x:v>0</x:v>
      </x:c>
      <x:c r="G147" s="82" t="n">
        <x:f>E147-F147</x:f>
        <x:v>5780.5</x:v>
      </x:c>
      <x:c r="H147" s="58" t="str">
        <x:f>IF(G147&lt;=0,"Paid","Open")</x:f>
        <x:v>Open</x:v>
      </x:c>
      <x:c r="I147" s="58" t="n">
        <x:f>IF(G147&lt;=0,0,MAX(0,TODAY()-D147))</x:f>
        <x:v>35</x:v>
      </x:c>
      <x:c r="J147" s="58" t="str">
        <x:f>IF(I147=0,"Current",IF(I147&lt;=30,"1-30",IF(I147&lt;=60,"31-60",IF(I147&lt;=90,"61-90","90+"))))</x:f>
        <x:v>31-60</x:v>
      </x:c>
      <x:c r="K147" s="58" t="str">
        <x:f>IF(AND(G147&gt;10000,I147&gt;60),"Critical",IF(OR(G147&gt;5000,I147&gt;30),"High",IF(G147&gt;0,"Normal","Closed")))</x:f>
        <x:v>High</x:v>
      </x:c>
      <x:c r="L147" s="59" t="str">
        <x:f>IF(K147="Critical","Call and escalate",IF(K147="High","Send reminder","Monitor"))</x:f>
        <x:v>Send reminder</x:v>
      </x:c>
    </x:row>
    <x:row r="148">
      <x:c r="A148" s="57" t="str">
        <x:v>AR-0147</x:v>
      </x:c>
      <x:c r="B148" s="58" t="str">
        <x:v>Customer 28</x:v>
      </x:c>
      <x:c r="C148" s="78" t="n">
        <x:v>46160</x:v>
      </x:c>
      <x:c r="D148" s="78" t="n">
        <x:v>46205</x:v>
      </x:c>
      <x:c r="E148" s="82" t="n">
        <x:v>6374.19</x:v>
      </x:c>
      <x:c r="F148" s="82" t="n">
        <x:v>4780.64</x:v>
      </x:c>
      <x:c r="G148" s="82" t="n">
        <x:f>E148-F148</x:f>
        <x:v>1593.5499999999993</x:v>
      </x:c>
      <x:c r="H148" s="58" t="str">
        <x:f>IF(G148&lt;=0,"Paid","Open")</x:f>
        <x:v>Open</x:v>
      </x:c>
      <x:c r="I148" s="58" t="n">
        <x:f>IF(G148&lt;=0,0,MAX(0,TODAY()-D148))</x:f>
        <x:v>0</x:v>
      </x:c>
      <x:c r="J148" s="58" t="str">
        <x:f>IF(I148=0,"Current",IF(I148&lt;=30,"1-30",IF(I148&lt;=60,"31-60",IF(I148&lt;=90,"61-90","90+"))))</x:f>
        <x:v>Current</x:v>
      </x:c>
      <x:c r="K148" s="58" t="str">
        <x:f>IF(AND(G148&gt;10000,I148&gt;60),"Critical",IF(OR(G148&gt;5000,I148&gt;30),"High",IF(G148&gt;0,"Normal","Closed")))</x:f>
        <x:v>Normal</x:v>
      </x:c>
      <x:c r="L148" s="59" t="str">
        <x:f>IF(K148="Critical","Call and escalate",IF(K148="High","Send reminder","Monitor"))</x:f>
        <x:v>Monitor</x:v>
      </x:c>
    </x:row>
    <x:row r="149">
      <x:c r="A149" s="57" t="str">
        <x:v>AR-0148</x:v>
      </x:c>
      <x:c r="B149" s="58" t="str">
        <x:v>Customer 11</x:v>
      </x:c>
      <x:c r="C149" s="78" t="n">
        <x:v>46090</x:v>
      </x:c>
      <x:c r="D149" s="78" t="n">
        <x:v>46135</x:v>
      </x:c>
      <x:c r="E149" s="82" t="n">
        <x:v>12671.66</x:v>
      </x:c>
      <x:c r="F149" s="82" t="n">
        <x:v>0</x:v>
      </x:c>
      <x:c r="G149" s="82" t="n">
        <x:f>E149-F149</x:f>
        <x:v>12671.66</x:v>
      </x:c>
      <x:c r="H149" s="58" t="str">
        <x:f>IF(G149&lt;=0,"Paid","Open")</x:f>
        <x:v>Open</x:v>
      </x:c>
      <x:c r="I149" s="58" t="n">
        <x:f>IF(G149&lt;=0,0,MAX(0,TODAY()-D149))</x:f>
        <x:v>67</x:v>
      </x:c>
      <x:c r="J149" s="58" t="str">
        <x:f>IF(I149=0,"Current",IF(I149&lt;=30,"1-30",IF(I149&lt;=60,"31-60",IF(I149&lt;=90,"61-90","90+"))))</x:f>
        <x:v>61-90</x:v>
      </x:c>
      <x:c r="K149" s="58" t="str">
        <x:f>IF(AND(G149&gt;10000,I149&gt;60),"Critical",IF(OR(G149&gt;5000,I149&gt;30),"High",IF(G149&gt;0,"Normal","Closed")))</x:f>
        <x:v>Critical</x:v>
      </x:c>
      <x:c r="L149" s="59" t="str">
        <x:f>IF(K149="Critical","Call and escalate",IF(K149="High","Send reminder","Monitor"))</x:f>
        <x:v>Call and escalate</x:v>
      </x:c>
    </x:row>
    <x:row r="150">
      <x:c r="A150" s="57" t="str">
        <x:v>AR-0149</x:v>
      </x:c>
      <x:c r="B150" s="58" t="str">
        <x:v>Customer 42</x:v>
      </x:c>
      <x:c r="C150" s="78" t="n">
        <x:v>46054</x:v>
      </x:c>
      <x:c r="D150" s="78" t="n">
        <x:v>46069</x:v>
      </x:c>
      <x:c r="E150" s="82" t="n">
        <x:v>22025.29</x:v>
      </x:c>
      <x:c r="F150" s="82" t="n">
        <x:v>11012.65</x:v>
      </x:c>
      <x:c r="G150" s="82" t="n">
        <x:f>E150-F150</x:f>
        <x:v>11012.640000000001</x:v>
      </x:c>
      <x:c r="H150" s="58" t="str">
        <x:f>IF(G150&lt;=0,"Paid","Open")</x:f>
        <x:v>Open</x:v>
      </x:c>
      <x:c r="I150" s="58" t="n">
        <x:f>IF(G150&lt;=0,0,MAX(0,TODAY()-D150))</x:f>
        <x:v>133</x:v>
      </x:c>
      <x:c r="J150" s="58" t="str">
        <x:f>IF(I150=0,"Current",IF(I150&lt;=30,"1-30",IF(I150&lt;=60,"31-60",IF(I150&lt;=90,"61-90","90+"))))</x:f>
        <x:v>90+</x:v>
      </x:c>
      <x:c r="K150" s="58" t="str">
        <x:f>IF(AND(G150&gt;10000,I150&gt;60),"Critical",IF(OR(G150&gt;5000,I150&gt;30),"High",IF(G150&gt;0,"Normal","Closed")))</x:f>
        <x:v>Critical</x:v>
      </x:c>
      <x:c r="L150" s="59" t="str">
        <x:f>IF(K150="Critical","Call and escalate",IF(K150="High","Send reminder","Monitor"))</x:f>
        <x:v>Call and escalate</x:v>
      </x:c>
    </x:row>
    <x:row r="151">
      <x:c r="A151" s="60" t="str">
        <x:v>AR-0150</x:v>
      </x:c>
      <x:c r="B151" s="61" t="str">
        <x:v>Customer 5</x:v>
      </x:c>
      <x:c r="C151" s="79" t="n">
        <x:v>46082</x:v>
      </x:c>
      <x:c r="D151" s="79" t="n">
        <x:v>46127</x:v>
      </x:c>
      <x:c r="E151" s="83" t="n">
        <x:v>20519.59</x:v>
      </x:c>
      <x:c r="F151" s="83" t="n">
        <x:v>10259.8</x:v>
      </x:c>
      <x:c r="G151" s="83" t="n">
        <x:f>E151-F151</x:f>
        <x:v>10259.79</x:v>
      </x:c>
      <x:c r="H151" s="61" t="str">
        <x:f>IF(G151&lt;=0,"Paid","Open")</x:f>
        <x:v>Open</x:v>
      </x:c>
      <x:c r="I151" s="61" t="n">
        <x:f>IF(G151&lt;=0,0,MAX(0,TODAY()-D151))</x:f>
        <x:v>75</x:v>
      </x:c>
      <x:c r="J151" s="61" t="str">
        <x:f>IF(I151=0,"Current",IF(I151&lt;=30,"1-30",IF(I151&lt;=60,"31-60",IF(I151&lt;=90,"61-90","90+"))))</x:f>
        <x:v>61-90</x:v>
      </x:c>
      <x:c r="K151" s="61" t="str">
        <x:f>IF(AND(G151&gt;10000,I151&gt;60),"Critical",IF(OR(G151&gt;5000,I151&gt;30),"High",IF(G151&gt;0,"Normal","Closed")))</x:f>
        <x:v>Critical</x:v>
      </x:c>
      <x:c r="L151" s="62" t="str">
        <x:f>IF(K151="Critical","Call and escalate",IF(K151="High","Send reminder","Monitor"))</x:f>
        <x:v>Call and escalate</x:v>
      </x:c>
    </x:row>
  </x:sheetData>
  <x:conditionalFormatting sqref="K2:K151">
    <x:cfRule type="expression" dxfId="0" priority="1">
      <x:formula>K2="Critical"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5" hidden="0" customWidth="1"/>
  </x:cols>
  <x:sheetData>
    <x:row r="1" ht="30" customHeight="1">
      <x:c r="A1" s="90" t="str">
        <x:v>Invoice_ID</x:v>
      </x:c>
      <x:c r="B1" s="90" t="str">
        <x:v>Customer</x:v>
      </x:c>
      <x:c r="C1" s="90" t="str">
        <x:v>Invoice_Date</x:v>
      </x:c>
      <x:c r="D1" s="90" t="str">
        <x:v>Due_Date</x:v>
      </x:c>
      <x:c r="E1" s="90" t="str">
        <x:v>Invoice_Amount</x:v>
      </x:c>
      <x:c r="F1" s="90" t="str">
        <x:v>Amount_Paid</x:v>
      </x:c>
      <x:c r="G1" s="90" t="str">
        <x:v>Outstanding</x:v>
      </x:c>
      <x:c r="H1" s="90" t="str">
        <x:v>Payment_Status</x:v>
      </x:c>
      <x:c r="I1" s="90" t="str">
        <x:v>Days_Past_Due</x:v>
      </x:c>
      <x:c r="J1" s="90" t="str">
        <x:v>Aging_Bucket</x:v>
      </x:c>
      <x:c r="K1" s="90" t="str">
        <x:v>Priority</x:v>
      </x:c>
      <x:c r="L1" s="90" t="str">
        <x:v>Action</x:v>
      </x:c>
    </x:row>
    <x:row r="2">
      <x:c r="A2" t="e">
        <x:f>FILTER(Data!A:L,(Data!K:K="Critical")+(Data!K:K="High"),"No collection items")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98" t="str">
        <x:v>AR Aging Dashboard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42" t="str">
        <x:v>KPI</x:v>
      </x:c>
      <x:c r="B4" s="42" t="str">
        <x:v>Value</x:v>
      </x:c>
      <x:c r="D4" s="121" t="str">
        <x:v>Category</x:v>
      </x:c>
      <x:c r="E4" s="121" t="str">
        <x:v>Value</x:v>
      </x:c>
    </x:row>
    <x:row r="5">
      <x:c r="A5" s="107" t="str">
        <x:v>Total Outstanding</x:v>
      </x:c>
      <x:c r="B5" s="112" t="n">
        <x:f>SUM(Data!$G$2:$G$151)</x:f>
        <x:v>1323380.5499999998</x:v>
      </x:c>
      <x:c r="D5" t="str">
        <x:v>Current</x:v>
      </x:c>
      <x:c r="E5" s="102" t="n">
        <x:f>SUMIF(Data!$J:$J,D5,Data!$G:$G)</x:f>
        <x:v>191672.53999999995</x:v>
      </x:c>
    </x:row>
    <x:row r="6">
      <x:c r="A6" s="107" t="str">
        <x:v>Open Invoices</x:v>
      </x:c>
      <x:c r="B6" s="113" t="n">
        <x:f>COUNTIF(Data!$H:$H,"Open")</x:f>
        <x:v>124</x:v>
      </x:c>
      <x:c r="D6" t="str">
        <x:v>1-30</x:v>
      </x:c>
      <x:c r="E6" s="102" t="n">
        <x:f>SUMIF(Data!$J:$J,D6,Data!$G:$G)</x:f>
        <x:v>237911.53999999998</x:v>
      </x:c>
    </x:row>
    <x:row r="7">
      <x:c r="A7" s="107" t="str">
        <x:v>90+ Balance</x:v>
      </x:c>
      <x:c r="B7" s="112" t="n">
        <x:f>SUMIF(Data!$J:$J,"90+",Data!$G:$G)</x:f>
        <x:v>317151.59</x:v>
      </x:c>
      <x:c r="D7" t="str">
        <x:v>31-60</x:v>
      </x:c>
      <x:c r="E7" s="102" t="n">
        <x:f>SUMIF(Data!$J:$J,D7,Data!$G:$G)</x:f>
        <x:v>339113.79</x:v>
      </x:c>
    </x:row>
    <x:row r="8">
      <x:c r="A8" s="107" t="str">
        <x:v>Critical Items</x:v>
      </x:c>
      <x:c r="B8" s="113" t="n">
        <x:f>COUNTIF(Data!$K:$K,"Critical")</x:f>
        <x:v>24</x:v>
      </x:c>
      <x:c r="D8" t="str">
        <x:v>61-90</x:v>
      </x:c>
      <x:c r="E8" s="102" t="n">
        <x:f>SUMIF(Data!$J:$J,D8,Data!$G:$G)</x:f>
        <x:v>237531.09000000003</x:v>
      </x:c>
    </x:row>
    <x:row r="9">
      <x:c r="A9" s="107" t="str">
        <x:v>High Priority</x:v>
      </x:c>
      <x:c r="B9" s="113" t="n">
        <x:f>COUNTIF(Data!$K:$K,"High")</x:f>
        <x:v>85</x:v>
      </x:c>
      <x:c r="D9" t="str">
        <x:v>90+</x:v>
      </x:c>
      <x:c r="E9" s="102" t="n">
        <x:f>SUMIF(Data!$J:$J,D9,Data!$G:$G)</x:f>
        <x:v>317151.59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be89fb17643d422d"/>
</x:worksheet>
</file>