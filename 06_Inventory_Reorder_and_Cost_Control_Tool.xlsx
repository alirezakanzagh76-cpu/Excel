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21e670ccb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ed9dc38b82c44bf"/>
    <x:sheet xmlns:r="http://schemas.openxmlformats.org/officeDocument/2006/relationships" name="Data" sheetId="2" r:id="R193fca9bd01647c3"/>
    <x:sheet xmlns:r="http://schemas.openxmlformats.org/officeDocument/2006/relationships" name="Exceptions" sheetId="3" r:id="R179d93dc960340bf"/>
    <x:sheet xmlns:r="http://schemas.openxmlformats.org/officeDocument/2006/relationships" name="Dashboard" sheetId="4" r:id="R3d7ecc9e1ad3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$#,##0"/>
    <x:numFmt numFmtId="202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1" fontId="4" fillId="0" borderId="1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3e73e95174f23" /><Relationship Type="http://schemas.openxmlformats.org/officeDocument/2006/relationships/theme" Target="/xl/theme/theme1.xml" Id="Rca781b9300fc4e02" /><Relationship Type="http://schemas.openxmlformats.org/officeDocument/2006/relationships/sharedStrings" Target="/xl/sharedStrings.xml" Id="Rcf4554f4da534238" /><Relationship Type="http://schemas.openxmlformats.org/officeDocument/2006/relationships/worksheet" Target="/xl/worksheets/sheet1.xml" Id="R6ed9dc38b82c44bf" /><Relationship Type="http://schemas.openxmlformats.org/officeDocument/2006/relationships/worksheet" Target="/xl/worksheets/sheet2.xml" Id="R193fca9bd01647c3" /><Relationship Type="http://schemas.openxmlformats.org/officeDocument/2006/relationships/worksheet" Target="/xl/worksheets/sheet3.xml" Id="R179d93dc960340bf" /><Relationship Type="http://schemas.openxmlformats.org/officeDocument/2006/relationships/worksheet" Target="/xl/worksheets/sheet4.xml" Id="R3d7ecc9e1ad349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753ffb67e7448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753ffb67e744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13a3b5baae04f2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Inventory Reorder &amp; Cost Control Tool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Operations and accounting teams need accurate stock levels, reorder alerts, inventory valuation, and stockout risk reporting.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SUMIFS stock movement logic, reorder point formulas, safety stock, inventory valuation, status flags, dashboard.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the file turns stock transactions into reorder decisions and inventory value reporting.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6" hidden="0" customWidth="1"/>
    <x:col min="11" max="11" width="25" hidden="0" customWidth="1"/>
  </x:cols>
  <x:sheetData>
    <x:row r="1" ht="30" customHeight="1">
      <x:c r="A1" s="48" t="str">
        <x:v>Item_ID</x:v>
      </x:c>
      <x:c r="B1" s="49" t="str">
        <x:v>Item_Name</x:v>
      </x:c>
      <x:c r="C1" s="49" t="str">
        <x:v>Category</x:v>
      </x:c>
      <x:c r="D1" s="49" t="str">
        <x:v>Unit_Cost</x:v>
      </x:c>
      <x:c r="E1" s="49" t="str">
        <x:v>Current_Stock</x:v>
      </x:c>
      <x:c r="F1" s="49" t="str">
        <x:v>Reorder_Point</x:v>
      </x:c>
      <x:c r="G1" s="49" t="str">
        <x:v>Safety_Stock</x:v>
      </x:c>
      <x:c r="H1" s="49" t="str">
        <x:v>Inventory_Value</x:v>
      </x:c>
      <x:c r="I1" s="49" t="str">
        <x:v>Reorder_Qty</x:v>
      </x:c>
      <x:c r="J1" s="49" t="str">
        <x:v>Stock_Status</x:v>
      </x:c>
      <x:c r="K1" s="50" t="str">
        <x:v>Action</x:v>
      </x:c>
    </x:row>
    <x:row r="2">
      <x:c r="A2" s="57" t="str">
        <x:v>ITEM-0001</x:v>
      </x:c>
      <x:c r="B2" s="58" t="str">
        <x:v>Product 1</x:v>
      </x:c>
      <x:c r="C2" s="58" t="str">
        <x:v>Supplies</x:v>
      </x:c>
      <x:c r="D2" s="78" t="n">
        <x:v>228.84</x:v>
      </x:c>
      <x:c r="E2" s="58" t="n">
        <x:v>205</x:v>
      </x:c>
      <x:c r="F2" s="58" t="n">
        <x:v>81</x:v>
      </x:c>
      <x:c r="G2" s="58" t="n">
        <x:v>29</x:v>
      </x:c>
      <x:c r="H2" s="78" t="n">
        <x:f>D2*E2</x:f>
        <x:v>46912.2</x:v>
      </x:c>
      <x:c r="I2" s="58" t="n">
        <x:f>MAX(0,(F2+G2)-E2)</x:f>
        <x:v>0</x:v>
      </x:c>
      <x:c r="J2" s="58" t="str">
        <x:f>IF(E2&lt;=G2,"Stockout Risk",IF(E2&lt;=F2,"Reorder",IF(E2&gt;F2*3,"Overstock","OK")))</x:f>
        <x:v>OK</x:v>
      </x:c>
      <x:c r="K2" s="59" t="str">
        <x:f>IF(J2="Stockout Risk","Urgent PO",IF(J2="Reorder","Create PO",IF(J2="Overstock","Review excess stock","No action")))</x:f>
        <x:v>No action</x:v>
      </x:c>
    </x:row>
    <x:row r="3">
      <x:c r="A3" s="57" t="str">
        <x:v>ITEM-0002</x:v>
      </x:c>
      <x:c r="B3" s="58" t="str">
        <x:v>Product 2</x:v>
      </x:c>
      <x:c r="C3" s="58" t="str">
        <x:v>Finished Goods</x:v>
      </x:c>
      <x:c r="D3" s="78" t="n">
        <x:v>8.79</x:v>
      </x:c>
      <x:c r="E3" s="58" t="n">
        <x:v>346</x:v>
      </x:c>
      <x:c r="F3" s="58" t="n">
        <x:v>142</x:v>
      </x:c>
      <x:c r="G3" s="58" t="n">
        <x:v>73</x:v>
      </x:c>
      <x:c r="H3" s="78" t="n">
        <x:f>D3*E3</x:f>
        <x:v>3041.3399999999997</x:v>
      </x:c>
      <x:c r="I3" s="58" t="n">
        <x:f>MAX(0,(F3+G3)-E3)</x:f>
        <x:v>0</x:v>
      </x:c>
      <x:c r="J3" s="58" t="str">
        <x:f>IF(E3&lt;=G3,"Stockout Risk",IF(E3&lt;=F3,"Reorder",IF(E3&gt;F3*3,"Overstock","OK")))</x:f>
        <x:v>OK</x:v>
      </x:c>
      <x:c r="K3" s="59" t="str">
        <x:f>IF(J3="Stockout Risk","Urgent PO",IF(J3="Reorder","Create PO",IF(J3="Overstock","Review excess stock","No action")))</x:f>
        <x:v>No action</x:v>
      </x:c>
    </x:row>
    <x:row r="4">
      <x:c r="A4" s="57" t="str">
        <x:v>ITEM-0003</x:v>
      </x:c>
      <x:c r="B4" s="58" t="str">
        <x:v>Product 3</x:v>
      </x:c>
      <x:c r="C4" s="58" t="str">
        <x:v>Raw Material</x:v>
      </x:c>
      <x:c r="D4" s="78" t="n">
        <x:v>191.84</x:v>
      </x:c>
      <x:c r="E4" s="58" t="n">
        <x:v>95</x:v>
      </x:c>
      <x:c r="F4" s="58" t="n">
        <x:v>158</x:v>
      </x:c>
      <x:c r="G4" s="58" t="n">
        <x:v>24</x:v>
      </x:c>
      <x:c r="H4" s="78" t="n">
        <x:f>D4*E4</x:f>
        <x:v>18224.8</x:v>
      </x:c>
      <x:c r="I4" s="58" t="n">
        <x:f>MAX(0,(F4+G4)-E4)</x:f>
        <x:v>87</x:v>
      </x:c>
      <x:c r="J4" s="58" t="str">
        <x:f>IF(E4&lt;=G4,"Stockout Risk",IF(E4&lt;=F4,"Reorder",IF(E4&gt;F4*3,"Overstock","OK")))</x:f>
        <x:v>Reorder</x:v>
      </x:c>
      <x:c r="K4" s="59" t="str">
        <x:f>IF(J4="Stockout Risk","Urgent PO",IF(J4="Reorder","Create PO",IF(J4="Overstock","Review excess stock","No action")))</x:f>
        <x:v>Create PO</x:v>
      </x:c>
    </x:row>
    <x:row r="5">
      <x:c r="A5" s="57" t="str">
        <x:v>ITEM-0004</x:v>
      </x:c>
      <x:c r="B5" s="58" t="str">
        <x:v>Product 4</x:v>
      </x:c>
      <x:c r="C5" s="58" t="str">
        <x:v>Parts</x:v>
      </x:c>
      <x:c r="D5" s="78" t="n">
        <x:v>248.54</x:v>
      </x:c>
      <x:c r="E5" s="58" t="n">
        <x:v>107</x:v>
      </x:c>
      <x:c r="F5" s="58" t="n">
        <x:v>82</x:v>
      </x:c>
      <x:c r="G5" s="58" t="n">
        <x:v>84</x:v>
      </x:c>
      <x:c r="H5" s="78" t="n">
        <x:f>D5*E5</x:f>
        <x:v>26593.78</x:v>
      </x:c>
      <x:c r="I5" s="58" t="n">
        <x:f>MAX(0,(F5+G5)-E5)</x:f>
        <x:v>59</x:v>
      </x:c>
      <x:c r="J5" s="58" t="str">
        <x:f>IF(E5&lt;=G5,"Stockout Risk",IF(E5&lt;=F5,"Reorder",IF(E5&gt;F5*3,"Overstock","OK")))</x:f>
        <x:v>OK</x:v>
      </x:c>
      <x:c r="K5" s="59" t="str">
        <x:f>IF(J5="Stockout Risk","Urgent PO",IF(J5="Reorder","Create PO",IF(J5="Overstock","Review excess stock","No action")))</x:f>
        <x:v>No action</x:v>
      </x:c>
    </x:row>
    <x:row r="6">
      <x:c r="A6" s="57" t="str">
        <x:v>ITEM-0005</x:v>
      </x:c>
      <x:c r="B6" s="58" t="str">
        <x:v>Product 5</x:v>
      </x:c>
      <x:c r="C6" s="58" t="str">
        <x:v>Raw Material</x:v>
      </x:c>
      <x:c r="D6" s="78" t="n">
        <x:v>83.24</x:v>
      </x:c>
      <x:c r="E6" s="58" t="n">
        <x:v>438</x:v>
      </x:c>
      <x:c r="F6" s="58" t="n">
        <x:v>89</x:v>
      </x:c>
      <x:c r="G6" s="58" t="n">
        <x:v>30</x:v>
      </x:c>
      <x:c r="H6" s="78" t="n">
        <x:f>D6*E6</x:f>
        <x:v>36459.119999999995</x:v>
      </x:c>
      <x:c r="I6" s="58" t="n">
        <x:f>MAX(0,(F6+G6)-E6)</x:f>
        <x:v>0</x:v>
      </x:c>
      <x:c r="J6" s="58" t="str">
        <x:f>IF(E6&lt;=G6,"Stockout Risk",IF(E6&lt;=F6,"Reorder",IF(E6&gt;F6*3,"Overstock","OK")))</x:f>
        <x:v>Overstock</x:v>
      </x:c>
      <x:c r="K6" s="59" t="str">
        <x:f>IF(J6="Stockout Risk","Urgent PO",IF(J6="Reorder","Create PO",IF(J6="Overstock","Review excess stock","No action")))</x:f>
        <x:v>Review excess stock</x:v>
      </x:c>
    </x:row>
    <x:row r="7">
      <x:c r="A7" s="57" t="str">
        <x:v>ITEM-0006</x:v>
      </x:c>
      <x:c r="B7" s="58" t="str">
        <x:v>Product 6</x:v>
      </x:c>
      <x:c r="C7" s="58" t="str">
        <x:v>Supplies</x:v>
      </x:c>
      <x:c r="D7" s="78" t="n">
        <x:v>118.22</x:v>
      </x:c>
      <x:c r="E7" s="58" t="n">
        <x:v>529</x:v>
      </x:c>
      <x:c r="F7" s="58" t="n">
        <x:v>63</x:v>
      </x:c>
      <x:c r="G7" s="58" t="n">
        <x:v>47</x:v>
      </x:c>
      <x:c r="H7" s="78" t="n">
        <x:f>D7*E7</x:f>
        <x:v>62538.38</x:v>
      </x:c>
      <x:c r="I7" s="58" t="n">
        <x:f>MAX(0,(F7+G7)-E7)</x:f>
        <x:v>0</x:v>
      </x:c>
      <x:c r="J7" s="58" t="str">
        <x:f>IF(E7&lt;=G7,"Stockout Risk",IF(E7&lt;=F7,"Reorder",IF(E7&gt;F7*3,"Overstock","OK")))</x:f>
        <x:v>Overstock</x:v>
      </x:c>
      <x:c r="K7" s="59" t="str">
        <x:f>IF(J7="Stockout Risk","Urgent PO",IF(J7="Reorder","Create PO",IF(J7="Overstock","Review excess stock","No action")))</x:f>
        <x:v>Review excess stock</x:v>
      </x:c>
    </x:row>
    <x:row r="8">
      <x:c r="A8" s="57" t="str">
        <x:v>ITEM-0007</x:v>
      </x:c>
      <x:c r="B8" s="58" t="str">
        <x:v>Product 7</x:v>
      </x:c>
      <x:c r="C8" s="58" t="str">
        <x:v>Supplies</x:v>
      </x:c>
      <x:c r="D8" s="78" t="n">
        <x:v>214.42</x:v>
      </x:c>
      <x:c r="E8" s="58" t="n">
        <x:v>205</x:v>
      </x:c>
      <x:c r="F8" s="58" t="n">
        <x:v>93</x:v>
      </x:c>
      <x:c r="G8" s="58" t="n">
        <x:v>23</x:v>
      </x:c>
      <x:c r="H8" s="78" t="n">
        <x:f>D8*E8</x:f>
        <x:v>43956.1</x:v>
      </x:c>
      <x:c r="I8" s="58" t="n">
        <x:f>MAX(0,(F8+G8)-E8)</x:f>
        <x:v>0</x:v>
      </x:c>
      <x:c r="J8" s="58" t="str">
        <x:f>IF(E8&lt;=G8,"Stockout Risk",IF(E8&lt;=F8,"Reorder",IF(E8&gt;F8*3,"Overstock","OK")))</x:f>
        <x:v>OK</x:v>
      </x:c>
      <x:c r="K8" s="59" t="str">
        <x:f>IF(J8="Stockout Risk","Urgent PO",IF(J8="Reorder","Create PO",IF(J8="Overstock","Review excess stock","No action")))</x:f>
        <x:v>No action</x:v>
      </x:c>
    </x:row>
    <x:row r="9">
      <x:c r="A9" s="57" t="str">
        <x:v>ITEM-0008</x:v>
      </x:c>
      <x:c r="B9" s="58" t="str">
        <x:v>Product 8</x:v>
      </x:c>
      <x:c r="C9" s="58" t="str">
        <x:v>Supplies</x:v>
      </x:c>
      <x:c r="D9" s="78" t="n">
        <x:v>132.77</x:v>
      </x:c>
      <x:c r="E9" s="58" t="n">
        <x:v>192</x:v>
      </x:c>
      <x:c r="F9" s="58" t="n">
        <x:v>90</x:v>
      </x:c>
      <x:c r="G9" s="58" t="n">
        <x:v>45</x:v>
      </x:c>
      <x:c r="H9" s="78" t="n">
        <x:f>D9*E9</x:f>
        <x:v>25491.840000000004</x:v>
      </x:c>
      <x:c r="I9" s="58" t="n">
        <x:f>MAX(0,(F9+G9)-E9)</x:f>
        <x:v>0</x:v>
      </x:c>
      <x:c r="J9" s="58" t="str">
        <x:f>IF(E9&lt;=G9,"Stockout Risk",IF(E9&lt;=F9,"Reorder",IF(E9&gt;F9*3,"Overstock","OK")))</x:f>
        <x:v>OK</x:v>
      </x:c>
      <x:c r="K9" s="59" t="str">
        <x:f>IF(J9="Stockout Risk","Urgent PO",IF(J9="Reorder","Create PO",IF(J9="Overstock","Review excess stock","No action")))</x:f>
        <x:v>No action</x:v>
      </x:c>
    </x:row>
    <x:row r="10">
      <x:c r="A10" s="57" t="str">
        <x:v>ITEM-0009</x:v>
      </x:c>
      <x:c r="B10" s="58" t="str">
        <x:v>Product 9</x:v>
      </x:c>
      <x:c r="C10" s="58" t="str">
        <x:v>Supplies</x:v>
      </x:c>
      <x:c r="D10" s="78" t="n">
        <x:v>43.52</x:v>
      </x:c>
      <x:c r="E10" s="58" t="n">
        <x:v>599</x:v>
      </x:c>
      <x:c r="F10" s="58" t="n">
        <x:v>91</x:v>
      </x:c>
      <x:c r="G10" s="58" t="n">
        <x:v>96</x:v>
      </x:c>
      <x:c r="H10" s="78" t="n">
        <x:f>D10*E10</x:f>
        <x:v>26068.480000000003</x:v>
      </x:c>
      <x:c r="I10" s="58" t="n">
        <x:f>MAX(0,(F10+G10)-E10)</x:f>
        <x:v>0</x:v>
      </x:c>
      <x:c r="J10" s="58" t="str">
        <x:f>IF(E10&lt;=G10,"Stockout Risk",IF(E10&lt;=F10,"Reorder",IF(E10&gt;F10*3,"Overstock","OK")))</x:f>
        <x:v>Overstock</x:v>
      </x:c>
      <x:c r="K10" s="59" t="str">
        <x:f>IF(J10="Stockout Risk","Urgent PO",IF(J10="Reorder","Create PO",IF(J10="Overstock","Review excess stock","No action")))</x:f>
        <x:v>Review excess stock</x:v>
      </x:c>
    </x:row>
    <x:row r="11">
      <x:c r="A11" s="57" t="str">
        <x:v>ITEM-0010</x:v>
      </x:c>
      <x:c r="B11" s="58" t="str">
        <x:v>Product 10</x:v>
      </x:c>
      <x:c r="C11" s="58" t="str">
        <x:v>Raw Material</x:v>
      </x:c>
      <x:c r="D11" s="78" t="n">
        <x:v>199.28</x:v>
      </x:c>
      <x:c r="E11" s="58" t="n">
        <x:v>574</x:v>
      </x:c>
      <x:c r="F11" s="58" t="n">
        <x:v>59</x:v>
      </x:c>
      <x:c r="G11" s="58" t="n">
        <x:v>59</x:v>
      </x:c>
      <x:c r="H11" s="78" t="n">
        <x:f>D11*E11</x:f>
        <x:v>114386.72</x:v>
      </x:c>
      <x:c r="I11" s="58" t="n">
        <x:f>MAX(0,(F11+G11)-E11)</x:f>
        <x:v>0</x:v>
      </x:c>
      <x:c r="J11" s="58" t="str">
        <x:f>IF(E11&lt;=G11,"Stockout Risk",IF(E11&lt;=F11,"Reorder",IF(E11&gt;F11*3,"Overstock","OK")))</x:f>
        <x:v>Overstock</x:v>
      </x:c>
      <x:c r="K11" s="59" t="str">
        <x:f>IF(J11="Stockout Risk","Urgent PO",IF(J11="Reorder","Create PO",IF(J11="Overstock","Review excess stock","No action")))</x:f>
        <x:v>Review excess stock</x:v>
      </x:c>
    </x:row>
    <x:row r="12">
      <x:c r="A12" s="57" t="str">
        <x:v>ITEM-0011</x:v>
      </x:c>
      <x:c r="B12" s="58" t="str">
        <x:v>Product 11</x:v>
      </x:c>
      <x:c r="C12" s="58" t="str">
        <x:v>Parts</x:v>
      </x:c>
      <x:c r="D12" s="78" t="n">
        <x:v>178.61</x:v>
      </x:c>
      <x:c r="E12" s="58" t="n">
        <x:v>359</x:v>
      </x:c>
      <x:c r="F12" s="58" t="n">
        <x:v>66</x:v>
      </x:c>
      <x:c r="G12" s="58" t="n">
        <x:v>44</x:v>
      </x:c>
      <x:c r="H12" s="78" t="n">
        <x:f>D12*E12</x:f>
        <x:v>64120.990000000005</x:v>
      </x:c>
      <x:c r="I12" s="58" t="n">
        <x:f>MAX(0,(F12+G12)-E12)</x:f>
        <x:v>0</x:v>
      </x:c>
      <x:c r="J12" s="58" t="str">
        <x:f>IF(E12&lt;=G12,"Stockout Risk",IF(E12&lt;=F12,"Reorder",IF(E12&gt;F12*3,"Overstock","OK")))</x:f>
        <x:v>Overstock</x:v>
      </x:c>
      <x:c r="K12" s="59" t="str">
        <x:f>IF(J12="Stockout Risk","Urgent PO",IF(J12="Reorder","Create PO",IF(J12="Overstock","Review excess stock","No action")))</x:f>
        <x:v>Review excess stock</x:v>
      </x:c>
    </x:row>
    <x:row r="13">
      <x:c r="A13" s="57" t="str">
        <x:v>ITEM-0012</x:v>
      </x:c>
      <x:c r="B13" s="58" t="str">
        <x:v>Product 12</x:v>
      </x:c>
      <x:c r="C13" s="58" t="str">
        <x:v>Parts</x:v>
      </x:c>
      <x:c r="D13" s="78" t="n">
        <x:v>136.37</x:v>
      </x:c>
      <x:c r="E13" s="58" t="n">
        <x:v>297</x:v>
      </x:c>
      <x:c r="F13" s="58" t="n">
        <x:v>158</x:v>
      </x:c>
      <x:c r="G13" s="58" t="n">
        <x:v>35</x:v>
      </x:c>
      <x:c r="H13" s="78" t="n">
        <x:f>D13*E13</x:f>
        <x:v>40501.89</x:v>
      </x:c>
      <x:c r="I13" s="58" t="n">
        <x:f>MAX(0,(F13+G13)-E13)</x:f>
        <x:v>0</x:v>
      </x:c>
      <x:c r="J13" s="58" t="str">
        <x:f>IF(E13&lt;=G13,"Stockout Risk",IF(E13&lt;=F13,"Reorder",IF(E13&gt;F13*3,"Overstock","OK")))</x:f>
        <x:v>OK</x:v>
      </x:c>
      <x:c r="K13" s="59" t="str">
        <x:f>IF(J13="Stockout Risk","Urgent PO",IF(J13="Reorder","Create PO",IF(J13="Overstock","Review excess stock","No action")))</x:f>
        <x:v>No action</x:v>
      </x:c>
    </x:row>
    <x:row r="14">
      <x:c r="A14" s="57" t="str">
        <x:v>ITEM-0013</x:v>
      </x:c>
      <x:c r="B14" s="58" t="str">
        <x:v>Product 13</x:v>
      </x:c>
      <x:c r="C14" s="58" t="str">
        <x:v>Raw Material</x:v>
      </x:c>
      <x:c r="D14" s="78" t="n">
        <x:v>161.5</x:v>
      </x:c>
      <x:c r="E14" s="58" t="n">
        <x:v>567</x:v>
      </x:c>
      <x:c r="F14" s="58" t="n">
        <x:v>204</x:v>
      </x:c>
      <x:c r="G14" s="58" t="n">
        <x:v>63</x:v>
      </x:c>
      <x:c r="H14" s="78" t="n">
        <x:f>D14*E14</x:f>
        <x:v>91570.5</x:v>
      </x:c>
      <x:c r="I14" s="58" t="n">
        <x:f>MAX(0,(F14+G14)-E14)</x:f>
        <x:v>0</x:v>
      </x:c>
      <x:c r="J14" s="58" t="str">
        <x:f>IF(E14&lt;=G14,"Stockout Risk",IF(E14&lt;=F14,"Reorder",IF(E14&gt;F14*3,"Overstock","OK")))</x:f>
        <x:v>OK</x:v>
      </x:c>
      <x:c r="K14" s="59" t="str">
        <x:f>IF(J14="Stockout Risk","Urgent PO",IF(J14="Reorder","Create PO",IF(J14="Overstock","Review excess stock","No action")))</x:f>
        <x:v>No action</x:v>
      </x:c>
    </x:row>
    <x:row r="15">
      <x:c r="A15" s="57" t="str">
        <x:v>ITEM-0014</x:v>
      </x:c>
      <x:c r="B15" s="58" t="str">
        <x:v>Product 14</x:v>
      </x:c>
      <x:c r="C15" s="58" t="str">
        <x:v>Raw Material</x:v>
      </x:c>
      <x:c r="D15" s="78" t="n">
        <x:v>13.73</x:v>
      </x:c>
      <x:c r="E15" s="58" t="n">
        <x:v>64</x:v>
      </x:c>
      <x:c r="F15" s="58" t="n">
        <x:v>187</x:v>
      </x:c>
      <x:c r="G15" s="58" t="n">
        <x:v>54</x:v>
      </x:c>
      <x:c r="H15" s="78" t="n">
        <x:f>D15*E15</x:f>
        <x:v>878.72</x:v>
      </x:c>
      <x:c r="I15" s="58" t="n">
        <x:f>MAX(0,(F15+G15)-E15)</x:f>
        <x:v>177</x:v>
      </x:c>
      <x:c r="J15" s="58" t="str">
        <x:f>IF(E15&lt;=G15,"Stockout Risk",IF(E15&lt;=F15,"Reorder",IF(E15&gt;F15*3,"Overstock","OK")))</x:f>
        <x:v>Reorder</x:v>
      </x:c>
      <x:c r="K15" s="59" t="str">
        <x:f>IF(J15="Stockout Risk","Urgent PO",IF(J15="Reorder","Create PO",IF(J15="Overstock","Review excess stock","No action")))</x:f>
        <x:v>Create PO</x:v>
      </x:c>
    </x:row>
    <x:row r="16">
      <x:c r="A16" s="57" t="str">
        <x:v>ITEM-0015</x:v>
      </x:c>
      <x:c r="B16" s="58" t="str">
        <x:v>Product 15</x:v>
      </x:c>
      <x:c r="C16" s="58" t="str">
        <x:v>Raw Material</x:v>
      </x:c>
      <x:c r="D16" s="78" t="n">
        <x:v>130.33</x:v>
      </x:c>
      <x:c r="E16" s="58" t="n">
        <x:v>302</x:v>
      </x:c>
      <x:c r="F16" s="58" t="n">
        <x:v>163</x:v>
      </x:c>
      <x:c r="G16" s="58" t="n">
        <x:v>87</x:v>
      </x:c>
      <x:c r="H16" s="78" t="n">
        <x:f>D16*E16</x:f>
        <x:v>39359.66</x:v>
      </x:c>
      <x:c r="I16" s="58" t="n">
        <x:f>MAX(0,(F16+G16)-E16)</x:f>
        <x:v>0</x:v>
      </x:c>
      <x:c r="J16" s="58" t="str">
        <x:f>IF(E16&lt;=G16,"Stockout Risk",IF(E16&lt;=F16,"Reorder",IF(E16&gt;F16*3,"Overstock","OK")))</x:f>
        <x:v>OK</x:v>
      </x:c>
      <x:c r="K16" s="59" t="str">
        <x:f>IF(J16="Stockout Risk","Urgent PO",IF(J16="Reorder","Create PO",IF(J16="Overstock","Review excess stock","No action")))</x:f>
        <x:v>No action</x:v>
      </x:c>
    </x:row>
    <x:row r="17">
      <x:c r="A17" s="57" t="str">
        <x:v>ITEM-0016</x:v>
      </x:c>
      <x:c r="B17" s="58" t="str">
        <x:v>Product 16</x:v>
      </x:c>
      <x:c r="C17" s="58" t="str">
        <x:v>Finished Goods</x:v>
      </x:c>
      <x:c r="D17" s="78" t="n">
        <x:v>208.05</x:v>
      </x:c>
      <x:c r="E17" s="58" t="n">
        <x:v>176</x:v>
      </x:c>
      <x:c r="F17" s="58" t="n">
        <x:v>148</x:v>
      </x:c>
      <x:c r="G17" s="58" t="n">
        <x:v>89</x:v>
      </x:c>
      <x:c r="H17" s="78" t="n">
        <x:f>D17*E17</x:f>
        <x:v>36616.8</x:v>
      </x:c>
      <x:c r="I17" s="58" t="n">
        <x:f>MAX(0,(F17+G17)-E17)</x:f>
        <x:v>61</x:v>
      </x:c>
      <x:c r="J17" s="58" t="str">
        <x:f>IF(E17&lt;=G17,"Stockout Risk",IF(E17&lt;=F17,"Reorder",IF(E17&gt;F17*3,"Overstock","OK")))</x:f>
        <x:v>OK</x:v>
      </x:c>
      <x:c r="K17" s="59" t="str">
        <x:f>IF(J17="Stockout Risk","Urgent PO",IF(J17="Reorder","Create PO",IF(J17="Overstock","Review excess stock","No action")))</x:f>
        <x:v>No action</x:v>
      </x:c>
    </x:row>
    <x:row r="18">
      <x:c r="A18" s="57" t="str">
        <x:v>ITEM-0017</x:v>
      </x:c>
      <x:c r="B18" s="58" t="str">
        <x:v>Product 17</x:v>
      </x:c>
      <x:c r="C18" s="58" t="str">
        <x:v>Finished Goods</x:v>
      </x:c>
      <x:c r="D18" s="78" t="n">
        <x:v>14.05</x:v>
      </x:c>
      <x:c r="E18" s="58" t="n">
        <x:v>403</x:v>
      </x:c>
      <x:c r="F18" s="58" t="n">
        <x:v>141</x:v>
      </x:c>
      <x:c r="G18" s="58" t="n">
        <x:v>83</x:v>
      </x:c>
      <x:c r="H18" s="78" t="n">
        <x:f>D18*E18</x:f>
        <x:v>5662.150000000001</x:v>
      </x:c>
      <x:c r="I18" s="58" t="n">
        <x:f>MAX(0,(F18+G18)-E18)</x:f>
        <x:v>0</x:v>
      </x:c>
      <x:c r="J18" s="58" t="str">
        <x:f>IF(E18&lt;=G18,"Stockout Risk",IF(E18&lt;=F18,"Reorder",IF(E18&gt;F18*3,"Overstock","OK")))</x:f>
        <x:v>OK</x:v>
      </x:c>
      <x:c r="K18" s="59" t="str">
        <x:f>IF(J18="Stockout Risk","Urgent PO",IF(J18="Reorder","Create PO",IF(J18="Overstock","Review excess stock","No action")))</x:f>
        <x:v>No action</x:v>
      </x:c>
    </x:row>
    <x:row r="19">
      <x:c r="A19" s="57" t="str">
        <x:v>ITEM-0018</x:v>
      </x:c>
      <x:c r="B19" s="58" t="str">
        <x:v>Product 18</x:v>
      </x:c>
      <x:c r="C19" s="58" t="str">
        <x:v>Finished Goods</x:v>
      </x:c>
      <x:c r="D19" s="78" t="n">
        <x:v>163</x:v>
      </x:c>
      <x:c r="E19" s="58" t="n">
        <x:v>577</x:v>
      </x:c>
      <x:c r="F19" s="58" t="n">
        <x:v>184</x:v>
      </x:c>
      <x:c r="G19" s="58" t="n">
        <x:v>80</x:v>
      </x:c>
      <x:c r="H19" s="78" t="n">
        <x:f>D19*E19</x:f>
        <x:v>94051</x:v>
      </x:c>
      <x:c r="I19" s="58" t="n">
        <x:f>MAX(0,(F19+G19)-E19)</x:f>
        <x:v>0</x:v>
      </x:c>
      <x:c r="J19" s="58" t="str">
        <x:f>IF(E19&lt;=G19,"Stockout Risk",IF(E19&lt;=F19,"Reorder",IF(E19&gt;F19*3,"Overstock","OK")))</x:f>
        <x:v>Overstock</x:v>
      </x:c>
      <x:c r="K19" s="59" t="str">
        <x:f>IF(J19="Stockout Risk","Urgent PO",IF(J19="Reorder","Create PO",IF(J19="Overstock","Review excess stock","No action")))</x:f>
        <x:v>Review excess stock</x:v>
      </x:c>
    </x:row>
    <x:row r="20">
      <x:c r="A20" s="57" t="str">
        <x:v>ITEM-0019</x:v>
      </x:c>
      <x:c r="B20" s="58" t="str">
        <x:v>Product 19</x:v>
      </x:c>
      <x:c r="C20" s="58" t="str">
        <x:v>Supplies</x:v>
      </x:c>
      <x:c r="D20" s="78" t="n">
        <x:v>247.59</x:v>
      </x:c>
      <x:c r="E20" s="58" t="n">
        <x:v>419</x:v>
      </x:c>
      <x:c r="F20" s="58" t="n">
        <x:v>87</x:v>
      </x:c>
      <x:c r="G20" s="58" t="n">
        <x:v>24</x:v>
      </x:c>
      <x:c r="H20" s="78" t="n">
        <x:f>D20*E20</x:f>
        <x:v>103740.21</x:v>
      </x:c>
      <x:c r="I20" s="58" t="n">
        <x:f>MAX(0,(F20+G20)-E20)</x:f>
        <x:v>0</x:v>
      </x:c>
      <x:c r="J20" s="58" t="str">
        <x:f>IF(E20&lt;=G20,"Stockout Risk",IF(E20&lt;=F20,"Reorder",IF(E20&gt;F20*3,"Overstock","OK")))</x:f>
        <x:v>Overstock</x:v>
      </x:c>
      <x:c r="K20" s="59" t="str">
        <x:f>IF(J20="Stockout Risk","Urgent PO",IF(J20="Reorder","Create PO",IF(J20="Overstock","Review excess stock","No action")))</x:f>
        <x:v>Review excess stock</x:v>
      </x:c>
    </x:row>
    <x:row r="21">
      <x:c r="A21" s="57" t="str">
        <x:v>ITEM-0020</x:v>
      </x:c>
      <x:c r="B21" s="58" t="str">
        <x:v>Product 20</x:v>
      </x:c>
      <x:c r="C21" s="58" t="str">
        <x:v>Supplies</x:v>
      </x:c>
      <x:c r="D21" s="78" t="n">
        <x:v>4.04</x:v>
      </x:c>
      <x:c r="E21" s="58" t="n">
        <x:v>536</x:v>
      </x:c>
      <x:c r="F21" s="58" t="n">
        <x:v>204</x:v>
      </x:c>
      <x:c r="G21" s="58" t="n">
        <x:v>24</x:v>
      </x:c>
      <x:c r="H21" s="78" t="n">
        <x:f>D21*E21</x:f>
        <x:v>2165.44</x:v>
      </x:c>
      <x:c r="I21" s="58" t="n">
        <x:f>MAX(0,(F21+G21)-E21)</x:f>
        <x:v>0</x:v>
      </x:c>
      <x:c r="J21" s="58" t="str">
        <x:f>IF(E21&lt;=G21,"Stockout Risk",IF(E21&lt;=F21,"Reorder",IF(E21&gt;F21*3,"Overstock","OK")))</x:f>
        <x:v>OK</x:v>
      </x:c>
      <x:c r="K21" s="59" t="str">
        <x:f>IF(J21="Stockout Risk","Urgent PO",IF(J21="Reorder","Create PO",IF(J21="Overstock","Review excess stock","No action")))</x:f>
        <x:v>No action</x:v>
      </x:c>
    </x:row>
    <x:row r="22">
      <x:c r="A22" s="57" t="str">
        <x:v>ITEM-0021</x:v>
      </x:c>
      <x:c r="B22" s="58" t="str">
        <x:v>Product 21</x:v>
      </x:c>
      <x:c r="C22" s="58" t="str">
        <x:v>Packaging</x:v>
      </x:c>
      <x:c r="D22" s="78" t="n">
        <x:v>170.51</x:v>
      </x:c>
      <x:c r="E22" s="58" t="n">
        <x:v>514</x:v>
      </x:c>
      <x:c r="F22" s="58" t="n">
        <x:v>206</x:v>
      </x:c>
      <x:c r="G22" s="58" t="n">
        <x:v>85</x:v>
      </x:c>
      <x:c r="H22" s="78" t="n">
        <x:f>D22*E22</x:f>
        <x:v>87642.14</x:v>
      </x:c>
      <x:c r="I22" s="58" t="n">
        <x:f>MAX(0,(F22+G22)-E22)</x:f>
        <x:v>0</x:v>
      </x:c>
      <x:c r="J22" s="58" t="str">
        <x:f>IF(E22&lt;=G22,"Stockout Risk",IF(E22&lt;=F22,"Reorder",IF(E22&gt;F22*3,"Overstock","OK")))</x:f>
        <x:v>OK</x:v>
      </x:c>
      <x:c r="K22" s="59" t="str">
        <x:f>IF(J22="Stockout Risk","Urgent PO",IF(J22="Reorder","Create PO",IF(J22="Overstock","Review excess stock","No action")))</x:f>
        <x:v>No action</x:v>
      </x:c>
    </x:row>
    <x:row r="23">
      <x:c r="A23" s="57" t="str">
        <x:v>ITEM-0022</x:v>
      </x:c>
      <x:c r="B23" s="58" t="str">
        <x:v>Product 22</x:v>
      </x:c>
      <x:c r="C23" s="58" t="str">
        <x:v>Raw Material</x:v>
      </x:c>
      <x:c r="D23" s="78" t="n">
        <x:v>3.43</x:v>
      </x:c>
      <x:c r="E23" s="58" t="n">
        <x:v>411</x:v>
      </x:c>
      <x:c r="F23" s="58" t="n">
        <x:v>93</x:v>
      </x:c>
      <x:c r="G23" s="58" t="n">
        <x:v>72</x:v>
      </x:c>
      <x:c r="H23" s="78" t="n">
        <x:f>D23*E23</x:f>
        <x:v>1409.73</x:v>
      </x:c>
      <x:c r="I23" s="58" t="n">
        <x:f>MAX(0,(F23+G23)-E23)</x:f>
        <x:v>0</x:v>
      </x:c>
      <x:c r="J23" s="58" t="str">
        <x:f>IF(E23&lt;=G23,"Stockout Risk",IF(E23&lt;=F23,"Reorder",IF(E23&gt;F23*3,"Overstock","OK")))</x:f>
        <x:v>Overstock</x:v>
      </x:c>
      <x:c r="K23" s="59" t="str">
        <x:f>IF(J23="Stockout Risk","Urgent PO",IF(J23="Reorder","Create PO",IF(J23="Overstock","Review excess stock","No action")))</x:f>
        <x:v>Review excess stock</x:v>
      </x:c>
    </x:row>
    <x:row r="24">
      <x:c r="A24" s="57" t="str">
        <x:v>ITEM-0023</x:v>
      </x:c>
      <x:c r="B24" s="58" t="str">
        <x:v>Product 23</x:v>
      </x:c>
      <x:c r="C24" s="58" t="str">
        <x:v>Packaging</x:v>
      </x:c>
      <x:c r="D24" s="78" t="n">
        <x:v>80.71</x:v>
      </x:c>
      <x:c r="E24" s="58" t="n">
        <x:v>583</x:v>
      </x:c>
      <x:c r="F24" s="58" t="n">
        <x:v>59</x:v>
      </x:c>
      <x:c r="G24" s="58" t="n">
        <x:v>21</x:v>
      </x:c>
      <x:c r="H24" s="78" t="n">
        <x:f>D24*E24</x:f>
        <x:v>47053.92999999999</x:v>
      </x:c>
      <x:c r="I24" s="58" t="n">
        <x:f>MAX(0,(F24+G24)-E24)</x:f>
        <x:v>0</x:v>
      </x:c>
      <x:c r="J24" s="58" t="str">
        <x:f>IF(E24&lt;=G24,"Stockout Risk",IF(E24&lt;=F24,"Reorder",IF(E24&gt;F24*3,"Overstock","OK")))</x:f>
        <x:v>Overstock</x:v>
      </x:c>
      <x:c r="K24" s="59" t="str">
        <x:f>IF(J24="Stockout Risk","Urgent PO",IF(J24="Reorder","Create PO",IF(J24="Overstock","Review excess stock","No action")))</x:f>
        <x:v>Review excess stock</x:v>
      </x:c>
    </x:row>
    <x:row r="25">
      <x:c r="A25" s="57" t="str">
        <x:v>ITEM-0024</x:v>
      </x:c>
      <x:c r="B25" s="58" t="str">
        <x:v>Product 24</x:v>
      </x:c>
      <x:c r="C25" s="58" t="str">
        <x:v>Packaging</x:v>
      </x:c>
      <x:c r="D25" s="78" t="n">
        <x:v>210.6</x:v>
      </x:c>
      <x:c r="E25" s="58" t="n">
        <x:v>548</x:v>
      </x:c>
      <x:c r="F25" s="58" t="n">
        <x:v>95</x:v>
      </x:c>
      <x:c r="G25" s="58" t="n">
        <x:v>50</x:v>
      </x:c>
      <x:c r="H25" s="78" t="n">
        <x:f>D25*E25</x:f>
        <x:v>115408.8</x:v>
      </x:c>
      <x:c r="I25" s="58" t="n">
        <x:f>MAX(0,(F25+G25)-E25)</x:f>
        <x:v>0</x:v>
      </x:c>
      <x:c r="J25" s="58" t="str">
        <x:f>IF(E25&lt;=G25,"Stockout Risk",IF(E25&lt;=F25,"Reorder",IF(E25&gt;F25*3,"Overstock","OK")))</x:f>
        <x:v>Overstock</x:v>
      </x:c>
      <x:c r="K25" s="59" t="str">
        <x:f>IF(J25="Stockout Risk","Urgent PO",IF(J25="Reorder","Create PO",IF(J25="Overstock","Review excess stock","No action")))</x:f>
        <x:v>Review excess stock</x:v>
      </x:c>
    </x:row>
    <x:row r="26">
      <x:c r="A26" s="57" t="str">
        <x:v>ITEM-0025</x:v>
      </x:c>
      <x:c r="B26" s="58" t="str">
        <x:v>Product 25</x:v>
      </x:c>
      <x:c r="C26" s="58" t="str">
        <x:v>Packaging</x:v>
      </x:c>
      <x:c r="D26" s="78" t="n">
        <x:v>99.44</x:v>
      </x:c>
      <x:c r="E26" s="58" t="n">
        <x:v>483</x:v>
      </x:c>
      <x:c r="F26" s="58" t="n">
        <x:v>77</x:v>
      </x:c>
      <x:c r="G26" s="58" t="n">
        <x:v>97</x:v>
      </x:c>
      <x:c r="H26" s="78" t="n">
        <x:f>D26*E26</x:f>
        <x:v>48029.52</x:v>
      </x:c>
      <x:c r="I26" s="58" t="n">
        <x:f>MAX(0,(F26+G26)-E26)</x:f>
        <x:v>0</x:v>
      </x:c>
      <x:c r="J26" s="58" t="str">
        <x:f>IF(E26&lt;=G26,"Stockout Risk",IF(E26&lt;=F26,"Reorder",IF(E26&gt;F26*3,"Overstock","OK")))</x:f>
        <x:v>Overstock</x:v>
      </x:c>
      <x:c r="K26" s="59" t="str">
        <x:f>IF(J26="Stockout Risk","Urgent PO",IF(J26="Reorder","Create PO",IF(J26="Overstock","Review excess stock","No action")))</x:f>
        <x:v>Review excess stock</x:v>
      </x:c>
    </x:row>
    <x:row r="27">
      <x:c r="A27" s="57" t="str">
        <x:v>ITEM-0026</x:v>
      </x:c>
      <x:c r="B27" s="58" t="str">
        <x:v>Product 26</x:v>
      </x:c>
      <x:c r="C27" s="58" t="str">
        <x:v>Packaging</x:v>
      </x:c>
      <x:c r="D27" s="78" t="n">
        <x:v>227.54</x:v>
      </x:c>
      <x:c r="E27" s="58" t="n">
        <x:v>161</x:v>
      </x:c>
      <x:c r="F27" s="58" t="n">
        <x:v>128</x:v>
      </x:c>
      <x:c r="G27" s="58" t="n">
        <x:v>33</x:v>
      </x:c>
      <x:c r="H27" s="78" t="n">
        <x:f>D27*E27</x:f>
        <x:v>36633.94</x:v>
      </x:c>
      <x:c r="I27" s="58" t="n">
        <x:f>MAX(0,(F27+G27)-E27)</x:f>
        <x:v>0</x:v>
      </x:c>
      <x:c r="J27" s="58" t="str">
        <x:f>IF(E27&lt;=G27,"Stockout Risk",IF(E27&lt;=F27,"Reorder",IF(E27&gt;F27*3,"Overstock","OK")))</x:f>
        <x:v>OK</x:v>
      </x:c>
      <x:c r="K27" s="59" t="str">
        <x:f>IF(J27="Stockout Risk","Urgent PO",IF(J27="Reorder","Create PO",IF(J27="Overstock","Review excess stock","No action")))</x:f>
        <x:v>No action</x:v>
      </x:c>
    </x:row>
    <x:row r="28">
      <x:c r="A28" s="57" t="str">
        <x:v>ITEM-0027</x:v>
      </x:c>
      <x:c r="B28" s="58" t="str">
        <x:v>Product 27</x:v>
      </x:c>
      <x:c r="C28" s="58" t="str">
        <x:v>Parts</x:v>
      </x:c>
      <x:c r="D28" s="78" t="n">
        <x:v>158.93</x:v>
      </x:c>
      <x:c r="E28" s="58" t="n">
        <x:v>169</x:v>
      </x:c>
      <x:c r="F28" s="58" t="n">
        <x:v>69</x:v>
      </x:c>
      <x:c r="G28" s="58" t="n">
        <x:v>24</x:v>
      </x:c>
      <x:c r="H28" s="78" t="n">
        <x:f>D28*E28</x:f>
        <x:v>26859.170000000002</x:v>
      </x:c>
      <x:c r="I28" s="58" t="n">
        <x:f>MAX(0,(F28+G28)-E28)</x:f>
        <x:v>0</x:v>
      </x:c>
      <x:c r="J28" s="58" t="str">
        <x:f>IF(E28&lt;=G28,"Stockout Risk",IF(E28&lt;=F28,"Reorder",IF(E28&gt;F28*3,"Overstock","OK")))</x:f>
        <x:v>OK</x:v>
      </x:c>
      <x:c r="K28" s="59" t="str">
        <x:f>IF(J28="Stockout Risk","Urgent PO",IF(J28="Reorder","Create PO",IF(J28="Overstock","Review excess stock","No action")))</x:f>
        <x:v>No action</x:v>
      </x:c>
    </x:row>
    <x:row r="29">
      <x:c r="A29" s="57" t="str">
        <x:v>ITEM-0028</x:v>
      </x:c>
      <x:c r="B29" s="58" t="str">
        <x:v>Product 28</x:v>
      </x:c>
      <x:c r="C29" s="58" t="str">
        <x:v>Packaging</x:v>
      </x:c>
      <x:c r="D29" s="78" t="n">
        <x:v>6.14</x:v>
      </x:c>
      <x:c r="E29" s="58" t="n">
        <x:v>286</x:v>
      </x:c>
      <x:c r="F29" s="58" t="n">
        <x:v>183</x:v>
      </x:c>
      <x:c r="G29" s="58" t="n">
        <x:v>69</x:v>
      </x:c>
      <x:c r="H29" s="78" t="n">
        <x:f>D29*E29</x:f>
        <x:v>1756.04</x:v>
      </x:c>
      <x:c r="I29" s="58" t="n">
        <x:f>MAX(0,(F29+G29)-E29)</x:f>
        <x:v>0</x:v>
      </x:c>
      <x:c r="J29" s="58" t="str">
        <x:f>IF(E29&lt;=G29,"Stockout Risk",IF(E29&lt;=F29,"Reorder",IF(E29&gt;F29*3,"Overstock","OK")))</x:f>
        <x:v>OK</x:v>
      </x:c>
      <x:c r="K29" s="59" t="str">
        <x:f>IF(J29="Stockout Risk","Urgent PO",IF(J29="Reorder","Create PO",IF(J29="Overstock","Review excess stock","No action")))</x:f>
        <x:v>No action</x:v>
      </x:c>
    </x:row>
    <x:row r="30">
      <x:c r="A30" s="57" t="str">
        <x:v>ITEM-0029</x:v>
      </x:c>
      <x:c r="B30" s="58" t="str">
        <x:v>Product 29</x:v>
      </x:c>
      <x:c r="C30" s="58" t="str">
        <x:v>Packaging</x:v>
      </x:c>
      <x:c r="D30" s="78" t="n">
        <x:v>5.82</x:v>
      </x:c>
      <x:c r="E30" s="58" t="n">
        <x:v>373</x:v>
      </x:c>
      <x:c r="F30" s="58" t="n">
        <x:v>147</x:v>
      </x:c>
      <x:c r="G30" s="58" t="n">
        <x:v>90</x:v>
      </x:c>
      <x:c r="H30" s="78" t="n">
        <x:f>D30*E30</x:f>
        <x:v>2170.86</x:v>
      </x:c>
      <x:c r="I30" s="58" t="n">
        <x:f>MAX(0,(F30+G30)-E30)</x:f>
        <x:v>0</x:v>
      </x:c>
      <x:c r="J30" s="58" t="str">
        <x:f>IF(E30&lt;=G30,"Stockout Risk",IF(E30&lt;=F30,"Reorder",IF(E30&gt;F30*3,"Overstock","OK")))</x:f>
        <x:v>OK</x:v>
      </x:c>
      <x:c r="K30" s="59" t="str">
        <x:f>IF(J30="Stockout Risk","Urgent PO",IF(J30="Reorder","Create PO",IF(J30="Overstock","Review excess stock","No action")))</x:f>
        <x:v>No action</x:v>
      </x:c>
    </x:row>
    <x:row r="31">
      <x:c r="A31" s="57" t="str">
        <x:v>ITEM-0030</x:v>
      </x:c>
      <x:c r="B31" s="58" t="str">
        <x:v>Product 30</x:v>
      </x:c>
      <x:c r="C31" s="58" t="str">
        <x:v>Raw Material</x:v>
      </x:c>
      <x:c r="D31" s="78" t="n">
        <x:v>204.5</x:v>
      </x:c>
      <x:c r="E31" s="58" t="n">
        <x:v>531</x:v>
      </x:c>
      <x:c r="F31" s="58" t="n">
        <x:v>52</x:v>
      </x:c>
      <x:c r="G31" s="58" t="n">
        <x:v>56</x:v>
      </x:c>
      <x:c r="H31" s="78" t="n">
        <x:f>D31*E31</x:f>
        <x:v>108589.5</x:v>
      </x:c>
      <x:c r="I31" s="58" t="n">
        <x:f>MAX(0,(F31+G31)-E31)</x:f>
        <x:v>0</x:v>
      </x:c>
      <x:c r="J31" s="58" t="str">
        <x:f>IF(E31&lt;=G31,"Stockout Risk",IF(E31&lt;=F31,"Reorder",IF(E31&gt;F31*3,"Overstock","OK")))</x:f>
        <x:v>Overstock</x:v>
      </x:c>
      <x:c r="K31" s="59" t="str">
        <x:f>IF(J31="Stockout Risk","Urgent PO",IF(J31="Reorder","Create PO",IF(J31="Overstock","Review excess stock","No action")))</x:f>
        <x:v>Review excess stock</x:v>
      </x:c>
    </x:row>
    <x:row r="32">
      <x:c r="A32" s="57" t="str">
        <x:v>ITEM-0031</x:v>
      </x:c>
      <x:c r="B32" s="58" t="str">
        <x:v>Product 31</x:v>
      </x:c>
      <x:c r="C32" s="58" t="str">
        <x:v>Parts</x:v>
      </x:c>
      <x:c r="D32" s="78" t="n">
        <x:v>112.59</x:v>
      </x:c>
      <x:c r="E32" s="58" t="n">
        <x:v>144</x:v>
      </x:c>
      <x:c r="F32" s="58" t="n">
        <x:v>63</x:v>
      </x:c>
      <x:c r="G32" s="58" t="n">
        <x:v>36</x:v>
      </x:c>
      <x:c r="H32" s="78" t="n">
        <x:f>D32*E32</x:f>
        <x:v>16212.960000000001</x:v>
      </x:c>
      <x:c r="I32" s="58" t="n">
        <x:f>MAX(0,(F32+G32)-E32)</x:f>
        <x:v>0</x:v>
      </x:c>
      <x:c r="J32" s="58" t="str">
        <x:f>IF(E32&lt;=G32,"Stockout Risk",IF(E32&lt;=F32,"Reorder",IF(E32&gt;F32*3,"Overstock","OK")))</x:f>
        <x:v>OK</x:v>
      </x:c>
      <x:c r="K32" s="59" t="str">
        <x:f>IF(J32="Stockout Risk","Urgent PO",IF(J32="Reorder","Create PO",IF(J32="Overstock","Review excess stock","No action")))</x:f>
        <x:v>No action</x:v>
      </x:c>
    </x:row>
    <x:row r="33">
      <x:c r="A33" s="57" t="str">
        <x:v>ITEM-0032</x:v>
      </x:c>
      <x:c r="B33" s="58" t="str">
        <x:v>Product 32</x:v>
      </x:c>
      <x:c r="C33" s="58" t="str">
        <x:v>Parts</x:v>
      </x:c>
      <x:c r="D33" s="78" t="n">
        <x:v>215.92</x:v>
      </x:c>
      <x:c r="E33" s="58" t="n">
        <x:v>441</x:v>
      </x:c>
      <x:c r="F33" s="58" t="n">
        <x:v>147</x:v>
      </x:c>
      <x:c r="G33" s="58" t="n">
        <x:v>82</x:v>
      </x:c>
      <x:c r="H33" s="78" t="n">
        <x:f>D33*E33</x:f>
        <x:v>95220.72</x:v>
      </x:c>
      <x:c r="I33" s="58" t="n">
        <x:f>MAX(0,(F33+G33)-E33)</x:f>
        <x:v>0</x:v>
      </x:c>
      <x:c r="J33" s="58" t="str">
        <x:f>IF(E33&lt;=G33,"Stockout Risk",IF(E33&lt;=F33,"Reorder",IF(E33&gt;F33*3,"Overstock","OK")))</x:f>
        <x:v>OK</x:v>
      </x:c>
      <x:c r="K33" s="59" t="str">
        <x:f>IF(J33="Stockout Risk","Urgent PO",IF(J33="Reorder","Create PO",IF(J33="Overstock","Review excess stock","No action")))</x:f>
        <x:v>No action</x:v>
      </x:c>
    </x:row>
    <x:row r="34">
      <x:c r="A34" s="57" t="str">
        <x:v>ITEM-0033</x:v>
      </x:c>
      <x:c r="B34" s="58" t="str">
        <x:v>Product 33</x:v>
      </x:c>
      <x:c r="C34" s="58" t="str">
        <x:v>Supplies</x:v>
      </x:c>
      <x:c r="D34" s="78" t="n">
        <x:v>106.26</x:v>
      </x:c>
      <x:c r="E34" s="58" t="n">
        <x:v>441</x:v>
      </x:c>
      <x:c r="F34" s="58" t="n">
        <x:v>64</x:v>
      </x:c>
      <x:c r="G34" s="58" t="n">
        <x:v>55</x:v>
      </x:c>
      <x:c r="H34" s="78" t="n">
        <x:f>D34*E34</x:f>
        <x:v>46860.66</x:v>
      </x:c>
      <x:c r="I34" s="58" t="n">
        <x:f>MAX(0,(F34+G34)-E34)</x:f>
        <x:v>0</x:v>
      </x:c>
      <x:c r="J34" s="58" t="str">
        <x:f>IF(E34&lt;=G34,"Stockout Risk",IF(E34&lt;=F34,"Reorder",IF(E34&gt;F34*3,"Overstock","OK")))</x:f>
        <x:v>Overstock</x:v>
      </x:c>
      <x:c r="K34" s="59" t="str">
        <x:f>IF(J34="Stockout Risk","Urgent PO",IF(J34="Reorder","Create PO",IF(J34="Overstock","Review excess stock","No action")))</x:f>
        <x:v>Review excess stock</x:v>
      </x:c>
    </x:row>
    <x:row r="35">
      <x:c r="A35" s="57" t="str">
        <x:v>ITEM-0034</x:v>
      </x:c>
      <x:c r="B35" s="58" t="str">
        <x:v>Product 34</x:v>
      </x:c>
      <x:c r="C35" s="58" t="str">
        <x:v>Supplies</x:v>
      </x:c>
      <x:c r="D35" s="78" t="n">
        <x:v>245.09</x:v>
      </x:c>
      <x:c r="E35" s="58" t="n">
        <x:v>378</x:v>
      </x:c>
      <x:c r="F35" s="58" t="n">
        <x:v>247</x:v>
      </x:c>
      <x:c r="G35" s="58" t="n">
        <x:v>62</x:v>
      </x:c>
      <x:c r="H35" s="78" t="n">
        <x:f>D35*E35</x:f>
        <x:v>92644.02</x:v>
      </x:c>
      <x:c r="I35" s="58" t="n">
        <x:f>MAX(0,(F35+G35)-E35)</x:f>
        <x:v>0</x:v>
      </x:c>
      <x:c r="J35" s="58" t="str">
        <x:f>IF(E35&lt;=G35,"Stockout Risk",IF(E35&lt;=F35,"Reorder",IF(E35&gt;F35*3,"Overstock","OK")))</x:f>
        <x:v>OK</x:v>
      </x:c>
      <x:c r="K35" s="59" t="str">
        <x:f>IF(J35="Stockout Risk","Urgent PO",IF(J35="Reorder","Create PO",IF(J35="Overstock","Review excess stock","No action")))</x:f>
        <x:v>No action</x:v>
      </x:c>
    </x:row>
    <x:row r="36">
      <x:c r="A36" s="57" t="str">
        <x:v>ITEM-0035</x:v>
      </x:c>
      <x:c r="B36" s="58" t="str">
        <x:v>Product 35</x:v>
      </x:c>
      <x:c r="C36" s="58" t="str">
        <x:v>Parts</x:v>
      </x:c>
      <x:c r="D36" s="78" t="n">
        <x:v>222.12</x:v>
      </x:c>
      <x:c r="E36" s="58" t="n">
        <x:v>441</x:v>
      </x:c>
      <x:c r="F36" s="58" t="n">
        <x:v>158</x:v>
      </x:c>
      <x:c r="G36" s="58" t="n">
        <x:v>26</x:v>
      </x:c>
      <x:c r="H36" s="78" t="n">
        <x:f>D36*E36</x:f>
        <x:v>97954.92</x:v>
      </x:c>
      <x:c r="I36" s="58" t="n">
        <x:f>MAX(0,(F36+G36)-E36)</x:f>
        <x:v>0</x:v>
      </x:c>
      <x:c r="J36" s="58" t="str">
        <x:f>IF(E36&lt;=G36,"Stockout Risk",IF(E36&lt;=F36,"Reorder",IF(E36&gt;F36*3,"Overstock","OK")))</x:f>
        <x:v>OK</x:v>
      </x:c>
      <x:c r="K36" s="59" t="str">
        <x:f>IF(J36="Stockout Risk","Urgent PO",IF(J36="Reorder","Create PO",IF(J36="Overstock","Review excess stock","No action")))</x:f>
        <x:v>No action</x:v>
      </x:c>
    </x:row>
    <x:row r="37">
      <x:c r="A37" s="57" t="str">
        <x:v>ITEM-0036</x:v>
      </x:c>
      <x:c r="B37" s="58" t="str">
        <x:v>Product 36</x:v>
      </x:c>
      <x:c r="C37" s="58" t="str">
        <x:v>Packaging</x:v>
      </x:c>
      <x:c r="D37" s="78" t="n">
        <x:v>155.39</x:v>
      </x:c>
      <x:c r="E37" s="58" t="n">
        <x:v>274</x:v>
      </x:c>
      <x:c r="F37" s="58" t="n">
        <x:v>134</x:v>
      </x:c>
      <x:c r="G37" s="58" t="n">
        <x:v>65</x:v>
      </x:c>
      <x:c r="H37" s="78" t="n">
        <x:f>D37*E37</x:f>
        <x:v>42576.85999999999</x:v>
      </x:c>
      <x:c r="I37" s="58" t="n">
        <x:f>MAX(0,(F37+G37)-E37)</x:f>
        <x:v>0</x:v>
      </x:c>
      <x:c r="J37" s="58" t="str">
        <x:f>IF(E37&lt;=G37,"Stockout Risk",IF(E37&lt;=F37,"Reorder",IF(E37&gt;F37*3,"Overstock","OK")))</x:f>
        <x:v>OK</x:v>
      </x:c>
      <x:c r="K37" s="59" t="str">
        <x:f>IF(J37="Stockout Risk","Urgent PO",IF(J37="Reorder","Create PO",IF(J37="Overstock","Review excess stock","No action")))</x:f>
        <x:v>No action</x:v>
      </x:c>
    </x:row>
    <x:row r="38">
      <x:c r="A38" s="57" t="str">
        <x:v>ITEM-0037</x:v>
      </x:c>
      <x:c r="B38" s="58" t="str">
        <x:v>Product 37</x:v>
      </x:c>
      <x:c r="C38" s="58" t="str">
        <x:v>Supplies</x:v>
      </x:c>
      <x:c r="D38" s="78" t="n">
        <x:v>57.59</x:v>
      </x:c>
      <x:c r="E38" s="58" t="n">
        <x:v>371</x:v>
      </x:c>
      <x:c r="F38" s="58" t="n">
        <x:v>125</x:v>
      </x:c>
      <x:c r="G38" s="58" t="n">
        <x:v>24</x:v>
      </x:c>
      <x:c r="H38" s="78" t="n">
        <x:f>D38*E38</x:f>
        <x:v>21365.890000000003</x:v>
      </x:c>
      <x:c r="I38" s="58" t="n">
        <x:f>MAX(0,(F38+G38)-E38)</x:f>
        <x:v>0</x:v>
      </x:c>
      <x:c r="J38" s="58" t="str">
        <x:f>IF(E38&lt;=G38,"Stockout Risk",IF(E38&lt;=F38,"Reorder",IF(E38&gt;F38*3,"Overstock","OK")))</x:f>
        <x:v>OK</x:v>
      </x:c>
      <x:c r="K38" s="59" t="str">
        <x:f>IF(J38="Stockout Risk","Urgent PO",IF(J38="Reorder","Create PO",IF(J38="Overstock","Review excess stock","No action")))</x:f>
        <x:v>No action</x:v>
      </x:c>
    </x:row>
    <x:row r="39">
      <x:c r="A39" s="57" t="str">
        <x:v>ITEM-0038</x:v>
      </x:c>
      <x:c r="B39" s="58" t="str">
        <x:v>Product 38</x:v>
      </x:c>
      <x:c r="C39" s="58" t="str">
        <x:v>Parts</x:v>
      </x:c>
      <x:c r="D39" s="78" t="n">
        <x:v>122.75</x:v>
      </x:c>
      <x:c r="E39" s="58" t="n">
        <x:v>419</x:v>
      </x:c>
      <x:c r="F39" s="58" t="n">
        <x:v>159</x:v>
      </x:c>
      <x:c r="G39" s="58" t="n">
        <x:v>95</x:v>
      </x:c>
      <x:c r="H39" s="78" t="n">
        <x:f>D39*E39</x:f>
        <x:v>51432.25</x:v>
      </x:c>
      <x:c r="I39" s="58" t="n">
        <x:f>MAX(0,(F39+G39)-E39)</x:f>
        <x:v>0</x:v>
      </x:c>
      <x:c r="J39" s="58" t="str">
        <x:f>IF(E39&lt;=G39,"Stockout Risk",IF(E39&lt;=F39,"Reorder",IF(E39&gt;F39*3,"Overstock","OK")))</x:f>
        <x:v>OK</x:v>
      </x:c>
      <x:c r="K39" s="59" t="str">
        <x:f>IF(J39="Stockout Risk","Urgent PO",IF(J39="Reorder","Create PO",IF(J39="Overstock","Review excess stock","No action")))</x:f>
        <x:v>No action</x:v>
      </x:c>
    </x:row>
    <x:row r="40">
      <x:c r="A40" s="57" t="str">
        <x:v>ITEM-0039</x:v>
      </x:c>
      <x:c r="B40" s="58" t="str">
        <x:v>Product 39</x:v>
      </x:c>
      <x:c r="C40" s="58" t="str">
        <x:v>Parts</x:v>
      </x:c>
      <x:c r="D40" s="78" t="n">
        <x:v>191.51</x:v>
      </x:c>
      <x:c r="E40" s="58" t="n">
        <x:v>480</x:v>
      </x:c>
      <x:c r="F40" s="58" t="n">
        <x:v>173</x:v>
      </x:c>
      <x:c r="G40" s="58" t="n">
        <x:v>82</x:v>
      </x:c>
      <x:c r="H40" s="78" t="n">
        <x:f>D40*E40</x:f>
        <x:v>91924.79999999999</x:v>
      </x:c>
      <x:c r="I40" s="58" t="n">
        <x:f>MAX(0,(F40+G40)-E40)</x:f>
        <x:v>0</x:v>
      </x:c>
      <x:c r="J40" s="58" t="str">
        <x:f>IF(E40&lt;=G40,"Stockout Risk",IF(E40&lt;=F40,"Reorder",IF(E40&gt;F40*3,"Overstock","OK")))</x:f>
        <x:v>OK</x:v>
      </x:c>
      <x:c r="K40" s="59" t="str">
        <x:f>IF(J40="Stockout Risk","Urgent PO",IF(J40="Reorder","Create PO",IF(J40="Overstock","Review excess stock","No action")))</x:f>
        <x:v>No action</x:v>
      </x:c>
    </x:row>
    <x:row r="41">
      <x:c r="A41" s="57" t="str">
        <x:v>ITEM-0040</x:v>
      </x:c>
      <x:c r="B41" s="58" t="str">
        <x:v>Product 40</x:v>
      </x:c>
      <x:c r="C41" s="58" t="str">
        <x:v>Packaging</x:v>
      </x:c>
      <x:c r="D41" s="78" t="n">
        <x:v>184.37</x:v>
      </x:c>
      <x:c r="E41" s="58" t="n">
        <x:v>40</x:v>
      </x:c>
      <x:c r="F41" s="58" t="n">
        <x:v>235</x:v>
      </x:c>
      <x:c r="G41" s="58" t="n">
        <x:v>71</x:v>
      </x:c>
      <x:c r="H41" s="78" t="n">
        <x:f>D41*E41</x:f>
        <x:v>7374.8</x:v>
      </x:c>
      <x:c r="I41" s="58" t="n">
        <x:f>MAX(0,(F41+G41)-E41)</x:f>
        <x:v>266</x:v>
      </x:c>
      <x:c r="J41" s="58" t="str">
        <x:f>IF(E41&lt;=G41,"Stockout Risk",IF(E41&lt;=F41,"Reorder",IF(E41&gt;F41*3,"Overstock","OK")))</x:f>
        <x:v>Stockout Risk</x:v>
      </x:c>
      <x:c r="K41" s="59" t="str">
        <x:f>IF(J41="Stockout Risk","Urgent PO",IF(J41="Reorder","Create PO",IF(J41="Overstock","Review excess stock","No action")))</x:f>
        <x:v>Urgent PO</x:v>
      </x:c>
    </x:row>
    <x:row r="42">
      <x:c r="A42" s="57" t="str">
        <x:v>ITEM-0041</x:v>
      </x:c>
      <x:c r="B42" s="58" t="str">
        <x:v>Product 41</x:v>
      </x:c>
      <x:c r="C42" s="58" t="str">
        <x:v>Parts</x:v>
      </x:c>
      <x:c r="D42" s="78" t="n">
        <x:v>114.39</x:v>
      </x:c>
      <x:c r="E42" s="58" t="n">
        <x:v>281</x:v>
      </x:c>
      <x:c r="F42" s="58" t="n">
        <x:v>204</x:v>
      </x:c>
      <x:c r="G42" s="58" t="n">
        <x:v>88</x:v>
      </x:c>
      <x:c r="H42" s="78" t="n">
        <x:f>D42*E42</x:f>
        <x:v>32143.59</x:v>
      </x:c>
      <x:c r="I42" s="58" t="n">
        <x:f>MAX(0,(F42+G42)-E42)</x:f>
        <x:v>11</x:v>
      </x:c>
      <x:c r="J42" s="58" t="str">
        <x:f>IF(E42&lt;=G42,"Stockout Risk",IF(E42&lt;=F42,"Reorder",IF(E42&gt;F42*3,"Overstock","OK")))</x:f>
        <x:v>OK</x:v>
      </x:c>
      <x:c r="K42" s="59" t="str">
        <x:f>IF(J42="Stockout Risk","Urgent PO",IF(J42="Reorder","Create PO",IF(J42="Overstock","Review excess stock","No action")))</x:f>
        <x:v>No action</x:v>
      </x:c>
    </x:row>
    <x:row r="43">
      <x:c r="A43" s="57" t="str">
        <x:v>ITEM-0042</x:v>
      </x:c>
      <x:c r="B43" s="58" t="str">
        <x:v>Product 42</x:v>
      </x:c>
      <x:c r="C43" s="58" t="str">
        <x:v>Supplies</x:v>
      </x:c>
      <x:c r="D43" s="78" t="n">
        <x:v>161.63</x:v>
      </x:c>
      <x:c r="E43" s="58" t="n">
        <x:v>23</x:v>
      </x:c>
      <x:c r="F43" s="58" t="n">
        <x:v>59</x:v>
      </x:c>
      <x:c r="G43" s="58" t="n">
        <x:v>99</x:v>
      </x:c>
      <x:c r="H43" s="78" t="n">
        <x:f>D43*E43</x:f>
        <x:v>3717.49</x:v>
      </x:c>
      <x:c r="I43" s="58" t="n">
        <x:f>MAX(0,(F43+G43)-E43)</x:f>
        <x:v>135</x:v>
      </x:c>
      <x:c r="J43" s="58" t="str">
        <x:f>IF(E43&lt;=G43,"Stockout Risk",IF(E43&lt;=F43,"Reorder",IF(E43&gt;F43*3,"Overstock","OK")))</x:f>
        <x:v>Stockout Risk</x:v>
      </x:c>
      <x:c r="K43" s="59" t="str">
        <x:f>IF(J43="Stockout Risk","Urgent PO",IF(J43="Reorder","Create PO",IF(J43="Overstock","Review excess stock","No action")))</x:f>
        <x:v>Urgent PO</x:v>
      </x:c>
    </x:row>
    <x:row r="44">
      <x:c r="A44" s="57" t="str">
        <x:v>ITEM-0043</x:v>
      </x:c>
      <x:c r="B44" s="58" t="str">
        <x:v>Product 43</x:v>
      </x:c>
      <x:c r="C44" s="58" t="str">
        <x:v>Parts</x:v>
      </x:c>
      <x:c r="D44" s="78" t="n">
        <x:v>21.73</x:v>
      </x:c>
      <x:c r="E44" s="58" t="n">
        <x:v>450</x:v>
      </x:c>
      <x:c r="F44" s="58" t="n">
        <x:v>65</x:v>
      </x:c>
      <x:c r="G44" s="58" t="n">
        <x:v>88</x:v>
      </x:c>
      <x:c r="H44" s="78" t="n">
        <x:f>D44*E44</x:f>
        <x:v>9778.5</x:v>
      </x:c>
      <x:c r="I44" s="58" t="n">
        <x:f>MAX(0,(F44+G44)-E44)</x:f>
        <x:v>0</x:v>
      </x:c>
      <x:c r="J44" s="58" t="str">
        <x:f>IF(E44&lt;=G44,"Stockout Risk",IF(E44&lt;=F44,"Reorder",IF(E44&gt;F44*3,"Overstock","OK")))</x:f>
        <x:v>Overstock</x:v>
      </x:c>
      <x:c r="K44" s="59" t="str">
        <x:f>IF(J44="Stockout Risk","Urgent PO",IF(J44="Reorder","Create PO",IF(J44="Overstock","Review excess stock","No action")))</x:f>
        <x:v>Review excess stock</x:v>
      </x:c>
    </x:row>
    <x:row r="45">
      <x:c r="A45" s="57" t="str">
        <x:v>ITEM-0044</x:v>
      </x:c>
      <x:c r="B45" s="58" t="str">
        <x:v>Product 44</x:v>
      </x:c>
      <x:c r="C45" s="58" t="str">
        <x:v>Packaging</x:v>
      </x:c>
      <x:c r="D45" s="78" t="n">
        <x:v>246.85</x:v>
      </x:c>
      <x:c r="E45" s="58" t="n">
        <x:v>373</x:v>
      </x:c>
      <x:c r="F45" s="58" t="n">
        <x:v>208</x:v>
      </x:c>
      <x:c r="G45" s="58" t="n">
        <x:v>60</x:v>
      </x:c>
      <x:c r="H45" s="78" t="n">
        <x:f>D45*E45</x:f>
        <x:v>92075.05</x:v>
      </x:c>
      <x:c r="I45" s="58" t="n">
        <x:f>MAX(0,(F45+G45)-E45)</x:f>
        <x:v>0</x:v>
      </x:c>
      <x:c r="J45" s="58" t="str">
        <x:f>IF(E45&lt;=G45,"Stockout Risk",IF(E45&lt;=F45,"Reorder",IF(E45&gt;F45*3,"Overstock","OK")))</x:f>
        <x:v>OK</x:v>
      </x:c>
      <x:c r="K45" s="59" t="str">
        <x:f>IF(J45="Stockout Risk","Urgent PO",IF(J45="Reorder","Create PO",IF(J45="Overstock","Review excess stock","No action")))</x:f>
        <x:v>No action</x:v>
      </x:c>
    </x:row>
    <x:row r="46">
      <x:c r="A46" s="57" t="str">
        <x:v>ITEM-0045</x:v>
      </x:c>
      <x:c r="B46" s="58" t="str">
        <x:v>Product 45</x:v>
      </x:c>
      <x:c r="C46" s="58" t="str">
        <x:v>Finished Goods</x:v>
      </x:c>
      <x:c r="D46" s="78" t="n">
        <x:v>222.12</x:v>
      </x:c>
      <x:c r="E46" s="58" t="n">
        <x:v>575</x:v>
      </x:c>
      <x:c r="F46" s="58" t="n">
        <x:v>119</x:v>
      </x:c>
      <x:c r="G46" s="58" t="n">
        <x:v>77</x:v>
      </x:c>
      <x:c r="H46" s="78" t="n">
        <x:f>D46*E46</x:f>
        <x:v>127719</x:v>
      </x:c>
      <x:c r="I46" s="58" t="n">
        <x:f>MAX(0,(F46+G46)-E46)</x:f>
        <x:v>0</x:v>
      </x:c>
      <x:c r="J46" s="58" t="str">
        <x:f>IF(E46&lt;=G46,"Stockout Risk",IF(E46&lt;=F46,"Reorder",IF(E46&gt;F46*3,"Overstock","OK")))</x:f>
        <x:v>Overstock</x:v>
      </x:c>
      <x:c r="K46" s="59" t="str">
        <x:f>IF(J46="Stockout Risk","Urgent PO",IF(J46="Reorder","Create PO",IF(J46="Overstock","Review excess stock","No action")))</x:f>
        <x:v>Review excess stock</x:v>
      </x:c>
    </x:row>
    <x:row r="47">
      <x:c r="A47" s="57" t="str">
        <x:v>ITEM-0046</x:v>
      </x:c>
      <x:c r="B47" s="58" t="str">
        <x:v>Product 46</x:v>
      </x:c>
      <x:c r="C47" s="58" t="str">
        <x:v>Packaging</x:v>
      </x:c>
      <x:c r="D47" s="78" t="n">
        <x:v>174.48</x:v>
      </x:c>
      <x:c r="E47" s="58" t="n">
        <x:v>251</x:v>
      </x:c>
      <x:c r="F47" s="58" t="n">
        <x:v>133</x:v>
      </x:c>
      <x:c r="G47" s="58" t="n">
        <x:v>75</x:v>
      </x:c>
      <x:c r="H47" s="78" t="n">
        <x:f>D47*E47</x:f>
        <x:v>43794.479999999996</x:v>
      </x:c>
      <x:c r="I47" s="58" t="n">
        <x:f>MAX(0,(F47+G47)-E47)</x:f>
        <x:v>0</x:v>
      </x:c>
      <x:c r="J47" s="58" t="str">
        <x:f>IF(E47&lt;=G47,"Stockout Risk",IF(E47&lt;=F47,"Reorder",IF(E47&gt;F47*3,"Overstock","OK")))</x:f>
        <x:v>OK</x:v>
      </x:c>
      <x:c r="K47" s="59" t="str">
        <x:f>IF(J47="Stockout Risk","Urgent PO",IF(J47="Reorder","Create PO",IF(J47="Overstock","Review excess stock","No action")))</x:f>
        <x:v>No action</x:v>
      </x:c>
    </x:row>
    <x:row r="48">
      <x:c r="A48" s="57" t="str">
        <x:v>ITEM-0047</x:v>
      </x:c>
      <x:c r="B48" s="58" t="str">
        <x:v>Product 47</x:v>
      </x:c>
      <x:c r="C48" s="58" t="str">
        <x:v>Finished Goods</x:v>
      </x:c>
      <x:c r="D48" s="78" t="n">
        <x:v>9.34</x:v>
      </x:c>
      <x:c r="E48" s="58" t="n">
        <x:v>272</x:v>
      </x:c>
      <x:c r="F48" s="58" t="n">
        <x:v>213</x:v>
      </x:c>
      <x:c r="G48" s="58" t="n">
        <x:v>69</x:v>
      </x:c>
      <x:c r="H48" s="78" t="n">
        <x:f>D48*E48</x:f>
        <x:v>2540.48</x:v>
      </x:c>
      <x:c r="I48" s="58" t="n">
        <x:f>MAX(0,(F48+G48)-E48)</x:f>
        <x:v>10</x:v>
      </x:c>
      <x:c r="J48" s="58" t="str">
        <x:f>IF(E48&lt;=G48,"Stockout Risk",IF(E48&lt;=F48,"Reorder",IF(E48&gt;F48*3,"Overstock","OK")))</x:f>
        <x:v>OK</x:v>
      </x:c>
      <x:c r="K48" s="59" t="str">
        <x:f>IF(J48="Stockout Risk","Urgent PO",IF(J48="Reorder","Create PO",IF(J48="Overstock","Review excess stock","No action")))</x:f>
        <x:v>No action</x:v>
      </x:c>
    </x:row>
    <x:row r="49">
      <x:c r="A49" s="57" t="str">
        <x:v>ITEM-0048</x:v>
      </x:c>
      <x:c r="B49" s="58" t="str">
        <x:v>Product 48</x:v>
      </x:c>
      <x:c r="C49" s="58" t="str">
        <x:v>Finished Goods</x:v>
      </x:c>
      <x:c r="D49" s="78" t="n">
        <x:v>58.91</x:v>
      </x:c>
      <x:c r="E49" s="58" t="n">
        <x:v>456</x:v>
      </x:c>
      <x:c r="F49" s="58" t="n">
        <x:v>117</x:v>
      </x:c>
      <x:c r="G49" s="58" t="n">
        <x:v>97</x:v>
      </x:c>
      <x:c r="H49" s="78" t="n">
        <x:f>D49*E49</x:f>
        <x:v>26862.96</x:v>
      </x:c>
      <x:c r="I49" s="58" t="n">
        <x:f>MAX(0,(F49+G49)-E49)</x:f>
        <x:v>0</x:v>
      </x:c>
      <x:c r="J49" s="58" t="str">
        <x:f>IF(E49&lt;=G49,"Stockout Risk",IF(E49&lt;=F49,"Reorder",IF(E49&gt;F49*3,"Overstock","OK")))</x:f>
        <x:v>Overstock</x:v>
      </x:c>
      <x:c r="K49" s="59" t="str">
        <x:f>IF(J49="Stockout Risk","Urgent PO",IF(J49="Reorder","Create PO",IF(J49="Overstock","Review excess stock","No action")))</x:f>
        <x:v>Review excess stock</x:v>
      </x:c>
    </x:row>
    <x:row r="50">
      <x:c r="A50" s="57" t="str">
        <x:v>ITEM-0049</x:v>
      </x:c>
      <x:c r="B50" s="58" t="str">
        <x:v>Product 49</x:v>
      </x:c>
      <x:c r="C50" s="58" t="str">
        <x:v>Supplies</x:v>
      </x:c>
      <x:c r="D50" s="78" t="n">
        <x:v>95.02</x:v>
      </x:c>
      <x:c r="E50" s="58" t="n">
        <x:v>479</x:v>
      </x:c>
      <x:c r="F50" s="58" t="n">
        <x:v>121</x:v>
      </x:c>
      <x:c r="G50" s="58" t="n">
        <x:v>41</x:v>
      </x:c>
      <x:c r="H50" s="78" t="n">
        <x:f>D50*E50</x:f>
        <x:v>45514.579999999994</x:v>
      </x:c>
      <x:c r="I50" s="58" t="n">
        <x:f>MAX(0,(F50+G50)-E50)</x:f>
        <x:v>0</x:v>
      </x:c>
      <x:c r="J50" s="58" t="str">
        <x:f>IF(E50&lt;=G50,"Stockout Risk",IF(E50&lt;=F50,"Reorder",IF(E50&gt;F50*3,"Overstock","OK")))</x:f>
        <x:v>Overstock</x:v>
      </x:c>
      <x:c r="K50" s="59" t="str">
        <x:f>IF(J50="Stockout Risk","Urgent PO",IF(J50="Reorder","Create PO",IF(J50="Overstock","Review excess stock","No action")))</x:f>
        <x:v>Review excess stock</x:v>
      </x:c>
    </x:row>
    <x:row r="51">
      <x:c r="A51" s="57" t="str">
        <x:v>ITEM-0050</x:v>
      </x:c>
      <x:c r="B51" s="58" t="str">
        <x:v>Product 50</x:v>
      </x:c>
      <x:c r="C51" s="58" t="str">
        <x:v>Raw Material</x:v>
      </x:c>
      <x:c r="D51" s="78" t="n">
        <x:v>46.61</x:v>
      </x:c>
      <x:c r="E51" s="58" t="n">
        <x:v>273</x:v>
      </x:c>
      <x:c r="F51" s="58" t="n">
        <x:v>217</x:v>
      </x:c>
      <x:c r="G51" s="58" t="n">
        <x:v>100</x:v>
      </x:c>
      <x:c r="H51" s="78" t="n">
        <x:f>D51*E51</x:f>
        <x:v>12724.53</x:v>
      </x:c>
      <x:c r="I51" s="58" t="n">
        <x:f>MAX(0,(F51+G51)-E51)</x:f>
        <x:v>44</x:v>
      </x:c>
      <x:c r="J51" s="58" t="str">
        <x:f>IF(E51&lt;=G51,"Stockout Risk",IF(E51&lt;=F51,"Reorder",IF(E51&gt;F51*3,"Overstock","OK")))</x:f>
        <x:v>OK</x:v>
      </x:c>
      <x:c r="K51" s="59" t="str">
        <x:f>IF(J51="Stockout Risk","Urgent PO",IF(J51="Reorder","Create PO",IF(J51="Overstock","Review excess stock","No action")))</x:f>
        <x:v>No action</x:v>
      </x:c>
    </x:row>
    <x:row r="52">
      <x:c r="A52" s="57" t="str">
        <x:v>ITEM-0051</x:v>
      </x:c>
      <x:c r="B52" s="58" t="str">
        <x:v>Product 51</x:v>
      </x:c>
      <x:c r="C52" s="58" t="str">
        <x:v>Raw Material</x:v>
      </x:c>
      <x:c r="D52" s="78" t="n">
        <x:v>28.59</x:v>
      </x:c>
      <x:c r="E52" s="58" t="n">
        <x:v>493</x:v>
      </x:c>
      <x:c r="F52" s="58" t="n">
        <x:v>204</x:v>
      </x:c>
      <x:c r="G52" s="58" t="n">
        <x:v>21</x:v>
      </x:c>
      <x:c r="H52" s="78" t="n">
        <x:f>D52*E52</x:f>
        <x:v>14094.87</x:v>
      </x:c>
      <x:c r="I52" s="58" t="n">
        <x:f>MAX(0,(F52+G52)-E52)</x:f>
        <x:v>0</x:v>
      </x:c>
      <x:c r="J52" s="58" t="str">
        <x:f>IF(E52&lt;=G52,"Stockout Risk",IF(E52&lt;=F52,"Reorder",IF(E52&gt;F52*3,"Overstock","OK")))</x:f>
        <x:v>OK</x:v>
      </x:c>
      <x:c r="K52" s="59" t="str">
        <x:f>IF(J52="Stockout Risk","Urgent PO",IF(J52="Reorder","Create PO",IF(J52="Overstock","Review excess stock","No action")))</x:f>
        <x:v>No action</x:v>
      </x:c>
    </x:row>
    <x:row r="53">
      <x:c r="A53" s="57" t="str">
        <x:v>ITEM-0052</x:v>
      </x:c>
      <x:c r="B53" s="58" t="str">
        <x:v>Product 52</x:v>
      </x:c>
      <x:c r="C53" s="58" t="str">
        <x:v>Packaging</x:v>
      </x:c>
      <x:c r="D53" s="78" t="n">
        <x:v>164.33</x:v>
      </x:c>
      <x:c r="E53" s="58" t="n">
        <x:v>233</x:v>
      </x:c>
      <x:c r="F53" s="58" t="n">
        <x:v>138</x:v>
      </x:c>
      <x:c r="G53" s="58" t="n">
        <x:v>30</x:v>
      </x:c>
      <x:c r="H53" s="78" t="n">
        <x:f>D53*E53</x:f>
        <x:v>38288.89</x:v>
      </x:c>
      <x:c r="I53" s="58" t="n">
        <x:f>MAX(0,(F53+G53)-E53)</x:f>
        <x:v>0</x:v>
      </x:c>
      <x:c r="J53" s="58" t="str">
        <x:f>IF(E53&lt;=G53,"Stockout Risk",IF(E53&lt;=F53,"Reorder",IF(E53&gt;F53*3,"Overstock","OK")))</x:f>
        <x:v>OK</x:v>
      </x:c>
      <x:c r="K53" s="59" t="str">
        <x:f>IF(J53="Stockout Risk","Urgent PO",IF(J53="Reorder","Create PO",IF(J53="Overstock","Review excess stock","No action")))</x:f>
        <x:v>No action</x:v>
      </x:c>
    </x:row>
    <x:row r="54">
      <x:c r="A54" s="57" t="str">
        <x:v>ITEM-0053</x:v>
      </x:c>
      <x:c r="B54" s="58" t="str">
        <x:v>Product 53</x:v>
      </x:c>
      <x:c r="C54" s="58" t="str">
        <x:v>Parts</x:v>
      </x:c>
      <x:c r="D54" s="78" t="n">
        <x:v>137.6</x:v>
      </x:c>
      <x:c r="E54" s="58" t="n">
        <x:v>230</x:v>
      </x:c>
      <x:c r="F54" s="58" t="n">
        <x:v>110</x:v>
      </x:c>
      <x:c r="G54" s="58" t="n">
        <x:v>77</x:v>
      </x:c>
      <x:c r="H54" s="78" t="n">
        <x:f>D54*E54</x:f>
        <x:v>31648</x:v>
      </x:c>
      <x:c r="I54" s="58" t="n">
        <x:f>MAX(0,(F54+G54)-E54)</x:f>
        <x:v>0</x:v>
      </x:c>
      <x:c r="J54" s="58" t="str">
        <x:f>IF(E54&lt;=G54,"Stockout Risk",IF(E54&lt;=F54,"Reorder",IF(E54&gt;F54*3,"Overstock","OK")))</x:f>
        <x:v>OK</x:v>
      </x:c>
      <x:c r="K54" s="59" t="str">
        <x:f>IF(J54="Stockout Risk","Urgent PO",IF(J54="Reorder","Create PO",IF(J54="Overstock","Review excess stock","No action")))</x:f>
        <x:v>No action</x:v>
      </x:c>
    </x:row>
    <x:row r="55">
      <x:c r="A55" s="57" t="str">
        <x:v>ITEM-0054</x:v>
      </x:c>
      <x:c r="B55" s="58" t="str">
        <x:v>Product 54</x:v>
      </x:c>
      <x:c r="C55" s="58" t="str">
        <x:v>Supplies</x:v>
      </x:c>
      <x:c r="D55" s="78" t="n">
        <x:v>15.54</x:v>
      </x:c>
      <x:c r="E55" s="58" t="n">
        <x:v>132</x:v>
      </x:c>
      <x:c r="F55" s="58" t="n">
        <x:v>114</x:v>
      </x:c>
      <x:c r="G55" s="58" t="n">
        <x:v>24</x:v>
      </x:c>
      <x:c r="H55" s="78" t="n">
        <x:f>D55*E55</x:f>
        <x:v>2051.2799999999997</x:v>
      </x:c>
      <x:c r="I55" s="58" t="n">
        <x:f>MAX(0,(F55+G55)-E55)</x:f>
        <x:v>6</x:v>
      </x:c>
      <x:c r="J55" s="58" t="str">
        <x:f>IF(E55&lt;=G55,"Stockout Risk",IF(E55&lt;=F55,"Reorder",IF(E55&gt;F55*3,"Overstock","OK")))</x:f>
        <x:v>OK</x:v>
      </x:c>
      <x:c r="K55" s="59" t="str">
        <x:f>IF(J55="Stockout Risk","Urgent PO",IF(J55="Reorder","Create PO",IF(J55="Overstock","Review excess stock","No action")))</x:f>
        <x:v>No action</x:v>
      </x:c>
    </x:row>
    <x:row r="56">
      <x:c r="A56" s="57" t="str">
        <x:v>ITEM-0055</x:v>
      </x:c>
      <x:c r="B56" s="58" t="str">
        <x:v>Product 55</x:v>
      </x:c>
      <x:c r="C56" s="58" t="str">
        <x:v>Packaging</x:v>
      </x:c>
      <x:c r="D56" s="78" t="n">
        <x:v>33.41</x:v>
      </x:c>
      <x:c r="E56" s="58" t="n">
        <x:v>76</x:v>
      </x:c>
      <x:c r="F56" s="58" t="n">
        <x:v>163</x:v>
      </x:c>
      <x:c r="G56" s="58" t="n">
        <x:v>70</x:v>
      </x:c>
      <x:c r="H56" s="78" t="n">
        <x:f>D56*E56</x:f>
        <x:v>2539.16</x:v>
      </x:c>
      <x:c r="I56" s="58" t="n">
        <x:f>MAX(0,(F56+G56)-E56)</x:f>
        <x:v>157</x:v>
      </x:c>
      <x:c r="J56" s="58" t="str">
        <x:f>IF(E56&lt;=G56,"Stockout Risk",IF(E56&lt;=F56,"Reorder",IF(E56&gt;F56*3,"Overstock","OK")))</x:f>
        <x:v>Reorder</x:v>
      </x:c>
      <x:c r="K56" s="59" t="str">
        <x:f>IF(J56="Stockout Risk","Urgent PO",IF(J56="Reorder","Create PO",IF(J56="Overstock","Review excess stock","No action")))</x:f>
        <x:v>Create PO</x:v>
      </x:c>
    </x:row>
    <x:row r="57">
      <x:c r="A57" s="57" t="str">
        <x:v>ITEM-0056</x:v>
      </x:c>
      <x:c r="B57" s="58" t="str">
        <x:v>Product 56</x:v>
      </x:c>
      <x:c r="C57" s="58" t="str">
        <x:v>Parts</x:v>
      </x:c>
      <x:c r="D57" s="78" t="n">
        <x:v>36.79</x:v>
      </x:c>
      <x:c r="E57" s="58" t="n">
        <x:v>77</x:v>
      </x:c>
      <x:c r="F57" s="58" t="n">
        <x:v>56</x:v>
      </x:c>
      <x:c r="G57" s="58" t="n">
        <x:v>100</x:v>
      </x:c>
      <x:c r="H57" s="78" t="n">
        <x:f>D57*E57</x:f>
        <x:v>2832.83</x:v>
      </x:c>
      <x:c r="I57" s="58" t="n">
        <x:f>MAX(0,(F57+G57)-E57)</x:f>
        <x:v>79</x:v>
      </x:c>
      <x:c r="J57" s="58" t="str">
        <x:f>IF(E57&lt;=G57,"Stockout Risk",IF(E57&lt;=F57,"Reorder",IF(E57&gt;F57*3,"Overstock","OK")))</x:f>
        <x:v>Stockout Risk</x:v>
      </x:c>
      <x:c r="K57" s="59" t="str">
        <x:f>IF(J57="Stockout Risk","Urgent PO",IF(J57="Reorder","Create PO",IF(J57="Overstock","Review excess stock","No action")))</x:f>
        <x:v>Urgent PO</x:v>
      </x:c>
    </x:row>
    <x:row r="58">
      <x:c r="A58" s="57" t="str">
        <x:v>ITEM-0057</x:v>
      </x:c>
      <x:c r="B58" s="58" t="str">
        <x:v>Product 57</x:v>
      </x:c>
      <x:c r="C58" s="58" t="str">
        <x:v>Raw Material</x:v>
      </x:c>
      <x:c r="D58" s="78" t="n">
        <x:v>62.71</x:v>
      </x:c>
      <x:c r="E58" s="58" t="n">
        <x:v>164</x:v>
      </x:c>
      <x:c r="F58" s="58" t="n">
        <x:v>76</x:v>
      </x:c>
      <x:c r="G58" s="58" t="n">
        <x:v>50</x:v>
      </x:c>
      <x:c r="H58" s="78" t="n">
        <x:f>D58*E58</x:f>
        <x:v>10284.44</x:v>
      </x:c>
      <x:c r="I58" s="58" t="n">
        <x:f>MAX(0,(F58+G58)-E58)</x:f>
        <x:v>0</x:v>
      </x:c>
      <x:c r="J58" s="58" t="str">
        <x:f>IF(E58&lt;=G58,"Stockout Risk",IF(E58&lt;=F58,"Reorder",IF(E58&gt;F58*3,"Overstock","OK")))</x:f>
        <x:v>OK</x:v>
      </x:c>
      <x:c r="K58" s="59" t="str">
        <x:f>IF(J58="Stockout Risk","Urgent PO",IF(J58="Reorder","Create PO",IF(J58="Overstock","Review excess stock","No action")))</x:f>
        <x:v>No action</x:v>
      </x:c>
    </x:row>
    <x:row r="59">
      <x:c r="A59" s="57" t="str">
        <x:v>ITEM-0058</x:v>
      </x:c>
      <x:c r="B59" s="58" t="str">
        <x:v>Product 58</x:v>
      </x:c>
      <x:c r="C59" s="58" t="str">
        <x:v>Finished Goods</x:v>
      </x:c>
      <x:c r="D59" s="78" t="n">
        <x:v>71.38</x:v>
      </x:c>
      <x:c r="E59" s="58" t="n">
        <x:v>537</x:v>
      </x:c>
      <x:c r="F59" s="58" t="n">
        <x:v>59</x:v>
      </x:c>
      <x:c r="G59" s="58" t="n">
        <x:v>62</x:v>
      </x:c>
      <x:c r="H59" s="78" t="n">
        <x:f>D59*E59</x:f>
        <x:v>38331.06</x:v>
      </x:c>
      <x:c r="I59" s="58" t="n">
        <x:f>MAX(0,(F59+G59)-E59)</x:f>
        <x:v>0</x:v>
      </x:c>
      <x:c r="J59" s="58" t="str">
        <x:f>IF(E59&lt;=G59,"Stockout Risk",IF(E59&lt;=F59,"Reorder",IF(E59&gt;F59*3,"Overstock","OK")))</x:f>
        <x:v>Overstock</x:v>
      </x:c>
      <x:c r="K59" s="59" t="str">
        <x:f>IF(J59="Stockout Risk","Urgent PO",IF(J59="Reorder","Create PO",IF(J59="Overstock","Review excess stock","No action")))</x:f>
        <x:v>Review excess stock</x:v>
      </x:c>
    </x:row>
    <x:row r="60">
      <x:c r="A60" s="57" t="str">
        <x:v>ITEM-0059</x:v>
      </x:c>
      <x:c r="B60" s="58" t="str">
        <x:v>Product 59</x:v>
      </x:c>
      <x:c r="C60" s="58" t="str">
        <x:v>Finished Goods</x:v>
      </x:c>
      <x:c r="D60" s="78" t="n">
        <x:v>2.69</x:v>
      </x:c>
      <x:c r="E60" s="58" t="n">
        <x:v>392</x:v>
      </x:c>
      <x:c r="F60" s="58" t="n">
        <x:v>211</x:v>
      </x:c>
      <x:c r="G60" s="58" t="n">
        <x:v>64</x:v>
      </x:c>
      <x:c r="H60" s="78" t="n">
        <x:f>D60*E60</x:f>
        <x:v>1054.48</x:v>
      </x:c>
      <x:c r="I60" s="58" t="n">
        <x:f>MAX(0,(F60+G60)-E60)</x:f>
        <x:v>0</x:v>
      </x:c>
      <x:c r="J60" s="58" t="str">
        <x:f>IF(E60&lt;=G60,"Stockout Risk",IF(E60&lt;=F60,"Reorder",IF(E60&gt;F60*3,"Overstock","OK")))</x:f>
        <x:v>OK</x:v>
      </x:c>
      <x:c r="K60" s="59" t="str">
        <x:f>IF(J60="Stockout Risk","Urgent PO",IF(J60="Reorder","Create PO",IF(J60="Overstock","Review excess stock","No action")))</x:f>
        <x:v>No action</x:v>
      </x:c>
    </x:row>
    <x:row r="61">
      <x:c r="A61" s="57" t="str">
        <x:v>ITEM-0060</x:v>
      </x:c>
      <x:c r="B61" s="58" t="str">
        <x:v>Product 60</x:v>
      </x:c>
      <x:c r="C61" s="58" t="str">
        <x:v>Packaging</x:v>
      </x:c>
      <x:c r="D61" s="78" t="n">
        <x:v>70.46</x:v>
      </x:c>
      <x:c r="E61" s="58" t="n">
        <x:v>186</x:v>
      </x:c>
      <x:c r="F61" s="58" t="n">
        <x:v>237</x:v>
      </x:c>
      <x:c r="G61" s="58" t="n">
        <x:v>60</x:v>
      </x:c>
      <x:c r="H61" s="78" t="n">
        <x:f>D61*E61</x:f>
        <x:v>13105.56</x:v>
      </x:c>
      <x:c r="I61" s="58" t="n">
        <x:f>MAX(0,(F61+G61)-E61)</x:f>
        <x:v>111</x:v>
      </x:c>
      <x:c r="J61" s="58" t="str">
        <x:f>IF(E61&lt;=G61,"Stockout Risk",IF(E61&lt;=F61,"Reorder",IF(E61&gt;F61*3,"Overstock","OK")))</x:f>
        <x:v>Reorder</x:v>
      </x:c>
      <x:c r="K61" s="59" t="str">
        <x:f>IF(J61="Stockout Risk","Urgent PO",IF(J61="Reorder","Create PO",IF(J61="Overstock","Review excess stock","No action")))</x:f>
        <x:v>Create PO</x:v>
      </x:c>
    </x:row>
    <x:row r="62">
      <x:c r="A62" s="57" t="str">
        <x:v>ITEM-0061</x:v>
      </x:c>
      <x:c r="B62" s="58" t="str">
        <x:v>Product 61</x:v>
      </x:c>
      <x:c r="C62" s="58" t="str">
        <x:v>Finished Goods</x:v>
      </x:c>
      <x:c r="D62" s="78" t="n">
        <x:v>73.88</x:v>
      </x:c>
      <x:c r="E62" s="58" t="n">
        <x:v>318</x:v>
      </x:c>
      <x:c r="F62" s="58" t="n">
        <x:v>210</x:v>
      </x:c>
      <x:c r="G62" s="58" t="n">
        <x:v>58</x:v>
      </x:c>
      <x:c r="H62" s="78" t="n">
        <x:f>D62*E62</x:f>
        <x:v>23493.84</x:v>
      </x:c>
      <x:c r="I62" s="58" t="n">
        <x:f>MAX(0,(F62+G62)-E62)</x:f>
        <x:v>0</x:v>
      </x:c>
      <x:c r="J62" s="58" t="str">
        <x:f>IF(E62&lt;=G62,"Stockout Risk",IF(E62&lt;=F62,"Reorder",IF(E62&gt;F62*3,"Overstock","OK")))</x:f>
        <x:v>OK</x:v>
      </x:c>
      <x:c r="K62" s="59" t="str">
        <x:f>IF(J62="Stockout Risk","Urgent PO",IF(J62="Reorder","Create PO",IF(J62="Overstock","Review excess stock","No action")))</x:f>
        <x:v>No action</x:v>
      </x:c>
    </x:row>
    <x:row r="63">
      <x:c r="A63" s="57" t="str">
        <x:v>ITEM-0062</x:v>
      </x:c>
      <x:c r="B63" s="58" t="str">
        <x:v>Product 62</x:v>
      </x:c>
      <x:c r="C63" s="58" t="str">
        <x:v>Packaging</x:v>
      </x:c>
      <x:c r="D63" s="78" t="n">
        <x:v>184.1</x:v>
      </x:c>
      <x:c r="E63" s="58" t="n">
        <x:v>108</x:v>
      </x:c>
      <x:c r="F63" s="58" t="n">
        <x:v>187</x:v>
      </x:c>
      <x:c r="G63" s="58" t="n">
        <x:v>65</x:v>
      </x:c>
      <x:c r="H63" s="78" t="n">
        <x:f>D63*E63</x:f>
        <x:v>19882.8</x:v>
      </x:c>
      <x:c r="I63" s="58" t="n">
        <x:f>MAX(0,(F63+G63)-E63)</x:f>
        <x:v>144</x:v>
      </x:c>
      <x:c r="J63" s="58" t="str">
        <x:f>IF(E63&lt;=G63,"Stockout Risk",IF(E63&lt;=F63,"Reorder",IF(E63&gt;F63*3,"Overstock","OK")))</x:f>
        <x:v>Reorder</x:v>
      </x:c>
      <x:c r="K63" s="59" t="str">
        <x:f>IF(J63="Stockout Risk","Urgent PO",IF(J63="Reorder","Create PO",IF(J63="Overstock","Review excess stock","No action")))</x:f>
        <x:v>Create PO</x:v>
      </x:c>
    </x:row>
    <x:row r="64">
      <x:c r="A64" s="57" t="str">
        <x:v>ITEM-0063</x:v>
      </x:c>
      <x:c r="B64" s="58" t="str">
        <x:v>Product 63</x:v>
      </x:c>
      <x:c r="C64" s="58" t="str">
        <x:v>Finished Goods</x:v>
      </x:c>
      <x:c r="D64" s="78" t="n">
        <x:v>107.38</x:v>
      </x:c>
      <x:c r="E64" s="58" t="n">
        <x:v>61</x:v>
      </x:c>
      <x:c r="F64" s="58" t="n">
        <x:v>192</x:v>
      </x:c>
      <x:c r="G64" s="58" t="n">
        <x:v>92</x:v>
      </x:c>
      <x:c r="H64" s="78" t="n">
        <x:f>D64*E64</x:f>
        <x:v>6550.179999999999</x:v>
      </x:c>
      <x:c r="I64" s="58" t="n">
        <x:f>MAX(0,(F64+G64)-E64)</x:f>
        <x:v>223</x:v>
      </x:c>
      <x:c r="J64" s="58" t="str">
        <x:f>IF(E64&lt;=G64,"Stockout Risk",IF(E64&lt;=F64,"Reorder",IF(E64&gt;F64*3,"Overstock","OK")))</x:f>
        <x:v>Stockout Risk</x:v>
      </x:c>
      <x:c r="K64" s="59" t="str">
        <x:f>IF(J64="Stockout Risk","Urgent PO",IF(J64="Reorder","Create PO",IF(J64="Overstock","Review excess stock","No action")))</x:f>
        <x:v>Urgent PO</x:v>
      </x:c>
    </x:row>
    <x:row r="65">
      <x:c r="A65" s="57" t="str">
        <x:v>ITEM-0064</x:v>
      </x:c>
      <x:c r="B65" s="58" t="str">
        <x:v>Product 64</x:v>
      </x:c>
      <x:c r="C65" s="58" t="str">
        <x:v>Packaging</x:v>
      </x:c>
      <x:c r="D65" s="78" t="n">
        <x:v>246.25</x:v>
      </x:c>
      <x:c r="E65" s="58" t="n">
        <x:v>283</x:v>
      </x:c>
      <x:c r="F65" s="58" t="n">
        <x:v>159</x:v>
      </x:c>
      <x:c r="G65" s="58" t="n">
        <x:v>21</x:v>
      </x:c>
      <x:c r="H65" s="78" t="n">
        <x:f>D65*E65</x:f>
        <x:v>69688.75</x:v>
      </x:c>
      <x:c r="I65" s="58" t="n">
        <x:f>MAX(0,(F65+G65)-E65)</x:f>
        <x:v>0</x:v>
      </x:c>
      <x:c r="J65" s="58" t="str">
        <x:f>IF(E65&lt;=G65,"Stockout Risk",IF(E65&lt;=F65,"Reorder",IF(E65&gt;F65*3,"Overstock","OK")))</x:f>
        <x:v>OK</x:v>
      </x:c>
      <x:c r="K65" s="59" t="str">
        <x:f>IF(J65="Stockout Risk","Urgent PO",IF(J65="Reorder","Create PO",IF(J65="Overstock","Review excess stock","No action")))</x:f>
        <x:v>No action</x:v>
      </x:c>
    </x:row>
    <x:row r="66">
      <x:c r="A66" s="57" t="str">
        <x:v>ITEM-0065</x:v>
      </x:c>
      <x:c r="B66" s="58" t="str">
        <x:v>Product 65</x:v>
      </x:c>
      <x:c r="C66" s="58" t="str">
        <x:v>Raw Material</x:v>
      </x:c>
      <x:c r="D66" s="78" t="n">
        <x:v>122.98</x:v>
      </x:c>
      <x:c r="E66" s="58" t="n">
        <x:v>194</x:v>
      </x:c>
      <x:c r="F66" s="58" t="n">
        <x:v>171</x:v>
      </x:c>
      <x:c r="G66" s="58" t="n">
        <x:v>70</x:v>
      </x:c>
      <x:c r="H66" s="78" t="n">
        <x:f>D66*E66</x:f>
        <x:v>23858.12</x:v>
      </x:c>
      <x:c r="I66" s="58" t="n">
        <x:f>MAX(0,(F66+G66)-E66)</x:f>
        <x:v>47</x:v>
      </x:c>
      <x:c r="J66" s="58" t="str">
        <x:f>IF(E66&lt;=G66,"Stockout Risk",IF(E66&lt;=F66,"Reorder",IF(E66&gt;F66*3,"Overstock","OK")))</x:f>
        <x:v>OK</x:v>
      </x:c>
      <x:c r="K66" s="59" t="str">
        <x:f>IF(J66="Stockout Risk","Urgent PO",IF(J66="Reorder","Create PO",IF(J66="Overstock","Review excess stock","No action")))</x:f>
        <x:v>No action</x:v>
      </x:c>
    </x:row>
    <x:row r="67">
      <x:c r="A67" s="57" t="str">
        <x:v>ITEM-0066</x:v>
      </x:c>
      <x:c r="B67" s="58" t="str">
        <x:v>Product 66</x:v>
      </x:c>
      <x:c r="C67" s="58" t="str">
        <x:v>Parts</x:v>
      </x:c>
      <x:c r="D67" s="78" t="n">
        <x:v>126.39</x:v>
      </x:c>
      <x:c r="E67" s="58" t="n">
        <x:v>110</x:v>
      </x:c>
      <x:c r="F67" s="58" t="n">
        <x:v>146</x:v>
      </x:c>
      <x:c r="G67" s="58" t="n">
        <x:v>72</x:v>
      </x:c>
      <x:c r="H67" s="78" t="n">
        <x:f>D67*E67</x:f>
        <x:v>13902.9</x:v>
      </x:c>
      <x:c r="I67" s="58" t="n">
        <x:f>MAX(0,(F67+G67)-E67)</x:f>
        <x:v>108</x:v>
      </x:c>
      <x:c r="J67" s="58" t="str">
        <x:f>IF(E67&lt;=G67,"Stockout Risk",IF(E67&lt;=F67,"Reorder",IF(E67&gt;F67*3,"Overstock","OK")))</x:f>
        <x:v>Reorder</x:v>
      </x:c>
      <x:c r="K67" s="59" t="str">
        <x:f>IF(J67="Stockout Risk","Urgent PO",IF(J67="Reorder","Create PO",IF(J67="Overstock","Review excess stock","No action")))</x:f>
        <x:v>Create PO</x:v>
      </x:c>
    </x:row>
    <x:row r="68">
      <x:c r="A68" s="57" t="str">
        <x:v>ITEM-0067</x:v>
      </x:c>
      <x:c r="B68" s="58" t="str">
        <x:v>Product 67</x:v>
      </x:c>
      <x:c r="C68" s="58" t="str">
        <x:v>Raw Material</x:v>
      </x:c>
      <x:c r="D68" s="78" t="n">
        <x:v>44.13</x:v>
      </x:c>
      <x:c r="E68" s="58" t="n">
        <x:v>8</x:v>
      </x:c>
      <x:c r="F68" s="58" t="n">
        <x:v>217</x:v>
      </x:c>
      <x:c r="G68" s="58" t="n">
        <x:v>61</x:v>
      </x:c>
      <x:c r="H68" s="78" t="n">
        <x:f>D68*E68</x:f>
        <x:v>353.04</x:v>
      </x:c>
      <x:c r="I68" s="58" t="n">
        <x:f>MAX(0,(F68+G68)-E68)</x:f>
        <x:v>270</x:v>
      </x:c>
      <x:c r="J68" s="58" t="str">
        <x:f>IF(E68&lt;=G68,"Stockout Risk",IF(E68&lt;=F68,"Reorder",IF(E68&gt;F68*3,"Overstock","OK")))</x:f>
        <x:v>Stockout Risk</x:v>
      </x:c>
      <x:c r="K68" s="59" t="str">
        <x:f>IF(J68="Stockout Risk","Urgent PO",IF(J68="Reorder","Create PO",IF(J68="Overstock","Review excess stock","No action")))</x:f>
        <x:v>Urgent PO</x:v>
      </x:c>
    </x:row>
    <x:row r="69">
      <x:c r="A69" s="57" t="str">
        <x:v>ITEM-0068</x:v>
      </x:c>
      <x:c r="B69" s="58" t="str">
        <x:v>Product 68</x:v>
      </x:c>
      <x:c r="C69" s="58" t="str">
        <x:v>Finished Goods</x:v>
      </x:c>
      <x:c r="D69" s="78" t="n">
        <x:v>28.88</x:v>
      </x:c>
      <x:c r="E69" s="58" t="n">
        <x:v>56</x:v>
      </x:c>
      <x:c r="F69" s="58" t="n">
        <x:v>136</x:v>
      </x:c>
      <x:c r="G69" s="58" t="n">
        <x:v>79</x:v>
      </x:c>
      <x:c r="H69" s="78" t="n">
        <x:f>D69*E69</x:f>
        <x:v>1617.28</x:v>
      </x:c>
      <x:c r="I69" s="58" t="n">
        <x:f>MAX(0,(F69+G69)-E69)</x:f>
        <x:v>159</x:v>
      </x:c>
      <x:c r="J69" s="58" t="str">
        <x:f>IF(E69&lt;=G69,"Stockout Risk",IF(E69&lt;=F69,"Reorder",IF(E69&gt;F69*3,"Overstock","OK")))</x:f>
        <x:v>Stockout Risk</x:v>
      </x:c>
      <x:c r="K69" s="59" t="str">
        <x:f>IF(J69="Stockout Risk","Urgent PO",IF(J69="Reorder","Create PO",IF(J69="Overstock","Review excess stock","No action")))</x:f>
        <x:v>Urgent PO</x:v>
      </x:c>
    </x:row>
    <x:row r="70">
      <x:c r="A70" s="57" t="str">
        <x:v>ITEM-0069</x:v>
      </x:c>
      <x:c r="B70" s="58" t="str">
        <x:v>Product 69</x:v>
      </x:c>
      <x:c r="C70" s="58" t="str">
        <x:v>Packaging</x:v>
      </x:c>
      <x:c r="D70" s="78" t="n">
        <x:v>60.33</x:v>
      </x:c>
      <x:c r="E70" s="58" t="n">
        <x:v>103</x:v>
      </x:c>
      <x:c r="F70" s="58" t="n">
        <x:v>158</x:v>
      </x:c>
      <x:c r="G70" s="58" t="n">
        <x:v>35</x:v>
      </x:c>
      <x:c r="H70" s="78" t="n">
        <x:f>D70*E70</x:f>
        <x:v>6213.99</x:v>
      </x:c>
      <x:c r="I70" s="58" t="n">
        <x:f>MAX(0,(F70+G70)-E70)</x:f>
        <x:v>90</x:v>
      </x:c>
      <x:c r="J70" s="58" t="str">
        <x:f>IF(E70&lt;=G70,"Stockout Risk",IF(E70&lt;=F70,"Reorder",IF(E70&gt;F70*3,"Overstock","OK")))</x:f>
        <x:v>Reorder</x:v>
      </x:c>
      <x:c r="K70" s="59" t="str">
        <x:f>IF(J70="Stockout Risk","Urgent PO",IF(J70="Reorder","Create PO",IF(J70="Overstock","Review excess stock","No action")))</x:f>
        <x:v>Create PO</x:v>
      </x:c>
    </x:row>
    <x:row r="71">
      <x:c r="A71" s="57" t="str">
        <x:v>ITEM-0070</x:v>
      </x:c>
      <x:c r="B71" s="58" t="str">
        <x:v>Product 70</x:v>
      </x:c>
      <x:c r="C71" s="58" t="str">
        <x:v>Finished Goods</x:v>
      </x:c>
      <x:c r="D71" s="78" t="n">
        <x:v>6.99</x:v>
      </x:c>
      <x:c r="E71" s="58" t="n">
        <x:v>563</x:v>
      </x:c>
      <x:c r="F71" s="58" t="n">
        <x:v>163</x:v>
      </x:c>
      <x:c r="G71" s="58" t="n">
        <x:v>80</x:v>
      </x:c>
      <x:c r="H71" s="78" t="n">
        <x:f>D71*E71</x:f>
        <x:v>3935.3700000000003</x:v>
      </x:c>
      <x:c r="I71" s="58" t="n">
        <x:f>MAX(0,(F71+G71)-E71)</x:f>
        <x:v>0</x:v>
      </x:c>
      <x:c r="J71" s="58" t="str">
        <x:f>IF(E71&lt;=G71,"Stockout Risk",IF(E71&lt;=F71,"Reorder",IF(E71&gt;F71*3,"Overstock","OK")))</x:f>
        <x:v>Overstock</x:v>
      </x:c>
      <x:c r="K71" s="59" t="str">
        <x:f>IF(J71="Stockout Risk","Urgent PO",IF(J71="Reorder","Create PO",IF(J71="Overstock","Review excess stock","No action")))</x:f>
        <x:v>Review excess stock</x:v>
      </x:c>
    </x:row>
    <x:row r="72">
      <x:c r="A72" s="57" t="str">
        <x:v>ITEM-0071</x:v>
      </x:c>
      <x:c r="B72" s="58" t="str">
        <x:v>Product 71</x:v>
      </x:c>
      <x:c r="C72" s="58" t="str">
        <x:v>Parts</x:v>
      </x:c>
      <x:c r="D72" s="78" t="n">
        <x:v>214.62</x:v>
      </x:c>
      <x:c r="E72" s="58" t="n">
        <x:v>195</x:v>
      </x:c>
      <x:c r="F72" s="58" t="n">
        <x:v>191</x:v>
      </x:c>
      <x:c r="G72" s="58" t="n">
        <x:v>57</x:v>
      </x:c>
      <x:c r="H72" s="78" t="n">
        <x:f>D72*E72</x:f>
        <x:v>41850.9</x:v>
      </x:c>
      <x:c r="I72" s="58" t="n">
        <x:f>MAX(0,(F72+G72)-E72)</x:f>
        <x:v>53</x:v>
      </x:c>
      <x:c r="J72" s="58" t="str">
        <x:f>IF(E72&lt;=G72,"Stockout Risk",IF(E72&lt;=F72,"Reorder",IF(E72&gt;F72*3,"Overstock","OK")))</x:f>
        <x:v>OK</x:v>
      </x:c>
      <x:c r="K72" s="59" t="str">
        <x:f>IF(J72="Stockout Risk","Urgent PO",IF(J72="Reorder","Create PO",IF(J72="Overstock","Review excess stock","No action")))</x:f>
        <x:v>No action</x:v>
      </x:c>
    </x:row>
    <x:row r="73">
      <x:c r="A73" s="57" t="str">
        <x:v>ITEM-0072</x:v>
      </x:c>
      <x:c r="B73" s="58" t="str">
        <x:v>Product 72</x:v>
      </x:c>
      <x:c r="C73" s="58" t="str">
        <x:v>Packaging</x:v>
      </x:c>
      <x:c r="D73" s="78" t="n">
        <x:v>88.13</x:v>
      </x:c>
      <x:c r="E73" s="58" t="n">
        <x:v>142</x:v>
      </x:c>
      <x:c r="F73" s="58" t="n">
        <x:v>240</x:v>
      </x:c>
      <x:c r="G73" s="58" t="n">
        <x:v>35</x:v>
      </x:c>
      <x:c r="H73" s="78" t="n">
        <x:f>D73*E73</x:f>
        <x:v>12514.46</x:v>
      </x:c>
      <x:c r="I73" s="58" t="n">
        <x:f>MAX(0,(F73+G73)-E73)</x:f>
        <x:v>133</x:v>
      </x:c>
      <x:c r="J73" s="58" t="str">
        <x:f>IF(E73&lt;=G73,"Stockout Risk",IF(E73&lt;=F73,"Reorder",IF(E73&gt;F73*3,"Overstock","OK")))</x:f>
        <x:v>Reorder</x:v>
      </x:c>
      <x:c r="K73" s="59" t="str">
        <x:f>IF(J73="Stockout Risk","Urgent PO",IF(J73="Reorder","Create PO",IF(J73="Overstock","Review excess stock","No action")))</x:f>
        <x:v>Create PO</x:v>
      </x:c>
    </x:row>
    <x:row r="74">
      <x:c r="A74" s="57" t="str">
        <x:v>ITEM-0073</x:v>
      </x:c>
      <x:c r="B74" s="58" t="str">
        <x:v>Product 73</x:v>
      </x:c>
      <x:c r="C74" s="58" t="str">
        <x:v>Finished Goods</x:v>
      </x:c>
      <x:c r="D74" s="78" t="n">
        <x:v>137.26</x:v>
      </x:c>
      <x:c r="E74" s="58" t="n">
        <x:v>433</x:v>
      </x:c>
      <x:c r="F74" s="58" t="n">
        <x:v>209</x:v>
      </x:c>
      <x:c r="G74" s="58" t="n">
        <x:v>64</x:v>
      </x:c>
      <x:c r="H74" s="78" t="n">
        <x:f>D74*E74</x:f>
        <x:v>59433.579999999994</x:v>
      </x:c>
      <x:c r="I74" s="58" t="n">
        <x:f>MAX(0,(F74+G74)-E74)</x:f>
        <x:v>0</x:v>
      </x:c>
      <x:c r="J74" s="58" t="str">
        <x:f>IF(E74&lt;=G74,"Stockout Risk",IF(E74&lt;=F74,"Reorder",IF(E74&gt;F74*3,"Overstock","OK")))</x:f>
        <x:v>OK</x:v>
      </x:c>
      <x:c r="K74" s="59" t="str">
        <x:f>IF(J74="Stockout Risk","Urgent PO",IF(J74="Reorder","Create PO",IF(J74="Overstock","Review excess stock","No action")))</x:f>
        <x:v>No action</x:v>
      </x:c>
    </x:row>
    <x:row r="75">
      <x:c r="A75" s="57" t="str">
        <x:v>ITEM-0074</x:v>
      </x:c>
      <x:c r="B75" s="58" t="str">
        <x:v>Product 74</x:v>
      </x:c>
      <x:c r="C75" s="58" t="str">
        <x:v>Parts</x:v>
      </x:c>
      <x:c r="D75" s="78" t="n">
        <x:v>162.04</x:v>
      </x:c>
      <x:c r="E75" s="58" t="n">
        <x:v>71</x:v>
      </x:c>
      <x:c r="F75" s="58" t="n">
        <x:v>57</x:v>
      </x:c>
      <x:c r="G75" s="58" t="n">
        <x:v>71</x:v>
      </x:c>
      <x:c r="H75" s="78" t="n">
        <x:f>D75*E75</x:f>
        <x:v>11504.84</x:v>
      </x:c>
      <x:c r="I75" s="58" t="n">
        <x:f>MAX(0,(F75+G75)-E75)</x:f>
        <x:v>57</x:v>
      </x:c>
      <x:c r="J75" s="58" t="str">
        <x:f>IF(E75&lt;=G75,"Stockout Risk",IF(E75&lt;=F75,"Reorder",IF(E75&gt;F75*3,"Overstock","OK")))</x:f>
        <x:v>Stockout Risk</x:v>
      </x:c>
      <x:c r="K75" s="59" t="str">
        <x:f>IF(J75="Stockout Risk","Urgent PO",IF(J75="Reorder","Create PO",IF(J75="Overstock","Review excess stock","No action")))</x:f>
        <x:v>Urgent PO</x:v>
      </x:c>
    </x:row>
    <x:row r="76">
      <x:c r="A76" s="57" t="str">
        <x:v>ITEM-0075</x:v>
      </x:c>
      <x:c r="B76" s="58" t="str">
        <x:v>Product 75</x:v>
      </x:c>
      <x:c r="C76" s="58" t="str">
        <x:v>Supplies</x:v>
      </x:c>
      <x:c r="D76" s="78" t="n">
        <x:v>18.22</x:v>
      </x:c>
      <x:c r="E76" s="58" t="n">
        <x:v>256</x:v>
      </x:c>
      <x:c r="F76" s="58" t="n">
        <x:v>120</x:v>
      </x:c>
      <x:c r="G76" s="58" t="n">
        <x:v>83</x:v>
      </x:c>
      <x:c r="H76" s="78" t="n">
        <x:f>D76*E76</x:f>
        <x:v>4664.32</x:v>
      </x:c>
      <x:c r="I76" s="58" t="n">
        <x:f>MAX(0,(F76+G76)-E76)</x:f>
        <x:v>0</x:v>
      </x:c>
      <x:c r="J76" s="58" t="str">
        <x:f>IF(E76&lt;=G76,"Stockout Risk",IF(E76&lt;=F76,"Reorder",IF(E76&gt;F76*3,"Overstock","OK")))</x:f>
        <x:v>OK</x:v>
      </x:c>
      <x:c r="K76" s="59" t="str">
        <x:f>IF(J76="Stockout Risk","Urgent PO",IF(J76="Reorder","Create PO",IF(J76="Overstock","Review excess stock","No action")))</x:f>
        <x:v>No action</x:v>
      </x:c>
    </x:row>
    <x:row r="77">
      <x:c r="A77" s="57" t="str">
        <x:v>ITEM-0076</x:v>
      </x:c>
      <x:c r="B77" s="58" t="str">
        <x:v>Product 76</x:v>
      </x:c>
      <x:c r="C77" s="58" t="str">
        <x:v>Packaging</x:v>
      </x:c>
      <x:c r="D77" s="78" t="n">
        <x:v>23.81</x:v>
      </x:c>
      <x:c r="E77" s="58" t="n">
        <x:v>557</x:v>
      </x:c>
      <x:c r="F77" s="58" t="n">
        <x:v>180</x:v>
      </x:c>
      <x:c r="G77" s="58" t="n">
        <x:v>39</x:v>
      </x:c>
      <x:c r="H77" s="78" t="n">
        <x:f>D77*E77</x:f>
        <x:v>13262.17</x:v>
      </x:c>
      <x:c r="I77" s="58" t="n">
        <x:f>MAX(0,(F77+G77)-E77)</x:f>
        <x:v>0</x:v>
      </x:c>
      <x:c r="J77" s="58" t="str">
        <x:f>IF(E77&lt;=G77,"Stockout Risk",IF(E77&lt;=F77,"Reorder",IF(E77&gt;F77*3,"Overstock","OK")))</x:f>
        <x:v>Overstock</x:v>
      </x:c>
      <x:c r="K77" s="59" t="str">
        <x:f>IF(J77="Stockout Risk","Urgent PO",IF(J77="Reorder","Create PO",IF(J77="Overstock","Review excess stock","No action")))</x:f>
        <x:v>Review excess stock</x:v>
      </x:c>
    </x:row>
    <x:row r="78">
      <x:c r="A78" s="57" t="str">
        <x:v>ITEM-0077</x:v>
      </x:c>
      <x:c r="B78" s="58" t="str">
        <x:v>Product 77</x:v>
      </x:c>
      <x:c r="C78" s="58" t="str">
        <x:v>Parts</x:v>
      </x:c>
      <x:c r="D78" s="78" t="n">
        <x:v>210.44</x:v>
      </x:c>
      <x:c r="E78" s="58" t="n">
        <x:v>328</x:v>
      </x:c>
      <x:c r="F78" s="58" t="n">
        <x:v>114</x:v>
      </x:c>
      <x:c r="G78" s="58" t="n">
        <x:v>76</x:v>
      </x:c>
      <x:c r="H78" s="78" t="n">
        <x:f>D78*E78</x:f>
        <x:v>69024.31999999999</x:v>
      </x:c>
      <x:c r="I78" s="58" t="n">
        <x:f>MAX(0,(F78+G78)-E78)</x:f>
        <x:v>0</x:v>
      </x:c>
      <x:c r="J78" s="58" t="str">
        <x:f>IF(E78&lt;=G78,"Stockout Risk",IF(E78&lt;=F78,"Reorder",IF(E78&gt;F78*3,"Overstock","OK")))</x:f>
        <x:v>OK</x:v>
      </x:c>
      <x:c r="K78" s="59" t="str">
        <x:f>IF(J78="Stockout Risk","Urgent PO",IF(J78="Reorder","Create PO",IF(J78="Overstock","Review excess stock","No action")))</x:f>
        <x:v>No action</x:v>
      </x:c>
    </x:row>
    <x:row r="79">
      <x:c r="A79" s="57" t="str">
        <x:v>ITEM-0078</x:v>
      </x:c>
      <x:c r="B79" s="58" t="str">
        <x:v>Product 78</x:v>
      </x:c>
      <x:c r="C79" s="58" t="str">
        <x:v>Raw Material</x:v>
      </x:c>
      <x:c r="D79" s="78" t="n">
        <x:v>95.62</x:v>
      </x:c>
      <x:c r="E79" s="58" t="n">
        <x:v>554</x:v>
      </x:c>
      <x:c r="F79" s="58" t="n">
        <x:v>247</x:v>
      </x:c>
      <x:c r="G79" s="58" t="n">
        <x:v>35</x:v>
      </x:c>
      <x:c r="H79" s="78" t="n">
        <x:f>D79*E79</x:f>
        <x:v>52973.48</x:v>
      </x:c>
      <x:c r="I79" s="58" t="n">
        <x:f>MAX(0,(F79+G79)-E79)</x:f>
        <x:v>0</x:v>
      </x:c>
      <x:c r="J79" s="58" t="str">
        <x:f>IF(E79&lt;=G79,"Stockout Risk",IF(E79&lt;=F79,"Reorder",IF(E79&gt;F79*3,"Overstock","OK")))</x:f>
        <x:v>OK</x:v>
      </x:c>
      <x:c r="K79" s="59" t="str">
        <x:f>IF(J79="Stockout Risk","Urgent PO",IF(J79="Reorder","Create PO",IF(J79="Overstock","Review excess stock","No action")))</x:f>
        <x:v>No action</x:v>
      </x:c>
    </x:row>
    <x:row r="80">
      <x:c r="A80" s="57" t="str">
        <x:v>ITEM-0079</x:v>
      </x:c>
      <x:c r="B80" s="58" t="str">
        <x:v>Product 79</x:v>
      </x:c>
      <x:c r="C80" s="58" t="str">
        <x:v>Finished Goods</x:v>
      </x:c>
      <x:c r="D80" s="78" t="n">
        <x:v>222.94</x:v>
      </x:c>
      <x:c r="E80" s="58" t="n">
        <x:v>53</x:v>
      </x:c>
      <x:c r="F80" s="58" t="n">
        <x:v>111</x:v>
      </x:c>
      <x:c r="G80" s="58" t="n">
        <x:v>66</x:v>
      </x:c>
      <x:c r="H80" s="78" t="n">
        <x:f>D80*E80</x:f>
        <x:v>11815.82</x:v>
      </x:c>
      <x:c r="I80" s="58" t="n">
        <x:f>MAX(0,(F80+G80)-E80)</x:f>
        <x:v>124</x:v>
      </x:c>
      <x:c r="J80" s="58" t="str">
        <x:f>IF(E80&lt;=G80,"Stockout Risk",IF(E80&lt;=F80,"Reorder",IF(E80&gt;F80*3,"Overstock","OK")))</x:f>
        <x:v>Stockout Risk</x:v>
      </x:c>
      <x:c r="K80" s="59" t="str">
        <x:f>IF(J80="Stockout Risk","Urgent PO",IF(J80="Reorder","Create PO",IF(J80="Overstock","Review excess stock","No action")))</x:f>
        <x:v>Urgent PO</x:v>
      </x:c>
    </x:row>
    <x:row r="81">
      <x:c r="A81" s="57" t="str">
        <x:v>ITEM-0080</x:v>
      </x:c>
      <x:c r="B81" s="58" t="str">
        <x:v>Product 80</x:v>
      </x:c>
      <x:c r="C81" s="58" t="str">
        <x:v>Parts</x:v>
      </x:c>
      <x:c r="D81" s="78" t="n">
        <x:v>150.2</x:v>
      </x:c>
      <x:c r="E81" s="58" t="n">
        <x:v>424</x:v>
      </x:c>
      <x:c r="F81" s="58" t="n">
        <x:v>159</x:v>
      </x:c>
      <x:c r="G81" s="58" t="n">
        <x:v>72</x:v>
      </x:c>
      <x:c r="H81" s="78" t="n">
        <x:f>D81*E81</x:f>
        <x:v>63684.799999999996</x:v>
      </x:c>
      <x:c r="I81" s="58" t="n">
        <x:f>MAX(0,(F81+G81)-E81)</x:f>
        <x:v>0</x:v>
      </x:c>
      <x:c r="J81" s="58" t="str">
        <x:f>IF(E81&lt;=G81,"Stockout Risk",IF(E81&lt;=F81,"Reorder",IF(E81&gt;F81*3,"Overstock","OK")))</x:f>
        <x:v>OK</x:v>
      </x:c>
      <x:c r="K81" s="59" t="str">
        <x:f>IF(J81="Stockout Risk","Urgent PO",IF(J81="Reorder","Create PO",IF(J81="Overstock","Review excess stock","No action")))</x:f>
        <x:v>No action</x:v>
      </x:c>
    </x:row>
    <x:row r="82">
      <x:c r="A82" s="57" t="str">
        <x:v>ITEM-0081</x:v>
      </x:c>
      <x:c r="B82" s="58" t="str">
        <x:v>Product 81</x:v>
      </x:c>
      <x:c r="C82" s="58" t="str">
        <x:v>Parts</x:v>
      </x:c>
      <x:c r="D82" s="78" t="n">
        <x:v>233.95</x:v>
      </x:c>
      <x:c r="E82" s="58" t="n">
        <x:v>533</x:v>
      </x:c>
      <x:c r="F82" s="58" t="n">
        <x:v>205</x:v>
      </x:c>
      <x:c r="G82" s="58" t="n">
        <x:v>43</x:v>
      </x:c>
      <x:c r="H82" s="78" t="n">
        <x:f>D82*E82</x:f>
        <x:v>124695.34999999999</x:v>
      </x:c>
      <x:c r="I82" s="58" t="n">
        <x:f>MAX(0,(F82+G82)-E82)</x:f>
        <x:v>0</x:v>
      </x:c>
      <x:c r="J82" s="58" t="str">
        <x:f>IF(E82&lt;=G82,"Stockout Risk",IF(E82&lt;=F82,"Reorder",IF(E82&gt;F82*3,"Overstock","OK")))</x:f>
        <x:v>OK</x:v>
      </x:c>
      <x:c r="K82" s="59" t="str">
        <x:f>IF(J82="Stockout Risk","Urgent PO",IF(J82="Reorder","Create PO",IF(J82="Overstock","Review excess stock","No action")))</x:f>
        <x:v>No action</x:v>
      </x:c>
    </x:row>
    <x:row r="83">
      <x:c r="A83" s="57" t="str">
        <x:v>ITEM-0082</x:v>
      </x:c>
      <x:c r="B83" s="58" t="str">
        <x:v>Product 82</x:v>
      </x:c>
      <x:c r="C83" s="58" t="str">
        <x:v>Supplies</x:v>
      </x:c>
      <x:c r="D83" s="78" t="n">
        <x:v>83.29</x:v>
      </x:c>
      <x:c r="E83" s="58" t="n">
        <x:v>242</x:v>
      </x:c>
      <x:c r="F83" s="58" t="n">
        <x:v>168</x:v>
      </x:c>
      <x:c r="G83" s="58" t="n">
        <x:v>55</x:v>
      </x:c>
      <x:c r="H83" s="78" t="n">
        <x:f>D83*E83</x:f>
        <x:v>20156.18</x:v>
      </x:c>
      <x:c r="I83" s="58" t="n">
        <x:f>MAX(0,(F83+G83)-E83)</x:f>
        <x:v>0</x:v>
      </x:c>
      <x:c r="J83" s="58" t="str">
        <x:f>IF(E83&lt;=G83,"Stockout Risk",IF(E83&lt;=F83,"Reorder",IF(E83&gt;F83*3,"Overstock","OK")))</x:f>
        <x:v>OK</x:v>
      </x:c>
      <x:c r="K83" s="59" t="str">
        <x:f>IF(J83="Stockout Risk","Urgent PO",IF(J83="Reorder","Create PO",IF(J83="Overstock","Review excess stock","No action")))</x:f>
        <x:v>No action</x:v>
      </x:c>
    </x:row>
    <x:row r="84">
      <x:c r="A84" s="57" t="str">
        <x:v>ITEM-0083</x:v>
      </x:c>
      <x:c r="B84" s="58" t="str">
        <x:v>Product 83</x:v>
      </x:c>
      <x:c r="C84" s="58" t="str">
        <x:v>Raw Material</x:v>
      </x:c>
      <x:c r="D84" s="78" t="n">
        <x:v>164.63</x:v>
      </x:c>
      <x:c r="E84" s="58" t="n">
        <x:v>351</x:v>
      </x:c>
      <x:c r="F84" s="58" t="n">
        <x:v>241</x:v>
      </x:c>
      <x:c r="G84" s="58" t="n">
        <x:v>82</x:v>
      </x:c>
      <x:c r="H84" s="78" t="n">
        <x:f>D84*E84</x:f>
        <x:v>57785.13</x:v>
      </x:c>
      <x:c r="I84" s="58" t="n">
        <x:f>MAX(0,(F84+G84)-E84)</x:f>
        <x:v>0</x:v>
      </x:c>
      <x:c r="J84" s="58" t="str">
        <x:f>IF(E84&lt;=G84,"Stockout Risk",IF(E84&lt;=F84,"Reorder",IF(E84&gt;F84*3,"Overstock","OK")))</x:f>
        <x:v>OK</x:v>
      </x:c>
      <x:c r="K84" s="59" t="str">
        <x:f>IF(J84="Stockout Risk","Urgent PO",IF(J84="Reorder","Create PO",IF(J84="Overstock","Review excess stock","No action")))</x:f>
        <x:v>No action</x:v>
      </x:c>
    </x:row>
    <x:row r="85">
      <x:c r="A85" s="57" t="str">
        <x:v>ITEM-0084</x:v>
      </x:c>
      <x:c r="B85" s="58" t="str">
        <x:v>Product 84</x:v>
      </x:c>
      <x:c r="C85" s="58" t="str">
        <x:v>Finished Goods</x:v>
      </x:c>
      <x:c r="D85" s="78" t="n">
        <x:v>217.11</x:v>
      </x:c>
      <x:c r="E85" s="58" t="n">
        <x:v>45</x:v>
      </x:c>
      <x:c r="F85" s="58" t="n">
        <x:v>155</x:v>
      </x:c>
      <x:c r="G85" s="58" t="n">
        <x:v>40</x:v>
      </x:c>
      <x:c r="H85" s="78" t="n">
        <x:f>D85*E85</x:f>
        <x:v>9769.95</x:v>
      </x:c>
      <x:c r="I85" s="58" t="n">
        <x:f>MAX(0,(F85+G85)-E85)</x:f>
        <x:v>150</x:v>
      </x:c>
      <x:c r="J85" s="58" t="str">
        <x:f>IF(E85&lt;=G85,"Stockout Risk",IF(E85&lt;=F85,"Reorder",IF(E85&gt;F85*3,"Overstock","OK")))</x:f>
        <x:v>Reorder</x:v>
      </x:c>
      <x:c r="K85" s="59" t="str">
        <x:f>IF(J85="Stockout Risk","Urgent PO",IF(J85="Reorder","Create PO",IF(J85="Overstock","Review excess stock","No action")))</x:f>
        <x:v>Create PO</x:v>
      </x:c>
    </x:row>
    <x:row r="86">
      <x:c r="A86" s="57" t="str">
        <x:v>ITEM-0085</x:v>
      </x:c>
      <x:c r="B86" s="58" t="str">
        <x:v>Product 85</x:v>
      </x:c>
      <x:c r="C86" s="58" t="str">
        <x:v>Supplies</x:v>
      </x:c>
      <x:c r="D86" s="78" t="n">
        <x:v>55.58</x:v>
      </x:c>
      <x:c r="E86" s="58" t="n">
        <x:v>369</x:v>
      </x:c>
      <x:c r="F86" s="58" t="n">
        <x:v>154</x:v>
      </x:c>
      <x:c r="G86" s="58" t="n">
        <x:v>75</x:v>
      </x:c>
      <x:c r="H86" s="78" t="n">
        <x:f>D86*E86</x:f>
        <x:v>20509.02</x:v>
      </x:c>
      <x:c r="I86" s="58" t="n">
        <x:f>MAX(0,(F86+G86)-E86)</x:f>
        <x:v>0</x:v>
      </x:c>
      <x:c r="J86" s="58" t="str">
        <x:f>IF(E86&lt;=G86,"Stockout Risk",IF(E86&lt;=F86,"Reorder",IF(E86&gt;F86*3,"Overstock","OK")))</x:f>
        <x:v>OK</x:v>
      </x:c>
      <x:c r="K86" s="59" t="str">
        <x:f>IF(J86="Stockout Risk","Urgent PO",IF(J86="Reorder","Create PO",IF(J86="Overstock","Review excess stock","No action")))</x:f>
        <x:v>No action</x:v>
      </x:c>
    </x:row>
    <x:row r="87">
      <x:c r="A87" s="57" t="str">
        <x:v>ITEM-0086</x:v>
      </x:c>
      <x:c r="B87" s="58" t="str">
        <x:v>Product 86</x:v>
      </x:c>
      <x:c r="C87" s="58" t="str">
        <x:v>Parts</x:v>
      </x:c>
      <x:c r="D87" s="78" t="n">
        <x:v>188.04</x:v>
      </x:c>
      <x:c r="E87" s="58" t="n">
        <x:v>313</x:v>
      </x:c>
      <x:c r="F87" s="58" t="n">
        <x:v>115</x:v>
      </x:c>
      <x:c r="G87" s="58" t="n">
        <x:v>61</x:v>
      </x:c>
      <x:c r="H87" s="78" t="n">
        <x:f>D87*E87</x:f>
        <x:v>58856.52</x:v>
      </x:c>
      <x:c r="I87" s="58" t="n">
        <x:f>MAX(0,(F87+G87)-E87)</x:f>
        <x:v>0</x:v>
      </x:c>
      <x:c r="J87" s="58" t="str">
        <x:f>IF(E87&lt;=G87,"Stockout Risk",IF(E87&lt;=F87,"Reorder",IF(E87&gt;F87*3,"Overstock","OK")))</x:f>
        <x:v>OK</x:v>
      </x:c>
      <x:c r="K87" s="59" t="str">
        <x:f>IF(J87="Stockout Risk","Urgent PO",IF(J87="Reorder","Create PO",IF(J87="Overstock","Review excess stock","No action")))</x:f>
        <x:v>No action</x:v>
      </x:c>
    </x:row>
    <x:row r="88">
      <x:c r="A88" s="57" t="str">
        <x:v>ITEM-0087</x:v>
      </x:c>
      <x:c r="B88" s="58" t="str">
        <x:v>Product 87</x:v>
      </x:c>
      <x:c r="C88" s="58" t="str">
        <x:v>Raw Material</x:v>
      </x:c>
      <x:c r="D88" s="78" t="n">
        <x:v>248.11</x:v>
      </x:c>
      <x:c r="E88" s="58" t="n">
        <x:v>232</x:v>
      </x:c>
      <x:c r="F88" s="58" t="n">
        <x:v>112</x:v>
      </x:c>
      <x:c r="G88" s="58" t="n">
        <x:v>95</x:v>
      </x:c>
      <x:c r="H88" s="78" t="n">
        <x:f>D88*E88</x:f>
        <x:v>57561.520000000004</x:v>
      </x:c>
      <x:c r="I88" s="58" t="n">
        <x:f>MAX(0,(F88+G88)-E88)</x:f>
        <x:v>0</x:v>
      </x:c>
      <x:c r="J88" s="58" t="str">
        <x:f>IF(E88&lt;=G88,"Stockout Risk",IF(E88&lt;=F88,"Reorder",IF(E88&gt;F88*3,"Overstock","OK")))</x:f>
        <x:v>OK</x:v>
      </x:c>
      <x:c r="K88" s="59" t="str">
        <x:f>IF(J88="Stockout Risk","Urgent PO",IF(J88="Reorder","Create PO",IF(J88="Overstock","Review excess stock","No action")))</x:f>
        <x:v>No action</x:v>
      </x:c>
    </x:row>
    <x:row r="89">
      <x:c r="A89" s="57" t="str">
        <x:v>ITEM-0088</x:v>
      </x:c>
      <x:c r="B89" s="58" t="str">
        <x:v>Product 88</x:v>
      </x:c>
      <x:c r="C89" s="58" t="str">
        <x:v>Finished Goods</x:v>
      </x:c>
      <x:c r="D89" s="78" t="n">
        <x:v>37.08</x:v>
      </x:c>
      <x:c r="E89" s="58" t="n">
        <x:v>447</x:v>
      </x:c>
      <x:c r="F89" s="58" t="n">
        <x:v>83</x:v>
      </x:c>
      <x:c r="G89" s="58" t="n">
        <x:v>31</x:v>
      </x:c>
      <x:c r="H89" s="78" t="n">
        <x:f>D89*E89</x:f>
        <x:v>16574.76</x:v>
      </x:c>
      <x:c r="I89" s="58" t="n">
        <x:f>MAX(0,(F89+G89)-E89)</x:f>
        <x:v>0</x:v>
      </x:c>
      <x:c r="J89" s="58" t="str">
        <x:f>IF(E89&lt;=G89,"Stockout Risk",IF(E89&lt;=F89,"Reorder",IF(E89&gt;F89*3,"Overstock","OK")))</x:f>
        <x:v>Overstock</x:v>
      </x:c>
      <x:c r="K89" s="59" t="str">
        <x:f>IF(J89="Stockout Risk","Urgent PO",IF(J89="Reorder","Create PO",IF(J89="Overstock","Review excess stock","No action")))</x:f>
        <x:v>Review excess stock</x:v>
      </x:c>
    </x:row>
    <x:row r="90">
      <x:c r="A90" s="57" t="str">
        <x:v>ITEM-0089</x:v>
      </x:c>
      <x:c r="B90" s="58" t="str">
        <x:v>Product 89</x:v>
      </x:c>
      <x:c r="C90" s="58" t="str">
        <x:v>Raw Material</x:v>
      </x:c>
      <x:c r="D90" s="78" t="n">
        <x:v>7.06</x:v>
      </x:c>
      <x:c r="E90" s="58" t="n">
        <x:v>472</x:v>
      </x:c>
      <x:c r="F90" s="58" t="n">
        <x:v>112</x:v>
      </x:c>
      <x:c r="G90" s="58" t="n">
        <x:v>27</x:v>
      </x:c>
      <x:c r="H90" s="78" t="n">
        <x:f>D90*E90</x:f>
        <x:v>3332.3199999999997</x:v>
      </x:c>
      <x:c r="I90" s="58" t="n">
        <x:f>MAX(0,(F90+G90)-E90)</x:f>
        <x:v>0</x:v>
      </x:c>
      <x:c r="J90" s="58" t="str">
        <x:f>IF(E90&lt;=G90,"Stockout Risk",IF(E90&lt;=F90,"Reorder",IF(E90&gt;F90*3,"Overstock","OK")))</x:f>
        <x:v>Overstock</x:v>
      </x:c>
      <x:c r="K90" s="59" t="str">
        <x:f>IF(J90="Stockout Risk","Urgent PO",IF(J90="Reorder","Create PO",IF(J90="Overstock","Review excess stock","No action")))</x:f>
        <x:v>Review excess stock</x:v>
      </x:c>
    </x:row>
    <x:row r="91">
      <x:c r="A91" s="57" t="str">
        <x:v>ITEM-0090</x:v>
      </x:c>
      <x:c r="B91" s="58" t="str">
        <x:v>Product 90</x:v>
      </x:c>
      <x:c r="C91" s="58" t="str">
        <x:v>Parts</x:v>
      </x:c>
      <x:c r="D91" s="78" t="n">
        <x:v>80.44</x:v>
      </x:c>
      <x:c r="E91" s="58" t="n">
        <x:v>523</x:v>
      </x:c>
      <x:c r="F91" s="58" t="n">
        <x:v>124</x:v>
      </x:c>
      <x:c r="G91" s="58" t="n">
        <x:v>26</x:v>
      </x:c>
      <x:c r="H91" s="78" t="n">
        <x:f>D91*E91</x:f>
        <x:v>42070.119999999995</x:v>
      </x:c>
      <x:c r="I91" s="58" t="n">
        <x:f>MAX(0,(F91+G91)-E91)</x:f>
        <x:v>0</x:v>
      </x:c>
      <x:c r="J91" s="58" t="str">
        <x:f>IF(E91&lt;=G91,"Stockout Risk",IF(E91&lt;=F91,"Reorder",IF(E91&gt;F91*3,"Overstock","OK")))</x:f>
        <x:v>Overstock</x:v>
      </x:c>
      <x:c r="K91" s="59" t="str">
        <x:f>IF(J91="Stockout Risk","Urgent PO",IF(J91="Reorder","Create PO",IF(J91="Overstock","Review excess stock","No action")))</x:f>
        <x:v>Review excess stock</x:v>
      </x:c>
    </x:row>
    <x:row r="92">
      <x:c r="A92" s="57" t="str">
        <x:v>ITEM-0091</x:v>
      </x:c>
      <x:c r="B92" s="58" t="str">
        <x:v>Product 91</x:v>
      </x:c>
      <x:c r="C92" s="58" t="str">
        <x:v>Finished Goods</x:v>
      </x:c>
      <x:c r="D92" s="78" t="n">
        <x:v>200.11</x:v>
      </x:c>
      <x:c r="E92" s="58" t="n">
        <x:v>526</x:v>
      </x:c>
      <x:c r="F92" s="58" t="n">
        <x:v>239</x:v>
      </x:c>
      <x:c r="G92" s="58" t="n">
        <x:v>41</x:v>
      </x:c>
      <x:c r="H92" s="78" t="n">
        <x:f>D92*E92</x:f>
        <x:v>105257.86</x:v>
      </x:c>
      <x:c r="I92" s="58" t="n">
        <x:f>MAX(0,(F92+G92)-E92)</x:f>
        <x:v>0</x:v>
      </x:c>
      <x:c r="J92" s="58" t="str">
        <x:f>IF(E92&lt;=G92,"Stockout Risk",IF(E92&lt;=F92,"Reorder",IF(E92&gt;F92*3,"Overstock","OK")))</x:f>
        <x:v>OK</x:v>
      </x:c>
      <x:c r="K92" s="59" t="str">
        <x:f>IF(J92="Stockout Risk","Urgent PO",IF(J92="Reorder","Create PO",IF(J92="Overstock","Review excess stock","No action")))</x:f>
        <x:v>No action</x:v>
      </x:c>
    </x:row>
    <x:row r="93">
      <x:c r="A93" s="57" t="str">
        <x:v>ITEM-0092</x:v>
      </x:c>
      <x:c r="B93" s="58" t="str">
        <x:v>Product 92</x:v>
      </x:c>
      <x:c r="C93" s="58" t="str">
        <x:v>Raw Material</x:v>
      </x:c>
      <x:c r="D93" s="78" t="n">
        <x:v>234.75</x:v>
      </x:c>
      <x:c r="E93" s="58" t="n">
        <x:v>407</x:v>
      </x:c>
      <x:c r="F93" s="58" t="n">
        <x:v>217</x:v>
      </x:c>
      <x:c r="G93" s="58" t="n">
        <x:v>61</x:v>
      </x:c>
      <x:c r="H93" s="78" t="n">
        <x:f>D93*E93</x:f>
        <x:v>95543.25</x:v>
      </x:c>
      <x:c r="I93" s="58" t="n">
        <x:f>MAX(0,(F93+G93)-E93)</x:f>
        <x:v>0</x:v>
      </x:c>
      <x:c r="J93" s="58" t="str">
        <x:f>IF(E93&lt;=G93,"Stockout Risk",IF(E93&lt;=F93,"Reorder",IF(E93&gt;F93*3,"Overstock","OK")))</x:f>
        <x:v>OK</x:v>
      </x:c>
      <x:c r="K93" s="59" t="str">
        <x:f>IF(J93="Stockout Risk","Urgent PO",IF(J93="Reorder","Create PO",IF(J93="Overstock","Review excess stock","No action")))</x:f>
        <x:v>No action</x:v>
      </x:c>
    </x:row>
    <x:row r="94">
      <x:c r="A94" s="57" t="str">
        <x:v>ITEM-0093</x:v>
      </x:c>
      <x:c r="B94" s="58" t="str">
        <x:v>Product 93</x:v>
      </x:c>
      <x:c r="C94" s="58" t="str">
        <x:v>Raw Material</x:v>
      </x:c>
      <x:c r="D94" s="78" t="n">
        <x:v>69.34</x:v>
      </x:c>
      <x:c r="E94" s="58" t="n">
        <x:v>301</x:v>
      </x:c>
      <x:c r="F94" s="58" t="n">
        <x:v>102</x:v>
      </x:c>
      <x:c r="G94" s="58" t="n">
        <x:v>62</x:v>
      </x:c>
      <x:c r="H94" s="78" t="n">
        <x:f>D94*E94</x:f>
        <x:v>20871.34</x:v>
      </x:c>
      <x:c r="I94" s="58" t="n">
        <x:f>MAX(0,(F94+G94)-E94)</x:f>
        <x:v>0</x:v>
      </x:c>
      <x:c r="J94" s="58" t="str">
        <x:f>IF(E94&lt;=G94,"Stockout Risk",IF(E94&lt;=F94,"Reorder",IF(E94&gt;F94*3,"Overstock","OK")))</x:f>
        <x:v>OK</x:v>
      </x:c>
      <x:c r="K94" s="59" t="str">
        <x:f>IF(J94="Stockout Risk","Urgent PO",IF(J94="Reorder","Create PO",IF(J94="Overstock","Review excess stock","No action")))</x:f>
        <x:v>No action</x:v>
      </x:c>
    </x:row>
    <x:row r="95">
      <x:c r="A95" s="57" t="str">
        <x:v>ITEM-0094</x:v>
      </x:c>
      <x:c r="B95" s="58" t="str">
        <x:v>Product 94</x:v>
      </x:c>
      <x:c r="C95" s="58" t="str">
        <x:v>Supplies</x:v>
      </x:c>
      <x:c r="D95" s="78" t="n">
        <x:v>18.53</x:v>
      </x:c>
      <x:c r="E95" s="58" t="n">
        <x:v>335</x:v>
      </x:c>
      <x:c r="F95" s="58" t="n">
        <x:v>181</x:v>
      </x:c>
      <x:c r="G95" s="58" t="n">
        <x:v>40</x:v>
      </x:c>
      <x:c r="H95" s="78" t="n">
        <x:f>D95*E95</x:f>
        <x:v>6207.55</x:v>
      </x:c>
      <x:c r="I95" s="58" t="n">
        <x:f>MAX(0,(F95+G95)-E95)</x:f>
        <x:v>0</x:v>
      </x:c>
      <x:c r="J95" s="58" t="str">
        <x:f>IF(E95&lt;=G95,"Stockout Risk",IF(E95&lt;=F95,"Reorder",IF(E95&gt;F95*3,"Overstock","OK")))</x:f>
        <x:v>OK</x:v>
      </x:c>
      <x:c r="K95" s="59" t="str">
        <x:f>IF(J95="Stockout Risk","Urgent PO",IF(J95="Reorder","Create PO",IF(J95="Overstock","Review excess stock","No action")))</x:f>
        <x:v>No action</x:v>
      </x:c>
    </x:row>
    <x:row r="96">
      <x:c r="A96" s="57" t="str">
        <x:v>ITEM-0095</x:v>
      </x:c>
      <x:c r="B96" s="58" t="str">
        <x:v>Product 95</x:v>
      </x:c>
      <x:c r="C96" s="58" t="str">
        <x:v>Supplies</x:v>
      </x:c>
      <x:c r="D96" s="78" t="n">
        <x:v>239.5</x:v>
      </x:c>
      <x:c r="E96" s="58" t="n">
        <x:v>310</x:v>
      </x:c>
      <x:c r="F96" s="58" t="n">
        <x:v>188</x:v>
      </x:c>
      <x:c r="G96" s="58" t="n">
        <x:v>56</x:v>
      </x:c>
      <x:c r="H96" s="78" t="n">
        <x:f>D96*E96</x:f>
        <x:v>74245</x:v>
      </x:c>
      <x:c r="I96" s="58" t="n">
        <x:f>MAX(0,(F96+G96)-E96)</x:f>
        <x:v>0</x:v>
      </x:c>
      <x:c r="J96" s="58" t="str">
        <x:f>IF(E96&lt;=G96,"Stockout Risk",IF(E96&lt;=F96,"Reorder",IF(E96&gt;F96*3,"Overstock","OK")))</x:f>
        <x:v>OK</x:v>
      </x:c>
      <x:c r="K96" s="59" t="str">
        <x:f>IF(J96="Stockout Risk","Urgent PO",IF(J96="Reorder","Create PO",IF(J96="Overstock","Review excess stock","No action")))</x:f>
        <x:v>No action</x:v>
      </x:c>
    </x:row>
    <x:row r="97">
      <x:c r="A97" s="57" t="str">
        <x:v>ITEM-0096</x:v>
      </x:c>
      <x:c r="B97" s="58" t="str">
        <x:v>Product 96</x:v>
      </x:c>
      <x:c r="C97" s="58" t="str">
        <x:v>Finished Goods</x:v>
      </x:c>
      <x:c r="D97" s="78" t="n">
        <x:v>60.14</x:v>
      </x:c>
      <x:c r="E97" s="58" t="n">
        <x:v>308</x:v>
      </x:c>
      <x:c r="F97" s="58" t="n">
        <x:v>211</x:v>
      </x:c>
      <x:c r="G97" s="58" t="n">
        <x:v>78</x:v>
      </x:c>
      <x:c r="H97" s="78" t="n">
        <x:f>D97*E97</x:f>
        <x:v>18523.12</x:v>
      </x:c>
      <x:c r="I97" s="58" t="n">
        <x:f>MAX(0,(F97+G97)-E97)</x:f>
        <x:v>0</x:v>
      </x:c>
      <x:c r="J97" s="58" t="str">
        <x:f>IF(E97&lt;=G97,"Stockout Risk",IF(E97&lt;=F97,"Reorder",IF(E97&gt;F97*3,"Overstock","OK")))</x:f>
        <x:v>OK</x:v>
      </x:c>
      <x:c r="K97" s="59" t="str">
        <x:f>IF(J97="Stockout Risk","Urgent PO",IF(J97="Reorder","Create PO",IF(J97="Overstock","Review excess stock","No action")))</x:f>
        <x:v>No action</x:v>
      </x:c>
    </x:row>
    <x:row r="98">
      <x:c r="A98" s="57" t="str">
        <x:v>ITEM-0097</x:v>
      </x:c>
      <x:c r="B98" s="58" t="str">
        <x:v>Product 97</x:v>
      </x:c>
      <x:c r="C98" s="58" t="str">
        <x:v>Supplies</x:v>
      </x:c>
      <x:c r="D98" s="78" t="n">
        <x:v>117.69</x:v>
      </x:c>
      <x:c r="E98" s="58" t="n">
        <x:v>95</x:v>
      </x:c>
      <x:c r="F98" s="58" t="n">
        <x:v>236</x:v>
      </x:c>
      <x:c r="G98" s="58" t="n">
        <x:v>54</x:v>
      </x:c>
      <x:c r="H98" s="78" t="n">
        <x:f>D98*E98</x:f>
        <x:v>11180.55</x:v>
      </x:c>
      <x:c r="I98" s="58" t="n">
        <x:f>MAX(0,(F98+G98)-E98)</x:f>
        <x:v>195</x:v>
      </x:c>
      <x:c r="J98" s="58" t="str">
        <x:f>IF(E98&lt;=G98,"Stockout Risk",IF(E98&lt;=F98,"Reorder",IF(E98&gt;F98*3,"Overstock","OK")))</x:f>
        <x:v>Reorder</x:v>
      </x:c>
      <x:c r="K98" s="59" t="str">
        <x:f>IF(J98="Stockout Risk","Urgent PO",IF(J98="Reorder","Create PO",IF(J98="Overstock","Review excess stock","No action")))</x:f>
        <x:v>Create PO</x:v>
      </x:c>
    </x:row>
    <x:row r="99">
      <x:c r="A99" s="57" t="str">
        <x:v>ITEM-0098</x:v>
      </x:c>
      <x:c r="B99" s="58" t="str">
        <x:v>Product 98</x:v>
      </x:c>
      <x:c r="C99" s="58" t="str">
        <x:v>Finished Goods</x:v>
      </x:c>
      <x:c r="D99" s="78" t="n">
        <x:v>248.82</x:v>
      </x:c>
      <x:c r="E99" s="58" t="n">
        <x:v>543</x:v>
      </x:c>
      <x:c r="F99" s="58" t="n">
        <x:v>216</x:v>
      </x:c>
      <x:c r="G99" s="58" t="n">
        <x:v>56</x:v>
      </x:c>
      <x:c r="H99" s="78" t="n">
        <x:f>D99*E99</x:f>
        <x:v>135109.26</x:v>
      </x:c>
      <x:c r="I99" s="58" t="n">
        <x:f>MAX(0,(F99+G99)-E99)</x:f>
        <x:v>0</x:v>
      </x:c>
      <x:c r="J99" s="58" t="str">
        <x:f>IF(E99&lt;=G99,"Stockout Risk",IF(E99&lt;=F99,"Reorder",IF(E99&gt;F99*3,"Overstock","OK")))</x:f>
        <x:v>OK</x:v>
      </x:c>
      <x:c r="K99" s="59" t="str">
        <x:f>IF(J99="Stockout Risk","Urgent PO",IF(J99="Reorder","Create PO",IF(J99="Overstock","Review excess stock","No action")))</x:f>
        <x:v>No action</x:v>
      </x:c>
    </x:row>
    <x:row r="100">
      <x:c r="A100" s="57" t="str">
        <x:v>ITEM-0099</x:v>
      </x:c>
      <x:c r="B100" s="58" t="str">
        <x:v>Product 99</x:v>
      </x:c>
      <x:c r="C100" s="58" t="str">
        <x:v>Raw Material</x:v>
      </x:c>
      <x:c r="D100" s="78" t="n">
        <x:v>240.63</x:v>
      </x:c>
      <x:c r="E100" s="58" t="n">
        <x:v>174</x:v>
      </x:c>
      <x:c r="F100" s="58" t="n">
        <x:v>56</x:v>
      </x:c>
      <x:c r="G100" s="58" t="n">
        <x:v>34</x:v>
      </x:c>
      <x:c r="H100" s="78" t="n">
        <x:f>D100*E100</x:f>
        <x:v>41869.62</x:v>
      </x:c>
      <x:c r="I100" s="58" t="n">
        <x:f>MAX(0,(F100+G100)-E100)</x:f>
        <x:v>0</x:v>
      </x:c>
      <x:c r="J100" s="58" t="str">
        <x:f>IF(E100&lt;=G100,"Stockout Risk",IF(E100&lt;=F100,"Reorder",IF(E100&gt;F100*3,"Overstock","OK")))</x:f>
        <x:v>Overstock</x:v>
      </x:c>
      <x:c r="K100" s="59" t="str">
        <x:f>IF(J100="Stockout Risk","Urgent PO",IF(J100="Reorder","Create PO",IF(J100="Overstock","Review excess stock","No action")))</x:f>
        <x:v>Review excess stock</x:v>
      </x:c>
    </x:row>
    <x:row r="101">
      <x:c r="A101" s="57" t="str">
        <x:v>ITEM-0100</x:v>
      </x:c>
      <x:c r="B101" s="58" t="str">
        <x:v>Product 100</x:v>
      </x:c>
      <x:c r="C101" s="58" t="str">
        <x:v>Raw Material</x:v>
      </x:c>
      <x:c r="D101" s="78" t="n">
        <x:v>131.83</x:v>
      </x:c>
      <x:c r="E101" s="58" t="n">
        <x:v>367</x:v>
      </x:c>
      <x:c r="F101" s="58" t="n">
        <x:v>55</x:v>
      </x:c>
      <x:c r="G101" s="58" t="n">
        <x:v>46</x:v>
      </x:c>
      <x:c r="H101" s="78" t="n">
        <x:f>D101*E101</x:f>
        <x:v>48381.61000000001</x:v>
      </x:c>
      <x:c r="I101" s="58" t="n">
        <x:f>MAX(0,(F101+G101)-E101)</x:f>
        <x:v>0</x:v>
      </x:c>
      <x:c r="J101" s="58" t="str">
        <x:f>IF(E101&lt;=G101,"Stockout Risk",IF(E101&lt;=F101,"Reorder",IF(E101&gt;F101*3,"Overstock","OK")))</x:f>
        <x:v>Overstock</x:v>
      </x:c>
      <x:c r="K101" s="59" t="str">
        <x:f>IF(J101="Stockout Risk","Urgent PO",IF(J101="Reorder","Create PO",IF(J101="Overstock","Review excess stock","No action")))</x:f>
        <x:v>Review excess stock</x:v>
      </x:c>
    </x:row>
    <x:row r="102">
      <x:c r="A102" s="57" t="str">
        <x:v>ITEM-0101</x:v>
      </x:c>
      <x:c r="B102" s="58" t="str">
        <x:v>Product 101</x:v>
      </x:c>
      <x:c r="C102" s="58" t="str">
        <x:v>Packaging</x:v>
      </x:c>
      <x:c r="D102" s="78" t="n">
        <x:v>209.84</x:v>
      </x:c>
      <x:c r="E102" s="58" t="n">
        <x:v>356</x:v>
      </x:c>
      <x:c r="F102" s="58" t="n">
        <x:v>167</x:v>
      </x:c>
      <x:c r="G102" s="58" t="n">
        <x:v>35</x:v>
      </x:c>
      <x:c r="H102" s="78" t="n">
        <x:f>D102*E102</x:f>
        <x:v>74703.04000000001</x:v>
      </x:c>
      <x:c r="I102" s="58" t="n">
        <x:f>MAX(0,(F102+G102)-E102)</x:f>
        <x:v>0</x:v>
      </x:c>
      <x:c r="J102" s="58" t="str">
        <x:f>IF(E102&lt;=G102,"Stockout Risk",IF(E102&lt;=F102,"Reorder",IF(E102&gt;F102*3,"Overstock","OK")))</x:f>
        <x:v>OK</x:v>
      </x:c>
      <x:c r="K102" s="59" t="str">
        <x:f>IF(J102="Stockout Risk","Urgent PO",IF(J102="Reorder","Create PO",IF(J102="Overstock","Review excess stock","No action")))</x:f>
        <x:v>No action</x:v>
      </x:c>
    </x:row>
    <x:row r="103">
      <x:c r="A103" s="57" t="str">
        <x:v>ITEM-0102</x:v>
      </x:c>
      <x:c r="B103" s="58" t="str">
        <x:v>Product 102</x:v>
      </x:c>
      <x:c r="C103" s="58" t="str">
        <x:v>Supplies</x:v>
      </x:c>
      <x:c r="D103" s="78" t="n">
        <x:v>137.6</x:v>
      </x:c>
      <x:c r="E103" s="58" t="n">
        <x:v>529</x:v>
      </x:c>
      <x:c r="F103" s="58" t="n">
        <x:v>162</x:v>
      </x:c>
      <x:c r="G103" s="58" t="n">
        <x:v>31</x:v>
      </x:c>
      <x:c r="H103" s="78" t="n">
        <x:f>D103*E103</x:f>
        <x:v>72790.4</x:v>
      </x:c>
      <x:c r="I103" s="58" t="n">
        <x:f>MAX(0,(F103+G103)-E103)</x:f>
        <x:v>0</x:v>
      </x:c>
      <x:c r="J103" s="58" t="str">
        <x:f>IF(E103&lt;=G103,"Stockout Risk",IF(E103&lt;=F103,"Reorder",IF(E103&gt;F103*3,"Overstock","OK")))</x:f>
        <x:v>Overstock</x:v>
      </x:c>
      <x:c r="K103" s="59" t="str">
        <x:f>IF(J103="Stockout Risk","Urgent PO",IF(J103="Reorder","Create PO",IF(J103="Overstock","Review excess stock","No action")))</x:f>
        <x:v>Review excess stock</x:v>
      </x:c>
    </x:row>
    <x:row r="104">
      <x:c r="A104" s="57" t="str">
        <x:v>ITEM-0103</x:v>
      </x:c>
      <x:c r="B104" s="58" t="str">
        <x:v>Product 103</x:v>
      </x:c>
      <x:c r="C104" s="58" t="str">
        <x:v>Parts</x:v>
      </x:c>
      <x:c r="D104" s="78" t="n">
        <x:v>54.28</x:v>
      </x:c>
      <x:c r="E104" s="58" t="n">
        <x:v>421</x:v>
      </x:c>
      <x:c r="F104" s="58" t="n">
        <x:v>200</x:v>
      </x:c>
      <x:c r="G104" s="58" t="n">
        <x:v>72</x:v>
      </x:c>
      <x:c r="H104" s="78" t="n">
        <x:f>D104*E104</x:f>
        <x:v>22851.88</x:v>
      </x:c>
      <x:c r="I104" s="58" t="n">
        <x:f>MAX(0,(F104+G104)-E104)</x:f>
        <x:v>0</x:v>
      </x:c>
      <x:c r="J104" s="58" t="str">
        <x:f>IF(E104&lt;=G104,"Stockout Risk",IF(E104&lt;=F104,"Reorder",IF(E104&gt;F104*3,"Overstock","OK")))</x:f>
        <x:v>OK</x:v>
      </x:c>
      <x:c r="K104" s="59" t="str">
        <x:f>IF(J104="Stockout Risk","Urgent PO",IF(J104="Reorder","Create PO",IF(J104="Overstock","Review excess stock","No action")))</x:f>
        <x:v>No action</x:v>
      </x:c>
    </x:row>
    <x:row r="105">
      <x:c r="A105" s="57" t="str">
        <x:v>ITEM-0104</x:v>
      </x:c>
      <x:c r="B105" s="58" t="str">
        <x:v>Product 104</x:v>
      </x:c>
      <x:c r="C105" s="58" t="str">
        <x:v>Raw Material</x:v>
      </x:c>
      <x:c r="D105" s="78" t="n">
        <x:v>138.73</x:v>
      </x:c>
      <x:c r="E105" s="58" t="n">
        <x:v>75</x:v>
      </x:c>
      <x:c r="F105" s="58" t="n">
        <x:v>140</x:v>
      </x:c>
      <x:c r="G105" s="58" t="n">
        <x:v>53</x:v>
      </x:c>
      <x:c r="H105" s="78" t="n">
        <x:f>D105*E105</x:f>
        <x:v>10404.75</x:v>
      </x:c>
      <x:c r="I105" s="58" t="n">
        <x:f>MAX(0,(F105+G105)-E105)</x:f>
        <x:v>118</x:v>
      </x:c>
      <x:c r="J105" s="58" t="str">
        <x:f>IF(E105&lt;=G105,"Stockout Risk",IF(E105&lt;=F105,"Reorder",IF(E105&gt;F105*3,"Overstock","OK")))</x:f>
        <x:v>Reorder</x:v>
      </x:c>
      <x:c r="K105" s="59" t="str">
        <x:f>IF(J105="Stockout Risk","Urgent PO",IF(J105="Reorder","Create PO",IF(J105="Overstock","Review excess stock","No action")))</x:f>
        <x:v>Create PO</x:v>
      </x:c>
    </x:row>
    <x:row r="106">
      <x:c r="A106" s="57" t="str">
        <x:v>ITEM-0105</x:v>
      </x:c>
      <x:c r="B106" s="58" t="str">
        <x:v>Product 105</x:v>
      </x:c>
      <x:c r="C106" s="58" t="str">
        <x:v>Raw Material</x:v>
      </x:c>
      <x:c r="D106" s="78" t="n">
        <x:v>193.35</x:v>
      </x:c>
      <x:c r="E106" s="58" t="n">
        <x:v>231</x:v>
      </x:c>
      <x:c r="F106" s="58" t="n">
        <x:v>98</x:v>
      </x:c>
      <x:c r="G106" s="58" t="n">
        <x:v>25</x:v>
      </x:c>
      <x:c r="H106" s="78" t="n">
        <x:f>D106*E106</x:f>
        <x:v>44663.85</x:v>
      </x:c>
      <x:c r="I106" s="58" t="n">
        <x:f>MAX(0,(F106+G106)-E106)</x:f>
        <x:v>0</x:v>
      </x:c>
      <x:c r="J106" s="58" t="str">
        <x:f>IF(E106&lt;=G106,"Stockout Risk",IF(E106&lt;=F106,"Reorder",IF(E106&gt;F106*3,"Overstock","OK")))</x:f>
        <x:v>OK</x:v>
      </x:c>
      <x:c r="K106" s="59" t="str">
        <x:f>IF(J106="Stockout Risk","Urgent PO",IF(J106="Reorder","Create PO",IF(J106="Overstock","Review excess stock","No action")))</x:f>
        <x:v>No action</x:v>
      </x:c>
    </x:row>
    <x:row r="107">
      <x:c r="A107" s="57" t="str">
        <x:v>ITEM-0106</x:v>
      </x:c>
      <x:c r="B107" s="58" t="str">
        <x:v>Product 106</x:v>
      </x:c>
      <x:c r="C107" s="58" t="str">
        <x:v>Finished Goods</x:v>
      </x:c>
      <x:c r="D107" s="78" t="n">
        <x:v>167.59</x:v>
      </x:c>
      <x:c r="E107" s="58" t="n">
        <x:v>476</x:v>
      </x:c>
      <x:c r="F107" s="58" t="n">
        <x:v>208</x:v>
      </x:c>
      <x:c r="G107" s="58" t="n">
        <x:v>21</x:v>
      </x:c>
      <x:c r="H107" s="78" t="n">
        <x:f>D107*E107</x:f>
        <x:v>79772.84</x:v>
      </x:c>
      <x:c r="I107" s="58" t="n">
        <x:f>MAX(0,(F107+G107)-E107)</x:f>
        <x:v>0</x:v>
      </x:c>
      <x:c r="J107" s="58" t="str">
        <x:f>IF(E107&lt;=G107,"Stockout Risk",IF(E107&lt;=F107,"Reorder",IF(E107&gt;F107*3,"Overstock","OK")))</x:f>
        <x:v>OK</x:v>
      </x:c>
      <x:c r="K107" s="59" t="str">
        <x:f>IF(J107="Stockout Risk","Urgent PO",IF(J107="Reorder","Create PO",IF(J107="Overstock","Review excess stock","No action")))</x:f>
        <x:v>No action</x:v>
      </x:c>
    </x:row>
    <x:row r="108">
      <x:c r="A108" s="57" t="str">
        <x:v>ITEM-0107</x:v>
      </x:c>
      <x:c r="B108" s="58" t="str">
        <x:v>Product 107</x:v>
      </x:c>
      <x:c r="C108" s="58" t="str">
        <x:v>Finished Goods</x:v>
      </x:c>
      <x:c r="D108" s="78" t="n">
        <x:v>205.39</x:v>
      </x:c>
      <x:c r="E108" s="58" t="n">
        <x:v>161</x:v>
      </x:c>
      <x:c r="F108" s="58" t="n">
        <x:v>131</x:v>
      </x:c>
      <x:c r="G108" s="58" t="n">
        <x:v>86</x:v>
      </x:c>
      <x:c r="H108" s="78" t="n">
        <x:f>D108*E108</x:f>
        <x:v>33067.79</x:v>
      </x:c>
      <x:c r="I108" s="58" t="n">
        <x:f>MAX(0,(F108+G108)-E108)</x:f>
        <x:v>56</x:v>
      </x:c>
      <x:c r="J108" s="58" t="str">
        <x:f>IF(E108&lt;=G108,"Stockout Risk",IF(E108&lt;=F108,"Reorder",IF(E108&gt;F108*3,"Overstock","OK")))</x:f>
        <x:v>OK</x:v>
      </x:c>
      <x:c r="K108" s="59" t="str">
        <x:f>IF(J108="Stockout Risk","Urgent PO",IF(J108="Reorder","Create PO",IF(J108="Overstock","Review excess stock","No action")))</x:f>
        <x:v>No action</x:v>
      </x:c>
    </x:row>
    <x:row r="109">
      <x:c r="A109" s="57" t="str">
        <x:v>ITEM-0108</x:v>
      </x:c>
      <x:c r="B109" s="58" t="str">
        <x:v>Product 108</x:v>
      </x:c>
      <x:c r="C109" s="58" t="str">
        <x:v>Parts</x:v>
      </x:c>
      <x:c r="D109" s="78" t="n">
        <x:v>146.73</x:v>
      </x:c>
      <x:c r="E109" s="58" t="n">
        <x:v>476</x:v>
      </x:c>
      <x:c r="F109" s="58" t="n">
        <x:v>151</x:v>
      </x:c>
      <x:c r="G109" s="58" t="n">
        <x:v>65</x:v>
      </x:c>
      <x:c r="H109" s="78" t="n">
        <x:f>D109*E109</x:f>
        <x:v>69843.48</x:v>
      </x:c>
      <x:c r="I109" s="58" t="n">
        <x:f>MAX(0,(F109+G109)-E109)</x:f>
        <x:v>0</x:v>
      </x:c>
      <x:c r="J109" s="58" t="str">
        <x:f>IF(E109&lt;=G109,"Stockout Risk",IF(E109&lt;=F109,"Reorder",IF(E109&gt;F109*3,"Overstock","OK")))</x:f>
        <x:v>Overstock</x:v>
      </x:c>
      <x:c r="K109" s="59" t="str">
        <x:f>IF(J109="Stockout Risk","Urgent PO",IF(J109="Reorder","Create PO",IF(J109="Overstock","Review excess stock","No action")))</x:f>
        <x:v>Review excess stock</x:v>
      </x:c>
    </x:row>
    <x:row r="110">
      <x:c r="A110" s="57" t="str">
        <x:v>ITEM-0109</x:v>
      </x:c>
      <x:c r="B110" s="58" t="str">
        <x:v>Product 109</x:v>
      </x:c>
      <x:c r="C110" s="58" t="str">
        <x:v>Supplies</x:v>
      </x:c>
      <x:c r="D110" s="78" t="n">
        <x:v>204.67</x:v>
      </x:c>
      <x:c r="E110" s="58" t="n">
        <x:v>474</x:v>
      </x:c>
      <x:c r="F110" s="58" t="n">
        <x:v>62</x:v>
      </x:c>
      <x:c r="G110" s="58" t="n">
        <x:v>51</x:v>
      </x:c>
      <x:c r="H110" s="78" t="n">
        <x:f>D110*E110</x:f>
        <x:v>97013.57999999999</x:v>
      </x:c>
      <x:c r="I110" s="58" t="n">
        <x:f>MAX(0,(F110+G110)-E110)</x:f>
        <x:v>0</x:v>
      </x:c>
      <x:c r="J110" s="58" t="str">
        <x:f>IF(E110&lt;=G110,"Stockout Risk",IF(E110&lt;=F110,"Reorder",IF(E110&gt;F110*3,"Overstock","OK")))</x:f>
        <x:v>Overstock</x:v>
      </x:c>
      <x:c r="K110" s="59" t="str">
        <x:f>IF(J110="Stockout Risk","Urgent PO",IF(J110="Reorder","Create PO",IF(J110="Overstock","Review excess stock","No action")))</x:f>
        <x:v>Review excess stock</x:v>
      </x:c>
    </x:row>
    <x:row r="111">
      <x:c r="A111" s="57" t="str">
        <x:v>ITEM-0110</x:v>
      </x:c>
      <x:c r="B111" s="58" t="str">
        <x:v>Product 110</x:v>
      </x:c>
      <x:c r="C111" s="58" t="str">
        <x:v>Raw Material</x:v>
      </x:c>
      <x:c r="D111" s="78" t="n">
        <x:v>22.41</x:v>
      </x:c>
      <x:c r="E111" s="58" t="n">
        <x:v>174</x:v>
      </x:c>
      <x:c r="F111" s="58" t="n">
        <x:v>124</x:v>
      </x:c>
      <x:c r="G111" s="58" t="n">
        <x:v>30</x:v>
      </x:c>
      <x:c r="H111" s="78" t="n">
        <x:f>D111*E111</x:f>
        <x:v>3899.34</x:v>
      </x:c>
      <x:c r="I111" s="58" t="n">
        <x:f>MAX(0,(F111+G111)-E111)</x:f>
        <x:v>0</x:v>
      </x:c>
      <x:c r="J111" s="58" t="str">
        <x:f>IF(E111&lt;=G111,"Stockout Risk",IF(E111&lt;=F111,"Reorder",IF(E111&gt;F111*3,"Overstock","OK")))</x:f>
        <x:v>OK</x:v>
      </x:c>
      <x:c r="K111" s="59" t="str">
        <x:f>IF(J111="Stockout Risk","Urgent PO",IF(J111="Reorder","Create PO",IF(J111="Overstock","Review excess stock","No action")))</x:f>
        <x:v>No action</x:v>
      </x:c>
    </x:row>
    <x:row r="112">
      <x:c r="A112" s="57" t="str">
        <x:v>ITEM-0111</x:v>
      </x:c>
      <x:c r="B112" s="58" t="str">
        <x:v>Product 111</x:v>
      </x:c>
      <x:c r="C112" s="58" t="str">
        <x:v>Finished Goods</x:v>
      </x:c>
      <x:c r="D112" s="78" t="n">
        <x:v>119.54</x:v>
      </x:c>
      <x:c r="E112" s="58" t="n">
        <x:v>468</x:v>
      </x:c>
      <x:c r="F112" s="58" t="n">
        <x:v>80</x:v>
      </x:c>
      <x:c r="G112" s="58" t="n">
        <x:v>96</x:v>
      </x:c>
      <x:c r="H112" s="78" t="n">
        <x:f>D112*E112</x:f>
        <x:v>55944.72</x:v>
      </x:c>
      <x:c r="I112" s="58" t="n">
        <x:f>MAX(0,(F112+G112)-E112)</x:f>
        <x:v>0</x:v>
      </x:c>
      <x:c r="J112" s="58" t="str">
        <x:f>IF(E112&lt;=G112,"Stockout Risk",IF(E112&lt;=F112,"Reorder",IF(E112&gt;F112*3,"Overstock","OK")))</x:f>
        <x:v>Overstock</x:v>
      </x:c>
      <x:c r="K112" s="59" t="str">
        <x:f>IF(J112="Stockout Risk","Urgent PO",IF(J112="Reorder","Create PO",IF(J112="Overstock","Review excess stock","No action")))</x:f>
        <x:v>Review excess stock</x:v>
      </x:c>
    </x:row>
    <x:row r="113">
      <x:c r="A113" s="57" t="str">
        <x:v>ITEM-0112</x:v>
      </x:c>
      <x:c r="B113" s="58" t="str">
        <x:v>Product 112</x:v>
      </x:c>
      <x:c r="C113" s="58" t="str">
        <x:v>Raw Material</x:v>
      </x:c>
      <x:c r="D113" s="78" t="n">
        <x:v>225.55</x:v>
      </x:c>
      <x:c r="E113" s="58" t="n">
        <x:v>417</x:v>
      </x:c>
      <x:c r="F113" s="58" t="n">
        <x:v>120</x:v>
      </x:c>
      <x:c r="G113" s="58" t="n">
        <x:v>41</x:v>
      </x:c>
      <x:c r="H113" s="78" t="n">
        <x:f>D113*E113</x:f>
        <x:v>94054.35</x:v>
      </x:c>
      <x:c r="I113" s="58" t="n">
        <x:f>MAX(0,(F113+G113)-E113)</x:f>
        <x:v>0</x:v>
      </x:c>
      <x:c r="J113" s="58" t="str">
        <x:f>IF(E113&lt;=G113,"Stockout Risk",IF(E113&lt;=F113,"Reorder",IF(E113&gt;F113*3,"Overstock","OK")))</x:f>
        <x:v>Overstock</x:v>
      </x:c>
      <x:c r="K113" s="59" t="str">
        <x:f>IF(J113="Stockout Risk","Urgent PO",IF(J113="Reorder","Create PO",IF(J113="Overstock","Review excess stock","No action")))</x:f>
        <x:v>Review excess stock</x:v>
      </x:c>
    </x:row>
    <x:row r="114">
      <x:c r="A114" s="57" t="str">
        <x:v>ITEM-0113</x:v>
      </x:c>
      <x:c r="B114" s="58" t="str">
        <x:v>Product 113</x:v>
      </x:c>
      <x:c r="C114" s="58" t="str">
        <x:v>Parts</x:v>
      </x:c>
      <x:c r="D114" s="78" t="n">
        <x:v>65.44</x:v>
      </x:c>
      <x:c r="E114" s="58" t="n">
        <x:v>403</x:v>
      </x:c>
      <x:c r="F114" s="58" t="n">
        <x:v>72</x:v>
      </x:c>
      <x:c r="G114" s="58" t="n">
        <x:v>35</x:v>
      </x:c>
      <x:c r="H114" s="78" t="n">
        <x:f>D114*E114</x:f>
        <x:v>26372.32</x:v>
      </x:c>
      <x:c r="I114" s="58" t="n">
        <x:f>MAX(0,(F114+G114)-E114)</x:f>
        <x:v>0</x:v>
      </x:c>
      <x:c r="J114" s="58" t="str">
        <x:f>IF(E114&lt;=G114,"Stockout Risk",IF(E114&lt;=F114,"Reorder",IF(E114&gt;F114*3,"Overstock","OK")))</x:f>
        <x:v>Overstock</x:v>
      </x:c>
      <x:c r="K114" s="59" t="str">
        <x:f>IF(J114="Stockout Risk","Urgent PO",IF(J114="Reorder","Create PO",IF(J114="Overstock","Review excess stock","No action")))</x:f>
        <x:v>Review excess stock</x:v>
      </x:c>
    </x:row>
    <x:row r="115">
      <x:c r="A115" s="57" t="str">
        <x:v>ITEM-0114</x:v>
      </x:c>
      <x:c r="B115" s="58" t="str">
        <x:v>Product 114</x:v>
      </x:c>
      <x:c r="C115" s="58" t="str">
        <x:v>Packaging</x:v>
      </x:c>
      <x:c r="D115" s="78" t="n">
        <x:v>59.88</x:v>
      </x:c>
      <x:c r="E115" s="58" t="n">
        <x:v>458</x:v>
      </x:c>
      <x:c r="F115" s="58" t="n">
        <x:v>180</x:v>
      </x:c>
      <x:c r="G115" s="58" t="n">
        <x:v>23</x:v>
      </x:c>
      <x:c r="H115" s="78" t="n">
        <x:f>D115*E115</x:f>
        <x:v>27425.04</x:v>
      </x:c>
      <x:c r="I115" s="58" t="n">
        <x:f>MAX(0,(F115+G115)-E115)</x:f>
        <x:v>0</x:v>
      </x:c>
      <x:c r="J115" s="58" t="str">
        <x:f>IF(E115&lt;=G115,"Stockout Risk",IF(E115&lt;=F115,"Reorder",IF(E115&gt;F115*3,"Overstock","OK")))</x:f>
        <x:v>OK</x:v>
      </x:c>
      <x:c r="K115" s="59" t="str">
        <x:f>IF(J115="Stockout Risk","Urgent PO",IF(J115="Reorder","Create PO",IF(J115="Overstock","Review excess stock","No action")))</x:f>
        <x:v>No action</x:v>
      </x:c>
    </x:row>
    <x:row r="116">
      <x:c r="A116" s="57" t="str">
        <x:v>ITEM-0115</x:v>
      </x:c>
      <x:c r="B116" s="58" t="str">
        <x:v>Product 115</x:v>
      </x:c>
      <x:c r="C116" s="58" t="str">
        <x:v>Finished Goods</x:v>
      </x:c>
      <x:c r="D116" s="78" t="n">
        <x:v>70.75</x:v>
      </x:c>
      <x:c r="E116" s="58" t="n">
        <x:v>206</x:v>
      </x:c>
      <x:c r="F116" s="58" t="n">
        <x:v>232</x:v>
      </x:c>
      <x:c r="G116" s="58" t="n">
        <x:v>51</x:v>
      </x:c>
      <x:c r="H116" s="78" t="n">
        <x:f>D116*E116</x:f>
        <x:v>14574.5</x:v>
      </x:c>
      <x:c r="I116" s="58" t="n">
        <x:f>MAX(0,(F116+G116)-E116)</x:f>
        <x:v>77</x:v>
      </x:c>
      <x:c r="J116" s="58" t="str">
        <x:f>IF(E116&lt;=G116,"Stockout Risk",IF(E116&lt;=F116,"Reorder",IF(E116&gt;F116*3,"Overstock","OK")))</x:f>
        <x:v>Reorder</x:v>
      </x:c>
      <x:c r="K116" s="59" t="str">
        <x:f>IF(J116="Stockout Risk","Urgent PO",IF(J116="Reorder","Create PO",IF(J116="Overstock","Review excess stock","No action")))</x:f>
        <x:v>Create PO</x:v>
      </x:c>
    </x:row>
    <x:row r="117">
      <x:c r="A117" s="57" t="str">
        <x:v>ITEM-0116</x:v>
      </x:c>
      <x:c r="B117" s="58" t="str">
        <x:v>Product 116</x:v>
      </x:c>
      <x:c r="C117" s="58" t="str">
        <x:v>Raw Material</x:v>
      </x:c>
      <x:c r="D117" s="78" t="n">
        <x:v>158.78</x:v>
      </x:c>
      <x:c r="E117" s="58" t="n">
        <x:v>533</x:v>
      </x:c>
      <x:c r="F117" s="58" t="n">
        <x:v>109</x:v>
      </x:c>
      <x:c r="G117" s="58" t="n">
        <x:v>25</x:v>
      </x:c>
      <x:c r="H117" s="78" t="n">
        <x:f>D117*E117</x:f>
        <x:v>84629.74</x:v>
      </x:c>
      <x:c r="I117" s="58" t="n">
        <x:f>MAX(0,(F117+G117)-E117)</x:f>
        <x:v>0</x:v>
      </x:c>
      <x:c r="J117" s="58" t="str">
        <x:f>IF(E117&lt;=G117,"Stockout Risk",IF(E117&lt;=F117,"Reorder",IF(E117&gt;F117*3,"Overstock","OK")))</x:f>
        <x:v>Overstock</x:v>
      </x:c>
      <x:c r="K117" s="59" t="str">
        <x:f>IF(J117="Stockout Risk","Urgent PO",IF(J117="Reorder","Create PO",IF(J117="Overstock","Review excess stock","No action")))</x:f>
        <x:v>Review excess stock</x:v>
      </x:c>
    </x:row>
    <x:row r="118">
      <x:c r="A118" s="57" t="str">
        <x:v>ITEM-0117</x:v>
      </x:c>
      <x:c r="B118" s="58" t="str">
        <x:v>Product 117</x:v>
      </x:c>
      <x:c r="C118" s="58" t="str">
        <x:v>Raw Material</x:v>
      </x:c>
      <x:c r="D118" s="78" t="n">
        <x:v>74.66</x:v>
      </x:c>
      <x:c r="E118" s="58" t="n">
        <x:v>576</x:v>
      </x:c>
      <x:c r="F118" s="58" t="n">
        <x:v>208</x:v>
      </x:c>
      <x:c r="G118" s="58" t="n">
        <x:v>65</x:v>
      </x:c>
      <x:c r="H118" s="78" t="n">
        <x:f>D118*E118</x:f>
        <x:v>43004.159999999996</x:v>
      </x:c>
      <x:c r="I118" s="58" t="n">
        <x:f>MAX(0,(F118+G118)-E118)</x:f>
        <x:v>0</x:v>
      </x:c>
      <x:c r="J118" s="58" t="str">
        <x:f>IF(E118&lt;=G118,"Stockout Risk",IF(E118&lt;=F118,"Reorder",IF(E118&gt;F118*3,"Overstock","OK")))</x:f>
        <x:v>OK</x:v>
      </x:c>
      <x:c r="K118" s="59" t="str">
        <x:f>IF(J118="Stockout Risk","Urgent PO",IF(J118="Reorder","Create PO",IF(J118="Overstock","Review excess stock","No action")))</x:f>
        <x:v>No action</x:v>
      </x:c>
    </x:row>
    <x:row r="119">
      <x:c r="A119" s="57" t="str">
        <x:v>ITEM-0118</x:v>
      </x:c>
      <x:c r="B119" s="58" t="str">
        <x:v>Product 118</x:v>
      </x:c>
      <x:c r="C119" s="58" t="str">
        <x:v>Supplies</x:v>
      </x:c>
      <x:c r="D119" s="78" t="n">
        <x:v>225.46</x:v>
      </x:c>
      <x:c r="E119" s="58" t="n">
        <x:v>208</x:v>
      </x:c>
      <x:c r="F119" s="58" t="n">
        <x:v>83</x:v>
      </x:c>
      <x:c r="G119" s="58" t="n">
        <x:v>99</x:v>
      </x:c>
      <x:c r="H119" s="78" t="n">
        <x:f>D119*E119</x:f>
        <x:v>46895.68</x:v>
      </x:c>
      <x:c r="I119" s="58" t="n">
        <x:f>MAX(0,(F119+G119)-E119)</x:f>
        <x:v>0</x:v>
      </x:c>
      <x:c r="J119" s="58" t="str">
        <x:f>IF(E119&lt;=G119,"Stockout Risk",IF(E119&lt;=F119,"Reorder",IF(E119&gt;F119*3,"Overstock","OK")))</x:f>
        <x:v>OK</x:v>
      </x:c>
      <x:c r="K119" s="59" t="str">
        <x:f>IF(J119="Stockout Risk","Urgent PO",IF(J119="Reorder","Create PO",IF(J119="Overstock","Review excess stock","No action")))</x:f>
        <x:v>No action</x:v>
      </x:c>
    </x:row>
    <x:row r="120">
      <x:c r="A120" s="57" t="str">
        <x:v>ITEM-0119</x:v>
      </x:c>
      <x:c r="B120" s="58" t="str">
        <x:v>Product 119</x:v>
      </x:c>
      <x:c r="C120" s="58" t="str">
        <x:v>Supplies</x:v>
      </x:c>
      <x:c r="D120" s="78" t="n">
        <x:v>242.57</x:v>
      </x:c>
      <x:c r="E120" s="58" t="n">
        <x:v>112</x:v>
      </x:c>
      <x:c r="F120" s="58" t="n">
        <x:v>86</x:v>
      </x:c>
      <x:c r="G120" s="58" t="n">
        <x:v>34</x:v>
      </x:c>
      <x:c r="H120" s="78" t="n">
        <x:f>D120*E120</x:f>
        <x:v>27167.84</x:v>
      </x:c>
      <x:c r="I120" s="58" t="n">
        <x:f>MAX(0,(F120+G120)-E120)</x:f>
        <x:v>8</x:v>
      </x:c>
      <x:c r="J120" s="58" t="str">
        <x:f>IF(E120&lt;=G120,"Stockout Risk",IF(E120&lt;=F120,"Reorder",IF(E120&gt;F120*3,"Overstock","OK")))</x:f>
        <x:v>OK</x:v>
      </x:c>
      <x:c r="K120" s="59" t="str">
        <x:f>IF(J120="Stockout Risk","Urgent PO",IF(J120="Reorder","Create PO",IF(J120="Overstock","Review excess stock","No action")))</x:f>
        <x:v>No action</x:v>
      </x:c>
    </x:row>
    <x:row r="121">
      <x:c r="A121" s="60" t="str">
        <x:v>ITEM-0120</x:v>
      </x:c>
      <x:c r="B121" s="61" t="str">
        <x:v>Product 120</x:v>
      </x:c>
      <x:c r="C121" s="61" t="str">
        <x:v>Raw Material</x:v>
      </x:c>
      <x:c r="D121" s="79" t="n">
        <x:v>224.81</x:v>
      </x:c>
      <x:c r="E121" s="61" t="n">
        <x:v>276</x:v>
      </x:c>
      <x:c r="F121" s="61" t="n">
        <x:v>229</x:v>
      </x:c>
      <x:c r="G121" s="61" t="n">
        <x:v>35</x:v>
      </x:c>
      <x:c r="H121" s="79" t="n">
        <x:f>D121*E121</x:f>
        <x:v>62047.56</x:v>
      </x:c>
      <x:c r="I121" s="61" t="n">
        <x:f>MAX(0,(F121+G121)-E121)</x:f>
        <x:v>0</x:v>
      </x:c>
      <x:c r="J121" s="61" t="str">
        <x:f>IF(E121&lt;=G121,"Stockout Risk",IF(E121&lt;=F121,"Reorder",IF(E121&gt;F121*3,"Overstock","OK")))</x:f>
        <x:v>OK</x:v>
      </x:c>
      <x:c r="K121" s="62" t="str">
        <x:f>IF(J121="Stockout Risk","Urgent PO",IF(J121="Reorder","Create PO",IF(J121="Overstock","Review excess stock","No action")))</x:f>
        <x:v>No action</x:v>
      </x:c>
    </x:row>
  </x:sheetData>
  <x:conditionalFormatting sqref="J2:J121">
    <x:cfRule type="expression" dxfId="0" priority="1">
      <x:formula>J2="Stockout Risk"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5" hidden="0" customWidth="1"/>
  </x:cols>
  <x:sheetData>
    <x:row r="1" ht="30" customHeight="1">
      <x:c r="A1" s="86" t="str">
        <x:v>Item_ID</x:v>
      </x:c>
      <x:c r="B1" s="86" t="str">
        <x:v>Item_Name</x:v>
      </x:c>
      <x:c r="C1" s="86" t="str">
        <x:v>Category</x:v>
      </x:c>
      <x:c r="D1" s="86" t="str">
        <x:v>Unit_Cost</x:v>
      </x:c>
      <x:c r="E1" s="86" t="str">
        <x:v>Current_Stock</x:v>
      </x:c>
      <x:c r="F1" s="86" t="str">
        <x:v>Reorder_Point</x:v>
      </x:c>
      <x:c r="G1" s="86" t="str">
        <x:v>Safety_Stock</x:v>
      </x:c>
      <x:c r="H1" s="86" t="str">
        <x:v>Inventory_Value</x:v>
      </x:c>
      <x:c r="I1" s="86" t="str">
        <x:v>Reorder_Qty</x:v>
      </x:c>
      <x:c r="J1" s="86" t="str">
        <x:v>Stock_Status</x:v>
      </x:c>
      <x:c r="K1" s="86" t="str">
        <x:v>Action</x:v>
      </x:c>
    </x:row>
    <x:row r="2">
      <x:c r="A2" t="e">
        <x:f>FILTER(Data!A:K,(Data!J:J="Stockout Risk")+(Data!J:J="Reorder"),"No reorder items")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94" t="str">
        <x:v>Inventory Reorder Dashboard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42" t="str">
        <x:v>KPI</x:v>
      </x:c>
      <x:c r="B4" s="42" t="str">
        <x:v>Value</x:v>
      </x:c>
      <x:c r="D4" s="117" t="str">
        <x:v>Category</x:v>
      </x:c>
      <x:c r="E4" s="117" t="str">
        <x:v>Value</x:v>
      </x:c>
    </x:row>
    <x:row r="5">
      <x:c r="A5" s="103" t="str">
        <x:v>Total Inventory Value</x:v>
      </x:c>
      <x:c r="B5" s="108" t="n">
        <x:f>SUM(Data!$H$2:$H$121)</x:f>
        <x:v>4942414.709999998</x:v>
      </x:c>
      <x:c r="D5" t="str">
        <x:v>OK</x:v>
      </x:c>
      <x:c r="E5" s="100" t="n">
        <x:f>COUNTIF(Data!$J:$J,D5)</x:f>
        <x:v>68</x:v>
      </x:c>
    </x:row>
    <x:row r="6">
      <x:c r="A6" s="103" t="str">
        <x:v>Stockout Risk Items</x:v>
      </x:c>
      <x:c r="B6" s="109" t="n">
        <x:f>COUNTIF(Data!$J:$J,"Stockout Risk")</x:f>
        <x:v>8</x:v>
      </x:c>
      <x:c r="D6" t="str">
        <x:v>Reorder</x:v>
      </x:c>
      <x:c r="E6" s="100" t="n">
        <x:f>COUNTIF(Data!$J:$J,D6)</x:f>
        <x:v>12</x:v>
      </x:c>
    </x:row>
    <x:row r="7">
      <x:c r="A7" s="103" t="str">
        <x:v>Reorder Items</x:v>
      </x:c>
      <x:c r="B7" s="109" t="n">
        <x:f>COUNTIF(Data!$J:$J,"Reorder")</x:f>
        <x:v>12</x:v>
      </x:c>
      <x:c r="D7" t="str">
        <x:v>Stockout Risk</x:v>
      </x:c>
      <x:c r="E7" s="100" t="n">
        <x:f>COUNTIF(Data!$J:$J,D7)</x:f>
        <x:v>8</x:v>
      </x:c>
    </x:row>
    <x:row r="8">
      <x:c r="A8" s="103" t="str">
        <x:v>Overstock Items</x:v>
      </x:c>
      <x:c r="B8" s="109" t="n">
        <x:f>COUNTIF(Data!$J:$J,"Overstock")</x:f>
        <x:v>32</x:v>
      </x:c>
      <x:c r="D8" t="str">
        <x:v>Overstock</x:v>
      </x:c>
      <x:c r="E8" s="100" t="n">
        <x:f>COUNTIF(Data!$J:$J,D8)</x:f>
        <x:v>32</x:v>
      </x:c>
    </x:row>
    <x:row r="9">
      <x:c r="A9" s="103" t="str">
        <x:v>Active SKUs</x:v>
      </x:c>
      <x:c r="B9" s="109" t="n">
        <x:f>COUNTA(Data!$A$2:$A$121)</x:f>
        <x:v>120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013a3b5baae04f2d"/>
</x:worksheet>
</file>