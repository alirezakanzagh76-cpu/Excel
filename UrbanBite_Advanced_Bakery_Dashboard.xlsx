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reza\Downloads\EXCEL\EXCEL_Practice_doing\32723-Exercises-TC-365\Chapter-2\"/>
    </mc:Choice>
  </mc:AlternateContent>
  <xr:revisionPtr revIDLastSave="0" documentId="8_{CD6D040A-5762-43A1-AF4D-6B4D15A0B5B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ject Overview" sheetId="1" r:id="rId1"/>
    <sheet name="Sales_Data" sheetId="2" r:id="rId2"/>
    <sheet name="Lookups" sheetId="3" r:id="rId3"/>
    <sheet name="Regional_Summary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5" l="1"/>
  <c r="F11" i="5"/>
  <c r="A11" i="5"/>
  <c r="B10" i="5"/>
  <c r="A10" i="5"/>
  <c r="A9" i="5"/>
  <c r="F8" i="5"/>
  <c r="A8" i="5"/>
  <c r="H4" i="5"/>
  <c r="G4" i="5"/>
  <c r="A4" i="5"/>
  <c r="F8" i="4"/>
  <c r="F12" i="5" s="1"/>
  <c r="C8" i="4"/>
  <c r="C12" i="5" s="1"/>
  <c r="B8" i="4"/>
  <c r="H8" i="4" s="1"/>
  <c r="H12" i="5" s="1"/>
  <c r="F7" i="4"/>
  <c r="D7" i="4"/>
  <c r="D11" i="5" s="1"/>
  <c r="C7" i="4"/>
  <c r="C11" i="5" s="1"/>
  <c r="B7" i="4"/>
  <c r="B11" i="5" s="1"/>
  <c r="G6" i="4"/>
  <c r="G10" i="5" s="1"/>
  <c r="F6" i="4"/>
  <c r="F10" i="5" s="1"/>
  <c r="C6" i="4"/>
  <c r="D6" i="4" s="1"/>
  <c r="B6" i="4"/>
  <c r="F5" i="4"/>
  <c r="F9" i="5" s="1"/>
  <c r="C5" i="4"/>
  <c r="C9" i="5" s="1"/>
  <c r="B5" i="4"/>
  <c r="D5" i="4" s="1"/>
  <c r="F4" i="4"/>
  <c r="C4" i="4"/>
  <c r="C8" i="5" s="1"/>
  <c r="B4" i="4"/>
  <c r="H6" i="4" s="1"/>
  <c r="H10" i="5" s="1"/>
  <c r="J241" i="2"/>
  <c r="I241" i="2"/>
  <c r="G241" i="2"/>
  <c r="J240" i="2"/>
  <c r="I240" i="2"/>
  <c r="G240" i="2"/>
  <c r="J239" i="2"/>
  <c r="I239" i="2"/>
  <c r="G239" i="2"/>
  <c r="I238" i="2"/>
  <c r="J238" i="2" s="1"/>
  <c r="G238" i="2"/>
  <c r="J237" i="2"/>
  <c r="I237" i="2"/>
  <c r="G237" i="2"/>
  <c r="J236" i="2"/>
  <c r="I236" i="2"/>
  <c r="G236" i="2"/>
  <c r="J235" i="2"/>
  <c r="I235" i="2"/>
  <c r="G235" i="2"/>
  <c r="I234" i="2"/>
  <c r="J234" i="2" s="1"/>
  <c r="G234" i="2"/>
  <c r="J233" i="2"/>
  <c r="I233" i="2"/>
  <c r="G233" i="2"/>
  <c r="J232" i="2"/>
  <c r="I232" i="2"/>
  <c r="G232" i="2"/>
  <c r="J231" i="2"/>
  <c r="I231" i="2"/>
  <c r="G231" i="2"/>
  <c r="I230" i="2"/>
  <c r="J230" i="2" s="1"/>
  <c r="G230" i="2"/>
  <c r="J229" i="2"/>
  <c r="I229" i="2"/>
  <c r="G229" i="2"/>
  <c r="J228" i="2"/>
  <c r="I228" i="2"/>
  <c r="G228" i="2"/>
  <c r="J227" i="2"/>
  <c r="I227" i="2"/>
  <c r="G227" i="2"/>
  <c r="I226" i="2"/>
  <c r="J226" i="2" s="1"/>
  <c r="G226" i="2"/>
  <c r="J225" i="2"/>
  <c r="I225" i="2"/>
  <c r="G225" i="2"/>
  <c r="J224" i="2"/>
  <c r="I224" i="2"/>
  <c r="G224" i="2"/>
  <c r="J223" i="2"/>
  <c r="I223" i="2"/>
  <c r="G223" i="2"/>
  <c r="I222" i="2"/>
  <c r="J222" i="2" s="1"/>
  <c r="G222" i="2"/>
  <c r="J221" i="2"/>
  <c r="I221" i="2"/>
  <c r="G221" i="2"/>
  <c r="J220" i="2"/>
  <c r="I220" i="2"/>
  <c r="G220" i="2"/>
  <c r="J219" i="2"/>
  <c r="I219" i="2"/>
  <c r="G219" i="2"/>
  <c r="I218" i="2"/>
  <c r="J218" i="2" s="1"/>
  <c r="G218" i="2"/>
  <c r="J217" i="2"/>
  <c r="I217" i="2"/>
  <c r="G217" i="2"/>
  <c r="J216" i="2"/>
  <c r="I216" i="2"/>
  <c r="G216" i="2"/>
  <c r="J215" i="2"/>
  <c r="I215" i="2"/>
  <c r="G215" i="2"/>
  <c r="I214" i="2"/>
  <c r="J214" i="2" s="1"/>
  <c r="G214" i="2"/>
  <c r="J213" i="2"/>
  <c r="I213" i="2"/>
  <c r="G213" i="2"/>
  <c r="J212" i="2"/>
  <c r="I212" i="2"/>
  <c r="G212" i="2"/>
  <c r="J211" i="2"/>
  <c r="I211" i="2"/>
  <c r="G211" i="2"/>
  <c r="I210" i="2"/>
  <c r="J210" i="2" s="1"/>
  <c r="G210" i="2"/>
  <c r="J209" i="2"/>
  <c r="I209" i="2"/>
  <c r="G209" i="2"/>
  <c r="J208" i="2"/>
  <c r="I208" i="2"/>
  <c r="G208" i="2"/>
  <c r="J207" i="2"/>
  <c r="I207" i="2"/>
  <c r="G207" i="2"/>
  <c r="I206" i="2"/>
  <c r="J206" i="2" s="1"/>
  <c r="G206" i="2"/>
  <c r="J205" i="2"/>
  <c r="I205" i="2"/>
  <c r="G205" i="2"/>
  <c r="J204" i="2"/>
  <c r="I204" i="2"/>
  <c r="G204" i="2"/>
  <c r="J203" i="2"/>
  <c r="I203" i="2"/>
  <c r="G203" i="2"/>
  <c r="I202" i="2"/>
  <c r="J202" i="2" s="1"/>
  <c r="G202" i="2"/>
  <c r="J201" i="2"/>
  <c r="I201" i="2"/>
  <c r="G201" i="2"/>
  <c r="J200" i="2"/>
  <c r="I200" i="2"/>
  <c r="G200" i="2"/>
  <c r="J199" i="2"/>
  <c r="I199" i="2"/>
  <c r="G199" i="2"/>
  <c r="I198" i="2"/>
  <c r="J198" i="2" s="1"/>
  <c r="G198" i="2"/>
  <c r="J197" i="2"/>
  <c r="I197" i="2"/>
  <c r="G197" i="2"/>
  <c r="J196" i="2"/>
  <c r="I196" i="2"/>
  <c r="G196" i="2"/>
  <c r="J195" i="2"/>
  <c r="I195" i="2"/>
  <c r="G195" i="2"/>
  <c r="I194" i="2"/>
  <c r="J194" i="2" s="1"/>
  <c r="G194" i="2"/>
  <c r="J193" i="2"/>
  <c r="I193" i="2"/>
  <c r="G193" i="2"/>
  <c r="J192" i="2"/>
  <c r="I192" i="2"/>
  <c r="G192" i="2"/>
  <c r="J191" i="2"/>
  <c r="I191" i="2"/>
  <c r="G191" i="2"/>
  <c r="I190" i="2"/>
  <c r="J190" i="2" s="1"/>
  <c r="G190" i="2"/>
  <c r="J189" i="2"/>
  <c r="I189" i="2"/>
  <c r="G189" i="2"/>
  <c r="J188" i="2"/>
  <c r="I188" i="2"/>
  <c r="G188" i="2"/>
  <c r="J187" i="2"/>
  <c r="I187" i="2"/>
  <c r="G187" i="2"/>
  <c r="I186" i="2"/>
  <c r="J186" i="2" s="1"/>
  <c r="G186" i="2"/>
  <c r="J185" i="2"/>
  <c r="I185" i="2"/>
  <c r="G185" i="2"/>
  <c r="J184" i="2"/>
  <c r="I184" i="2"/>
  <c r="G184" i="2"/>
  <c r="J183" i="2"/>
  <c r="I183" i="2"/>
  <c r="G183" i="2"/>
  <c r="I182" i="2"/>
  <c r="J182" i="2" s="1"/>
  <c r="G182" i="2"/>
  <c r="J181" i="2"/>
  <c r="I181" i="2"/>
  <c r="G181" i="2"/>
  <c r="J180" i="2"/>
  <c r="I180" i="2"/>
  <c r="G180" i="2"/>
  <c r="J179" i="2"/>
  <c r="I179" i="2"/>
  <c r="G179" i="2"/>
  <c r="I178" i="2"/>
  <c r="J178" i="2" s="1"/>
  <c r="G178" i="2"/>
  <c r="J177" i="2"/>
  <c r="I177" i="2"/>
  <c r="G177" i="2"/>
  <c r="J176" i="2"/>
  <c r="I176" i="2"/>
  <c r="G176" i="2"/>
  <c r="J175" i="2"/>
  <c r="I175" i="2"/>
  <c r="G175" i="2"/>
  <c r="I174" i="2"/>
  <c r="J174" i="2" s="1"/>
  <c r="G174" i="2"/>
  <c r="J173" i="2"/>
  <c r="I173" i="2"/>
  <c r="G173" i="2"/>
  <c r="J172" i="2"/>
  <c r="I172" i="2"/>
  <c r="G172" i="2"/>
  <c r="J171" i="2"/>
  <c r="I171" i="2"/>
  <c r="G171" i="2"/>
  <c r="I170" i="2"/>
  <c r="J170" i="2" s="1"/>
  <c r="G170" i="2"/>
  <c r="J169" i="2"/>
  <c r="I169" i="2"/>
  <c r="G169" i="2"/>
  <c r="J168" i="2"/>
  <c r="I168" i="2"/>
  <c r="G168" i="2"/>
  <c r="J167" i="2"/>
  <c r="I167" i="2"/>
  <c r="G167" i="2"/>
  <c r="I166" i="2"/>
  <c r="J166" i="2" s="1"/>
  <c r="G166" i="2"/>
  <c r="J165" i="2"/>
  <c r="I165" i="2"/>
  <c r="G165" i="2"/>
  <c r="J164" i="2"/>
  <c r="I164" i="2"/>
  <c r="G164" i="2"/>
  <c r="J163" i="2"/>
  <c r="I163" i="2"/>
  <c r="G163" i="2"/>
  <c r="I162" i="2"/>
  <c r="J162" i="2" s="1"/>
  <c r="G162" i="2"/>
  <c r="J161" i="2"/>
  <c r="I161" i="2"/>
  <c r="G161" i="2"/>
  <c r="J160" i="2"/>
  <c r="I160" i="2"/>
  <c r="G160" i="2"/>
  <c r="J159" i="2"/>
  <c r="I159" i="2"/>
  <c r="G159" i="2"/>
  <c r="I158" i="2"/>
  <c r="J158" i="2" s="1"/>
  <c r="G158" i="2"/>
  <c r="J157" i="2"/>
  <c r="I157" i="2"/>
  <c r="G157" i="2"/>
  <c r="J156" i="2"/>
  <c r="I156" i="2"/>
  <c r="G156" i="2"/>
  <c r="J155" i="2"/>
  <c r="I155" i="2"/>
  <c r="G155" i="2"/>
  <c r="I154" i="2"/>
  <c r="J154" i="2" s="1"/>
  <c r="G154" i="2"/>
  <c r="J153" i="2"/>
  <c r="I153" i="2"/>
  <c r="G153" i="2"/>
  <c r="J152" i="2"/>
  <c r="I152" i="2"/>
  <c r="G152" i="2"/>
  <c r="J151" i="2"/>
  <c r="I151" i="2"/>
  <c r="G151" i="2"/>
  <c r="I150" i="2"/>
  <c r="J150" i="2" s="1"/>
  <c r="G150" i="2"/>
  <c r="J149" i="2"/>
  <c r="I149" i="2"/>
  <c r="G149" i="2"/>
  <c r="J148" i="2"/>
  <c r="I148" i="2"/>
  <c r="G148" i="2"/>
  <c r="J147" i="2"/>
  <c r="I147" i="2"/>
  <c r="G147" i="2"/>
  <c r="I146" i="2"/>
  <c r="J146" i="2" s="1"/>
  <c r="G146" i="2"/>
  <c r="J145" i="2"/>
  <c r="I145" i="2"/>
  <c r="G145" i="2"/>
  <c r="J144" i="2"/>
  <c r="I144" i="2"/>
  <c r="G144" i="2"/>
  <c r="J143" i="2"/>
  <c r="I143" i="2"/>
  <c r="G143" i="2"/>
  <c r="I142" i="2"/>
  <c r="J142" i="2" s="1"/>
  <c r="G142" i="2"/>
  <c r="J141" i="2"/>
  <c r="I141" i="2"/>
  <c r="G141" i="2"/>
  <c r="J140" i="2"/>
  <c r="I140" i="2"/>
  <c r="G140" i="2"/>
  <c r="J139" i="2"/>
  <c r="I139" i="2"/>
  <c r="G139" i="2"/>
  <c r="I138" i="2"/>
  <c r="J138" i="2" s="1"/>
  <c r="G138" i="2"/>
  <c r="J137" i="2"/>
  <c r="I137" i="2"/>
  <c r="G137" i="2"/>
  <c r="J136" i="2"/>
  <c r="I136" i="2"/>
  <c r="G136" i="2"/>
  <c r="J135" i="2"/>
  <c r="I135" i="2"/>
  <c r="G135" i="2"/>
  <c r="I134" i="2"/>
  <c r="J134" i="2" s="1"/>
  <c r="G134" i="2"/>
  <c r="J133" i="2"/>
  <c r="I133" i="2"/>
  <c r="G133" i="2"/>
  <c r="J132" i="2"/>
  <c r="I132" i="2"/>
  <c r="G132" i="2"/>
  <c r="J131" i="2"/>
  <c r="I131" i="2"/>
  <c r="G131" i="2"/>
  <c r="I130" i="2"/>
  <c r="J130" i="2" s="1"/>
  <c r="G130" i="2"/>
  <c r="J129" i="2"/>
  <c r="I129" i="2"/>
  <c r="G129" i="2"/>
  <c r="J128" i="2"/>
  <c r="I128" i="2"/>
  <c r="G128" i="2"/>
  <c r="J127" i="2"/>
  <c r="I127" i="2"/>
  <c r="G127" i="2"/>
  <c r="I126" i="2"/>
  <c r="J126" i="2" s="1"/>
  <c r="G126" i="2"/>
  <c r="J125" i="2"/>
  <c r="I125" i="2"/>
  <c r="G125" i="2"/>
  <c r="J124" i="2"/>
  <c r="I124" i="2"/>
  <c r="G124" i="2"/>
  <c r="J123" i="2"/>
  <c r="I123" i="2"/>
  <c r="G123" i="2"/>
  <c r="I122" i="2"/>
  <c r="J122" i="2" s="1"/>
  <c r="G122" i="2"/>
  <c r="J121" i="2"/>
  <c r="I121" i="2"/>
  <c r="G121" i="2"/>
  <c r="J120" i="2"/>
  <c r="I120" i="2"/>
  <c r="G120" i="2"/>
  <c r="J119" i="2"/>
  <c r="I119" i="2"/>
  <c r="G119" i="2"/>
  <c r="I118" i="2"/>
  <c r="J118" i="2" s="1"/>
  <c r="G118" i="2"/>
  <c r="J117" i="2"/>
  <c r="I117" i="2"/>
  <c r="G117" i="2"/>
  <c r="J116" i="2"/>
  <c r="I116" i="2"/>
  <c r="G116" i="2"/>
  <c r="J115" i="2"/>
  <c r="I115" i="2"/>
  <c r="G115" i="2"/>
  <c r="I114" i="2"/>
  <c r="J114" i="2" s="1"/>
  <c r="G114" i="2"/>
  <c r="J113" i="2"/>
  <c r="I113" i="2"/>
  <c r="G113" i="2"/>
  <c r="J112" i="2"/>
  <c r="I112" i="2"/>
  <c r="G112" i="2"/>
  <c r="J111" i="2"/>
  <c r="I111" i="2"/>
  <c r="G111" i="2"/>
  <c r="I110" i="2"/>
  <c r="J110" i="2" s="1"/>
  <c r="G110" i="2"/>
  <c r="J109" i="2"/>
  <c r="I109" i="2"/>
  <c r="G109" i="2"/>
  <c r="J108" i="2"/>
  <c r="I108" i="2"/>
  <c r="G108" i="2"/>
  <c r="J107" i="2"/>
  <c r="I107" i="2"/>
  <c r="G107" i="2"/>
  <c r="I106" i="2"/>
  <c r="J106" i="2" s="1"/>
  <c r="G106" i="2"/>
  <c r="J105" i="2"/>
  <c r="I105" i="2"/>
  <c r="G105" i="2"/>
  <c r="J104" i="2"/>
  <c r="I104" i="2"/>
  <c r="G104" i="2"/>
  <c r="J103" i="2"/>
  <c r="I103" i="2"/>
  <c r="G103" i="2"/>
  <c r="I102" i="2"/>
  <c r="J102" i="2" s="1"/>
  <c r="G102" i="2"/>
  <c r="J101" i="2"/>
  <c r="I101" i="2"/>
  <c r="G101" i="2"/>
  <c r="J100" i="2"/>
  <c r="I100" i="2"/>
  <c r="G100" i="2"/>
  <c r="J99" i="2"/>
  <c r="I99" i="2"/>
  <c r="G99" i="2"/>
  <c r="I98" i="2"/>
  <c r="J98" i="2" s="1"/>
  <c r="G98" i="2"/>
  <c r="J97" i="2"/>
  <c r="I97" i="2"/>
  <c r="G97" i="2"/>
  <c r="J96" i="2"/>
  <c r="I96" i="2"/>
  <c r="G96" i="2"/>
  <c r="J95" i="2"/>
  <c r="I95" i="2"/>
  <c r="G95" i="2"/>
  <c r="I94" i="2"/>
  <c r="J94" i="2" s="1"/>
  <c r="G94" i="2"/>
  <c r="J93" i="2"/>
  <c r="I93" i="2"/>
  <c r="G93" i="2"/>
  <c r="J92" i="2"/>
  <c r="I92" i="2"/>
  <c r="G92" i="2"/>
  <c r="J91" i="2"/>
  <c r="I91" i="2"/>
  <c r="G91" i="2"/>
  <c r="I90" i="2"/>
  <c r="J90" i="2" s="1"/>
  <c r="G90" i="2"/>
  <c r="J89" i="2"/>
  <c r="I89" i="2"/>
  <c r="G89" i="2"/>
  <c r="J88" i="2"/>
  <c r="I88" i="2"/>
  <c r="G88" i="2"/>
  <c r="J87" i="2"/>
  <c r="I87" i="2"/>
  <c r="G87" i="2"/>
  <c r="I86" i="2"/>
  <c r="J86" i="2" s="1"/>
  <c r="G86" i="2"/>
  <c r="J85" i="2"/>
  <c r="I85" i="2"/>
  <c r="G85" i="2"/>
  <c r="J84" i="2"/>
  <c r="I84" i="2"/>
  <c r="G84" i="2"/>
  <c r="J83" i="2"/>
  <c r="I83" i="2"/>
  <c r="G83" i="2"/>
  <c r="I82" i="2"/>
  <c r="J82" i="2" s="1"/>
  <c r="G82" i="2"/>
  <c r="J81" i="2"/>
  <c r="I81" i="2"/>
  <c r="G81" i="2"/>
  <c r="J80" i="2"/>
  <c r="I80" i="2"/>
  <c r="G80" i="2"/>
  <c r="J79" i="2"/>
  <c r="I79" i="2"/>
  <c r="G79" i="2"/>
  <c r="I78" i="2"/>
  <c r="J78" i="2" s="1"/>
  <c r="G78" i="2"/>
  <c r="J77" i="2"/>
  <c r="I77" i="2"/>
  <c r="G77" i="2"/>
  <c r="J76" i="2"/>
  <c r="I76" i="2"/>
  <c r="G76" i="2"/>
  <c r="J75" i="2"/>
  <c r="I75" i="2"/>
  <c r="G75" i="2"/>
  <c r="I74" i="2"/>
  <c r="J74" i="2" s="1"/>
  <c r="G74" i="2"/>
  <c r="J73" i="2"/>
  <c r="I73" i="2"/>
  <c r="G73" i="2"/>
  <c r="J72" i="2"/>
  <c r="I72" i="2"/>
  <c r="G72" i="2"/>
  <c r="J71" i="2"/>
  <c r="I71" i="2"/>
  <c r="G71" i="2"/>
  <c r="I70" i="2"/>
  <c r="J70" i="2" s="1"/>
  <c r="G70" i="2"/>
  <c r="J69" i="2"/>
  <c r="I69" i="2"/>
  <c r="G69" i="2"/>
  <c r="J68" i="2"/>
  <c r="I68" i="2"/>
  <c r="G68" i="2"/>
  <c r="J67" i="2"/>
  <c r="I67" i="2"/>
  <c r="G67" i="2"/>
  <c r="I66" i="2"/>
  <c r="J66" i="2" s="1"/>
  <c r="G66" i="2"/>
  <c r="J65" i="2"/>
  <c r="I65" i="2"/>
  <c r="G65" i="2"/>
  <c r="J64" i="2"/>
  <c r="I64" i="2"/>
  <c r="G64" i="2"/>
  <c r="J63" i="2"/>
  <c r="I63" i="2"/>
  <c r="G63" i="2"/>
  <c r="I62" i="2"/>
  <c r="J62" i="2" s="1"/>
  <c r="G62" i="2"/>
  <c r="J61" i="2"/>
  <c r="I61" i="2"/>
  <c r="G61" i="2"/>
  <c r="J60" i="2"/>
  <c r="I60" i="2"/>
  <c r="G60" i="2"/>
  <c r="J59" i="2"/>
  <c r="I59" i="2"/>
  <c r="G59" i="2"/>
  <c r="I58" i="2"/>
  <c r="J58" i="2" s="1"/>
  <c r="G58" i="2"/>
  <c r="J57" i="2"/>
  <c r="I57" i="2"/>
  <c r="G57" i="2"/>
  <c r="J56" i="2"/>
  <c r="I56" i="2"/>
  <c r="G56" i="2"/>
  <c r="J55" i="2"/>
  <c r="I55" i="2"/>
  <c r="G55" i="2"/>
  <c r="I54" i="2"/>
  <c r="J54" i="2" s="1"/>
  <c r="G54" i="2"/>
  <c r="J53" i="2"/>
  <c r="I53" i="2"/>
  <c r="G53" i="2"/>
  <c r="J52" i="2"/>
  <c r="I52" i="2"/>
  <c r="G52" i="2"/>
  <c r="J51" i="2"/>
  <c r="I51" i="2"/>
  <c r="G51" i="2"/>
  <c r="I50" i="2"/>
  <c r="J50" i="2" s="1"/>
  <c r="G50" i="2"/>
  <c r="J49" i="2"/>
  <c r="I49" i="2"/>
  <c r="G49" i="2"/>
  <c r="J48" i="2"/>
  <c r="I48" i="2"/>
  <c r="G48" i="2"/>
  <c r="J47" i="2"/>
  <c r="I47" i="2"/>
  <c r="G47" i="2"/>
  <c r="I46" i="2"/>
  <c r="J46" i="2" s="1"/>
  <c r="G46" i="2"/>
  <c r="J45" i="2"/>
  <c r="I45" i="2"/>
  <c r="G45" i="2"/>
  <c r="J44" i="2"/>
  <c r="I44" i="2"/>
  <c r="G44" i="2"/>
  <c r="J43" i="2"/>
  <c r="I43" i="2"/>
  <c r="G43" i="2"/>
  <c r="I42" i="2"/>
  <c r="J42" i="2" s="1"/>
  <c r="G42" i="2"/>
  <c r="J41" i="2"/>
  <c r="I41" i="2"/>
  <c r="G41" i="2"/>
  <c r="J40" i="2"/>
  <c r="I40" i="2"/>
  <c r="G40" i="2"/>
  <c r="J39" i="2"/>
  <c r="I39" i="2"/>
  <c r="G39" i="2"/>
  <c r="I38" i="2"/>
  <c r="J38" i="2" s="1"/>
  <c r="G38" i="2"/>
  <c r="J37" i="2"/>
  <c r="I37" i="2"/>
  <c r="G37" i="2"/>
  <c r="J36" i="2"/>
  <c r="I36" i="2"/>
  <c r="G36" i="2"/>
  <c r="J35" i="2"/>
  <c r="I35" i="2"/>
  <c r="G35" i="2"/>
  <c r="I34" i="2"/>
  <c r="J34" i="2" s="1"/>
  <c r="G34" i="2"/>
  <c r="J33" i="2"/>
  <c r="I33" i="2"/>
  <c r="G33" i="2"/>
  <c r="J32" i="2"/>
  <c r="I32" i="2"/>
  <c r="G32" i="2"/>
  <c r="J31" i="2"/>
  <c r="I31" i="2"/>
  <c r="G31" i="2"/>
  <c r="I30" i="2"/>
  <c r="J30" i="2" s="1"/>
  <c r="G30" i="2"/>
  <c r="J29" i="2"/>
  <c r="I29" i="2"/>
  <c r="G29" i="2"/>
  <c r="J28" i="2"/>
  <c r="I28" i="2"/>
  <c r="G28" i="2"/>
  <c r="J27" i="2"/>
  <c r="I27" i="2"/>
  <c r="G27" i="2"/>
  <c r="I26" i="2"/>
  <c r="J26" i="2" s="1"/>
  <c r="G26" i="2"/>
  <c r="J25" i="2"/>
  <c r="I25" i="2"/>
  <c r="G25" i="2"/>
  <c r="J24" i="2"/>
  <c r="I24" i="2"/>
  <c r="G24" i="2"/>
  <c r="J23" i="2"/>
  <c r="I23" i="2"/>
  <c r="G23" i="2"/>
  <c r="I22" i="2"/>
  <c r="J22" i="2" s="1"/>
  <c r="G22" i="2"/>
  <c r="J21" i="2"/>
  <c r="I21" i="2"/>
  <c r="G21" i="2"/>
  <c r="J20" i="2"/>
  <c r="I20" i="2"/>
  <c r="G20" i="2"/>
  <c r="J19" i="2"/>
  <c r="I19" i="2"/>
  <c r="G19" i="2"/>
  <c r="I18" i="2"/>
  <c r="J18" i="2" s="1"/>
  <c r="G18" i="2"/>
  <c r="J17" i="2"/>
  <c r="I17" i="2"/>
  <c r="G17" i="2"/>
  <c r="J16" i="2"/>
  <c r="I16" i="2"/>
  <c r="G16" i="2"/>
  <c r="J15" i="2"/>
  <c r="I15" i="2"/>
  <c r="G15" i="2"/>
  <c r="I14" i="2"/>
  <c r="J14" i="2" s="1"/>
  <c r="G14" i="2"/>
  <c r="J13" i="2"/>
  <c r="I13" i="2"/>
  <c r="G13" i="2"/>
  <c r="J12" i="2"/>
  <c r="I12" i="2"/>
  <c r="G12" i="2"/>
  <c r="J11" i="2"/>
  <c r="I11" i="2"/>
  <c r="G11" i="2"/>
  <c r="I10" i="2"/>
  <c r="J10" i="2" s="1"/>
  <c r="G10" i="2"/>
  <c r="J9" i="2"/>
  <c r="I9" i="2"/>
  <c r="G9" i="2"/>
  <c r="J8" i="2"/>
  <c r="I8" i="2"/>
  <c r="G8" i="2"/>
  <c r="J7" i="2"/>
  <c r="I7" i="2"/>
  <c r="G7" i="2"/>
  <c r="I6" i="2"/>
  <c r="J6" i="2" s="1"/>
  <c r="G6" i="2"/>
  <c r="J5" i="2"/>
  <c r="I5" i="2"/>
  <c r="G5" i="2"/>
  <c r="J4" i="2"/>
  <c r="I4" i="2"/>
  <c r="G4" i="2"/>
  <c r="J3" i="2"/>
  <c r="I3" i="2"/>
  <c r="G3" i="2"/>
  <c r="I2" i="2"/>
  <c r="J2" i="2" s="1"/>
  <c r="G2" i="2"/>
  <c r="E6" i="4" l="1"/>
  <c r="E10" i="5" s="1"/>
  <c r="D10" i="5"/>
  <c r="E5" i="4"/>
  <c r="E9" i="5" s="1"/>
  <c r="D9" i="5"/>
  <c r="G5" i="4"/>
  <c r="G9" i="5" s="1"/>
  <c r="H5" i="4"/>
  <c r="H9" i="5" s="1"/>
  <c r="C10" i="5"/>
  <c r="D4" i="4"/>
  <c r="G7" i="4"/>
  <c r="G11" i="5" s="1"/>
  <c r="E7" i="4"/>
  <c r="E11" i="5" s="1"/>
  <c r="B4" i="5"/>
  <c r="H7" i="4"/>
  <c r="H11" i="5" s="1"/>
  <c r="E4" i="5"/>
  <c r="B9" i="5"/>
  <c r="B12" i="5"/>
  <c r="G4" i="4"/>
  <c r="H4" i="4"/>
  <c r="H8" i="5" s="1"/>
  <c r="D8" i="4"/>
  <c r="B8" i="5"/>
  <c r="G8" i="4"/>
  <c r="G12" i="5" s="1"/>
  <c r="E8" i="4" l="1"/>
  <c r="E12" i="5" s="1"/>
  <c r="D12" i="5"/>
  <c r="F4" i="5"/>
  <c r="G8" i="5"/>
  <c r="D8" i="5"/>
  <c r="E4" i="4"/>
  <c r="C4" i="5"/>
  <c r="D4" i="5" l="1"/>
  <c r="E8" i="5"/>
</calcChain>
</file>

<file path=xl/sharedStrings.xml><?xml version="1.0" encoding="utf-8"?>
<sst xmlns="http://schemas.openxmlformats.org/spreadsheetml/2006/main" count="599" uniqueCount="95">
  <si>
    <t>UrbanBite Café &amp; Bakery Group</t>
  </si>
  <si>
    <t>Business Case &amp; Excel Project Overview</t>
  </si>
  <si>
    <t>Project Type</t>
  </si>
  <si>
    <t>Advanced Excel Sales Analytics Dashboard</t>
  </si>
  <si>
    <t>KPI Definitions</t>
  </si>
  <si>
    <t>Reporting Period</t>
  </si>
  <si>
    <t>Fiscal Year 2025</t>
  </si>
  <si>
    <t>KPI</t>
  </si>
  <si>
    <t>Meaning</t>
  </si>
  <si>
    <t>Why It Matters</t>
  </si>
  <si>
    <t>Prepared For</t>
  </si>
  <si>
    <t>Executive Management &amp; Regional Operations Team</t>
  </si>
  <si>
    <t>Revenue</t>
  </si>
  <si>
    <t>Total sales generated by region.</t>
  </si>
  <si>
    <t>Shows business size and demand.</t>
  </si>
  <si>
    <t>Prepared By</t>
  </si>
  <si>
    <t>Alireza Kanzagh</t>
  </si>
  <si>
    <t>Gross Profit</t>
  </si>
  <si>
    <t>Revenue minus cost.</t>
  </si>
  <si>
    <t>Shows how much money remains before expenses.</t>
  </si>
  <si>
    <t>Workbook Version</t>
  </si>
  <si>
    <t>Version 1.0</t>
  </si>
  <si>
    <t>Gross Margin</t>
  </si>
  <si>
    <t>Gross Profit divided by Revenue.</t>
  </si>
  <si>
    <t>Measures profitability efficiency.</t>
  </si>
  <si>
    <t>Variance to Target</t>
  </si>
  <si>
    <t>Actual revenue minus target revenue.</t>
  </si>
  <si>
    <t>Shows if a region met expectations.</t>
  </si>
  <si>
    <t>Company Overview</t>
  </si>
  <si>
    <t>UrbanBite Café &amp; Bakery Group is a fictional Canadian food service and bakery distribution company. The business operates regional bakery cafés and supplies packaged baked goods to local retailers, coffee shops, and food-service partners across major Canadian cities. Management uses this workbook to review quarterly sales performance, compare regional profitability, and identify areas that need improvement.</t>
  </si>
  <si>
    <t>Project Objective</t>
  </si>
  <si>
    <t>This Excel project is designed to show how a business analyst can transform regional sales data into a clear management report.</t>
  </si>
  <si>
    <t>The workbook helps users track revenue, cost, gross profit, gross margin, sales targets, variance, and regional ranking.</t>
  </si>
  <si>
    <t>It also includes dashboard visuals and KPI cards so decision makers can quickly understand business performance.</t>
  </si>
  <si>
    <t>Main business question:</t>
  </si>
  <si>
    <t>Which regions are generating the strongest revenue and profit, and which regions need management attention?</t>
  </si>
  <si>
    <t>Workbook Structure</t>
  </si>
  <si>
    <t>Worksheet</t>
  </si>
  <si>
    <t>Purpose</t>
  </si>
  <si>
    <t>User</t>
  </si>
  <si>
    <t>Project Overview</t>
  </si>
  <si>
    <t>Explains the fictional business, project goal, and workbook structure.</t>
  </si>
  <si>
    <t>Reviewer / Instructor / Employer</t>
  </si>
  <si>
    <t>Dashboard</t>
  </si>
  <si>
    <t>Shows executive KPIs, charts, and regional performance summary.</t>
  </si>
  <si>
    <t>Management</t>
  </si>
  <si>
    <t>Sales_Data</t>
  </si>
  <si>
    <t>Contains detailed monthly and quarterly sales records by region.</t>
  </si>
  <si>
    <t>Analyst</t>
  </si>
  <si>
    <t>Regional_Summary</t>
  </si>
  <si>
    <t>Summarizes revenue, cost, profit, margin, targets, variance, and ranking.</t>
  </si>
  <si>
    <t>Analyst / Manager</t>
  </si>
  <si>
    <t>Lookups</t>
  </si>
  <si>
    <t>Stores support lists used for categories and business assumptions.</t>
  </si>
  <si>
    <t>Workbook Owner</t>
  </si>
  <si>
    <t>Month</t>
  </si>
  <si>
    <t>Region</t>
  </si>
  <si>
    <t>Category</t>
  </si>
  <si>
    <t>Units Sold</t>
  </si>
  <si>
    <t>Cost</t>
  </si>
  <si>
    <t>Target Revenue</t>
  </si>
  <si>
    <t>Variance</t>
  </si>
  <si>
    <t>Status</t>
  </si>
  <si>
    <t>Toronto</t>
  </si>
  <si>
    <t>Artisan Bread</t>
  </si>
  <si>
    <t>Pastries</t>
  </si>
  <si>
    <t>Cakes &amp; Desserts</t>
  </si>
  <si>
    <t>Coffee &amp; Beverages</t>
  </si>
  <si>
    <t>Montreal</t>
  </si>
  <si>
    <t>Ottawa</t>
  </si>
  <si>
    <t>Calgary</t>
  </si>
  <si>
    <t>Vancouver</t>
  </si>
  <si>
    <t>Setting</t>
  </si>
  <si>
    <t>Value</t>
  </si>
  <si>
    <t>Regions</t>
  </si>
  <si>
    <t>Categories</t>
  </si>
  <si>
    <t>Company Name</t>
  </si>
  <si>
    <t>Fiscal Year</t>
  </si>
  <si>
    <t>Currency</t>
  </si>
  <si>
    <t>CAD</t>
  </si>
  <si>
    <t>Portfolio Demo</t>
  </si>
  <si>
    <t>Data Type</t>
  </si>
  <si>
    <t>Fictional / anonymized</t>
  </si>
  <si>
    <t>Last Updated</t>
  </si>
  <si>
    <t>UrbanBite Café &amp; Bakery Group - Regional Performance Summary</t>
  </si>
  <si>
    <t>Total Revenue</t>
  </si>
  <si>
    <t>Total Cost</t>
  </si>
  <si>
    <t>Rank</t>
  </si>
  <si>
    <t>UrbanBite Café &amp; Bakery Group - Executive Dashboard</t>
  </si>
  <si>
    <t>Avg Gross Margin</t>
  </si>
  <si>
    <t>Best Region</t>
  </si>
  <si>
    <t>Needs Attention</t>
  </si>
  <si>
    <t>Reporting Year</t>
  </si>
  <si>
    <t>Margin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</si>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</sst>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\$#,##0"/>
    <numFmt numFmtId="166" formatCode="yyyy\-mm\-dd"/>
    <numFmt numFmtId="167" formatCode="0.0%"/>
  </numFmts>
  <fonts count="1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8"/>
      <color rgb="FFFFFFFF"/>
      <name val="Carlito"/>
    </font>
    <font>
      <b/>
      <sz val="12"/>
      <name val="Carlito"/>
    </font>
    <font>
      <b/>
      <sz val="20"/>
      <color rgb="FFFFFFFF"/>
      <name val="Carlito"/>
    </font>
    <font>
      <b/>
      <i/>
      <sz val="13"/>
      <color rgb="FF422006"/>
      <name val="Carlito"/>
    </font>
    <font>
      <b/>
      <sz val="12"/>
      <color rgb="FFFFFFFF"/>
      <name val="Carlito"/>
    </font>
    <font>
      <b/>
      <sz val="11"/>
      <color rgb="FF111827"/>
      <name val="Carlito"/>
    </font>
    <font>
      <b/>
      <sz val="12"/>
      <color rgb="FF111827"/>
      <name val="Carlito"/>
    </font>
    <font>
      <sz val="11"/>
      <color rgb="FF111827"/>
      <name val="Carlito"/>
    </font>
    <font>
      <sz val="10"/>
      <name val="Carlito"/>
    </font>
    <font>
      <b/>
      <sz val="10"/>
      <color rgb="FF7C2D12"/>
      <name val="Carlito"/>
    </font>
    <font>
      <i/>
      <sz val="10"/>
      <color rgb="FF111827"/>
      <name val="Carlito"/>
    </font>
    <font>
      <sz val="9"/>
      <name val="Carlito"/>
    </font>
    <font>
      <b/>
      <sz val="9"/>
      <color rgb="FFFFFFFF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65F91"/>
      </patternFill>
    </fill>
    <fill>
      <patternFill patternType="solid">
        <fgColor rgb="FFF3F6FA"/>
      </patternFill>
    </fill>
    <fill>
      <patternFill patternType="solid">
        <fgColor rgb="FF7C2D12"/>
      </patternFill>
    </fill>
    <fill>
      <patternFill patternType="solid">
        <fgColor rgb="FFFDE68A"/>
      </patternFill>
    </fill>
    <fill>
      <patternFill patternType="solid">
        <fgColor rgb="FF78350F"/>
      </patternFill>
    </fill>
    <fill>
      <patternFill patternType="solid">
        <fgColor rgb="FFFFF7ED"/>
      </patternFill>
    </fill>
    <fill>
      <patternFill patternType="solid">
        <fgColor rgb="FF92400E"/>
      </patternFill>
    </fill>
    <fill>
      <patternFill patternType="solid">
        <fgColor rgb="FFFFFBE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3" borderId="0" xfId="0" applyFont="1" applyFill="1" applyAlignment="1">
      <alignment horizontal="center"/>
    </xf>
    <xf numFmtId="167" fontId="0" fillId="0" borderId="0" xfId="0" applyNumberFormat="1"/>
    <xf numFmtId="1" fontId="0" fillId="0" borderId="0" xfId="0" applyNumberFormat="1"/>
    <xf numFmtId="0" fontId="1" fillId="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 applyAlignment="1">
      <alignment vertical="top"/>
    </xf>
    <xf numFmtId="0" fontId="1" fillId="7" borderId="0" xfId="0" applyFont="1" applyFill="1" applyAlignment="1">
      <alignment horizontal="left" vertical="top"/>
    </xf>
    <xf numFmtId="0" fontId="8" fillId="8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165" fontId="7" fillId="7" borderId="0" xfId="0" applyNumberFormat="1" applyFont="1" applyFill="1" applyAlignment="1">
      <alignment horizontal="left" vertical="top"/>
    </xf>
    <xf numFmtId="165" fontId="9" fillId="8" borderId="0" xfId="0" applyNumberFormat="1" applyFont="1" applyFill="1" applyAlignment="1">
      <alignment horizontal="left" vertical="top"/>
    </xf>
    <xf numFmtId="167" fontId="4" fillId="4" borderId="0" xfId="0" applyNumberFormat="1" applyFont="1" applyFill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0" fillId="8" borderId="0" xfId="0" applyFont="1" applyFill="1" applyAlignment="1">
      <alignment horizontal="left" vertical="top"/>
    </xf>
    <xf numFmtId="0" fontId="14" fillId="10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15" fillId="10" borderId="0" xfId="0" applyFont="1" applyFill="1" applyAlignment="1">
      <alignment vertical="top" wrapText="1"/>
    </xf>
    <xf numFmtId="165" fontId="0" fillId="0" borderId="0" xfId="0" applyNumberFormat="1" applyAlignment="1">
      <alignment vertical="top"/>
    </xf>
    <xf numFmtId="165" fontId="14" fillId="10" borderId="0" xfId="0" applyNumberFormat="1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0" fontId="12" fillId="11" borderId="0" xfId="0" applyFont="1" applyFill="1" applyAlignment="1">
      <alignment vertical="top" wrapText="1"/>
    </xf>
    <xf numFmtId="0" fontId="13" fillId="11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  <xf numFmtId="165" fontId="16" fillId="8" borderId="0" xfId="0" applyNumberFormat="1" applyFont="1" applyFill="1" applyAlignment="1">
      <alignment horizontal="center"/>
    </xf>
    <xf numFmtId="167" fontId="16" fillId="8" borderId="0" xfId="0" applyNumberFormat="1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65" fontId="0" fillId="11" borderId="0" xfId="0" applyNumberFormat="1" applyFill="1" applyAlignment="1">
      <alignment horizontal="center"/>
    </xf>
    <xf numFmtId="167" fontId="0" fillId="11" borderId="0" xfId="0" applyNumberFormat="1" applyFill="1" applyAlignment="1">
      <alignment horizontal="center"/>
    </xf>
    <xf numFmtId="0" fontId="5" fillId="5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6" fillId="6" borderId="0" xfId="0" applyFont="1" applyFill="1" applyAlignment="1">
      <alignment horizontal="center" vertical="top"/>
    </xf>
    <xf numFmtId="0" fontId="7" fillId="9" borderId="0" xfId="0" applyFont="1" applyFill="1" applyAlignment="1">
      <alignment horizontal="left" vertical="top"/>
    </xf>
    <xf numFmtId="165" fontId="0" fillId="0" borderId="0" xfId="0" applyNumberFormat="1" applyAlignment="1">
      <alignment vertical="top"/>
    </xf>
    <xf numFmtId="0" fontId="0" fillId="10" borderId="0" xfId="0" applyFill="1" applyAlignment="1">
      <alignment vertical="top" wrapText="1"/>
    </xf>
    <xf numFmtId="0" fontId="1" fillId="9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B91C1C"/>
      </font>
    </dxf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Dashboard!$A$8:$A$12</c:f>
              <c:strCache>
                <c:ptCount val="5"/>
                <c:pt idx="0">
                  <c:v>Toronto</c:v>
                </c:pt>
                <c:pt idx="1">
                  <c:v>Montreal</c:v>
                </c:pt>
                <c:pt idx="2">
                  <c:v>Ottawa</c:v>
                </c:pt>
                <c:pt idx="3">
                  <c:v>Calgary</c:v>
                </c:pt>
                <c:pt idx="4">
                  <c:v>Vancouver</c:v>
                </c:pt>
              </c:strCache>
            </c:strRef>
          </c:cat>
          <c:val>
            <c:numRef>
              <c:f>Dashboard!$B$8:$B$12</c:f>
              <c:numCache>
                <c:formatCode>\$#,##0</c:formatCode>
                <c:ptCount val="5"/>
                <c:pt idx="0">
                  <c:v>1176333</c:v>
                </c:pt>
                <c:pt idx="1">
                  <c:v>1064548</c:v>
                </c:pt>
                <c:pt idx="2">
                  <c:v>711796</c:v>
                </c:pt>
                <c:pt idx="3">
                  <c:v>875284</c:v>
                </c:pt>
                <c:pt idx="4">
                  <c:v>929360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9-49D2-A27C-AB519CA3B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J241">
  <tableColumns count="10">
    <tableColumn id="1" xr3:uid="{00000000-0010-0000-0000-000001000000}" name="Month"/>
    <tableColumn id="2" xr3:uid="{00000000-0010-0000-0000-000002000000}" name="Region"/>
    <tableColumn id="3" xr3:uid="{00000000-0010-0000-0000-000003000000}" name="Category"/>
    <tableColumn id="4" xr3:uid="{00000000-0010-0000-0000-000004000000}" name="Units Sold"/>
    <tableColumn id="5" xr3:uid="{00000000-0010-0000-0000-000005000000}" name="Revenue"/>
    <tableColumn id="6" xr3:uid="{00000000-0010-0000-0000-000006000000}" name="Cost"/>
    <tableColumn id="7" xr3:uid="{00000000-0010-0000-0000-000007000000}" name="Gross Profit"/>
    <tableColumn id="8" xr3:uid="{00000000-0010-0000-0000-000008000000}" name="Target Revenue"/>
    <tableColumn id="9" xr3:uid="{00000000-0010-0000-0000-000009000000}" name="Variance"/>
    <tableColumn id="10" xr3:uid="{00000000-0010-0000-00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onalSummaryTable" displayName="RegionalSummaryTable" ref="A3:H8">
  <tableColumns count="8">
    <tableColumn id="1" xr3:uid="{00000000-0010-0000-0100-000001000000}" name="Region"/>
    <tableColumn id="2" xr3:uid="{00000000-0010-0000-0100-000002000000}" name="Total Revenue"/>
    <tableColumn id="3" xr3:uid="{00000000-0010-0000-0100-000003000000}" name="Total Cost"/>
    <tableColumn id="4" xr3:uid="{00000000-0010-0000-0100-000004000000}" name="Gross Profit"/>
    <tableColumn id="5" xr3:uid="{00000000-0010-0000-0100-000005000000}" name="Gross Margin"/>
    <tableColumn id="6" xr3:uid="{00000000-0010-0000-0100-000006000000}" name="Target Revenue"/>
    <tableColumn id="7" xr3:uid="{00000000-0010-0000-0100-000007000000}" name="Variance"/>
    <tableColumn id="8" xr3:uid="{00000000-0010-0000-0100-000008000000}" name="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opLeftCell="A17" workbookViewId="0">
      <selection activeCell="A22" sqref="A22"/>
    </sheetView>
  </sheetViews>
  <sheetFormatPr defaultRowHeight="13.8"/>
  <cols>
    <col min="1" max="1" width="18" customWidth="1"/>
    <col min="2" max="2" width="51.59765625" customWidth="1"/>
    <col min="3" max="3" width="32" customWidth="1"/>
    <col min="4" max="4" width="4" customWidth="1"/>
    <col min="5" max="5" width="18" customWidth="1"/>
    <col min="6" max="6" width="22" customWidth="1"/>
    <col min="7" max="7" width="28" customWidth="1"/>
    <col min="8" max="8" width="4" customWidth="1"/>
  </cols>
  <sheetData>
    <row r="1" spans="1:8" ht="25.65" customHeight="1">
      <c r="A1" s="37" t="s">
        <v>0</v>
      </c>
      <c r="B1" s="38"/>
      <c r="C1" s="38"/>
      <c r="D1" s="38"/>
      <c r="E1" s="38"/>
      <c r="F1" s="38"/>
      <c r="G1" s="38"/>
      <c r="H1" s="38"/>
    </row>
    <row r="2" spans="1:8" ht="19.2" customHeight="1">
      <c r="A2" s="39" t="s">
        <v>1</v>
      </c>
      <c r="B2" s="38"/>
      <c r="C2" s="38"/>
      <c r="D2" s="38"/>
      <c r="E2" s="38"/>
      <c r="F2" s="38"/>
      <c r="G2" s="38"/>
      <c r="H2" s="38"/>
    </row>
    <row r="3" spans="1:8">
      <c r="A3" s="12"/>
      <c r="B3" s="12"/>
      <c r="C3" s="12"/>
      <c r="D3" s="12"/>
      <c r="E3" s="12"/>
      <c r="F3" s="12"/>
      <c r="G3" s="12"/>
      <c r="H3" s="12"/>
    </row>
    <row r="4" spans="1:8">
      <c r="A4" s="13" t="s">
        <v>2</v>
      </c>
      <c r="B4" s="14" t="s">
        <v>3</v>
      </c>
      <c r="C4" s="15"/>
      <c r="D4" s="15"/>
      <c r="E4" s="43" t="s">
        <v>4</v>
      </c>
      <c r="F4" s="38"/>
      <c r="G4" s="38"/>
      <c r="H4" s="38"/>
    </row>
    <row r="5" spans="1:8" ht="15.6">
      <c r="A5" s="16" t="s">
        <v>5</v>
      </c>
      <c r="B5" s="17" t="s">
        <v>6</v>
      </c>
      <c r="C5" s="18"/>
      <c r="D5" s="19"/>
      <c r="E5" s="20" t="s">
        <v>7</v>
      </c>
      <c r="F5" s="20" t="s">
        <v>8</v>
      </c>
      <c r="G5" s="20" t="s">
        <v>9</v>
      </c>
      <c r="H5" s="12"/>
    </row>
    <row r="6" spans="1:8">
      <c r="A6" s="13" t="s">
        <v>10</v>
      </c>
      <c r="B6" s="21" t="s">
        <v>11</v>
      </c>
      <c r="C6" s="12"/>
      <c r="D6" s="12"/>
      <c r="E6" s="22" t="s">
        <v>12</v>
      </c>
      <c r="F6" s="22" t="s">
        <v>13</v>
      </c>
      <c r="G6" s="22" t="s">
        <v>14</v>
      </c>
      <c r="H6" s="12"/>
    </row>
    <row r="7" spans="1:8" ht="22.8">
      <c r="A7" s="13" t="s">
        <v>15</v>
      </c>
      <c r="B7" s="21" t="s">
        <v>16</v>
      </c>
      <c r="C7" s="12"/>
      <c r="D7" s="12"/>
      <c r="E7" s="22" t="s">
        <v>17</v>
      </c>
      <c r="F7" s="22" t="s">
        <v>18</v>
      </c>
      <c r="G7" s="22" t="s">
        <v>19</v>
      </c>
      <c r="H7" s="12"/>
    </row>
    <row r="8" spans="1:8" ht="22.8">
      <c r="A8" s="13" t="s">
        <v>20</v>
      </c>
      <c r="B8" s="14" t="s">
        <v>21</v>
      </c>
      <c r="C8" s="12"/>
      <c r="D8" s="23"/>
      <c r="E8" s="24" t="s">
        <v>22</v>
      </c>
      <c r="F8" s="22" t="s">
        <v>23</v>
      </c>
      <c r="G8" s="22" t="s">
        <v>24</v>
      </c>
      <c r="H8" s="12"/>
    </row>
    <row r="9" spans="1:8" ht="22.8">
      <c r="A9" s="12"/>
      <c r="B9" s="25"/>
      <c r="C9" s="12"/>
      <c r="D9" s="12"/>
      <c r="E9" s="26" t="s">
        <v>25</v>
      </c>
      <c r="F9" s="22" t="s">
        <v>26</v>
      </c>
      <c r="G9" s="22" t="s">
        <v>27</v>
      </c>
      <c r="H9" s="12"/>
    </row>
    <row r="10" spans="1:8" ht="15.6">
      <c r="A10" s="40" t="s">
        <v>28</v>
      </c>
      <c r="B10" s="41"/>
      <c r="C10" s="38"/>
      <c r="D10" s="38"/>
      <c r="E10" s="41"/>
      <c r="F10" s="38"/>
      <c r="G10" s="38"/>
      <c r="H10" s="38"/>
    </row>
    <row r="11" spans="1:8">
      <c r="A11" s="42" t="s">
        <v>29</v>
      </c>
      <c r="B11" s="41"/>
      <c r="C11" s="38"/>
      <c r="D11" s="38"/>
      <c r="E11" s="41"/>
      <c r="F11" s="38"/>
      <c r="G11" s="38"/>
      <c r="H11" s="38"/>
    </row>
    <row r="12" spans="1:8">
      <c r="A12" s="38"/>
      <c r="B12" s="41"/>
      <c r="C12" s="38"/>
      <c r="D12" s="38"/>
      <c r="E12" s="41"/>
      <c r="F12" s="38"/>
      <c r="G12" s="38"/>
      <c r="H12" s="38"/>
    </row>
    <row r="13" spans="1:8">
      <c r="A13" s="38"/>
      <c r="B13" s="41"/>
      <c r="C13" s="38"/>
      <c r="D13" s="38"/>
      <c r="E13" s="38"/>
      <c r="F13" s="38"/>
      <c r="G13" s="38"/>
      <c r="H13" s="38"/>
    </row>
    <row r="14" spans="1:8">
      <c r="A14" s="38"/>
      <c r="B14" s="38"/>
      <c r="C14" s="38"/>
      <c r="D14" s="38"/>
      <c r="E14" s="38"/>
      <c r="F14" s="38"/>
      <c r="G14" s="38"/>
      <c r="H14" s="38"/>
    </row>
    <row r="15" spans="1:8">
      <c r="A15" s="12"/>
      <c r="B15" s="12"/>
      <c r="C15" s="12"/>
      <c r="D15" s="12"/>
      <c r="E15" s="12"/>
      <c r="F15" s="12"/>
      <c r="G15" s="12"/>
      <c r="H15" s="12"/>
    </row>
    <row r="16" spans="1:8" ht="15.6">
      <c r="A16" s="40" t="s">
        <v>30</v>
      </c>
      <c r="B16" s="38"/>
      <c r="C16" s="38"/>
      <c r="D16" s="38"/>
      <c r="E16" s="38"/>
      <c r="F16" s="38"/>
      <c r="G16" s="38"/>
      <c r="H16" s="38"/>
    </row>
    <row r="17" spans="1:8" ht="79.2">
      <c r="A17" s="27" t="s">
        <v>31</v>
      </c>
      <c r="B17" s="27"/>
      <c r="C17" s="27"/>
      <c r="D17" s="27"/>
      <c r="E17" s="27"/>
      <c r="F17" s="27"/>
      <c r="G17" s="27"/>
      <c r="H17" s="27"/>
    </row>
    <row r="18" spans="1:8" ht="79.2">
      <c r="A18" s="27" t="s">
        <v>32</v>
      </c>
      <c r="B18" s="27"/>
      <c r="C18" s="27"/>
      <c r="D18" s="27"/>
      <c r="E18" s="27"/>
      <c r="F18" s="27"/>
      <c r="G18" s="27"/>
      <c r="H18" s="27"/>
    </row>
    <row r="19" spans="1:8" ht="79.2">
      <c r="A19" s="27" t="s">
        <v>33</v>
      </c>
      <c r="B19" s="27"/>
      <c r="C19" s="27"/>
      <c r="D19" s="27"/>
      <c r="E19" s="27"/>
      <c r="F19" s="27"/>
      <c r="G19" s="27"/>
      <c r="H19" s="27"/>
    </row>
    <row r="20" spans="1:8">
      <c r="A20" s="27"/>
      <c r="B20" s="27"/>
      <c r="C20" s="27"/>
      <c r="D20" s="27"/>
      <c r="E20" s="27"/>
      <c r="F20" s="27"/>
      <c r="G20" s="27"/>
      <c r="H20" s="27"/>
    </row>
    <row r="21" spans="1:8" ht="26.4">
      <c r="A21" s="28" t="s">
        <v>34</v>
      </c>
      <c r="B21" s="27"/>
      <c r="C21" s="27"/>
      <c r="D21" s="27"/>
      <c r="E21" s="27"/>
      <c r="F21" s="27"/>
      <c r="G21" s="27"/>
      <c r="H21" s="27"/>
    </row>
    <row r="22" spans="1:8" ht="92.4">
      <c r="A22" s="29" t="s">
        <v>35</v>
      </c>
      <c r="B22" s="27"/>
      <c r="C22" s="27"/>
      <c r="D22" s="27"/>
      <c r="E22" s="27"/>
      <c r="F22" s="27"/>
      <c r="G22" s="27"/>
      <c r="H22" s="27"/>
    </row>
    <row r="23" spans="1:8">
      <c r="A23" s="12"/>
      <c r="B23" s="12"/>
      <c r="C23" s="12"/>
      <c r="D23" s="12"/>
      <c r="E23" s="12"/>
      <c r="F23" s="12"/>
      <c r="G23" s="12"/>
      <c r="H23" s="12"/>
    </row>
    <row r="24" spans="1:8" ht="15.6">
      <c r="A24" s="40" t="s">
        <v>36</v>
      </c>
      <c r="B24" s="38"/>
      <c r="C24" s="38"/>
      <c r="D24" s="38"/>
      <c r="E24" s="38"/>
      <c r="F24" s="38"/>
      <c r="G24" s="38"/>
      <c r="H24" s="38"/>
    </row>
    <row r="25" spans="1:8">
      <c r="A25" s="20" t="s">
        <v>37</v>
      </c>
      <c r="B25" s="20" t="s">
        <v>38</v>
      </c>
      <c r="C25" s="20" t="s">
        <v>39</v>
      </c>
      <c r="D25" s="12"/>
      <c r="E25" s="12"/>
      <c r="F25" s="12"/>
      <c r="G25" s="12"/>
      <c r="H25" s="12"/>
    </row>
    <row r="26" spans="1:8" ht="26.4">
      <c r="A26" s="30" t="s">
        <v>40</v>
      </c>
      <c r="B26" s="30" t="s">
        <v>41</v>
      </c>
      <c r="C26" s="30" t="s">
        <v>42</v>
      </c>
      <c r="D26" s="12"/>
      <c r="E26" s="12"/>
      <c r="F26" s="12"/>
      <c r="G26" s="12"/>
      <c r="H26" s="12"/>
    </row>
    <row r="27" spans="1:8" ht="26.4">
      <c r="A27" s="30" t="s">
        <v>43</v>
      </c>
      <c r="B27" s="30" t="s">
        <v>44</v>
      </c>
      <c r="C27" s="30" t="s">
        <v>45</v>
      </c>
      <c r="D27" s="12"/>
      <c r="E27" s="12"/>
      <c r="F27" s="12"/>
      <c r="G27" s="12"/>
      <c r="H27" s="12"/>
    </row>
    <row r="28" spans="1:8" ht="26.4">
      <c r="A28" s="30" t="s">
        <v>46</v>
      </c>
      <c r="B28" s="30" t="s">
        <v>47</v>
      </c>
      <c r="C28" s="30" t="s">
        <v>48</v>
      </c>
      <c r="D28" s="12"/>
      <c r="E28" s="12"/>
      <c r="F28" s="12"/>
      <c r="G28" s="12"/>
      <c r="H28" s="12"/>
    </row>
    <row r="29" spans="1:8" ht="26.4">
      <c r="A29" s="30" t="s">
        <v>49</v>
      </c>
      <c r="B29" s="30" t="s">
        <v>50</v>
      </c>
      <c r="C29" s="30" t="s">
        <v>51</v>
      </c>
      <c r="D29" s="12"/>
      <c r="E29" s="12"/>
      <c r="F29" s="12"/>
      <c r="G29" s="12"/>
      <c r="H29" s="12"/>
    </row>
    <row r="30" spans="1:8" ht="26.4">
      <c r="A30" s="30" t="s">
        <v>52</v>
      </c>
      <c r="B30" s="30" t="s">
        <v>53</v>
      </c>
      <c r="C30" s="30" t="s">
        <v>54</v>
      </c>
      <c r="D30" s="12"/>
      <c r="E30" s="12"/>
      <c r="F30" s="12"/>
      <c r="G30" s="12"/>
      <c r="H30" s="12"/>
    </row>
    <row r="31" spans="1:8">
      <c r="A31" s="12"/>
      <c r="B31" s="12"/>
      <c r="C31" s="12"/>
      <c r="D31" s="12"/>
      <c r="E31" s="12"/>
      <c r="F31" s="12"/>
      <c r="G31" s="12"/>
      <c r="H31" s="12"/>
    </row>
    <row r="32" spans="1:8">
      <c r="A32" s="12"/>
      <c r="B32" s="12"/>
      <c r="C32" s="12"/>
      <c r="D32" s="12"/>
      <c r="E32" s="12"/>
      <c r="F32" s="12"/>
      <c r="G32" s="12"/>
      <c r="H32" s="12"/>
    </row>
    <row r="33" spans="1:8">
      <c r="A33" s="12"/>
      <c r="B33" s="12"/>
      <c r="C33" s="12"/>
      <c r="D33" s="12"/>
      <c r="E33" s="12"/>
      <c r="F33" s="12"/>
      <c r="G33" s="12"/>
      <c r="H33" s="12"/>
    </row>
    <row r="34" spans="1:8">
      <c r="A34" s="12"/>
      <c r="B34" s="12"/>
      <c r="C34" s="12"/>
      <c r="D34" s="12"/>
      <c r="E34" s="12"/>
      <c r="F34" s="12"/>
      <c r="G34" s="12"/>
      <c r="H34" s="12"/>
    </row>
    <row r="35" spans="1:8">
      <c r="A35" s="12"/>
      <c r="B35" s="12"/>
      <c r="C35" s="12"/>
      <c r="D35" s="12"/>
      <c r="E35" s="12"/>
      <c r="F35" s="12"/>
      <c r="G35" s="12"/>
      <c r="H35" s="12"/>
    </row>
  </sheetData>
  <mergeCells count="7">
    <mergeCell ref="A24:H24"/>
    <mergeCell ref="E4:H4"/>
    <mergeCell ref="A1:H1"/>
    <mergeCell ref="A2:H2"/>
    <mergeCell ref="A10:H10"/>
    <mergeCell ref="A11:H14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1"/>
  <sheetViews>
    <sheetView workbookViewId="0"/>
  </sheetViews>
  <sheetFormatPr defaultRowHeight="13.8"/>
  <cols>
    <col min="1" max="1" width="8.19921875" customWidth="1"/>
    <col min="2" max="2" width="8.296875" customWidth="1"/>
    <col min="3" max="3" width="15.5" customWidth="1"/>
    <col min="4" max="4" width="10.8984375" customWidth="1"/>
    <col min="5" max="5" width="9.69921875" customWidth="1"/>
    <col min="6" max="6" width="6.5" customWidth="1"/>
    <col min="7" max="7" width="12.19921875" customWidth="1"/>
    <col min="8" max="8" width="15.19921875" customWidth="1"/>
    <col min="9" max="9" width="9.69921875" customWidth="1"/>
    <col min="10" max="10" width="10.3984375" customWidth="1"/>
  </cols>
  <sheetData>
    <row r="1" spans="1:10" ht="19.2" customHeight="1">
      <c r="A1" s="2" t="s">
        <v>55</v>
      </c>
      <c r="B1" s="2" t="s">
        <v>56</v>
      </c>
      <c r="C1" s="2" t="s">
        <v>57</v>
      </c>
      <c r="D1" s="2" t="s">
        <v>58</v>
      </c>
      <c r="E1" s="2" t="s">
        <v>12</v>
      </c>
      <c r="F1" s="2" t="s">
        <v>59</v>
      </c>
      <c r="G1" s="2" t="s">
        <v>17</v>
      </c>
      <c r="H1" s="2" t="s">
        <v>60</v>
      </c>
      <c r="I1" s="2" t="s">
        <v>61</v>
      </c>
      <c r="J1" s="2" t="s">
        <v>62</v>
      </c>
    </row>
    <row r="2" spans="1:10">
      <c r="A2" s="3">
        <v>45658</v>
      </c>
      <c r="B2" t="s">
        <v>63</v>
      </c>
      <c r="C2" t="s">
        <v>64</v>
      </c>
      <c r="D2" s="4">
        <v>3112</v>
      </c>
      <c r="E2" s="5">
        <v>23347</v>
      </c>
      <c r="F2" s="5">
        <v>11081</v>
      </c>
      <c r="G2" s="5">
        <f t="shared" ref="G2:G65" si="0">E2-F2</f>
        <v>12266</v>
      </c>
      <c r="H2" s="5">
        <v>23168</v>
      </c>
      <c r="I2" s="5">
        <f t="shared" ref="I2:I65" si="1">E2-H2</f>
        <v>179</v>
      </c>
      <c r="J2" t="str">
        <f t="shared" ref="J2:J65" si="2">IF(I2&gt;=0,"Above Target","Below Target")</f>
        <v>Above Target</v>
      </c>
    </row>
    <row r="3" spans="1:10">
      <c r="A3" s="3">
        <v>45658</v>
      </c>
      <c r="B3" t="s">
        <v>63</v>
      </c>
      <c r="C3" t="s">
        <v>65</v>
      </c>
      <c r="D3" s="4">
        <v>4281</v>
      </c>
      <c r="E3" s="5">
        <v>22477</v>
      </c>
      <c r="F3" s="5">
        <v>9524</v>
      </c>
      <c r="G3" s="5">
        <f t="shared" si="0"/>
        <v>12953</v>
      </c>
      <c r="H3" s="5">
        <v>23808</v>
      </c>
      <c r="I3" s="5">
        <f t="shared" si="1"/>
        <v>-1331</v>
      </c>
      <c r="J3" t="str">
        <f t="shared" si="2"/>
        <v>Below Target</v>
      </c>
    </row>
    <row r="4" spans="1:10">
      <c r="A4" s="3">
        <v>45658</v>
      </c>
      <c r="B4" t="s">
        <v>63</v>
      </c>
      <c r="C4" t="s">
        <v>66</v>
      </c>
      <c r="D4" s="4">
        <v>1088</v>
      </c>
      <c r="E4" s="5">
        <v>26125</v>
      </c>
      <c r="F4" s="5">
        <v>13272</v>
      </c>
      <c r="G4" s="5">
        <f t="shared" si="0"/>
        <v>12853</v>
      </c>
      <c r="H4" s="5">
        <v>25419</v>
      </c>
      <c r="I4" s="5">
        <f t="shared" si="1"/>
        <v>706</v>
      </c>
      <c r="J4" t="str">
        <f t="shared" si="2"/>
        <v>Above Target</v>
      </c>
    </row>
    <row r="5" spans="1:10">
      <c r="A5" s="3">
        <v>45658</v>
      </c>
      <c r="B5" t="s">
        <v>63</v>
      </c>
      <c r="C5" t="s">
        <v>67</v>
      </c>
      <c r="D5" s="4">
        <v>3084</v>
      </c>
      <c r="E5" s="5">
        <v>14650</v>
      </c>
      <c r="F5" s="5">
        <v>4982</v>
      </c>
      <c r="G5" s="5">
        <f t="shared" si="0"/>
        <v>9668</v>
      </c>
      <c r="H5" s="5">
        <v>14249</v>
      </c>
      <c r="I5" s="5">
        <f t="shared" si="1"/>
        <v>401</v>
      </c>
      <c r="J5" t="str">
        <f t="shared" si="2"/>
        <v>Above Target</v>
      </c>
    </row>
    <row r="6" spans="1:10">
      <c r="A6" s="3">
        <v>45658</v>
      </c>
      <c r="B6" t="s">
        <v>68</v>
      </c>
      <c r="C6" t="s">
        <v>64</v>
      </c>
      <c r="D6" s="4">
        <v>2986</v>
      </c>
      <c r="E6" s="5">
        <v>22401</v>
      </c>
      <c r="F6" s="5">
        <v>10777</v>
      </c>
      <c r="G6" s="5">
        <f t="shared" si="0"/>
        <v>11624</v>
      </c>
      <c r="H6" s="5">
        <v>22223</v>
      </c>
      <c r="I6" s="5">
        <f t="shared" si="1"/>
        <v>178</v>
      </c>
      <c r="J6" t="str">
        <f t="shared" si="2"/>
        <v>Above Target</v>
      </c>
    </row>
    <row r="7" spans="1:10">
      <c r="A7" s="3">
        <v>45658</v>
      </c>
      <c r="B7" t="s">
        <v>68</v>
      </c>
      <c r="C7" t="s">
        <v>65</v>
      </c>
      <c r="D7" s="4">
        <v>3622</v>
      </c>
      <c r="E7" s="5">
        <v>19019</v>
      </c>
      <c r="F7" s="5">
        <v>8112</v>
      </c>
      <c r="G7" s="5">
        <f t="shared" si="0"/>
        <v>10907</v>
      </c>
      <c r="H7" s="5">
        <v>18461</v>
      </c>
      <c r="I7" s="5">
        <f t="shared" si="1"/>
        <v>558</v>
      </c>
      <c r="J7" t="str">
        <f t="shared" si="2"/>
        <v>Above Target</v>
      </c>
    </row>
    <row r="8" spans="1:10">
      <c r="A8" s="3">
        <v>45658</v>
      </c>
      <c r="B8" t="s">
        <v>68</v>
      </c>
      <c r="C8" t="s">
        <v>66</v>
      </c>
      <c r="D8" s="4">
        <v>1058</v>
      </c>
      <c r="E8" s="5">
        <v>25405</v>
      </c>
      <c r="F8" s="5">
        <v>13085</v>
      </c>
      <c r="G8" s="5">
        <f t="shared" si="0"/>
        <v>12320</v>
      </c>
      <c r="H8" s="5">
        <v>25507</v>
      </c>
      <c r="I8" s="5">
        <f t="shared" si="1"/>
        <v>-102</v>
      </c>
      <c r="J8" t="str">
        <f t="shared" si="2"/>
        <v>Below Target</v>
      </c>
    </row>
    <row r="9" spans="1:10">
      <c r="A9" s="3">
        <v>45658</v>
      </c>
      <c r="B9" t="s">
        <v>68</v>
      </c>
      <c r="C9" t="s">
        <v>67</v>
      </c>
      <c r="D9" s="4">
        <v>2642</v>
      </c>
      <c r="E9" s="5">
        <v>12550</v>
      </c>
      <c r="F9" s="5">
        <v>4365</v>
      </c>
      <c r="G9" s="5">
        <f t="shared" si="0"/>
        <v>8185</v>
      </c>
      <c r="H9" s="5">
        <v>12596</v>
      </c>
      <c r="I9" s="5">
        <f t="shared" si="1"/>
        <v>-46</v>
      </c>
      <c r="J9" t="str">
        <f t="shared" si="2"/>
        <v>Below Target</v>
      </c>
    </row>
    <row r="10" spans="1:10">
      <c r="A10" s="3">
        <v>45658</v>
      </c>
      <c r="B10" t="s">
        <v>69</v>
      </c>
      <c r="C10" t="s">
        <v>64</v>
      </c>
      <c r="D10" s="4">
        <v>1795</v>
      </c>
      <c r="E10" s="5">
        <v>13464</v>
      </c>
      <c r="F10" s="5">
        <v>6575</v>
      </c>
      <c r="G10" s="5">
        <f t="shared" si="0"/>
        <v>6889</v>
      </c>
      <c r="H10" s="5">
        <v>13873</v>
      </c>
      <c r="I10" s="5">
        <f t="shared" si="1"/>
        <v>-409</v>
      </c>
      <c r="J10" t="str">
        <f t="shared" si="2"/>
        <v>Below Target</v>
      </c>
    </row>
    <row r="11" spans="1:10">
      <c r="A11" s="3">
        <v>45658</v>
      </c>
      <c r="B11" t="s">
        <v>69</v>
      </c>
      <c r="C11" t="s">
        <v>65</v>
      </c>
      <c r="D11" s="4">
        <v>2465</v>
      </c>
      <c r="E11" s="5">
        <v>12943</v>
      </c>
      <c r="F11" s="5">
        <v>5499</v>
      </c>
      <c r="G11" s="5">
        <f t="shared" si="0"/>
        <v>7444</v>
      </c>
      <c r="H11" s="5">
        <v>13249</v>
      </c>
      <c r="I11" s="5">
        <f t="shared" si="1"/>
        <v>-306</v>
      </c>
      <c r="J11" t="str">
        <f t="shared" si="2"/>
        <v>Below Target</v>
      </c>
    </row>
    <row r="12" spans="1:10">
      <c r="A12" s="3">
        <v>45658</v>
      </c>
      <c r="B12" t="s">
        <v>69</v>
      </c>
      <c r="C12" t="s">
        <v>66</v>
      </c>
      <c r="D12" s="4">
        <v>714</v>
      </c>
      <c r="E12" s="5">
        <v>17141</v>
      </c>
      <c r="F12" s="5">
        <v>8689</v>
      </c>
      <c r="G12" s="5">
        <f t="shared" si="0"/>
        <v>8452</v>
      </c>
      <c r="H12" s="5">
        <v>17573</v>
      </c>
      <c r="I12" s="5">
        <f t="shared" si="1"/>
        <v>-432</v>
      </c>
      <c r="J12" t="str">
        <f t="shared" si="2"/>
        <v>Below Target</v>
      </c>
    </row>
    <row r="13" spans="1:10">
      <c r="A13" s="3">
        <v>45658</v>
      </c>
      <c r="B13" t="s">
        <v>69</v>
      </c>
      <c r="C13" t="s">
        <v>67</v>
      </c>
      <c r="D13" s="4">
        <v>1936</v>
      </c>
      <c r="E13" s="5">
        <v>9199</v>
      </c>
      <c r="F13" s="5">
        <v>3146</v>
      </c>
      <c r="G13" s="5">
        <f t="shared" si="0"/>
        <v>6053</v>
      </c>
      <c r="H13" s="5">
        <v>9716</v>
      </c>
      <c r="I13" s="5">
        <f t="shared" si="1"/>
        <v>-517</v>
      </c>
      <c r="J13" t="str">
        <f t="shared" si="2"/>
        <v>Below Target</v>
      </c>
    </row>
    <row r="14" spans="1:10">
      <c r="A14" s="3">
        <v>45658</v>
      </c>
      <c r="B14" t="s">
        <v>70</v>
      </c>
      <c r="C14" t="s">
        <v>64</v>
      </c>
      <c r="D14" s="4">
        <v>2590</v>
      </c>
      <c r="E14" s="5">
        <v>19428</v>
      </c>
      <c r="F14" s="5">
        <v>9114</v>
      </c>
      <c r="G14" s="5">
        <f t="shared" si="0"/>
        <v>10314</v>
      </c>
      <c r="H14" s="5">
        <v>19288</v>
      </c>
      <c r="I14" s="5">
        <f t="shared" si="1"/>
        <v>140</v>
      </c>
      <c r="J14" t="str">
        <f t="shared" si="2"/>
        <v>Above Target</v>
      </c>
    </row>
    <row r="15" spans="1:10">
      <c r="A15" s="3">
        <v>45658</v>
      </c>
      <c r="B15" t="s">
        <v>70</v>
      </c>
      <c r="C15" t="s">
        <v>65</v>
      </c>
      <c r="D15" s="4">
        <v>2967</v>
      </c>
      <c r="E15" s="5">
        <v>15581</v>
      </c>
      <c r="F15" s="5">
        <v>6407</v>
      </c>
      <c r="G15" s="5">
        <f t="shared" si="0"/>
        <v>9174</v>
      </c>
      <c r="H15" s="5">
        <v>15476</v>
      </c>
      <c r="I15" s="5">
        <f t="shared" si="1"/>
        <v>105</v>
      </c>
      <c r="J15" t="str">
        <f t="shared" si="2"/>
        <v>Above Target</v>
      </c>
    </row>
    <row r="16" spans="1:10">
      <c r="A16" s="3">
        <v>45658</v>
      </c>
      <c r="B16" t="s">
        <v>70</v>
      </c>
      <c r="C16" t="s">
        <v>66</v>
      </c>
      <c r="D16" s="4">
        <v>812</v>
      </c>
      <c r="E16" s="5">
        <v>19498</v>
      </c>
      <c r="F16" s="5">
        <v>9834</v>
      </c>
      <c r="G16" s="5">
        <f t="shared" si="0"/>
        <v>9664</v>
      </c>
      <c r="H16" s="5">
        <v>20153</v>
      </c>
      <c r="I16" s="5">
        <f t="shared" si="1"/>
        <v>-655</v>
      </c>
      <c r="J16" t="str">
        <f t="shared" si="2"/>
        <v>Below Target</v>
      </c>
    </row>
    <row r="17" spans="1:10">
      <c r="A17" s="3">
        <v>45658</v>
      </c>
      <c r="B17" t="s">
        <v>70</v>
      </c>
      <c r="C17" t="s">
        <v>67</v>
      </c>
      <c r="D17" s="4">
        <v>2352</v>
      </c>
      <c r="E17" s="5">
        <v>11175</v>
      </c>
      <c r="F17" s="5">
        <v>3775</v>
      </c>
      <c r="G17" s="5">
        <f t="shared" si="0"/>
        <v>7400</v>
      </c>
      <c r="H17" s="5">
        <v>11074</v>
      </c>
      <c r="I17" s="5">
        <f t="shared" si="1"/>
        <v>101</v>
      </c>
      <c r="J17" t="str">
        <f t="shared" si="2"/>
        <v>Above Target</v>
      </c>
    </row>
    <row r="18" spans="1:10">
      <c r="A18" s="3">
        <v>45658</v>
      </c>
      <c r="B18" t="s">
        <v>71</v>
      </c>
      <c r="C18" t="s">
        <v>64</v>
      </c>
      <c r="D18" s="4">
        <v>2734</v>
      </c>
      <c r="E18" s="5">
        <v>20511</v>
      </c>
      <c r="F18" s="5">
        <v>9918</v>
      </c>
      <c r="G18" s="5">
        <f t="shared" si="0"/>
        <v>10593</v>
      </c>
      <c r="H18" s="5">
        <v>21145</v>
      </c>
      <c r="I18" s="5">
        <f t="shared" si="1"/>
        <v>-634</v>
      </c>
      <c r="J18" t="str">
        <f t="shared" si="2"/>
        <v>Below Target</v>
      </c>
    </row>
    <row r="19" spans="1:10">
      <c r="A19" s="3">
        <v>45658</v>
      </c>
      <c r="B19" t="s">
        <v>71</v>
      </c>
      <c r="C19" t="s">
        <v>65</v>
      </c>
      <c r="D19" s="4">
        <v>2965</v>
      </c>
      <c r="E19" s="5">
        <v>15568</v>
      </c>
      <c r="F19" s="5">
        <v>6613</v>
      </c>
      <c r="G19" s="5">
        <f t="shared" si="0"/>
        <v>8955</v>
      </c>
      <c r="H19" s="5">
        <v>15355</v>
      </c>
      <c r="I19" s="5">
        <f t="shared" si="1"/>
        <v>213</v>
      </c>
      <c r="J19" t="str">
        <f t="shared" si="2"/>
        <v>Above Target</v>
      </c>
    </row>
    <row r="20" spans="1:10">
      <c r="A20" s="3">
        <v>45658</v>
      </c>
      <c r="B20" t="s">
        <v>71</v>
      </c>
      <c r="C20" t="s">
        <v>66</v>
      </c>
      <c r="D20" s="4">
        <v>867</v>
      </c>
      <c r="E20" s="5">
        <v>20817</v>
      </c>
      <c r="F20" s="5">
        <v>10877</v>
      </c>
      <c r="G20" s="5">
        <f t="shared" si="0"/>
        <v>9940</v>
      </c>
      <c r="H20" s="5">
        <v>21525</v>
      </c>
      <c r="I20" s="5">
        <f t="shared" si="1"/>
        <v>-708</v>
      </c>
      <c r="J20" t="str">
        <f t="shared" si="2"/>
        <v>Below Target</v>
      </c>
    </row>
    <row r="21" spans="1:10">
      <c r="A21" s="3">
        <v>45658</v>
      </c>
      <c r="B21" t="s">
        <v>71</v>
      </c>
      <c r="C21" t="s">
        <v>67</v>
      </c>
      <c r="D21" s="4">
        <v>2472</v>
      </c>
      <c r="E21" s="5">
        <v>11746</v>
      </c>
      <c r="F21" s="5">
        <v>4031</v>
      </c>
      <c r="G21" s="5">
        <f t="shared" si="0"/>
        <v>7715</v>
      </c>
      <c r="H21" s="5">
        <v>12384</v>
      </c>
      <c r="I21" s="5">
        <f t="shared" si="1"/>
        <v>-638</v>
      </c>
      <c r="J21" t="str">
        <f t="shared" si="2"/>
        <v>Below Target</v>
      </c>
    </row>
    <row r="22" spans="1:10">
      <c r="A22" s="3">
        <v>45689</v>
      </c>
      <c r="B22" t="s">
        <v>63</v>
      </c>
      <c r="C22" t="s">
        <v>64</v>
      </c>
      <c r="D22" s="4">
        <v>3274</v>
      </c>
      <c r="E22" s="5">
        <v>24559</v>
      </c>
      <c r="F22" s="5">
        <v>11513</v>
      </c>
      <c r="G22" s="5">
        <f t="shared" si="0"/>
        <v>13046</v>
      </c>
      <c r="H22" s="5">
        <v>24597</v>
      </c>
      <c r="I22" s="5">
        <f t="shared" si="1"/>
        <v>-38</v>
      </c>
      <c r="J22" t="str">
        <f t="shared" si="2"/>
        <v>Below Target</v>
      </c>
    </row>
    <row r="23" spans="1:10">
      <c r="A23" s="3">
        <v>45689</v>
      </c>
      <c r="B23" t="s">
        <v>63</v>
      </c>
      <c r="C23" t="s">
        <v>65</v>
      </c>
      <c r="D23" s="4">
        <v>4035</v>
      </c>
      <c r="E23" s="5">
        <v>21187</v>
      </c>
      <c r="F23" s="5">
        <v>8770</v>
      </c>
      <c r="G23" s="5">
        <f t="shared" si="0"/>
        <v>12417</v>
      </c>
      <c r="H23" s="5">
        <v>22549</v>
      </c>
      <c r="I23" s="5">
        <f t="shared" si="1"/>
        <v>-1362</v>
      </c>
      <c r="J23" t="str">
        <f t="shared" si="2"/>
        <v>Below Target</v>
      </c>
    </row>
    <row r="24" spans="1:10">
      <c r="A24" s="3">
        <v>45689</v>
      </c>
      <c r="B24" t="s">
        <v>63</v>
      </c>
      <c r="C24" t="s">
        <v>66</v>
      </c>
      <c r="D24" s="4">
        <v>1255</v>
      </c>
      <c r="E24" s="5">
        <v>30134</v>
      </c>
      <c r="F24" s="5">
        <v>15226</v>
      </c>
      <c r="G24" s="5">
        <f t="shared" si="0"/>
        <v>14908</v>
      </c>
      <c r="H24" s="5">
        <v>31205</v>
      </c>
      <c r="I24" s="5">
        <f t="shared" si="1"/>
        <v>-1071</v>
      </c>
      <c r="J24" t="str">
        <f t="shared" si="2"/>
        <v>Below Target</v>
      </c>
    </row>
    <row r="25" spans="1:10">
      <c r="A25" s="3">
        <v>45689</v>
      </c>
      <c r="B25" t="s">
        <v>63</v>
      </c>
      <c r="C25" t="s">
        <v>67</v>
      </c>
      <c r="D25" s="4">
        <v>3226</v>
      </c>
      <c r="E25" s="5">
        <v>15326</v>
      </c>
      <c r="F25" s="5">
        <v>5319</v>
      </c>
      <c r="G25" s="5">
        <f t="shared" si="0"/>
        <v>10007</v>
      </c>
      <c r="H25" s="5">
        <v>15569</v>
      </c>
      <c r="I25" s="5">
        <f t="shared" si="1"/>
        <v>-243</v>
      </c>
      <c r="J25" t="str">
        <f t="shared" si="2"/>
        <v>Below Target</v>
      </c>
    </row>
    <row r="26" spans="1:10">
      <c r="A26" s="3">
        <v>45689</v>
      </c>
      <c r="B26" t="s">
        <v>68</v>
      </c>
      <c r="C26" t="s">
        <v>64</v>
      </c>
      <c r="D26" s="4">
        <v>2821</v>
      </c>
      <c r="E26" s="5">
        <v>21161</v>
      </c>
      <c r="F26" s="5">
        <v>10188</v>
      </c>
      <c r="G26" s="5">
        <f t="shared" si="0"/>
        <v>10973</v>
      </c>
      <c r="H26" s="5">
        <v>21082</v>
      </c>
      <c r="I26" s="5">
        <f t="shared" si="1"/>
        <v>79</v>
      </c>
      <c r="J26" t="str">
        <f t="shared" si="2"/>
        <v>Above Target</v>
      </c>
    </row>
    <row r="27" spans="1:10">
      <c r="A27" s="3">
        <v>45689</v>
      </c>
      <c r="B27" t="s">
        <v>68</v>
      </c>
      <c r="C27" t="s">
        <v>65</v>
      </c>
      <c r="D27" s="4">
        <v>3649</v>
      </c>
      <c r="E27" s="5">
        <v>19160</v>
      </c>
      <c r="F27" s="5">
        <v>8207</v>
      </c>
      <c r="G27" s="5">
        <f t="shared" si="0"/>
        <v>10953</v>
      </c>
      <c r="H27" s="5">
        <v>19350</v>
      </c>
      <c r="I27" s="5">
        <f t="shared" si="1"/>
        <v>-190</v>
      </c>
      <c r="J27" t="str">
        <f t="shared" si="2"/>
        <v>Below Target</v>
      </c>
    </row>
    <row r="28" spans="1:10">
      <c r="A28" s="3">
        <v>45689</v>
      </c>
      <c r="B28" t="s">
        <v>68</v>
      </c>
      <c r="C28" t="s">
        <v>66</v>
      </c>
      <c r="D28" s="4">
        <v>971</v>
      </c>
      <c r="E28" s="5">
        <v>23321</v>
      </c>
      <c r="F28" s="5">
        <v>12190</v>
      </c>
      <c r="G28" s="5">
        <f t="shared" si="0"/>
        <v>11131</v>
      </c>
      <c r="H28" s="5">
        <v>23810</v>
      </c>
      <c r="I28" s="5">
        <f t="shared" si="1"/>
        <v>-489</v>
      </c>
      <c r="J28" t="str">
        <f t="shared" si="2"/>
        <v>Below Target</v>
      </c>
    </row>
    <row r="29" spans="1:10">
      <c r="A29" s="3">
        <v>45689</v>
      </c>
      <c r="B29" t="s">
        <v>68</v>
      </c>
      <c r="C29" t="s">
        <v>67</v>
      </c>
      <c r="D29" s="4">
        <v>2634</v>
      </c>
      <c r="E29" s="5">
        <v>12514</v>
      </c>
      <c r="F29" s="5">
        <v>4158</v>
      </c>
      <c r="G29" s="5">
        <f t="shared" si="0"/>
        <v>8356</v>
      </c>
      <c r="H29" s="5">
        <v>12276</v>
      </c>
      <c r="I29" s="5">
        <f t="shared" si="1"/>
        <v>238</v>
      </c>
      <c r="J29" t="str">
        <f t="shared" si="2"/>
        <v>Above Target</v>
      </c>
    </row>
    <row r="30" spans="1:10">
      <c r="A30" s="3">
        <v>45689</v>
      </c>
      <c r="B30" t="s">
        <v>69</v>
      </c>
      <c r="C30" t="s">
        <v>64</v>
      </c>
      <c r="D30" s="4">
        <v>2143</v>
      </c>
      <c r="E30" s="5">
        <v>16076</v>
      </c>
      <c r="F30" s="5">
        <v>7686</v>
      </c>
      <c r="G30" s="5">
        <f t="shared" si="0"/>
        <v>8390</v>
      </c>
      <c r="H30" s="5">
        <v>15696</v>
      </c>
      <c r="I30" s="5">
        <f t="shared" si="1"/>
        <v>380</v>
      </c>
      <c r="J30" t="str">
        <f t="shared" si="2"/>
        <v>Above Target</v>
      </c>
    </row>
    <row r="31" spans="1:10">
      <c r="A31" s="3">
        <v>45689</v>
      </c>
      <c r="B31" t="s">
        <v>69</v>
      </c>
      <c r="C31" t="s">
        <v>65</v>
      </c>
      <c r="D31" s="4">
        <v>2460</v>
      </c>
      <c r="E31" s="5">
        <v>12915</v>
      </c>
      <c r="F31" s="5">
        <v>5559</v>
      </c>
      <c r="G31" s="5">
        <f t="shared" si="0"/>
        <v>7356</v>
      </c>
      <c r="H31" s="5">
        <v>13211</v>
      </c>
      <c r="I31" s="5">
        <f t="shared" si="1"/>
        <v>-296</v>
      </c>
      <c r="J31" t="str">
        <f t="shared" si="2"/>
        <v>Below Target</v>
      </c>
    </row>
    <row r="32" spans="1:10">
      <c r="A32" s="3">
        <v>45689</v>
      </c>
      <c r="B32" t="s">
        <v>69</v>
      </c>
      <c r="C32" t="s">
        <v>66</v>
      </c>
      <c r="D32" s="4">
        <v>761</v>
      </c>
      <c r="E32" s="5">
        <v>18285</v>
      </c>
      <c r="F32" s="5">
        <v>9494</v>
      </c>
      <c r="G32" s="5">
        <f t="shared" si="0"/>
        <v>8791</v>
      </c>
      <c r="H32" s="5">
        <v>17757</v>
      </c>
      <c r="I32" s="5">
        <f t="shared" si="1"/>
        <v>528</v>
      </c>
      <c r="J32" t="str">
        <f t="shared" si="2"/>
        <v>Above Target</v>
      </c>
    </row>
    <row r="33" spans="1:10">
      <c r="A33" s="3">
        <v>45689</v>
      </c>
      <c r="B33" t="s">
        <v>69</v>
      </c>
      <c r="C33" t="s">
        <v>67</v>
      </c>
      <c r="D33" s="4">
        <v>2032</v>
      </c>
      <c r="E33" s="5">
        <v>9654</v>
      </c>
      <c r="F33" s="5">
        <v>3312</v>
      </c>
      <c r="G33" s="5">
        <f t="shared" si="0"/>
        <v>6342</v>
      </c>
      <c r="H33" s="5">
        <v>9883</v>
      </c>
      <c r="I33" s="5">
        <f t="shared" si="1"/>
        <v>-229</v>
      </c>
      <c r="J33" t="str">
        <f t="shared" si="2"/>
        <v>Below Target</v>
      </c>
    </row>
    <row r="34" spans="1:10">
      <c r="A34" s="3">
        <v>45689</v>
      </c>
      <c r="B34" t="s">
        <v>70</v>
      </c>
      <c r="C34" t="s">
        <v>64</v>
      </c>
      <c r="D34" s="4">
        <v>2470</v>
      </c>
      <c r="E34" s="5">
        <v>18530</v>
      </c>
      <c r="F34" s="5">
        <v>8722</v>
      </c>
      <c r="G34" s="5">
        <f t="shared" si="0"/>
        <v>9808</v>
      </c>
      <c r="H34" s="5">
        <v>18780</v>
      </c>
      <c r="I34" s="5">
        <f t="shared" si="1"/>
        <v>-250</v>
      </c>
      <c r="J34" t="str">
        <f t="shared" si="2"/>
        <v>Below Target</v>
      </c>
    </row>
    <row r="35" spans="1:10">
      <c r="A35" s="3">
        <v>45689</v>
      </c>
      <c r="B35" t="s">
        <v>70</v>
      </c>
      <c r="C35" t="s">
        <v>65</v>
      </c>
      <c r="D35" s="4">
        <v>2936</v>
      </c>
      <c r="E35" s="5">
        <v>15417</v>
      </c>
      <c r="F35" s="5">
        <v>6622</v>
      </c>
      <c r="G35" s="5">
        <f t="shared" si="0"/>
        <v>8795</v>
      </c>
      <c r="H35" s="5">
        <v>16305</v>
      </c>
      <c r="I35" s="5">
        <f t="shared" si="1"/>
        <v>-888</v>
      </c>
      <c r="J35" t="str">
        <f t="shared" si="2"/>
        <v>Below Target</v>
      </c>
    </row>
    <row r="36" spans="1:10">
      <c r="A36" s="3">
        <v>45689</v>
      </c>
      <c r="B36" t="s">
        <v>70</v>
      </c>
      <c r="C36" t="s">
        <v>66</v>
      </c>
      <c r="D36" s="4">
        <v>804</v>
      </c>
      <c r="E36" s="5">
        <v>19303</v>
      </c>
      <c r="F36" s="5">
        <v>9845</v>
      </c>
      <c r="G36" s="5">
        <f t="shared" si="0"/>
        <v>9458</v>
      </c>
      <c r="H36" s="5">
        <v>19069</v>
      </c>
      <c r="I36" s="5">
        <f t="shared" si="1"/>
        <v>234</v>
      </c>
      <c r="J36" t="str">
        <f t="shared" si="2"/>
        <v>Above Target</v>
      </c>
    </row>
    <row r="37" spans="1:10">
      <c r="A37" s="3">
        <v>45689</v>
      </c>
      <c r="B37" t="s">
        <v>70</v>
      </c>
      <c r="C37" t="s">
        <v>67</v>
      </c>
      <c r="D37" s="4">
        <v>2469</v>
      </c>
      <c r="E37" s="5">
        <v>11728</v>
      </c>
      <c r="F37" s="5">
        <v>4061</v>
      </c>
      <c r="G37" s="5">
        <f t="shared" si="0"/>
        <v>7667</v>
      </c>
      <c r="H37" s="5">
        <v>11726</v>
      </c>
      <c r="I37" s="5">
        <f t="shared" si="1"/>
        <v>2</v>
      </c>
      <c r="J37" t="str">
        <f t="shared" si="2"/>
        <v>Above Target</v>
      </c>
    </row>
    <row r="38" spans="1:10">
      <c r="A38" s="3">
        <v>45689</v>
      </c>
      <c r="B38" t="s">
        <v>71</v>
      </c>
      <c r="C38" t="s">
        <v>64</v>
      </c>
      <c r="D38" s="4">
        <v>2719</v>
      </c>
      <c r="E38" s="5">
        <v>20397</v>
      </c>
      <c r="F38" s="5">
        <v>9621</v>
      </c>
      <c r="G38" s="5">
        <f t="shared" si="0"/>
        <v>10776</v>
      </c>
      <c r="H38" s="5">
        <v>21340</v>
      </c>
      <c r="I38" s="5">
        <f t="shared" si="1"/>
        <v>-943</v>
      </c>
      <c r="J38" t="str">
        <f t="shared" si="2"/>
        <v>Below Target</v>
      </c>
    </row>
    <row r="39" spans="1:10">
      <c r="A39" s="3">
        <v>45689</v>
      </c>
      <c r="B39" t="s">
        <v>71</v>
      </c>
      <c r="C39" t="s">
        <v>65</v>
      </c>
      <c r="D39" s="4">
        <v>3293</v>
      </c>
      <c r="E39" s="5">
        <v>17292</v>
      </c>
      <c r="F39" s="5">
        <v>7364</v>
      </c>
      <c r="G39" s="5">
        <f t="shared" si="0"/>
        <v>9928</v>
      </c>
      <c r="H39" s="5">
        <v>17690</v>
      </c>
      <c r="I39" s="5">
        <f t="shared" si="1"/>
        <v>-398</v>
      </c>
      <c r="J39" t="str">
        <f t="shared" si="2"/>
        <v>Below Target</v>
      </c>
    </row>
    <row r="40" spans="1:10">
      <c r="A40" s="3">
        <v>45689</v>
      </c>
      <c r="B40" t="s">
        <v>71</v>
      </c>
      <c r="C40" t="s">
        <v>66</v>
      </c>
      <c r="D40" s="4">
        <v>850</v>
      </c>
      <c r="E40" s="5">
        <v>20422</v>
      </c>
      <c r="F40" s="5">
        <v>10324</v>
      </c>
      <c r="G40" s="5">
        <f t="shared" si="0"/>
        <v>10098</v>
      </c>
      <c r="H40" s="5">
        <v>19849</v>
      </c>
      <c r="I40" s="5">
        <f t="shared" si="1"/>
        <v>573</v>
      </c>
      <c r="J40" t="str">
        <f t="shared" si="2"/>
        <v>Above Target</v>
      </c>
    </row>
    <row r="41" spans="1:10">
      <c r="A41" s="3">
        <v>45689</v>
      </c>
      <c r="B41" t="s">
        <v>71</v>
      </c>
      <c r="C41" t="s">
        <v>67</v>
      </c>
      <c r="D41" s="4">
        <v>2738</v>
      </c>
      <c r="E41" s="5">
        <v>13007</v>
      </c>
      <c r="F41" s="5">
        <v>4506</v>
      </c>
      <c r="G41" s="5">
        <f t="shared" si="0"/>
        <v>8501</v>
      </c>
      <c r="H41" s="5">
        <v>13699</v>
      </c>
      <c r="I41" s="5">
        <f t="shared" si="1"/>
        <v>-692</v>
      </c>
      <c r="J41" t="str">
        <f t="shared" si="2"/>
        <v>Below Target</v>
      </c>
    </row>
    <row r="42" spans="1:10">
      <c r="A42" s="3">
        <v>45717</v>
      </c>
      <c r="B42" t="s">
        <v>63</v>
      </c>
      <c r="C42" t="s">
        <v>64</v>
      </c>
      <c r="D42" s="4">
        <v>3134</v>
      </c>
      <c r="E42" s="5">
        <v>23505</v>
      </c>
      <c r="F42" s="5">
        <v>11496</v>
      </c>
      <c r="G42" s="5">
        <f t="shared" si="0"/>
        <v>12009</v>
      </c>
      <c r="H42" s="5">
        <v>25026</v>
      </c>
      <c r="I42" s="5">
        <f t="shared" si="1"/>
        <v>-1521</v>
      </c>
      <c r="J42" t="str">
        <f t="shared" si="2"/>
        <v>Below Target</v>
      </c>
    </row>
    <row r="43" spans="1:10">
      <c r="A43" s="3">
        <v>45717</v>
      </c>
      <c r="B43" t="s">
        <v>63</v>
      </c>
      <c r="C43" t="s">
        <v>65</v>
      </c>
      <c r="D43" s="4">
        <v>3855</v>
      </c>
      <c r="E43" s="5">
        <v>20243</v>
      </c>
      <c r="F43" s="5">
        <v>8496</v>
      </c>
      <c r="G43" s="5">
        <f t="shared" si="0"/>
        <v>11747</v>
      </c>
      <c r="H43" s="5">
        <v>19776</v>
      </c>
      <c r="I43" s="5">
        <f t="shared" si="1"/>
        <v>467</v>
      </c>
      <c r="J43" t="str">
        <f t="shared" si="2"/>
        <v>Above Target</v>
      </c>
    </row>
    <row r="44" spans="1:10">
      <c r="A44" s="3">
        <v>45717</v>
      </c>
      <c r="B44" t="s">
        <v>63</v>
      </c>
      <c r="C44" t="s">
        <v>66</v>
      </c>
      <c r="D44" s="4">
        <v>1215</v>
      </c>
      <c r="E44" s="5">
        <v>29171</v>
      </c>
      <c r="F44" s="5">
        <v>15075</v>
      </c>
      <c r="G44" s="5">
        <f t="shared" si="0"/>
        <v>14096</v>
      </c>
      <c r="H44" s="5">
        <v>28670</v>
      </c>
      <c r="I44" s="5">
        <f t="shared" si="1"/>
        <v>501</v>
      </c>
      <c r="J44" t="str">
        <f t="shared" si="2"/>
        <v>Above Target</v>
      </c>
    </row>
    <row r="45" spans="1:10">
      <c r="A45" s="3">
        <v>45717</v>
      </c>
      <c r="B45" t="s">
        <v>63</v>
      </c>
      <c r="C45" t="s">
        <v>67</v>
      </c>
      <c r="D45" s="4">
        <v>3220</v>
      </c>
      <c r="E45" s="5">
        <v>15296</v>
      </c>
      <c r="F45" s="5">
        <v>5214</v>
      </c>
      <c r="G45" s="5">
        <f t="shared" si="0"/>
        <v>10082</v>
      </c>
      <c r="H45" s="5">
        <v>15243</v>
      </c>
      <c r="I45" s="5">
        <f t="shared" si="1"/>
        <v>53</v>
      </c>
      <c r="J45" t="str">
        <f t="shared" si="2"/>
        <v>Above Target</v>
      </c>
    </row>
    <row r="46" spans="1:10">
      <c r="A46" s="3">
        <v>45717</v>
      </c>
      <c r="B46" t="s">
        <v>68</v>
      </c>
      <c r="C46" t="s">
        <v>64</v>
      </c>
      <c r="D46" s="4">
        <v>3251</v>
      </c>
      <c r="E46" s="5">
        <v>24385</v>
      </c>
      <c r="F46" s="5">
        <v>11536</v>
      </c>
      <c r="G46" s="5">
        <f t="shared" si="0"/>
        <v>12849</v>
      </c>
      <c r="H46" s="5">
        <v>24969</v>
      </c>
      <c r="I46" s="5">
        <f t="shared" si="1"/>
        <v>-584</v>
      </c>
      <c r="J46" t="str">
        <f t="shared" si="2"/>
        <v>Below Target</v>
      </c>
    </row>
    <row r="47" spans="1:10">
      <c r="A47" s="3">
        <v>45717</v>
      </c>
      <c r="B47" t="s">
        <v>68</v>
      </c>
      <c r="C47" t="s">
        <v>65</v>
      </c>
      <c r="D47" s="4">
        <v>4179</v>
      </c>
      <c r="E47" s="5">
        <v>21940</v>
      </c>
      <c r="F47" s="5">
        <v>9077</v>
      </c>
      <c r="G47" s="5">
        <f t="shared" si="0"/>
        <v>12863</v>
      </c>
      <c r="H47" s="5">
        <v>21966</v>
      </c>
      <c r="I47" s="5">
        <f t="shared" si="1"/>
        <v>-26</v>
      </c>
      <c r="J47" t="str">
        <f t="shared" si="2"/>
        <v>Below Target</v>
      </c>
    </row>
    <row r="48" spans="1:10">
      <c r="A48" s="3">
        <v>45717</v>
      </c>
      <c r="B48" t="s">
        <v>68</v>
      </c>
      <c r="C48" t="s">
        <v>66</v>
      </c>
      <c r="D48" s="4">
        <v>1229</v>
      </c>
      <c r="E48" s="5">
        <v>29499</v>
      </c>
      <c r="F48" s="5">
        <v>15157</v>
      </c>
      <c r="G48" s="5">
        <f t="shared" si="0"/>
        <v>14342</v>
      </c>
      <c r="H48" s="5">
        <v>29906</v>
      </c>
      <c r="I48" s="5">
        <f t="shared" si="1"/>
        <v>-407</v>
      </c>
      <c r="J48" t="str">
        <f t="shared" si="2"/>
        <v>Below Target</v>
      </c>
    </row>
    <row r="49" spans="1:10">
      <c r="A49" s="3">
        <v>45717</v>
      </c>
      <c r="B49" t="s">
        <v>68</v>
      </c>
      <c r="C49" t="s">
        <v>67</v>
      </c>
      <c r="D49" s="4">
        <v>3164</v>
      </c>
      <c r="E49" s="5">
        <v>15032</v>
      </c>
      <c r="F49" s="5">
        <v>5014</v>
      </c>
      <c r="G49" s="5">
        <f t="shared" si="0"/>
        <v>10018</v>
      </c>
      <c r="H49" s="5">
        <v>14919</v>
      </c>
      <c r="I49" s="5">
        <f t="shared" si="1"/>
        <v>113</v>
      </c>
      <c r="J49" t="str">
        <f t="shared" si="2"/>
        <v>Above Target</v>
      </c>
    </row>
    <row r="50" spans="1:10">
      <c r="A50" s="3">
        <v>45717</v>
      </c>
      <c r="B50" t="s">
        <v>69</v>
      </c>
      <c r="C50" t="s">
        <v>64</v>
      </c>
      <c r="D50" s="4">
        <v>2089</v>
      </c>
      <c r="E50" s="5">
        <v>15672</v>
      </c>
      <c r="F50" s="5">
        <v>7421</v>
      </c>
      <c r="G50" s="5">
        <f t="shared" si="0"/>
        <v>8251</v>
      </c>
      <c r="H50" s="5">
        <v>15547</v>
      </c>
      <c r="I50" s="5">
        <f t="shared" si="1"/>
        <v>125</v>
      </c>
      <c r="J50" t="str">
        <f t="shared" si="2"/>
        <v>Above Target</v>
      </c>
    </row>
    <row r="51" spans="1:10">
      <c r="A51" s="3">
        <v>45717</v>
      </c>
      <c r="B51" t="s">
        <v>69</v>
      </c>
      <c r="C51" t="s">
        <v>65</v>
      </c>
      <c r="D51" s="4">
        <v>2349</v>
      </c>
      <c r="E51" s="5">
        <v>12337</v>
      </c>
      <c r="F51" s="5">
        <v>5216</v>
      </c>
      <c r="G51" s="5">
        <f t="shared" si="0"/>
        <v>7121</v>
      </c>
      <c r="H51" s="5">
        <v>12249</v>
      </c>
      <c r="I51" s="5">
        <f t="shared" si="1"/>
        <v>88</v>
      </c>
      <c r="J51" t="str">
        <f t="shared" si="2"/>
        <v>Above Target</v>
      </c>
    </row>
    <row r="52" spans="1:10">
      <c r="A52" s="3">
        <v>45717</v>
      </c>
      <c r="B52" t="s">
        <v>69</v>
      </c>
      <c r="C52" t="s">
        <v>66</v>
      </c>
      <c r="D52" s="4">
        <v>759</v>
      </c>
      <c r="E52" s="5">
        <v>18219</v>
      </c>
      <c r="F52" s="5">
        <v>9459</v>
      </c>
      <c r="G52" s="5">
        <f t="shared" si="0"/>
        <v>8760</v>
      </c>
      <c r="H52" s="5">
        <v>17802</v>
      </c>
      <c r="I52" s="5">
        <f t="shared" si="1"/>
        <v>417</v>
      </c>
      <c r="J52" t="str">
        <f t="shared" si="2"/>
        <v>Above Target</v>
      </c>
    </row>
    <row r="53" spans="1:10">
      <c r="A53" s="3">
        <v>45717</v>
      </c>
      <c r="B53" t="s">
        <v>69</v>
      </c>
      <c r="C53" t="s">
        <v>67</v>
      </c>
      <c r="D53" s="4">
        <v>1892</v>
      </c>
      <c r="E53" s="5">
        <v>8989</v>
      </c>
      <c r="F53" s="5">
        <v>3082</v>
      </c>
      <c r="G53" s="5">
        <f t="shared" si="0"/>
        <v>5907</v>
      </c>
      <c r="H53" s="5">
        <v>8912</v>
      </c>
      <c r="I53" s="5">
        <f t="shared" si="1"/>
        <v>77</v>
      </c>
      <c r="J53" t="str">
        <f t="shared" si="2"/>
        <v>Above Target</v>
      </c>
    </row>
    <row r="54" spans="1:10">
      <c r="A54" s="3">
        <v>45717</v>
      </c>
      <c r="B54" t="s">
        <v>70</v>
      </c>
      <c r="C54" t="s">
        <v>64</v>
      </c>
      <c r="D54" s="4">
        <v>2647</v>
      </c>
      <c r="E54" s="5">
        <v>19858</v>
      </c>
      <c r="F54" s="5">
        <v>9566</v>
      </c>
      <c r="G54" s="5">
        <f t="shared" si="0"/>
        <v>10292</v>
      </c>
      <c r="H54" s="5">
        <v>20201</v>
      </c>
      <c r="I54" s="5">
        <f t="shared" si="1"/>
        <v>-343</v>
      </c>
      <c r="J54" t="str">
        <f t="shared" si="2"/>
        <v>Below Target</v>
      </c>
    </row>
    <row r="55" spans="1:10">
      <c r="A55" s="3">
        <v>45717</v>
      </c>
      <c r="B55" t="s">
        <v>70</v>
      </c>
      <c r="C55" t="s">
        <v>65</v>
      </c>
      <c r="D55" s="4">
        <v>3168</v>
      </c>
      <c r="E55" s="5">
        <v>16637</v>
      </c>
      <c r="F55" s="5">
        <v>7095</v>
      </c>
      <c r="G55" s="5">
        <f t="shared" si="0"/>
        <v>9542</v>
      </c>
      <c r="H55" s="5">
        <v>16455</v>
      </c>
      <c r="I55" s="5">
        <f t="shared" si="1"/>
        <v>182</v>
      </c>
      <c r="J55" t="str">
        <f t="shared" si="2"/>
        <v>Above Target</v>
      </c>
    </row>
    <row r="56" spans="1:10">
      <c r="A56" s="3">
        <v>45717</v>
      </c>
      <c r="B56" t="s">
        <v>70</v>
      </c>
      <c r="C56" t="s">
        <v>66</v>
      </c>
      <c r="D56" s="4">
        <v>801</v>
      </c>
      <c r="E56" s="5">
        <v>19228</v>
      </c>
      <c r="F56" s="5">
        <v>9772</v>
      </c>
      <c r="G56" s="5">
        <f t="shared" si="0"/>
        <v>9456</v>
      </c>
      <c r="H56" s="5">
        <v>19466</v>
      </c>
      <c r="I56" s="5">
        <f t="shared" si="1"/>
        <v>-238</v>
      </c>
      <c r="J56" t="str">
        <f t="shared" si="2"/>
        <v>Below Target</v>
      </c>
    </row>
    <row r="57" spans="1:10">
      <c r="A57" s="3">
        <v>45717</v>
      </c>
      <c r="B57" t="s">
        <v>70</v>
      </c>
      <c r="C57" t="s">
        <v>67</v>
      </c>
      <c r="D57" s="4">
        <v>2360</v>
      </c>
      <c r="E57" s="5">
        <v>11212</v>
      </c>
      <c r="F57" s="5">
        <v>3856</v>
      </c>
      <c r="G57" s="5">
        <f t="shared" si="0"/>
        <v>7356</v>
      </c>
      <c r="H57" s="5">
        <v>11631</v>
      </c>
      <c r="I57" s="5">
        <f t="shared" si="1"/>
        <v>-419</v>
      </c>
      <c r="J57" t="str">
        <f t="shared" si="2"/>
        <v>Below Target</v>
      </c>
    </row>
    <row r="58" spans="1:10">
      <c r="A58" s="3">
        <v>45717</v>
      </c>
      <c r="B58" t="s">
        <v>71</v>
      </c>
      <c r="C58" t="s">
        <v>64</v>
      </c>
      <c r="D58" s="4">
        <v>2711</v>
      </c>
      <c r="E58" s="5">
        <v>20334</v>
      </c>
      <c r="F58" s="5">
        <v>9713</v>
      </c>
      <c r="G58" s="5">
        <f t="shared" si="0"/>
        <v>10621</v>
      </c>
      <c r="H58" s="5">
        <v>20414</v>
      </c>
      <c r="I58" s="5">
        <f t="shared" si="1"/>
        <v>-80</v>
      </c>
      <c r="J58" t="str">
        <f t="shared" si="2"/>
        <v>Below Target</v>
      </c>
    </row>
    <row r="59" spans="1:10">
      <c r="A59" s="3">
        <v>45717</v>
      </c>
      <c r="B59" t="s">
        <v>71</v>
      </c>
      <c r="C59" t="s">
        <v>65</v>
      </c>
      <c r="D59" s="4">
        <v>3752</v>
      </c>
      <c r="E59" s="5">
        <v>19703</v>
      </c>
      <c r="F59" s="5">
        <v>8171</v>
      </c>
      <c r="G59" s="5">
        <f t="shared" si="0"/>
        <v>11532</v>
      </c>
      <c r="H59" s="5">
        <v>19487</v>
      </c>
      <c r="I59" s="5">
        <f t="shared" si="1"/>
        <v>216</v>
      </c>
      <c r="J59" t="str">
        <f t="shared" si="2"/>
        <v>Above Target</v>
      </c>
    </row>
    <row r="60" spans="1:10">
      <c r="A60" s="3">
        <v>45717</v>
      </c>
      <c r="B60" t="s">
        <v>71</v>
      </c>
      <c r="C60" t="s">
        <v>66</v>
      </c>
      <c r="D60" s="4">
        <v>994</v>
      </c>
      <c r="E60" s="5">
        <v>23860</v>
      </c>
      <c r="F60" s="5">
        <v>12121</v>
      </c>
      <c r="G60" s="5">
        <f t="shared" si="0"/>
        <v>11739</v>
      </c>
      <c r="H60" s="5">
        <v>23809</v>
      </c>
      <c r="I60" s="5">
        <f t="shared" si="1"/>
        <v>51</v>
      </c>
      <c r="J60" t="str">
        <f t="shared" si="2"/>
        <v>Above Target</v>
      </c>
    </row>
    <row r="61" spans="1:10">
      <c r="A61" s="3">
        <v>45717</v>
      </c>
      <c r="B61" t="s">
        <v>71</v>
      </c>
      <c r="C61" t="s">
        <v>67</v>
      </c>
      <c r="D61" s="4">
        <v>2666</v>
      </c>
      <c r="E61" s="5">
        <v>12665</v>
      </c>
      <c r="F61" s="5">
        <v>4397</v>
      </c>
      <c r="G61" s="5">
        <f t="shared" si="0"/>
        <v>8268</v>
      </c>
      <c r="H61" s="5">
        <v>12846</v>
      </c>
      <c r="I61" s="5">
        <f t="shared" si="1"/>
        <v>-181</v>
      </c>
      <c r="J61" t="str">
        <f t="shared" si="2"/>
        <v>Below Target</v>
      </c>
    </row>
    <row r="62" spans="1:10">
      <c r="A62" s="3">
        <v>45748</v>
      </c>
      <c r="B62" t="s">
        <v>63</v>
      </c>
      <c r="C62" t="s">
        <v>64</v>
      </c>
      <c r="D62" s="4">
        <v>3629</v>
      </c>
      <c r="E62" s="5">
        <v>27223</v>
      </c>
      <c r="F62" s="5">
        <v>12773</v>
      </c>
      <c r="G62" s="5">
        <f t="shared" si="0"/>
        <v>14450</v>
      </c>
      <c r="H62" s="5">
        <v>29127</v>
      </c>
      <c r="I62" s="5">
        <f t="shared" si="1"/>
        <v>-1904</v>
      </c>
      <c r="J62" t="str">
        <f t="shared" si="2"/>
        <v>Below Target</v>
      </c>
    </row>
    <row r="63" spans="1:10">
      <c r="A63" s="3">
        <v>45748</v>
      </c>
      <c r="B63" t="s">
        <v>63</v>
      </c>
      <c r="C63" t="s">
        <v>65</v>
      </c>
      <c r="D63" s="4">
        <v>4646</v>
      </c>
      <c r="E63" s="5">
        <v>24392</v>
      </c>
      <c r="F63" s="5">
        <v>10485</v>
      </c>
      <c r="G63" s="5">
        <f t="shared" si="0"/>
        <v>13907</v>
      </c>
      <c r="H63" s="5">
        <v>25920</v>
      </c>
      <c r="I63" s="5">
        <f t="shared" si="1"/>
        <v>-1528</v>
      </c>
      <c r="J63" t="str">
        <f t="shared" si="2"/>
        <v>Below Target</v>
      </c>
    </row>
    <row r="64" spans="1:10">
      <c r="A64" s="3">
        <v>45748</v>
      </c>
      <c r="B64" t="s">
        <v>63</v>
      </c>
      <c r="C64" t="s">
        <v>66</v>
      </c>
      <c r="D64" s="4">
        <v>1315</v>
      </c>
      <c r="E64" s="5">
        <v>31567</v>
      </c>
      <c r="F64" s="5">
        <v>15831</v>
      </c>
      <c r="G64" s="5">
        <f t="shared" si="0"/>
        <v>15736</v>
      </c>
      <c r="H64" s="5">
        <v>32153</v>
      </c>
      <c r="I64" s="5">
        <f t="shared" si="1"/>
        <v>-586</v>
      </c>
      <c r="J64" t="str">
        <f t="shared" si="2"/>
        <v>Below Target</v>
      </c>
    </row>
    <row r="65" spans="1:10">
      <c r="A65" s="3">
        <v>45748</v>
      </c>
      <c r="B65" t="s">
        <v>63</v>
      </c>
      <c r="C65" t="s">
        <v>67</v>
      </c>
      <c r="D65" s="4">
        <v>3293</v>
      </c>
      <c r="E65" s="5">
        <v>15645</v>
      </c>
      <c r="F65" s="5">
        <v>5293</v>
      </c>
      <c r="G65" s="5">
        <f t="shared" si="0"/>
        <v>10352</v>
      </c>
      <c r="H65" s="5">
        <v>15267</v>
      </c>
      <c r="I65" s="5">
        <f t="shared" si="1"/>
        <v>378</v>
      </c>
      <c r="J65" t="str">
        <f t="shared" si="2"/>
        <v>Above Target</v>
      </c>
    </row>
    <row r="66" spans="1:10">
      <c r="A66" s="3">
        <v>45748</v>
      </c>
      <c r="B66" t="s">
        <v>68</v>
      </c>
      <c r="C66" t="s">
        <v>64</v>
      </c>
      <c r="D66" s="4">
        <v>3347</v>
      </c>
      <c r="E66" s="5">
        <v>25105</v>
      </c>
      <c r="F66" s="5">
        <v>11909</v>
      </c>
      <c r="G66" s="5">
        <f t="shared" ref="G66:G129" si="3">E66-F66</f>
        <v>13196</v>
      </c>
      <c r="H66" s="5">
        <v>26320</v>
      </c>
      <c r="I66" s="5">
        <f t="shared" ref="I66:I129" si="4">E66-H66</f>
        <v>-1215</v>
      </c>
      <c r="J66" t="str">
        <f t="shared" ref="J66:J129" si="5">IF(I66&gt;=0,"Above Target","Below Target")</f>
        <v>Below Target</v>
      </c>
    </row>
    <row r="67" spans="1:10">
      <c r="A67" s="3">
        <v>45748</v>
      </c>
      <c r="B67" t="s">
        <v>68</v>
      </c>
      <c r="C67" t="s">
        <v>65</v>
      </c>
      <c r="D67" s="4">
        <v>3776</v>
      </c>
      <c r="E67" s="5">
        <v>19824</v>
      </c>
      <c r="F67" s="5">
        <v>8294</v>
      </c>
      <c r="G67" s="5">
        <f t="shared" si="3"/>
        <v>11530</v>
      </c>
      <c r="H67" s="5">
        <v>21127</v>
      </c>
      <c r="I67" s="5">
        <f t="shared" si="4"/>
        <v>-1303</v>
      </c>
      <c r="J67" t="str">
        <f t="shared" si="5"/>
        <v>Below Target</v>
      </c>
    </row>
    <row r="68" spans="1:10">
      <c r="A68" s="3">
        <v>45748</v>
      </c>
      <c r="B68" t="s">
        <v>68</v>
      </c>
      <c r="C68" t="s">
        <v>66</v>
      </c>
      <c r="D68" s="4">
        <v>1159</v>
      </c>
      <c r="E68" s="5">
        <v>27836</v>
      </c>
      <c r="F68" s="5">
        <v>14236</v>
      </c>
      <c r="G68" s="5">
        <f t="shared" si="3"/>
        <v>13600</v>
      </c>
      <c r="H68" s="5">
        <v>29001</v>
      </c>
      <c r="I68" s="5">
        <f t="shared" si="4"/>
        <v>-1165</v>
      </c>
      <c r="J68" t="str">
        <f t="shared" si="5"/>
        <v>Below Target</v>
      </c>
    </row>
    <row r="69" spans="1:10">
      <c r="A69" s="3">
        <v>45748</v>
      </c>
      <c r="B69" t="s">
        <v>68</v>
      </c>
      <c r="C69" t="s">
        <v>67</v>
      </c>
      <c r="D69" s="4">
        <v>2813</v>
      </c>
      <c r="E69" s="5">
        <v>13363</v>
      </c>
      <c r="F69" s="5">
        <v>4497</v>
      </c>
      <c r="G69" s="5">
        <f t="shared" si="3"/>
        <v>8866</v>
      </c>
      <c r="H69" s="5">
        <v>14257</v>
      </c>
      <c r="I69" s="5">
        <f t="shared" si="4"/>
        <v>-894</v>
      </c>
      <c r="J69" t="str">
        <f t="shared" si="5"/>
        <v>Below Target</v>
      </c>
    </row>
    <row r="70" spans="1:10">
      <c r="A70" s="3">
        <v>45748</v>
      </c>
      <c r="B70" t="s">
        <v>69</v>
      </c>
      <c r="C70" t="s">
        <v>64</v>
      </c>
      <c r="D70" s="4">
        <v>2135</v>
      </c>
      <c r="E70" s="5">
        <v>16015</v>
      </c>
      <c r="F70" s="5">
        <v>7783</v>
      </c>
      <c r="G70" s="5">
        <f t="shared" si="3"/>
        <v>8232</v>
      </c>
      <c r="H70" s="5">
        <v>15626</v>
      </c>
      <c r="I70" s="5">
        <f t="shared" si="4"/>
        <v>389</v>
      </c>
      <c r="J70" t="str">
        <f t="shared" si="5"/>
        <v>Above Target</v>
      </c>
    </row>
    <row r="71" spans="1:10">
      <c r="A71" s="3">
        <v>45748</v>
      </c>
      <c r="B71" t="s">
        <v>69</v>
      </c>
      <c r="C71" t="s">
        <v>65</v>
      </c>
      <c r="D71" s="4">
        <v>2632</v>
      </c>
      <c r="E71" s="5">
        <v>13819</v>
      </c>
      <c r="F71" s="5">
        <v>5805</v>
      </c>
      <c r="G71" s="5">
        <f t="shared" si="3"/>
        <v>8014</v>
      </c>
      <c r="H71" s="5">
        <v>14583</v>
      </c>
      <c r="I71" s="5">
        <f t="shared" si="4"/>
        <v>-764</v>
      </c>
      <c r="J71" t="str">
        <f t="shared" si="5"/>
        <v>Below Target</v>
      </c>
    </row>
    <row r="72" spans="1:10">
      <c r="A72" s="3">
        <v>45748</v>
      </c>
      <c r="B72" t="s">
        <v>69</v>
      </c>
      <c r="C72" t="s">
        <v>66</v>
      </c>
      <c r="D72" s="4">
        <v>693</v>
      </c>
      <c r="E72" s="5">
        <v>16646</v>
      </c>
      <c r="F72" s="5">
        <v>8685</v>
      </c>
      <c r="G72" s="5">
        <f t="shared" si="3"/>
        <v>7961</v>
      </c>
      <c r="H72" s="5">
        <v>16280</v>
      </c>
      <c r="I72" s="5">
        <f t="shared" si="4"/>
        <v>366</v>
      </c>
      <c r="J72" t="str">
        <f t="shared" si="5"/>
        <v>Above Target</v>
      </c>
    </row>
    <row r="73" spans="1:10">
      <c r="A73" s="3">
        <v>45748</v>
      </c>
      <c r="B73" t="s">
        <v>69</v>
      </c>
      <c r="C73" t="s">
        <v>67</v>
      </c>
      <c r="D73" s="4">
        <v>1931</v>
      </c>
      <c r="E73" s="5">
        <v>9173</v>
      </c>
      <c r="F73" s="5">
        <v>3134</v>
      </c>
      <c r="G73" s="5">
        <f t="shared" si="3"/>
        <v>6039</v>
      </c>
      <c r="H73" s="5">
        <v>9517</v>
      </c>
      <c r="I73" s="5">
        <f t="shared" si="4"/>
        <v>-344</v>
      </c>
      <c r="J73" t="str">
        <f t="shared" si="5"/>
        <v>Below Target</v>
      </c>
    </row>
    <row r="74" spans="1:10">
      <c r="A74" s="3">
        <v>45748</v>
      </c>
      <c r="B74" t="s">
        <v>70</v>
      </c>
      <c r="C74" t="s">
        <v>64</v>
      </c>
      <c r="D74" s="4">
        <v>2354</v>
      </c>
      <c r="E74" s="5">
        <v>17659</v>
      </c>
      <c r="F74" s="5">
        <v>8642</v>
      </c>
      <c r="G74" s="5">
        <f t="shared" si="3"/>
        <v>9017</v>
      </c>
      <c r="H74" s="5">
        <v>17564</v>
      </c>
      <c r="I74" s="5">
        <f t="shared" si="4"/>
        <v>95</v>
      </c>
      <c r="J74" t="str">
        <f t="shared" si="5"/>
        <v>Above Target</v>
      </c>
    </row>
    <row r="75" spans="1:10">
      <c r="A75" s="3">
        <v>45748</v>
      </c>
      <c r="B75" t="s">
        <v>70</v>
      </c>
      <c r="C75" t="s">
        <v>65</v>
      </c>
      <c r="D75" s="4">
        <v>3116</v>
      </c>
      <c r="E75" s="5">
        <v>16360</v>
      </c>
      <c r="F75" s="5">
        <v>6912</v>
      </c>
      <c r="G75" s="5">
        <f t="shared" si="3"/>
        <v>9448</v>
      </c>
      <c r="H75" s="5">
        <v>16555</v>
      </c>
      <c r="I75" s="5">
        <f t="shared" si="4"/>
        <v>-195</v>
      </c>
      <c r="J75" t="str">
        <f t="shared" si="5"/>
        <v>Below Target</v>
      </c>
    </row>
    <row r="76" spans="1:10">
      <c r="A76" s="3">
        <v>45748</v>
      </c>
      <c r="B76" t="s">
        <v>70</v>
      </c>
      <c r="C76" t="s">
        <v>66</v>
      </c>
      <c r="D76" s="4">
        <v>879</v>
      </c>
      <c r="E76" s="5">
        <v>21096</v>
      </c>
      <c r="F76" s="5">
        <v>10771</v>
      </c>
      <c r="G76" s="5">
        <f t="shared" si="3"/>
        <v>10325</v>
      </c>
      <c r="H76" s="5">
        <v>22435</v>
      </c>
      <c r="I76" s="5">
        <f t="shared" si="4"/>
        <v>-1339</v>
      </c>
      <c r="J76" t="str">
        <f t="shared" si="5"/>
        <v>Below Target</v>
      </c>
    </row>
    <row r="77" spans="1:10">
      <c r="A77" s="3">
        <v>45748</v>
      </c>
      <c r="B77" t="s">
        <v>70</v>
      </c>
      <c r="C77" t="s">
        <v>67</v>
      </c>
      <c r="D77" s="4">
        <v>2289</v>
      </c>
      <c r="E77" s="5">
        <v>10876</v>
      </c>
      <c r="F77" s="5">
        <v>3738</v>
      </c>
      <c r="G77" s="5">
        <f t="shared" si="3"/>
        <v>7138</v>
      </c>
      <c r="H77" s="5">
        <v>10809</v>
      </c>
      <c r="I77" s="5">
        <f t="shared" si="4"/>
        <v>67</v>
      </c>
      <c r="J77" t="str">
        <f t="shared" si="5"/>
        <v>Above Target</v>
      </c>
    </row>
    <row r="78" spans="1:10">
      <c r="A78" s="3">
        <v>45748</v>
      </c>
      <c r="B78" t="s">
        <v>71</v>
      </c>
      <c r="C78" t="s">
        <v>64</v>
      </c>
      <c r="D78" s="4">
        <v>2779</v>
      </c>
      <c r="E78" s="5">
        <v>20844</v>
      </c>
      <c r="F78" s="5">
        <v>9905</v>
      </c>
      <c r="G78" s="5">
        <f t="shared" si="3"/>
        <v>10939</v>
      </c>
      <c r="H78" s="5">
        <v>20878</v>
      </c>
      <c r="I78" s="5">
        <f t="shared" si="4"/>
        <v>-34</v>
      </c>
      <c r="J78" t="str">
        <f t="shared" si="5"/>
        <v>Below Target</v>
      </c>
    </row>
    <row r="79" spans="1:10">
      <c r="A79" s="3">
        <v>45748</v>
      </c>
      <c r="B79" t="s">
        <v>71</v>
      </c>
      <c r="C79" t="s">
        <v>65</v>
      </c>
      <c r="D79" s="4">
        <v>3445</v>
      </c>
      <c r="E79" s="5">
        <v>18089</v>
      </c>
      <c r="F79" s="5">
        <v>7435</v>
      </c>
      <c r="G79" s="5">
        <f t="shared" si="3"/>
        <v>10654</v>
      </c>
      <c r="H79" s="5">
        <v>18375</v>
      </c>
      <c r="I79" s="5">
        <f t="shared" si="4"/>
        <v>-286</v>
      </c>
      <c r="J79" t="str">
        <f t="shared" si="5"/>
        <v>Below Target</v>
      </c>
    </row>
    <row r="80" spans="1:10">
      <c r="A80" s="3">
        <v>45748</v>
      </c>
      <c r="B80" t="s">
        <v>71</v>
      </c>
      <c r="C80" t="s">
        <v>66</v>
      </c>
      <c r="D80" s="4">
        <v>1010</v>
      </c>
      <c r="E80" s="5">
        <v>24251</v>
      </c>
      <c r="F80" s="5">
        <v>12675</v>
      </c>
      <c r="G80" s="5">
        <f t="shared" si="3"/>
        <v>11576</v>
      </c>
      <c r="H80" s="5">
        <v>23701</v>
      </c>
      <c r="I80" s="5">
        <f t="shared" si="4"/>
        <v>550</v>
      </c>
      <c r="J80" t="str">
        <f t="shared" si="5"/>
        <v>Above Target</v>
      </c>
    </row>
    <row r="81" spans="1:10">
      <c r="A81" s="3">
        <v>45748</v>
      </c>
      <c r="B81" t="s">
        <v>71</v>
      </c>
      <c r="C81" t="s">
        <v>67</v>
      </c>
      <c r="D81" s="4">
        <v>2474</v>
      </c>
      <c r="E81" s="5">
        <v>11752</v>
      </c>
      <c r="F81" s="5">
        <v>3949</v>
      </c>
      <c r="G81" s="5">
        <f t="shared" si="3"/>
        <v>7803</v>
      </c>
      <c r="H81" s="5">
        <v>12496</v>
      </c>
      <c r="I81" s="5">
        <f t="shared" si="4"/>
        <v>-744</v>
      </c>
      <c r="J81" t="str">
        <f t="shared" si="5"/>
        <v>Below Target</v>
      </c>
    </row>
    <row r="82" spans="1:10">
      <c r="A82" s="3">
        <v>45778</v>
      </c>
      <c r="B82" t="s">
        <v>63</v>
      </c>
      <c r="C82" t="s">
        <v>64</v>
      </c>
      <c r="D82" s="4">
        <v>4134</v>
      </c>
      <c r="E82" s="5">
        <v>31005</v>
      </c>
      <c r="F82" s="5">
        <v>14785</v>
      </c>
      <c r="G82" s="5">
        <f t="shared" si="3"/>
        <v>16220</v>
      </c>
      <c r="H82" s="5">
        <v>30564</v>
      </c>
      <c r="I82" s="5">
        <f t="shared" si="4"/>
        <v>441</v>
      </c>
      <c r="J82" t="str">
        <f t="shared" si="5"/>
        <v>Above Target</v>
      </c>
    </row>
    <row r="83" spans="1:10">
      <c r="A83" s="3">
        <v>45778</v>
      </c>
      <c r="B83" t="s">
        <v>63</v>
      </c>
      <c r="C83" t="s">
        <v>65</v>
      </c>
      <c r="D83" s="4">
        <v>5027</v>
      </c>
      <c r="E83" s="5">
        <v>26393</v>
      </c>
      <c r="F83" s="5">
        <v>11198</v>
      </c>
      <c r="G83" s="5">
        <f t="shared" si="3"/>
        <v>15195</v>
      </c>
      <c r="H83" s="5">
        <v>27216</v>
      </c>
      <c r="I83" s="5">
        <f t="shared" si="4"/>
        <v>-823</v>
      </c>
      <c r="J83" t="str">
        <f t="shared" si="5"/>
        <v>Below Target</v>
      </c>
    </row>
    <row r="84" spans="1:10">
      <c r="A84" s="3">
        <v>45778</v>
      </c>
      <c r="B84" t="s">
        <v>63</v>
      </c>
      <c r="C84" t="s">
        <v>66</v>
      </c>
      <c r="D84" s="4">
        <v>1453</v>
      </c>
      <c r="E84" s="5">
        <v>34886</v>
      </c>
      <c r="F84" s="5">
        <v>17929</v>
      </c>
      <c r="G84" s="5">
        <f t="shared" si="3"/>
        <v>16957</v>
      </c>
      <c r="H84" s="5">
        <v>33867</v>
      </c>
      <c r="I84" s="5">
        <f t="shared" si="4"/>
        <v>1019</v>
      </c>
      <c r="J84" t="str">
        <f t="shared" si="5"/>
        <v>Above Target</v>
      </c>
    </row>
    <row r="85" spans="1:10">
      <c r="A85" s="3">
        <v>45778</v>
      </c>
      <c r="B85" t="s">
        <v>63</v>
      </c>
      <c r="C85" t="s">
        <v>67</v>
      </c>
      <c r="D85" s="4">
        <v>3925</v>
      </c>
      <c r="E85" s="5">
        <v>18648</v>
      </c>
      <c r="F85" s="5">
        <v>6277</v>
      </c>
      <c r="G85" s="5">
        <f t="shared" si="3"/>
        <v>12371</v>
      </c>
      <c r="H85" s="5">
        <v>19326</v>
      </c>
      <c r="I85" s="5">
        <f t="shared" si="4"/>
        <v>-678</v>
      </c>
      <c r="J85" t="str">
        <f t="shared" si="5"/>
        <v>Below Target</v>
      </c>
    </row>
    <row r="86" spans="1:10">
      <c r="A86" s="3">
        <v>45778</v>
      </c>
      <c r="B86" t="s">
        <v>68</v>
      </c>
      <c r="C86" t="s">
        <v>64</v>
      </c>
      <c r="D86" s="4">
        <v>3372</v>
      </c>
      <c r="E86" s="5">
        <v>25294</v>
      </c>
      <c r="F86" s="5">
        <v>11908</v>
      </c>
      <c r="G86" s="5">
        <f t="shared" si="3"/>
        <v>13386</v>
      </c>
      <c r="H86" s="5">
        <v>24806</v>
      </c>
      <c r="I86" s="5">
        <f t="shared" si="4"/>
        <v>488</v>
      </c>
      <c r="J86" t="str">
        <f t="shared" si="5"/>
        <v>Above Target</v>
      </c>
    </row>
    <row r="87" spans="1:10">
      <c r="A87" s="3">
        <v>45778</v>
      </c>
      <c r="B87" t="s">
        <v>68</v>
      </c>
      <c r="C87" t="s">
        <v>65</v>
      </c>
      <c r="D87" s="4">
        <v>4423</v>
      </c>
      <c r="E87" s="5">
        <v>23225</v>
      </c>
      <c r="F87" s="5">
        <v>9643</v>
      </c>
      <c r="G87" s="5">
        <f t="shared" si="3"/>
        <v>13582</v>
      </c>
      <c r="H87" s="5">
        <v>23933</v>
      </c>
      <c r="I87" s="5">
        <f t="shared" si="4"/>
        <v>-708</v>
      </c>
      <c r="J87" t="str">
        <f t="shared" si="5"/>
        <v>Below Target</v>
      </c>
    </row>
    <row r="88" spans="1:10">
      <c r="A88" s="3">
        <v>45778</v>
      </c>
      <c r="B88" t="s">
        <v>68</v>
      </c>
      <c r="C88" t="s">
        <v>66</v>
      </c>
      <c r="D88" s="4">
        <v>1282</v>
      </c>
      <c r="E88" s="5">
        <v>30781</v>
      </c>
      <c r="F88" s="5">
        <v>15466</v>
      </c>
      <c r="G88" s="5">
        <f t="shared" si="3"/>
        <v>15315</v>
      </c>
      <c r="H88" s="5">
        <v>31810</v>
      </c>
      <c r="I88" s="5">
        <f t="shared" si="4"/>
        <v>-1029</v>
      </c>
      <c r="J88" t="str">
        <f t="shared" si="5"/>
        <v>Below Target</v>
      </c>
    </row>
    <row r="89" spans="1:10">
      <c r="A89" s="3">
        <v>45778</v>
      </c>
      <c r="B89" t="s">
        <v>68</v>
      </c>
      <c r="C89" t="s">
        <v>67</v>
      </c>
      <c r="D89" s="4">
        <v>3304</v>
      </c>
      <c r="E89" s="5">
        <v>15696</v>
      </c>
      <c r="F89" s="5">
        <v>5334</v>
      </c>
      <c r="G89" s="5">
        <f t="shared" si="3"/>
        <v>10362</v>
      </c>
      <c r="H89" s="5">
        <v>16646</v>
      </c>
      <c r="I89" s="5">
        <f t="shared" si="4"/>
        <v>-950</v>
      </c>
      <c r="J89" t="str">
        <f t="shared" si="5"/>
        <v>Below Target</v>
      </c>
    </row>
    <row r="90" spans="1:10">
      <c r="A90" s="3">
        <v>45778</v>
      </c>
      <c r="B90" t="s">
        <v>69</v>
      </c>
      <c r="C90" t="s">
        <v>64</v>
      </c>
      <c r="D90" s="4">
        <v>2208</v>
      </c>
      <c r="E90" s="5">
        <v>16566</v>
      </c>
      <c r="F90" s="5">
        <v>7921</v>
      </c>
      <c r="G90" s="5">
        <f t="shared" si="3"/>
        <v>8645</v>
      </c>
      <c r="H90" s="5">
        <v>16527</v>
      </c>
      <c r="I90" s="5">
        <f t="shared" si="4"/>
        <v>39</v>
      </c>
      <c r="J90" t="str">
        <f t="shared" si="5"/>
        <v>Above Target</v>
      </c>
    </row>
    <row r="91" spans="1:10">
      <c r="A91" s="3">
        <v>45778</v>
      </c>
      <c r="B91" t="s">
        <v>69</v>
      </c>
      <c r="C91" t="s">
        <v>65</v>
      </c>
      <c r="D91" s="4">
        <v>2663</v>
      </c>
      <c r="E91" s="5">
        <v>13984</v>
      </c>
      <c r="F91" s="5">
        <v>5953</v>
      </c>
      <c r="G91" s="5">
        <f t="shared" si="3"/>
        <v>8031</v>
      </c>
      <c r="H91" s="5">
        <v>14455</v>
      </c>
      <c r="I91" s="5">
        <f t="shared" si="4"/>
        <v>-471</v>
      </c>
      <c r="J91" t="str">
        <f t="shared" si="5"/>
        <v>Below Target</v>
      </c>
    </row>
    <row r="92" spans="1:10">
      <c r="A92" s="3">
        <v>45778</v>
      </c>
      <c r="B92" t="s">
        <v>69</v>
      </c>
      <c r="C92" t="s">
        <v>66</v>
      </c>
      <c r="D92" s="4">
        <v>786</v>
      </c>
      <c r="E92" s="5">
        <v>18874</v>
      </c>
      <c r="F92" s="5">
        <v>9742</v>
      </c>
      <c r="G92" s="5">
        <f t="shared" si="3"/>
        <v>9132</v>
      </c>
      <c r="H92" s="5">
        <v>19349</v>
      </c>
      <c r="I92" s="5">
        <f t="shared" si="4"/>
        <v>-475</v>
      </c>
      <c r="J92" t="str">
        <f t="shared" si="5"/>
        <v>Below Target</v>
      </c>
    </row>
    <row r="93" spans="1:10">
      <c r="A93" s="3">
        <v>45778</v>
      </c>
      <c r="B93" t="s">
        <v>69</v>
      </c>
      <c r="C93" t="s">
        <v>67</v>
      </c>
      <c r="D93" s="4">
        <v>2239</v>
      </c>
      <c r="E93" s="5">
        <v>10636</v>
      </c>
      <c r="F93" s="5">
        <v>3528</v>
      </c>
      <c r="G93" s="5">
        <f t="shared" si="3"/>
        <v>7108</v>
      </c>
      <c r="H93" s="5">
        <v>10397</v>
      </c>
      <c r="I93" s="5">
        <f t="shared" si="4"/>
        <v>239</v>
      </c>
      <c r="J93" t="str">
        <f t="shared" si="5"/>
        <v>Above Target</v>
      </c>
    </row>
    <row r="94" spans="1:10">
      <c r="A94" s="3">
        <v>45778</v>
      </c>
      <c r="B94" t="s">
        <v>70</v>
      </c>
      <c r="C94" t="s">
        <v>64</v>
      </c>
      <c r="D94" s="4">
        <v>3112</v>
      </c>
      <c r="E94" s="5">
        <v>23346</v>
      </c>
      <c r="F94" s="5">
        <v>11232</v>
      </c>
      <c r="G94" s="5">
        <f t="shared" si="3"/>
        <v>12114</v>
      </c>
      <c r="H94" s="5">
        <v>24594</v>
      </c>
      <c r="I94" s="5">
        <f t="shared" si="4"/>
        <v>-1248</v>
      </c>
      <c r="J94" t="str">
        <f t="shared" si="5"/>
        <v>Below Target</v>
      </c>
    </row>
    <row r="95" spans="1:10">
      <c r="A95" s="3">
        <v>45778</v>
      </c>
      <c r="B95" t="s">
        <v>70</v>
      </c>
      <c r="C95" t="s">
        <v>65</v>
      </c>
      <c r="D95" s="4">
        <v>3627</v>
      </c>
      <c r="E95" s="5">
        <v>19045</v>
      </c>
      <c r="F95" s="5">
        <v>7858</v>
      </c>
      <c r="G95" s="5">
        <f t="shared" si="3"/>
        <v>11187</v>
      </c>
      <c r="H95" s="5">
        <v>18716</v>
      </c>
      <c r="I95" s="5">
        <f t="shared" si="4"/>
        <v>329</v>
      </c>
      <c r="J95" t="str">
        <f t="shared" si="5"/>
        <v>Above Target</v>
      </c>
    </row>
    <row r="96" spans="1:10">
      <c r="A96" s="3">
        <v>45778</v>
      </c>
      <c r="B96" t="s">
        <v>70</v>
      </c>
      <c r="C96" t="s">
        <v>66</v>
      </c>
      <c r="D96" s="4">
        <v>980</v>
      </c>
      <c r="E96" s="5">
        <v>23534</v>
      </c>
      <c r="F96" s="5">
        <v>12242</v>
      </c>
      <c r="G96" s="5">
        <f t="shared" si="3"/>
        <v>11292</v>
      </c>
      <c r="H96" s="5">
        <v>24702</v>
      </c>
      <c r="I96" s="5">
        <f t="shared" si="4"/>
        <v>-1168</v>
      </c>
      <c r="J96" t="str">
        <f t="shared" si="5"/>
        <v>Below Target</v>
      </c>
    </row>
    <row r="97" spans="1:10">
      <c r="A97" s="3">
        <v>45778</v>
      </c>
      <c r="B97" t="s">
        <v>70</v>
      </c>
      <c r="C97" t="s">
        <v>67</v>
      </c>
      <c r="D97" s="4">
        <v>2964</v>
      </c>
      <c r="E97" s="5">
        <v>14083</v>
      </c>
      <c r="F97" s="5">
        <v>4884</v>
      </c>
      <c r="G97" s="5">
        <f t="shared" si="3"/>
        <v>9199</v>
      </c>
      <c r="H97" s="5">
        <v>13956</v>
      </c>
      <c r="I97" s="5">
        <f t="shared" si="4"/>
        <v>127</v>
      </c>
      <c r="J97" t="str">
        <f t="shared" si="5"/>
        <v>Above Target</v>
      </c>
    </row>
    <row r="98" spans="1:10">
      <c r="A98" s="3">
        <v>45778</v>
      </c>
      <c r="B98" t="s">
        <v>71</v>
      </c>
      <c r="C98" t="s">
        <v>64</v>
      </c>
      <c r="D98" s="4">
        <v>2687</v>
      </c>
      <c r="E98" s="5">
        <v>20154</v>
      </c>
      <c r="F98" s="5">
        <v>9809</v>
      </c>
      <c r="G98" s="5">
        <f t="shared" si="3"/>
        <v>10345</v>
      </c>
      <c r="H98" s="5">
        <v>21331</v>
      </c>
      <c r="I98" s="5">
        <f t="shared" si="4"/>
        <v>-1177</v>
      </c>
      <c r="J98" t="str">
        <f t="shared" si="5"/>
        <v>Below Target</v>
      </c>
    </row>
    <row r="99" spans="1:10">
      <c r="A99" s="3">
        <v>45778</v>
      </c>
      <c r="B99" t="s">
        <v>71</v>
      </c>
      <c r="C99" t="s">
        <v>65</v>
      </c>
      <c r="D99" s="4">
        <v>3461</v>
      </c>
      <c r="E99" s="5">
        <v>18171</v>
      </c>
      <c r="F99" s="5">
        <v>7678</v>
      </c>
      <c r="G99" s="5">
        <f t="shared" si="3"/>
        <v>10493</v>
      </c>
      <c r="H99" s="5">
        <v>17907</v>
      </c>
      <c r="I99" s="5">
        <f t="shared" si="4"/>
        <v>264</v>
      </c>
      <c r="J99" t="str">
        <f t="shared" si="5"/>
        <v>Above Target</v>
      </c>
    </row>
    <row r="100" spans="1:10">
      <c r="A100" s="3">
        <v>45778</v>
      </c>
      <c r="B100" t="s">
        <v>71</v>
      </c>
      <c r="C100" t="s">
        <v>66</v>
      </c>
      <c r="D100" s="4">
        <v>1061</v>
      </c>
      <c r="E100" s="5">
        <v>25467</v>
      </c>
      <c r="F100" s="5">
        <v>13225</v>
      </c>
      <c r="G100" s="5">
        <f t="shared" si="3"/>
        <v>12242</v>
      </c>
      <c r="H100" s="5">
        <v>27189</v>
      </c>
      <c r="I100" s="5">
        <f t="shared" si="4"/>
        <v>-1722</v>
      </c>
      <c r="J100" t="str">
        <f t="shared" si="5"/>
        <v>Below Target</v>
      </c>
    </row>
    <row r="101" spans="1:10">
      <c r="A101" s="3">
        <v>45778</v>
      </c>
      <c r="B101" t="s">
        <v>71</v>
      </c>
      <c r="C101" t="s">
        <v>67</v>
      </c>
      <c r="D101" s="4">
        <v>2887</v>
      </c>
      <c r="E101" s="5">
        <v>13717</v>
      </c>
      <c r="F101" s="5">
        <v>4753</v>
      </c>
      <c r="G101" s="5">
        <f t="shared" si="3"/>
        <v>8964</v>
      </c>
      <c r="H101" s="5">
        <v>13339</v>
      </c>
      <c r="I101" s="5">
        <f t="shared" si="4"/>
        <v>378</v>
      </c>
      <c r="J101" t="str">
        <f t="shared" si="5"/>
        <v>Above Target</v>
      </c>
    </row>
    <row r="102" spans="1:10">
      <c r="A102" s="3">
        <v>45809</v>
      </c>
      <c r="B102" t="s">
        <v>63</v>
      </c>
      <c r="C102" t="s">
        <v>64</v>
      </c>
      <c r="D102" s="4">
        <v>3730</v>
      </c>
      <c r="E102" s="5">
        <v>27978</v>
      </c>
      <c r="F102" s="5">
        <v>13719</v>
      </c>
      <c r="G102" s="5">
        <f t="shared" si="3"/>
        <v>14259</v>
      </c>
      <c r="H102" s="5">
        <v>29383</v>
      </c>
      <c r="I102" s="5">
        <f t="shared" si="4"/>
        <v>-1405</v>
      </c>
      <c r="J102" t="str">
        <f t="shared" si="5"/>
        <v>Below Target</v>
      </c>
    </row>
    <row r="103" spans="1:10">
      <c r="A103" s="3">
        <v>45809</v>
      </c>
      <c r="B103" t="s">
        <v>63</v>
      </c>
      <c r="C103" t="s">
        <v>65</v>
      </c>
      <c r="D103" s="4">
        <v>4967</v>
      </c>
      <c r="E103" s="5">
        <v>26078</v>
      </c>
      <c r="F103" s="5">
        <v>11123</v>
      </c>
      <c r="G103" s="5">
        <f t="shared" si="3"/>
        <v>14955</v>
      </c>
      <c r="H103" s="5">
        <v>25991</v>
      </c>
      <c r="I103" s="5">
        <f t="shared" si="4"/>
        <v>87</v>
      </c>
      <c r="J103" t="str">
        <f t="shared" si="5"/>
        <v>Above Target</v>
      </c>
    </row>
    <row r="104" spans="1:10">
      <c r="A104" s="3">
        <v>45809</v>
      </c>
      <c r="B104" t="s">
        <v>63</v>
      </c>
      <c r="C104" t="s">
        <v>66</v>
      </c>
      <c r="D104" s="4">
        <v>1387</v>
      </c>
      <c r="E104" s="5">
        <v>33294</v>
      </c>
      <c r="F104" s="5">
        <v>16647</v>
      </c>
      <c r="G104" s="5">
        <f t="shared" si="3"/>
        <v>16647</v>
      </c>
      <c r="H104" s="5">
        <v>35199</v>
      </c>
      <c r="I104" s="5">
        <f t="shared" si="4"/>
        <v>-1905</v>
      </c>
      <c r="J104" t="str">
        <f t="shared" si="5"/>
        <v>Below Target</v>
      </c>
    </row>
    <row r="105" spans="1:10">
      <c r="A105" s="3">
        <v>45809</v>
      </c>
      <c r="B105" t="s">
        <v>63</v>
      </c>
      <c r="C105" t="s">
        <v>67</v>
      </c>
      <c r="D105" s="4">
        <v>3885</v>
      </c>
      <c r="E105" s="5">
        <v>18457</v>
      </c>
      <c r="F105" s="5">
        <v>6188</v>
      </c>
      <c r="G105" s="5">
        <f t="shared" si="3"/>
        <v>12269</v>
      </c>
      <c r="H105" s="5">
        <v>19410</v>
      </c>
      <c r="I105" s="5">
        <f t="shared" si="4"/>
        <v>-953</v>
      </c>
      <c r="J105" t="str">
        <f t="shared" si="5"/>
        <v>Below Target</v>
      </c>
    </row>
    <row r="106" spans="1:10">
      <c r="A106" s="3">
        <v>45809</v>
      </c>
      <c r="B106" t="s">
        <v>68</v>
      </c>
      <c r="C106" t="s">
        <v>64</v>
      </c>
      <c r="D106" s="4">
        <v>3282</v>
      </c>
      <c r="E106" s="5">
        <v>24616</v>
      </c>
      <c r="F106" s="5">
        <v>11990</v>
      </c>
      <c r="G106" s="5">
        <f t="shared" si="3"/>
        <v>12626</v>
      </c>
      <c r="H106" s="5">
        <v>24438</v>
      </c>
      <c r="I106" s="5">
        <f t="shared" si="4"/>
        <v>178</v>
      </c>
      <c r="J106" t="str">
        <f t="shared" si="5"/>
        <v>Above Target</v>
      </c>
    </row>
    <row r="107" spans="1:10">
      <c r="A107" s="3">
        <v>45809</v>
      </c>
      <c r="B107" t="s">
        <v>68</v>
      </c>
      <c r="C107" t="s">
        <v>65</v>
      </c>
      <c r="D107" s="4">
        <v>3832</v>
      </c>
      <c r="E107" s="5">
        <v>20118</v>
      </c>
      <c r="F107" s="5">
        <v>8320</v>
      </c>
      <c r="G107" s="5">
        <f t="shared" si="3"/>
        <v>11798</v>
      </c>
      <c r="H107" s="5">
        <v>20175</v>
      </c>
      <c r="I107" s="5">
        <f t="shared" si="4"/>
        <v>-57</v>
      </c>
      <c r="J107" t="str">
        <f t="shared" si="5"/>
        <v>Below Target</v>
      </c>
    </row>
    <row r="108" spans="1:10">
      <c r="A108" s="3">
        <v>45809</v>
      </c>
      <c r="B108" t="s">
        <v>68</v>
      </c>
      <c r="C108" t="s">
        <v>66</v>
      </c>
      <c r="D108" s="4">
        <v>1240</v>
      </c>
      <c r="E108" s="5">
        <v>29770</v>
      </c>
      <c r="F108" s="5">
        <v>15537</v>
      </c>
      <c r="G108" s="5">
        <f t="shared" si="3"/>
        <v>14233</v>
      </c>
      <c r="H108" s="5">
        <v>29708</v>
      </c>
      <c r="I108" s="5">
        <f t="shared" si="4"/>
        <v>62</v>
      </c>
      <c r="J108" t="str">
        <f t="shared" si="5"/>
        <v>Above Target</v>
      </c>
    </row>
    <row r="109" spans="1:10">
      <c r="A109" s="3">
        <v>45809</v>
      </c>
      <c r="B109" t="s">
        <v>68</v>
      </c>
      <c r="C109" t="s">
        <v>67</v>
      </c>
      <c r="D109" s="4">
        <v>3321</v>
      </c>
      <c r="E109" s="5">
        <v>15775</v>
      </c>
      <c r="F109" s="5">
        <v>5337</v>
      </c>
      <c r="G109" s="5">
        <f t="shared" si="3"/>
        <v>10438</v>
      </c>
      <c r="H109" s="5">
        <v>16850</v>
      </c>
      <c r="I109" s="5">
        <f t="shared" si="4"/>
        <v>-1075</v>
      </c>
      <c r="J109" t="str">
        <f t="shared" si="5"/>
        <v>Below Target</v>
      </c>
    </row>
    <row r="110" spans="1:10">
      <c r="A110" s="3">
        <v>45809</v>
      </c>
      <c r="B110" t="s">
        <v>69</v>
      </c>
      <c r="C110" t="s">
        <v>64</v>
      </c>
      <c r="D110" s="4">
        <v>2439</v>
      </c>
      <c r="E110" s="5">
        <v>18294</v>
      </c>
      <c r="F110" s="5">
        <v>8612</v>
      </c>
      <c r="G110" s="5">
        <f t="shared" si="3"/>
        <v>9682</v>
      </c>
      <c r="H110" s="5">
        <v>19520</v>
      </c>
      <c r="I110" s="5">
        <f t="shared" si="4"/>
        <v>-1226</v>
      </c>
      <c r="J110" t="str">
        <f t="shared" si="5"/>
        <v>Below Target</v>
      </c>
    </row>
    <row r="111" spans="1:10">
      <c r="A111" s="3">
        <v>45809</v>
      </c>
      <c r="B111" t="s">
        <v>69</v>
      </c>
      <c r="C111" t="s">
        <v>65</v>
      </c>
      <c r="D111" s="4">
        <v>2647</v>
      </c>
      <c r="E111" s="5">
        <v>13897</v>
      </c>
      <c r="F111" s="5">
        <v>5972</v>
      </c>
      <c r="G111" s="5">
        <f t="shared" si="3"/>
        <v>7925</v>
      </c>
      <c r="H111" s="5">
        <v>13849</v>
      </c>
      <c r="I111" s="5">
        <f t="shared" si="4"/>
        <v>48</v>
      </c>
      <c r="J111" t="str">
        <f t="shared" si="5"/>
        <v>Above Target</v>
      </c>
    </row>
    <row r="112" spans="1:10">
      <c r="A112" s="3">
        <v>45809</v>
      </c>
      <c r="B112" t="s">
        <v>69</v>
      </c>
      <c r="C112" t="s">
        <v>66</v>
      </c>
      <c r="D112" s="4">
        <v>739</v>
      </c>
      <c r="E112" s="5">
        <v>17738</v>
      </c>
      <c r="F112" s="5">
        <v>9017</v>
      </c>
      <c r="G112" s="5">
        <f t="shared" si="3"/>
        <v>8721</v>
      </c>
      <c r="H112" s="5">
        <v>18498</v>
      </c>
      <c r="I112" s="5">
        <f t="shared" si="4"/>
        <v>-760</v>
      </c>
      <c r="J112" t="str">
        <f t="shared" si="5"/>
        <v>Below Target</v>
      </c>
    </row>
    <row r="113" spans="1:10">
      <c r="A113" s="3">
        <v>45809</v>
      </c>
      <c r="B113" t="s">
        <v>69</v>
      </c>
      <c r="C113" t="s">
        <v>67</v>
      </c>
      <c r="D113" s="4">
        <v>2119</v>
      </c>
      <c r="E113" s="5">
        <v>10068</v>
      </c>
      <c r="F113" s="5">
        <v>3441</v>
      </c>
      <c r="G113" s="5">
        <f t="shared" si="3"/>
        <v>6627</v>
      </c>
      <c r="H113" s="5">
        <v>10281</v>
      </c>
      <c r="I113" s="5">
        <f t="shared" si="4"/>
        <v>-213</v>
      </c>
      <c r="J113" t="str">
        <f t="shared" si="5"/>
        <v>Below Target</v>
      </c>
    </row>
    <row r="114" spans="1:10">
      <c r="A114" s="3">
        <v>45809</v>
      </c>
      <c r="B114" t="s">
        <v>70</v>
      </c>
      <c r="C114" t="s">
        <v>64</v>
      </c>
      <c r="D114" s="4">
        <v>2791</v>
      </c>
      <c r="E114" s="5">
        <v>20936</v>
      </c>
      <c r="F114" s="5">
        <v>9926</v>
      </c>
      <c r="G114" s="5">
        <f t="shared" si="3"/>
        <v>11010</v>
      </c>
      <c r="H114" s="5">
        <v>21792</v>
      </c>
      <c r="I114" s="5">
        <f t="shared" si="4"/>
        <v>-856</v>
      </c>
      <c r="J114" t="str">
        <f t="shared" si="5"/>
        <v>Below Target</v>
      </c>
    </row>
    <row r="115" spans="1:10">
      <c r="A115" s="3">
        <v>45809</v>
      </c>
      <c r="B115" t="s">
        <v>70</v>
      </c>
      <c r="C115" t="s">
        <v>65</v>
      </c>
      <c r="D115" s="4">
        <v>3107</v>
      </c>
      <c r="E115" s="5">
        <v>16314</v>
      </c>
      <c r="F115" s="5">
        <v>6998</v>
      </c>
      <c r="G115" s="5">
        <f t="shared" si="3"/>
        <v>9316</v>
      </c>
      <c r="H115" s="5">
        <v>16703</v>
      </c>
      <c r="I115" s="5">
        <f t="shared" si="4"/>
        <v>-389</v>
      </c>
      <c r="J115" t="str">
        <f t="shared" si="5"/>
        <v>Below Target</v>
      </c>
    </row>
    <row r="116" spans="1:10">
      <c r="A116" s="3">
        <v>45809</v>
      </c>
      <c r="B116" t="s">
        <v>70</v>
      </c>
      <c r="C116" t="s">
        <v>66</v>
      </c>
      <c r="D116" s="4">
        <v>987</v>
      </c>
      <c r="E116" s="5">
        <v>23702</v>
      </c>
      <c r="F116" s="5">
        <v>12234</v>
      </c>
      <c r="G116" s="5">
        <f t="shared" si="3"/>
        <v>11468</v>
      </c>
      <c r="H116" s="5">
        <v>24580</v>
      </c>
      <c r="I116" s="5">
        <f t="shared" si="4"/>
        <v>-878</v>
      </c>
      <c r="J116" t="str">
        <f t="shared" si="5"/>
        <v>Below Target</v>
      </c>
    </row>
    <row r="117" spans="1:10">
      <c r="A117" s="3">
        <v>45809</v>
      </c>
      <c r="B117" t="s">
        <v>70</v>
      </c>
      <c r="C117" t="s">
        <v>67</v>
      </c>
      <c r="D117" s="4">
        <v>2586</v>
      </c>
      <c r="E117" s="5">
        <v>12284</v>
      </c>
      <c r="F117" s="5">
        <v>4087</v>
      </c>
      <c r="G117" s="5">
        <f t="shared" si="3"/>
        <v>8197</v>
      </c>
      <c r="H117" s="5">
        <v>12731</v>
      </c>
      <c r="I117" s="5">
        <f t="shared" si="4"/>
        <v>-447</v>
      </c>
      <c r="J117" t="str">
        <f t="shared" si="5"/>
        <v>Below Target</v>
      </c>
    </row>
    <row r="118" spans="1:10">
      <c r="A118" s="3">
        <v>45809</v>
      </c>
      <c r="B118" t="s">
        <v>71</v>
      </c>
      <c r="C118" t="s">
        <v>64</v>
      </c>
      <c r="D118" s="4">
        <v>2811</v>
      </c>
      <c r="E118" s="5">
        <v>21089</v>
      </c>
      <c r="F118" s="5">
        <v>10299</v>
      </c>
      <c r="G118" s="5">
        <f t="shared" si="3"/>
        <v>10790</v>
      </c>
      <c r="H118" s="5">
        <v>21974</v>
      </c>
      <c r="I118" s="5">
        <f t="shared" si="4"/>
        <v>-885</v>
      </c>
      <c r="J118" t="str">
        <f t="shared" si="5"/>
        <v>Below Target</v>
      </c>
    </row>
    <row r="119" spans="1:10">
      <c r="A119" s="3">
        <v>45809</v>
      </c>
      <c r="B119" t="s">
        <v>71</v>
      </c>
      <c r="C119" t="s">
        <v>65</v>
      </c>
      <c r="D119" s="4">
        <v>3435</v>
      </c>
      <c r="E119" s="5">
        <v>18035</v>
      </c>
      <c r="F119" s="5">
        <v>7502</v>
      </c>
      <c r="G119" s="5">
        <f t="shared" si="3"/>
        <v>10533</v>
      </c>
      <c r="H119" s="5">
        <v>18230</v>
      </c>
      <c r="I119" s="5">
        <f t="shared" si="4"/>
        <v>-195</v>
      </c>
      <c r="J119" t="str">
        <f t="shared" si="5"/>
        <v>Below Target</v>
      </c>
    </row>
    <row r="120" spans="1:10">
      <c r="A120" s="3">
        <v>45809</v>
      </c>
      <c r="B120" t="s">
        <v>71</v>
      </c>
      <c r="C120" t="s">
        <v>66</v>
      </c>
      <c r="D120" s="4">
        <v>987</v>
      </c>
      <c r="E120" s="5">
        <v>23689</v>
      </c>
      <c r="F120" s="5">
        <v>11958</v>
      </c>
      <c r="G120" s="5">
        <f t="shared" si="3"/>
        <v>11731</v>
      </c>
      <c r="H120" s="5">
        <v>23280</v>
      </c>
      <c r="I120" s="5">
        <f t="shared" si="4"/>
        <v>409</v>
      </c>
      <c r="J120" t="str">
        <f t="shared" si="5"/>
        <v>Above Target</v>
      </c>
    </row>
    <row r="121" spans="1:10">
      <c r="A121" s="3">
        <v>45809</v>
      </c>
      <c r="B121" t="s">
        <v>71</v>
      </c>
      <c r="C121" t="s">
        <v>67</v>
      </c>
      <c r="D121" s="4">
        <v>2742</v>
      </c>
      <c r="E121" s="5">
        <v>13029</v>
      </c>
      <c r="F121" s="5">
        <v>4527</v>
      </c>
      <c r="G121" s="5">
        <f t="shared" si="3"/>
        <v>8502</v>
      </c>
      <c r="H121" s="5">
        <v>13521</v>
      </c>
      <c r="I121" s="5">
        <f t="shared" si="4"/>
        <v>-492</v>
      </c>
      <c r="J121" t="str">
        <f t="shared" si="5"/>
        <v>Below Target</v>
      </c>
    </row>
    <row r="122" spans="1:10">
      <c r="A122" s="3">
        <v>45839</v>
      </c>
      <c r="B122" t="s">
        <v>63</v>
      </c>
      <c r="C122" t="s">
        <v>64</v>
      </c>
      <c r="D122" s="4">
        <v>3979</v>
      </c>
      <c r="E122" s="5">
        <v>29846</v>
      </c>
      <c r="F122" s="5">
        <v>14183</v>
      </c>
      <c r="G122" s="5">
        <f t="shared" si="3"/>
        <v>15663</v>
      </c>
      <c r="H122" s="5">
        <v>30586</v>
      </c>
      <c r="I122" s="5">
        <f t="shared" si="4"/>
        <v>-740</v>
      </c>
      <c r="J122" t="str">
        <f t="shared" si="5"/>
        <v>Below Target</v>
      </c>
    </row>
    <row r="123" spans="1:10">
      <c r="A123" s="3">
        <v>45839</v>
      </c>
      <c r="B123" t="s">
        <v>63</v>
      </c>
      <c r="C123" t="s">
        <v>65</v>
      </c>
      <c r="D123" s="4">
        <v>4401</v>
      </c>
      <c r="E123" s="5">
        <v>23110</v>
      </c>
      <c r="F123" s="5">
        <v>9603</v>
      </c>
      <c r="G123" s="5">
        <f t="shared" si="3"/>
        <v>13507</v>
      </c>
      <c r="H123" s="5">
        <v>23410</v>
      </c>
      <c r="I123" s="5">
        <f t="shared" si="4"/>
        <v>-300</v>
      </c>
      <c r="J123" t="str">
        <f t="shared" si="5"/>
        <v>Below Target</v>
      </c>
    </row>
    <row r="124" spans="1:10">
      <c r="A124" s="3">
        <v>45839</v>
      </c>
      <c r="B124" t="s">
        <v>63</v>
      </c>
      <c r="C124" t="s">
        <v>66</v>
      </c>
      <c r="D124" s="4">
        <v>1369</v>
      </c>
      <c r="E124" s="5">
        <v>32860</v>
      </c>
      <c r="F124" s="5">
        <v>16888</v>
      </c>
      <c r="G124" s="5">
        <f t="shared" si="3"/>
        <v>15972</v>
      </c>
      <c r="H124" s="5">
        <v>33402</v>
      </c>
      <c r="I124" s="5">
        <f t="shared" si="4"/>
        <v>-542</v>
      </c>
      <c r="J124" t="str">
        <f t="shared" si="5"/>
        <v>Below Target</v>
      </c>
    </row>
    <row r="125" spans="1:10">
      <c r="A125" s="3">
        <v>45839</v>
      </c>
      <c r="B125" t="s">
        <v>63</v>
      </c>
      <c r="C125" t="s">
        <v>67</v>
      </c>
      <c r="D125" s="4">
        <v>3710</v>
      </c>
      <c r="E125" s="5">
        <v>17627</v>
      </c>
      <c r="F125" s="5">
        <v>5907</v>
      </c>
      <c r="G125" s="5">
        <f t="shared" si="3"/>
        <v>11720</v>
      </c>
      <c r="H125" s="5">
        <v>17932</v>
      </c>
      <c r="I125" s="5">
        <f t="shared" si="4"/>
        <v>-305</v>
      </c>
      <c r="J125" t="str">
        <f t="shared" si="5"/>
        <v>Below Target</v>
      </c>
    </row>
    <row r="126" spans="1:10">
      <c r="A126" s="3">
        <v>45839</v>
      </c>
      <c r="B126" t="s">
        <v>68</v>
      </c>
      <c r="C126" t="s">
        <v>64</v>
      </c>
      <c r="D126" s="4">
        <v>3735</v>
      </c>
      <c r="E126" s="5">
        <v>28019</v>
      </c>
      <c r="F126" s="5">
        <v>13227</v>
      </c>
      <c r="G126" s="5">
        <f t="shared" si="3"/>
        <v>14792</v>
      </c>
      <c r="H126" s="5">
        <v>27416</v>
      </c>
      <c r="I126" s="5">
        <f t="shared" si="4"/>
        <v>603</v>
      </c>
      <c r="J126" t="str">
        <f t="shared" si="5"/>
        <v>Above Target</v>
      </c>
    </row>
    <row r="127" spans="1:10">
      <c r="A127" s="3">
        <v>45839</v>
      </c>
      <c r="B127" t="s">
        <v>68</v>
      </c>
      <c r="C127" t="s">
        <v>65</v>
      </c>
      <c r="D127" s="4">
        <v>4378</v>
      </c>
      <c r="E127" s="5">
        <v>22987</v>
      </c>
      <c r="F127" s="5">
        <v>9719</v>
      </c>
      <c r="G127" s="5">
        <f t="shared" si="3"/>
        <v>13268</v>
      </c>
      <c r="H127" s="5">
        <v>23068</v>
      </c>
      <c r="I127" s="5">
        <f t="shared" si="4"/>
        <v>-81</v>
      </c>
      <c r="J127" t="str">
        <f t="shared" si="5"/>
        <v>Below Target</v>
      </c>
    </row>
    <row r="128" spans="1:10">
      <c r="A128" s="3">
        <v>45839</v>
      </c>
      <c r="B128" t="s">
        <v>68</v>
      </c>
      <c r="C128" t="s">
        <v>66</v>
      </c>
      <c r="D128" s="4">
        <v>1296</v>
      </c>
      <c r="E128" s="5">
        <v>31127</v>
      </c>
      <c r="F128" s="5">
        <v>16074</v>
      </c>
      <c r="G128" s="5">
        <f t="shared" si="3"/>
        <v>15053</v>
      </c>
      <c r="H128" s="5">
        <v>32287</v>
      </c>
      <c r="I128" s="5">
        <f t="shared" si="4"/>
        <v>-1160</v>
      </c>
      <c r="J128" t="str">
        <f t="shared" si="5"/>
        <v>Below Target</v>
      </c>
    </row>
    <row r="129" spans="1:10">
      <c r="A129" s="3">
        <v>45839</v>
      </c>
      <c r="B129" t="s">
        <v>68</v>
      </c>
      <c r="C129" t="s">
        <v>67</v>
      </c>
      <c r="D129" s="4">
        <v>3268</v>
      </c>
      <c r="E129" s="5">
        <v>15526</v>
      </c>
      <c r="F129" s="5">
        <v>5199</v>
      </c>
      <c r="G129" s="5">
        <f t="shared" si="3"/>
        <v>10327</v>
      </c>
      <c r="H129" s="5">
        <v>15098</v>
      </c>
      <c r="I129" s="5">
        <f t="shared" si="4"/>
        <v>428</v>
      </c>
      <c r="J129" t="str">
        <f t="shared" si="5"/>
        <v>Above Target</v>
      </c>
    </row>
    <row r="130" spans="1:10">
      <c r="A130" s="3">
        <v>45839</v>
      </c>
      <c r="B130" t="s">
        <v>69</v>
      </c>
      <c r="C130" t="s">
        <v>64</v>
      </c>
      <c r="D130" s="4">
        <v>2191</v>
      </c>
      <c r="E130" s="5">
        <v>16435</v>
      </c>
      <c r="F130" s="5">
        <v>8027</v>
      </c>
      <c r="G130" s="5">
        <f t="shared" ref="G130:G193" si="6">E130-F130</f>
        <v>8408</v>
      </c>
      <c r="H130" s="5">
        <v>16062</v>
      </c>
      <c r="I130" s="5">
        <f t="shared" ref="I130:I193" si="7">E130-H130</f>
        <v>373</v>
      </c>
      <c r="J130" t="str">
        <f t="shared" ref="J130:J193" si="8">IF(I130&gt;=0,"Above Target","Below Target")</f>
        <v>Above Target</v>
      </c>
    </row>
    <row r="131" spans="1:10">
      <c r="A131" s="3">
        <v>45839</v>
      </c>
      <c r="B131" t="s">
        <v>69</v>
      </c>
      <c r="C131" t="s">
        <v>65</v>
      </c>
      <c r="D131" s="4">
        <v>2657</v>
      </c>
      <c r="E131" s="5">
        <v>13950</v>
      </c>
      <c r="F131" s="5">
        <v>5897</v>
      </c>
      <c r="G131" s="5">
        <f t="shared" si="6"/>
        <v>8053</v>
      </c>
      <c r="H131" s="5">
        <v>13803</v>
      </c>
      <c r="I131" s="5">
        <f t="shared" si="7"/>
        <v>147</v>
      </c>
      <c r="J131" t="str">
        <f t="shared" si="8"/>
        <v>Above Target</v>
      </c>
    </row>
    <row r="132" spans="1:10">
      <c r="A132" s="3">
        <v>45839</v>
      </c>
      <c r="B132" t="s">
        <v>69</v>
      </c>
      <c r="C132" t="s">
        <v>66</v>
      </c>
      <c r="D132" s="4">
        <v>785</v>
      </c>
      <c r="E132" s="5">
        <v>18842</v>
      </c>
      <c r="F132" s="5">
        <v>9607</v>
      </c>
      <c r="G132" s="5">
        <f t="shared" si="6"/>
        <v>9235</v>
      </c>
      <c r="H132" s="5">
        <v>18736</v>
      </c>
      <c r="I132" s="5">
        <f t="shared" si="7"/>
        <v>106</v>
      </c>
      <c r="J132" t="str">
        <f t="shared" si="8"/>
        <v>Above Target</v>
      </c>
    </row>
    <row r="133" spans="1:10">
      <c r="A133" s="3">
        <v>45839</v>
      </c>
      <c r="B133" t="s">
        <v>69</v>
      </c>
      <c r="C133" t="s">
        <v>67</v>
      </c>
      <c r="D133" s="4">
        <v>2161</v>
      </c>
      <c r="E133" s="5">
        <v>10268</v>
      </c>
      <c r="F133" s="5">
        <v>3405</v>
      </c>
      <c r="G133" s="5">
        <f t="shared" si="6"/>
        <v>6863</v>
      </c>
      <c r="H133" s="5">
        <v>10731</v>
      </c>
      <c r="I133" s="5">
        <f t="shared" si="7"/>
        <v>-463</v>
      </c>
      <c r="J133" t="str">
        <f t="shared" si="8"/>
        <v>Below Target</v>
      </c>
    </row>
    <row r="134" spans="1:10">
      <c r="A134" s="3">
        <v>45839</v>
      </c>
      <c r="B134" t="s">
        <v>70</v>
      </c>
      <c r="C134" t="s">
        <v>64</v>
      </c>
      <c r="D134" s="4">
        <v>2704</v>
      </c>
      <c r="E134" s="5">
        <v>20284</v>
      </c>
      <c r="F134" s="5">
        <v>9700</v>
      </c>
      <c r="G134" s="5">
        <f t="shared" si="6"/>
        <v>10584</v>
      </c>
      <c r="H134" s="5">
        <v>20032</v>
      </c>
      <c r="I134" s="5">
        <f t="shared" si="7"/>
        <v>252</v>
      </c>
      <c r="J134" t="str">
        <f t="shared" si="8"/>
        <v>Above Target</v>
      </c>
    </row>
    <row r="135" spans="1:10">
      <c r="A135" s="3">
        <v>45839</v>
      </c>
      <c r="B135" t="s">
        <v>70</v>
      </c>
      <c r="C135" t="s">
        <v>65</v>
      </c>
      <c r="D135" s="4">
        <v>3792</v>
      </c>
      <c r="E135" s="5">
        <v>19913</v>
      </c>
      <c r="F135" s="5">
        <v>8371</v>
      </c>
      <c r="G135" s="5">
        <f t="shared" si="6"/>
        <v>11542</v>
      </c>
      <c r="H135" s="5">
        <v>19416</v>
      </c>
      <c r="I135" s="5">
        <f t="shared" si="7"/>
        <v>497</v>
      </c>
      <c r="J135" t="str">
        <f t="shared" si="8"/>
        <v>Above Target</v>
      </c>
    </row>
    <row r="136" spans="1:10">
      <c r="A136" s="3">
        <v>45839</v>
      </c>
      <c r="B136" t="s">
        <v>70</v>
      </c>
      <c r="C136" t="s">
        <v>66</v>
      </c>
      <c r="D136" s="4">
        <v>958</v>
      </c>
      <c r="E136" s="5">
        <v>23004</v>
      </c>
      <c r="F136" s="5">
        <v>11936</v>
      </c>
      <c r="G136" s="5">
        <f t="shared" si="6"/>
        <v>11068</v>
      </c>
      <c r="H136" s="5">
        <v>23364</v>
      </c>
      <c r="I136" s="5">
        <f t="shared" si="7"/>
        <v>-360</v>
      </c>
      <c r="J136" t="str">
        <f t="shared" si="8"/>
        <v>Below Target</v>
      </c>
    </row>
    <row r="137" spans="1:10">
      <c r="A137" s="3">
        <v>45839</v>
      </c>
      <c r="B137" t="s">
        <v>70</v>
      </c>
      <c r="C137" t="s">
        <v>67</v>
      </c>
      <c r="D137" s="4">
        <v>2900</v>
      </c>
      <c r="E137" s="5">
        <v>13776</v>
      </c>
      <c r="F137" s="5">
        <v>4723</v>
      </c>
      <c r="G137" s="5">
        <f t="shared" si="6"/>
        <v>9053</v>
      </c>
      <c r="H137" s="5">
        <v>14724</v>
      </c>
      <c r="I137" s="5">
        <f t="shared" si="7"/>
        <v>-948</v>
      </c>
      <c r="J137" t="str">
        <f t="shared" si="8"/>
        <v>Below Target</v>
      </c>
    </row>
    <row r="138" spans="1:10">
      <c r="A138" s="3">
        <v>45839</v>
      </c>
      <c r="B138" t="s">
        <v>71</v>
      </c>
      <c r="C138" t="s">
        <v>64</v>
      </c>
      <c r="D138" s="4">
        <v>3207</v>
      </c>
      <c r="E138" s="5">
        <v>24054</v>
      </c>
      <c r="F138" s="5">
        <v>11772</v>
      </c>
      <c r="G138" s="5">
        <f t="shared" si="6"/>
        <v>12282</v>
      </c>
      <c r="H138" s="5">
        <v>24806</v>
      </c>
      <c r="I138" s="5">
        <f t="shared" si="7"/>
        <v>-752</v>
      </c>
      <c r="J138" t="str">
        <f t="shared" si="8"/>
        <v>Below Target</v>
      </c>
    </row>
    <row r="139" spans="1:10">
      <c r="A139" s="3">
        <v>45839</v>
      </c>
      <c r="B139" t="s">
        <v>71</v>
      </c>
      <c r="C139" t="s">
        <v>65</v>
      </c>
      <c r="D139" s="4">
        <v>3792</v>
      </c>
      <c r="E139" s="5">
        <v>19908</v>
      </c>
      <c r="F139" s="5">
        <v>8363</v>
      </c>
      <c r="G139" s="5">
        <f t="shared" si="6"/>
        <v>11545</v>
      </c>
      <c r="H139" s="5">
        <v>20964</v>
      </c>
      <c r="I139" s="5">
        <f t="shared" si="7"/>
        <v>-1056</v>
      </c>
      <c r="J139" t="str">
        <f t="shared" si="8"/>
        <v>Below Target</v>
      </c>
    </row>
    <row r="140" spans="1:10">
      <c r="A140" s="3">
        <v>45839</v>
      </c>
      <c r="B140" t="s">
        <v>71</v>
      </c>
      <c r="C140" t="s">
        <v>66</v>
      </c>
      <c r="D140" s="4">
        <v>1043</v>
      </c>
      <c r="E140" s="5">
        <v>25033</v>
      </c>
      <c r="F140" s="5">
        <v>13020</v>
      </c>
      <c r="G140" s="5">
        <f t="shared" si="6"/>
        <v>12013</v>
      </c>
      <c r="H140" s="5">
        <v>26144</v>
      </c>
      <c r="I140" s="5">
        <f t="shared" si="7"/>
        <v>-1111</v>
      </c>
      <c r="J140" t="str">
        <f t="shared" si="8"/>
        <v>Below Target</v>
      </c>
    </row>
    <row r="141" spans="1:10">
      <c r="A141" s="3">
        <v>45839</v>
      </c>
      <c r="B141" t="s">
        <v>71</v>
      </c>
      <c r="C141" t="s">
        <v>67</v>
      </c>
      <c r="D141" s="4">
        <v>2856</v>
      </c>
      <c r="E141" s="5">
        <v>13568</v>
      </c>
      <c r="F141" s="5">
        <v>4558</v>
      </c>
      <c r="G141" s="5">
        <f t="shared" si="6"/>
        <v>9010</v>
      </c>
      <c r="H141" s="5">
        <v>13496</v>
      </c>
      <c r="I141" s="5">
        <f t="shared" si="7"/>
        <v>72</v>
      </c>
      <c r="J141" t="str">
        <f t="shared" si="8"/>
        <v>Above Target</v>
      </c>
    </row>
    <row r="142" spans="1:10">
      <c r="A142" s="3">
        <v>45870</v>
      </c>
      <c r="B142" t="s">
        <v>63</v>
      </c>
      <c r="C142" t="s">
        <v>64</v>
      </c>
      <c r="D142" s="4">
        <v>3950</v>
      </c>
      <c r="E142" s="5">
        <v>29628</v>
      </c>
      <c r="F142" s="5">
        <v>14237</v>
      </c>
      <c r="G142" s="5">
        <f t="shared" si="6"/>
        <v>15391</v>
      </c>
      <c r="H142" s="5">
        <v>30596</v>
      </c>
      <c r="I142" s="5">
        <f t="shared" si="7"/>
        <v>-968</v>
      </c>
      <c r="J142" t="str">
        <f t="shared" si="8"/>
        <v>Below Target</v>
      </c>
    </row>
    <row r="143" spans="1:10">
      <c r="A143" s="3">
        <v>45870</v>
      </c>
      <c r="B143" t="s">
        <v>63</v>
      </c>
      <c r="C143" t="s">
        <v>65</v>
      </c>
      <c r="D143" s="4">
        <v>4472</v>
      </c>
      <c r="E143" s="5">
        <v>23481</v>
      </c>
      <c r="F143" s="5">
        <v>9654</v>
      </c>
      <c r="G143" s="5">
        <f t="shared" si="6"/>
        <v>13827</v>
      </c>
      <c r="H143" s="5">
        <v>23447</v>
      </c>
      <c r="I143" s="5">
        <f t="shared" si="7"/>
        <v>34</v>
      </c>
      <c r="J143" t="str">
        <f t="shared" si="8"/>
        <v>Above Target</v>
      </c>
    </row>
    <row r="144" spans="1:10">
      <c r="A144" s="3">
        <v>45870</v>
      </c>
      <c r="B144" t="s">
        <v>63</v>
      </c>
      <c r="C144" t="s">
        <v>66</v>
      </c>
      <c r="D144" s="4">
        <v>1263</v>
      </c>
      <c r="E144" s="5">
        <v>30315</v>
      </c>
      <c r="F144" s="5">
        <v>15321</v>
      </c>
      <c r="G144" s="5">
        <f t="shared" si="6"/>
        <v>14994</v>
      </c>
      <c r="H144" s="5">
        <v>31043</v>
      </c>
      <c r="I144" s="5">
        <f t="shared" si="7"/>
        <v>-728</v>
      </c>
      <c r="J144" t="str">
        <f t="shared" si="8"/>
        <v>Below Target</v>
      </c>
    </row>
    <row r="145" spans="1:10">
      <c r="A145" s="3">
        <v>45870</v>
      </c>
      <c r="B145" t="s">
        <v>63</v>
      </c>
      <c r="C145" t="s">
        <v>67</v>
      </c>
      <c r="D145" s="4">
        <v>3422</v>
      </c>
      <c r="E145" s="5">
        <v>16256</v>
      </c>
      <c r="F145" s="5">
        <v>5453</v>
      </c>
      <c r="G145" s="5">
        <f t="shared" si="6"/>
        <v>10803</v>
      </c>
      <c r="H145" s="5">
        <v>16896</v>
      </c>
      <c r="I145" s="5">
        <f t="shared" si="7"/>
        <v>-640</v>
      </c>
      <c r="J145" t="str">
        <f t="shared" si="8"/>
        <v>Below Target</v>
      </c>
    </row>
    <row r="146" spans="1:10">
      <c r="A146" s="3">
        <v>45870</v>
      </c>
      <c r="B146" t="s">
        <v>68</v>
      </c>
      <c r="C146" t="s">
        <v>64</v>
      </c>
      <c r="D146" s="4">
        <v>3244</v>
      </c>
      <c r="E146" s="5">
        <v>24334</v>
      </c>
      <c r="F146" s="5">
        <v>11626</v>
      </c>
      <c r="G146" s="5">
        <f t="shared" si="6"/>
        <v>12708</v>
      </c>
      <c r="H146" s="5">
        <v>24924</v>
      </c>
      <c r="I146" s="5">
        <f t="shared" si="7"/>
        <v>-590</v>
      </c>
      <c r="J146" t="str">
        <f t="shared" si="8"/>
        <v>Below Target</v>
      </c>
    </row>
    <row r="147" spans="1:10">
      <c r="A147" s="3">
        <v>45870</v>
      </c>
      <c r="B147" t="s">
        <v>68</v>
      </c>
      <c r="C147" t="s">
        <v>65</v>
      </c>
      <c r="D147" s="4">
        <v>4213</v>
      </c>
      <c r="E147" s="5">
        <v>22119</v>
      </c>
      <c r="F147" s="5">
        <v>9154</v>
      </c>
      <c r="G147" s="5">
        <f t="shared" si="6"/>
        <v>12965</v>
      </c>
      <c r="H147" s="5">
        <v>22385</v>
      </c>
      <c r="I147" s="5">
        <f t="shared" si="7"/>
        <v>-266</v>
      </c>
      <c r="J147" t="str">
        <f t="shared" si="8"/>
        <v>Below Target</v>
      </c>
    </row>
    <row r="148" spans="1:10">
      <c r="A148" s="3">
        <v>45870</v>
      </c>
      <c r="B148" t="s">
        <v>68</v>
      </c>
      <c r="C148" t="s">
        <v>66</v>
      </c>
      <c r="D148" s="4">
        <v>1284</v>
      </c>
      <c r="E148" s="5">
        <v>30836</v>
      </c>
      <c r="F148" s="5">
        <v>15792</v>
      </c>
      <c r="G148" s="5">
        <f t="shared" si="6"/>
        <v>15044</v>
      </c>
      <c r="H148" s="5">
        <v>32056</v>
      </c>
      <c r="I148" s="5">
        <f t="shared" si="7"/>
        <v>-1220</v>
      </c>
      <c r="J148" t="str">
        <f t="shared" si="8"/>
        <v>Below Target</v>
      </c>
    </row>
    <row r="149" spans="1:10">
      <c r="A149" s="3">
        <v>45870</v>
      </c>
      <c r="B149" t="s">
        <v>68</v>
      </c>
      <c r="C149" t="s">
        <v>67</v>
      </c>
      <c r="D149" s="4">
        <v>3534</v>
      </c>
      <c r="E149" s="5">
        <v>16788</v>
      </c>
      <c r="F149" s="5">
        <v>5784</v>
      </c>
      <c r="G149" s="5">
        <f t="shared" si="6"/>
        <v>11004</v>
      </c>
      <c r="H149" s="5">
        <v>16923</v>
      </c>
      <c r="I149" s="5">
        <f t="shared" si="7"/>
        <v>-135</v>
      </c>
      <c r="J149" t="str">
        <f t="shared" si="8"/>
        <v>Below Target</v>
      </c>
    </row>
    <row r="150" spans="1:10">
      <c r="A150" s="3">
        <v>45870</v>
      </c>
      <c r="B150" t="s">
        <v>69</v>
      </c>
      <c r="C150" t="s">
        <v>64</v>
      </c>
      <c r="D150" s="4">
        <v>2084</v>
      </c>
      <c r="E150" s="5">
        <v>15635</v>
      </c>
      <c r="F150" s="5">
        <v>7600</v>
      </c>
      <c r="G150" s="5">
        <f t="shared" si="6"/>
        <v>8035</v>
      </c>
      <c r="H150" s="5">
        <v>16500</v>
      </c>
      <c r="I150" s="5">
        <f t="shared" si="7"/>
        <v>-865</v>
      </c>
      <c r="J150" t="str">
        <f t="shared" si="8"/>
        <v>Below Target</v>
      </c>
    </row>
    <row r="151" spans="1:10">
      <c r="A151" s="3">
        <v>45870</v>
      </c>
      <c r="B151" t="s">
        <v>69</v>
      </c>
      <c r="C151" t="s">
        <v>65</v>
      </c>
      <c r="D151" s="4">
        <v>2804</v>
      </c>
      <c r="E151" s="5">
        <v>14723</v>
      </c>
      <c r="F151" s="5">
        <v>6159</v>
      </c>
      <c r="G151" s="5">
        <f t="shared" si="6"/>
        <v>8564</v>
      </c>
      <c r="H151" s="5">
        <v>15382</v>
      </c>
      <c r="I151" s="5">
        <f t="shared" si="7"/>
        <v>-659</v>
      </c>
      <c r="J151" t="str">
        <f t="shared" si="8"/>
        <v>Below Target</v>
      </c>
    </row>
    <row r="152" spans="1:10">
      <c r="A152" s="3">
        <v>45870</v>
      </c>
      <c r="B152" t="s">
        <v>69</v>
      </c>
      <c r="C152" t="s">
        <v>66</v>
      </c>
      <c r="D152" s="4">
        <v>744</v>
      </c>
      <c r="E152" s="5">
        <v>17862</v>
      </c>
      <c r="F152" s="5">
        <v>9157</v>
      </c>
      <c r="G152" s="5">
        <f t="shared" si="6"/>
        <v>8705</v>
      </c>
      <c r="H152" s="5">
        <v>17720</v>
      </c>
      <c r="I152" s="5">
        <f t="shared" si="7"/>
        <v>142</v>
      </c>
      <c r="J152" t="str">
        <f t="shared" si="8"/>
        <v>Above Target</v>
      </c>
    </row>
    <row r="153" spans="1:10">
      <c r="A153" s="3">
        <v>45870</v>
      </c>
      <c r="B153" t="s">
        <v>69</v>
      </c>
      <c r="C153" t="s">
        <v>67</v>
      </c>
      <c r="D153" s="4">
        <v>1955</v>
      </c>
      <c r="E153" s="5">
        <v>9287</v>
      </c>
      <c r="F153" s="5">
        <v>3147</v>
      </c>
      <c r="G153" s="5">
        <f t="shared" si="6"/>
        <v>6140</v>
      </c>
      <c r="H153" s="5">
        <v>9035</v>
      </c>
      <c r="I153" s="5">
        <f t="shared" si="7"/>
        <v>252</v>
      </c>
      <c r="J153" t="str">
        <f t="shared" si="8"/>
        <v>Above Target</v>
      </c>
    </row>
    <row r="154" spans="1:10">
      <c r="A154" s="3">
        <v>45870</v>
      </c>
      <c r="B154" t="s">
        <v>70</v>
      </c>
      <c r="C154" t="s">
        <v>64</v>
      </c>
      <c r="D154" s="4">
        <v>2819</v>
      </c>
      <c r="E154" s="5">
        <v>21149</v>
      </c>
      <c r="F154" s="5">
        <v>10103</v>
      </c>
      <c r="G154" s="5">
        <f t="shared" si="6"/>
        <v>11046</v>
      </c>
      <c r="H154" s="5">
        <v>20864</v>
      </c>
      <c r="I154" s="5">
        <f t="shared" si="7"/>
        <v>285</v>
      </c>
      <c r="J154" t="str">
        <f t="shared" si="8"/>
        <v>Above Target</v>
      </c>
    </row>
    <row r="155" spans="1:10">
      <c r="A155" s="3">
        <v>45870</v>
      </c>
      <c r="B155" t="s">
        <v>70</v>
      </c>
      <c r="C155" t="s">
        <v>65</v>
      </c>
      <c r="D155" s="4">
        <v>3339</v>
      </c>
      <c r="E155" s="5">
        <v>17531</v>
      </c>
      <c r="F155" s="5">
        <v>7226</v>
      </c>
      <c r="G155" s="5">
        <f t="shared" si="6"/>
        <v>10305</v>
      </c>
      <c r="H155" s="5">
        <v>18096</v>
      </c>
      <c r="I155" s="5">
        <f t="shared" si="7"/>
        <v>-565</v>
      </c>
      <c r="J155" t="str">
        <f t="shared" si="8"/>
        <v>Below Target</v>
      </c>
    </row>
    <row r="156" spans="1:10">
      <c r="A156" s="3">
        <v>45870</v>
      </c>
      <c r="B156" t="s">
        <v>70</v>
      </c>
      <c r="C156" t="s">
        <v>66</v>
      </c>
      <c r="D156" s="4">
        <v>876</v>
      </c>
      <c r="E156" s="5">
        <v>21040</v>
      </c>
      <c r="F156" s="5">
        <v>10674</v>
      </c>
      <c r="G156" s="5">
        <f t="shared" si="6"/>
        <v>10366</v>
      </c>
      <c r="H156" s="5">
        <v>21596</v>
      </c>
      <c r="I156" s="5">
        <f t="shared" si="7"/>
        <v>-556</v>
      </c>
      <c r="J156" t="str">
        <f t="shared" si="8"/>
        <v>Below Target</v>
      </c>
    </row>
    <row r="157" spans="1:10">
      <c r="A157" s="3">
        <v>45870</v>
      </c>
      <c r="B157" t="s">
        <v>70</v>
      </c>
      <c r="C157" t="s">
        <v>67</v>
      </c>
      <c r="D157" s="4">
        <v>2429</v>
      </c>
      <c r="E157" s="5">
        <v>11538</v>
      </c>
      <c r="F157" s="5">
        <v>3951</v>
      </c>
      <c r="G157" s="5">
        <f t="shared" si="6"/>
        <v>7587</v>
      </c>
      <c r="H157" s="5">
        <v>11348</v>
      </c>
      <c r="I157" s="5">
        <f t="shared" si="7"/>
        <v>190</v>
      </c>
      <c r="J157" t="str">
        <f t="shared" si="8"/>
        <v>Above Target</v>
      </c>
    </row>
    <row r="158" spans="1:10">
      <c r="A158" s="3">
        <v>45870</v>
      </c>
      <c r="B158" t="s">
        <v>71</v>
      </c>
      <c r="C158" t="s">
        <v>64</v>
      </c>
      <c r="D158" s="4">
        <v>2732</v>
      </c>
      <c r="E158" s="5">
        <v>20495</v>
      </c>
      <c r="F158" s="5">
        <v>9778</v>
      </c>
      <c r="G158" s="5">
        <f t="shared" si="6"/>
        <v>10717</v>
      </c>
      <c r="H158" s="5">
        <v>20314</v>
      </c>
      <c r="I158" s="5">
        <f t="shared" si="7"/>
        <v>181</v>
      </c>
      <c r="J158" t="str">
        <f t="shared" si="8"/>
        <v>Above Target</v>
      </c>
    </row>
    <row r="159" spans="1:10">
      <c r="A159" s="3">
        <v>45870</v>
      </c>
      <c r="B159" t="s">
        <v>71</v>
      </c>
      <c r="C159" t="s">
        <v>65</v>
      </c>
      <c r="D159" s="4">
        <v>3505</v>
      </c>
      <c r="E159" s="5">
        <v>18405</v>
      </c>
      <c r="F159" s="5">
        <v>7831</v>
      </c>
      <c r="G159" s="5">
        <f t="shared" si="6"/>
        <v>10574</v>
      </c>
      <c r="H159" s="5">
        <v>18551</v>
      </c>
      <c r="I159" s="5">
        <f t="shared" si="7"/>
        <v>-146</v>
      </c>
      <c r="J159" t="str">
        <f t="shared" si="8"/>
        <v>Below Target</v>
      </c>
    </row>
    <row r="160" spans="1:10">
      <c r="A160" s="3">
        <v>45870</v>
      </c>
      <c r="B160" t="s">
        <v>71</v>
      </c>
      <c r="C160" t="s">
        <v>66</v>
      </c>
      <c r="D160" s="4">
        <v>1059</v>
      </c>
      <c r="E160" s="5">
        <v>25436</v>
      </c>
      <c r="F160" s="5">
        <v>13188</v>
      </c>
      <c r="G160" s="5">
        <f t="shared" si="6"/>
        <v>12248</v>
      </c>
      <c r="H160" s="5">
        <v>25315</v>
      </c>
      <c r="I160" s="5">
        <f t="shared" si="7"/>
        <v>121</v>
      </c>
      <c r="J160" t="str">
        <f t="shared" si="8"/>
        <v>Above Target</v>
      </c>
    </row>
    <row r="161" spans="1:10">
      <c r="A161" s="3">
        <v>45870</v>
      </c>
      <c r="B161" t="s">
        <v>71</v>
      </c>
      <c r="C161" t="s">
        <v>67</v>
      </c>
      <c r="D161" s="4">
        <v>2633</v>
      </c>
      <c r="E161" s="5">
        <v>12511</v>
      </c>
      <c r="F161" s="5">
        <v>4152</v>
      </c>
      <c r="G161" s="5">
        <f t="shared" si="6"/>
        <v>8359</v>
      </c>
      <c r="H161" s="5">
        <v>12811</v>
      </c>
      <c r="I161" s="5">
        <f t="shared" si="7"/>
        <v>-300</v>
      </c>
      <c r="J161" t="str">
        <f t="shared" si="8"/>
        <v>Below Target</v>
      </c>
    </row>
    <row r="162" spans="1:10">
      <c r="A162" s="3">
        <v>45901</v>
      </c>
      <c r="B162" t="s">
        <v>63</v>
      </c>
      <c r="C162" t="s">
        <v>64</v>
      </c>
      <c r="D162" s="4">
        <v>3570</v>
      </c>
      <c r="E162" s="5">
        <v>26776</v>
      </c>
      <c r="F162" s="5">
        <v>12949</v>
      </c>
      <c r="G162" s="5">
        <f t="shared" si="6"/>
        <v>13827</v>
      </c>
      <c r="H162" s="5">
        <v>28065</v>
      </c>
      <c r="I162" s="5">
        <f t="shared" si="7"/>
        <v>-1289</v>
      </c>
      <c r="J162" t="str">
        <f t="shared" si="8"/>
        <v>Below Target</v>
      </c>
    </row>
    <row r="163" spans="1:10">
      <c r="A163" s="3">
        <v>45901</v>
      </c>
      <c r="B163" t="s">
        <v>63</v>
      </c>
      <c r="C163" t="s">
        <v>65</v>
      </c>
      <c r="D163" s="4">
        <v>4587</v>
      </c>
      <c r="E163" s="5">
        <v>24086</v>
      </c>
      <c r="F163" s="5">
        <v>10245</v>
      </c>
      <c r="G163" s="5">
        <f t="shared" si="6"/>
        <v>13841</v>
      </c>
      <c r="H163" s="5">
        <v>25651</v>
      </c>
      <c r="I163" s="5">
        <f t="shared" si="7"/>
        <v>-1565</v>
      </c>
      <c r="J163" t="str">
        <f t="shared" si="8"/>
        <v>Below Target</v>
      </c>
    </row>
    <row r="164" spans="1:10">
      <c r="A164" s="3">
        <v>45901</v>
      </c>
      <c r="B164" t="s">
        <v>63</v>
      </c>
      <c r="C164" t="s">
        <v>66</v>
      </c>
      <c r="D164" s="4">
        <v>1204</v>
      </c>
      <c r="E164" s="5">
        <v>28912</v>
      </c>
      <c r="F164" s="5">
        <v>14392</v>
      </c>
      <c r="G164" s="5">
        <f t="shared" si="6"/>
        <v>14520</v>
      </c>
      <c r="H164" s="5">
        <v>28485</v>
      </c>
      <c r="I164" s="5">
        <f t="shared" si="7"/>
        <v>427</v>
      </c>
      <c r="J164" t="str">
        <f t="shared" si="8"/>
        <v>Above Target</v>
      </c>
    </row>
    <row r="165" spans="1:10">
      <c r="A165" s="3">
        <v>45901</v>
      </c>
      <c r="B165" t="s">
        <v>63</v>
      </c>
      <c r="C165" t="s">
        <v>67</v>
      </c>
      <c r="D165" s="4">
        <v>3296</v>
      </c>
      <c r="E165" s="5">
        <v>15660</v>
      </c>
      <c r="F165" s="5">
        <v>5370</v>
      </c>
      <c r="G165" s="5">
        <f t="shared" si="6"/>
        <v>10290</v>
      </c>
      <c r="H165" s="5">
        <v>16073</v>
      </c>
      <c r="I165" s="5">
        <f t="shared" si="7"/>
        <v>-413</v>
      </c>
      <c r="J165" t="str">
        <f t="shared" si="8"/>
        <v>Below Target</v>
      </c>
    </row>
    <row r="166" spans="1:10">
      <c r="A166" s="3">
        <v>45901</v>
      </c>
      <c r="B166" t="s">
        <v>68</v>
      </c>
      <c r="C166" t="s">
        <v>64</v>
      </c>
      <c r="D166" s="4">
        <v>3142</v>
      </c>
      <c r="E166" s="5">
        <v>23571</v>
      </c>
      <c r="F166" s="5">
        <v>11465</v>
      </c>
      <c r="G166" s="5">
        <f t="shared" si="6"/>
        <v>12106</v>
      </c>
      <c r="H166" s="5">
        <v>23259</v>
      </c>
      <c r="I166" s="5">
        <f t="shared" si="7"/>
        <v>312</v>
      </c>
      <c r="J166" t="str">
        <f t="shared" si="8"/>
        <v>Above Target</v>
      </c>
    </row>
    <row r="167" spans="1:10">
      <c r="A167" s="3">
        <v>45901</v>
      </c>
      <c r="B167" t="s">
        <v>68</v>
      </c>
      <c r="C167" t="s">
        <v>65</v>
      </c>
      <c r="D167" s="4">
        <v>3793</v>
      </c>
      <c r="E167" s="5">
        <v>19914</v>
      </c>
      <c r="F167" s="5">
        <v>8468</v>
      </c>
      <c r="G167" s="5">
        <f t="shared" si="6"/>
        <v>11446</v>
      </c>
      <c r="H167" s="5">
        <v>19545</v>
      </c>
      <c r="I167" s="5">
        <f t="shared" si="7"/>
        <v>369</v>
      </c>
      <c r="J167" t="str">
        <f t="shared" si="8"/>
        <v>Above Target</v>
      </c>
    </row>
    <row r="168" spans="1:10">
      <c r="A168" s="3">
        <v>45901</v>
      </c>
      <c r="B168" t="s">
        <v>68</v>
      </c>
      <c r="C168" t="s">
        <v>66</v>
      </c>
      <c r="D168" s="4">
        <v>1107</v>
      </c>
      <c r="E168" s="5">
        <v>26581</v>
      </c>
      <c r="F168" s="5">
        <v>13871</v>
      </c>
      <c r="G168" s="5">
        <f t="shared" si="6"/>
        <v>12710</v>
      </c>
      <c r="H168" s="5">
        <v>26071</v>
      </c>
      <c r="I168" s="5">
        <f t="shared" si="7"/>
        <v>510</v>
      </c>
      <c r="J168" t="str">
        <f t="shared" si="8"/>
        <v>Above Target</v>
      </c>
    </row>
    <row r="169" spans="1:10">
      <c r="A169" s="3">
        <v>45901</v>
      </c>
      <c r="B169" t="s">
        <v>68</v>
      </c>
      <c r="C169" t="s">
        <v>67</v>
      </c>
      <c r="D169" s="4">
        <v>2698</v>
      </c>
      <c r="E169" s="5">
        <v>12816</v>
      </c>
      <c r="F169" s="5">
        <v>4316</v>
      </c>
      <c r="G169" s="5">
        <f t="shared" si="6"/>
        <v>8500</v>
      </c>
      <c r="H169" s="5">
        <v>13300</v>
      </c>
      <c r="I169" s="5">
        <f t="shared" si="7"/>
        <v>-484</v>
      </c>
      <c r="J169" t="str">
        <f t="shared" si="8"/>
        <v>Below Target</v>
      </c>
    </row>
    <row r="170" spans="1:10">
      <c r="A170" s="3">
        <v>45901</v>
      </c>
      <c r="B170" t="s">
        <v>69</v>
      </c>
      <c r="C170" t="s">
        <v>64</v>
      </c>
      <c r="D170" s="4">
        <v>2179</v>
      </c>
      <c r="E170" s="5">
        <v>16346</v>
      </c>
      <c r="F170" s="5">
        <v>7930</v>
      </c>
      <c r="G170" s="5">
        <f t="shared" si="6"/>
        <v>8416</v>
      </c>
      <c r="H170" s="5">
        <v>15980</v>
      </c>
      <c r="I170" s="5">
        <f t="shared" si="7"/>
        <v>366</v>
      </c>
      <c r="J170" t="str">
        <f t="shared" si="8"/>
        <v>Above Target</v>
      </c>
    </row>
    <row r="171" spans="1:10">
      <c r="A171" s="3">
        <v>45901</v>
      </c>
      <c r="B171" t="s">
        <v>69</v>
      </c>
      <c r="C171" t="s">
        <v>65</v>
      </c>
      <c r="D171" s="4">
        <v>2796</v>
      </c>
      <c r="E171" s="5">
        <v>14681</v>
      </c>
      <c r="F171" s="5">
        <v>6205</v>
      </c>
      <c r="G171" s="5">
        <f t="shared" si="6"/>
        <v>8476</v>
      </c>
      <c r="H171" s="5">
        <v>14390</v>
      </c>
      <c r="I171" s="5">
        <f t="shared" si="7"/>
        <v>291</v>
      </c>
      <c r="J171" t="str">
        <f t="shared" si="8"/>
        <v>Above Target</v>
      </c>
    </row>
    <row r="172" spans="1:10">
      <c r="A172" s="3">
        <v>45901</v>
      </c>
      <c r="B172" t="s">
        <v>69</v>
      </c>
      <c r="C172" t="s">
        <v>66</v>
      </c>
      <c r="D172" s="4">
        <v>800</v>
      </c>
      <c r="E172" s="5">
        <v>19204</v>
      </c>
      <c r="F172" s="5">
        <v>9966</v>
      </c>
      <c r="G172" s="5">
        <f t="shared" si="6"/>
        <v>9238</v>
      </c>
      <c r="H172" s="5">
        <v>19781</v>
      </c>
      <c r="I172" s="5">
        <f t="shared" si="7"/>
        <v>-577</v>
      </c>
      <c r="J172" t="str">
        <f t="shared" si="8"/>
        <v>Below Target</v>
      </c>
    </row>
    <row r="173" spans="1:10">
      <c r="A173" s="3">
        <v>45901</v>
      </c>
      <c r="B173" t="s">
        <v>69</v>
      </c>
      <c r="C173" t="s">
        <v>67</v>
      </c>
      <c r="D173" s="4">
        <v>1995</v>
      </c>
      <c r="E173" s="5">
        <v>9479</v>
      </c>
      <c r="F173" s="5">
        <v>3301</v>
      </c>
      <c r="G173" s="5">
        <f t="shared" si="6"/>
        <v>6178</v>
      </c>
      <c r="H173" s="5">
        <v>9936</v>
      </c>
      <c r="I173" s="5">
        <f t="shared" si="7"/>
        <v>-457</v>
      </c>
      <c r="J173" t="str">
        <f t="shared" si="8"/>
        <v>Below Target</v>
      </c>
    </row>
    <row r="174" spans="1:10">
      <c r="A174" s="3">
        <v>45901</v>
      </c>
      <c r="B174" t="s">
        <v>70</v>
      </c>
      <c r="C174" t="s">
        <v>64</v>
      </c>
      <c r="D174" s="4">
        <v>2512</v>
      </c>
      <c r="E174" s="5">
        <v>18844</v>
      </c>
      <c r="F174" s="5">
        <v>8987</v>
      </c>
      <c r="G174" s="5">
        <f t="shared" si="6"/>
        <v>9857</v>
      </c>
      <c r="H174" s="5">
        <v>19232</v>
      </c>
      <c r="I174" s="5">
        <f t="shared" si="7"/>
        <v>-388</v>
      </c>
      <c r="J174" t="str">
        <f t="shared" si="8"/>
        <v>Below Target</v>
      </c>
    </row>
    <row r="175" spans="1:10">
      <c r="A175" s="3">
        <v>45901</v>
      </c>
      <c r="B175" t="s">
        <v>70</v>
      </c>
      <c r="C175" t="s">
        <v>65</v>
      </c>
      <c r="D175" s="4">
        <v>3033</v>
      </c>
      <c r="E175" s="5">
        <v>15924</v>
      </c>
      <c r="F175" s="5">
        <v>6805</v>
      </c>
      <c r="G175" s="5">
        <f t="shared" si="6"/>
        <v>9119</v>
      </c>
      <c r="H175" s="5">
        <v>16756</v>
      </c>
      <c r="I175" s="5">
        <f t="shared" si="7"/>
        <v>-832</v>
      </c>
      <c r="J175" t="str">
        <f t="shared" si="8"/>
        <v>Below Target</v>
      </c>
    </row>
    <row r="176" spans="1:10">
      <c r="A176" s="3">
        <v>45901</v>
      </c>
      <c r="B176" t="s">
        <v>70</v>
      </c>
      <c r="C176" t="s">
        <v>66</v>
      </c>
      <c r="D176" s="4">
        <v>823</v>
      </c>
      <c r="E176" s="5">
        <v>19773</v>
      </c>
      <c r="F176" s="5">
        <v>10317</v>
      </c>
      <c r="G176" s="5">
        <f t="shared" si="6"/>
        <v>9456</v>
      </c>
      <c r="H176" s="5">
        <v>20437</v>
      </c>
      <c r="I176" s="5">
        <f t="shared" si="7"/>
        <v>-664</v>
      </c>
      <c r="J176" t="str">
        <f t="shared" si="8"/>
        <v>Below Target</v>
      </c>
    </row>
    <row r="177" spans="1:10">
      <c r="A177" s="3">
        <v>45901</v>
      </c>
      <c r="B177" t="s">
        <v>70</v>
      </c>
      <c r="C177" t="s">
        <v>67</v>
      </c>
      <c r="D177" s="4">
        <v>2564</v>
      </c>
      <c r="E177" s="5">
        <v>12182</v>
      </c>
      <c r="F177" s="5">
        <v>4185</v>
      </c>
      <c r="G177" s="5">
        <f t="shared" si="6"/>
        <v>7997</v>
      </c>
      <c r="H177" s="5">
        <v>12347</v>
      </c>
      <c r="I177" s="5">
        <f t="shared" si="7"/>
        <v>-165</v>
      </c>
      <c r="J177" t="str">
        <f t="shared" si="8"/>
        <v>Below Target</v>
      </c>
    </row>
    <row r="178" spans="1:10">
      <c r="A178" s="3">
        <v>45901</v>
      </c>
      <c r="B178" t="s">
        <v>71</v>
      </c>
      <c r="C178" t="s">
        <v>64</v>
      </c>
      <c r="D178" s="4">
        <v>3025</v>
      </c>
      <c r="E178" s="5">
        <v>22688</v>
      </c>
      <c r="F178" s="5">
        <v>10765</v>
      </c>
      <c r="G178" s="5">
        <f t="shared" si="6"/>
        <v>11923</v>
      </c>
      <c r="H178" s="5">
        <v>23841</v>
      </c>
      <c r="I178" s="5">
        <f t="shared" si="7"/>
        <v>-1153</v>
      </c>
      <c r="J178" t="str">
        <f t="shared" si="8"/>
        <v>Below Target</v>
      </c>
    </row>
    <row r="179" spans="1:10">
      <c r="A179" s="3">
        <v>45901</v>
      </c>
      <c r="B179" t="s">
        <v>71</v>
      </c>
      <c r="C179" t="s">
        <v>65</v>
      </c>
      <c r="D179" s="4">
        <v>3468</v>
      </c>
      <c r="E179" s="5">
        <v>18210</v>
      </c>
      <c r="F179" s="5">
        <v>7642</v>
      </c>
      <c r="G179" s="5">
        <f t="shared" si="6"/>
        <v>10568</v>
      </c>
      <c r="H179" s="5">
        <v>18457</v>
      </c>
      <c r="I179" s="5">
        <f t="shared" si="7"/>
        <v>-247</v>
      </c>
      <c r="J179" t="str">
        <f t="shared" si="8"/>
        <v>Below Target</v>
      </c>
    </row>
    <row r="180" spans="1:10">
      <c r="A180" s="3">
        <v>45901</v>
      </c>
      <c r="B180" t="s">
        <v>71</v>
      </c>
      <c r="C180" t="s">
        <v>66</v>
      </c>
      <c r="D180" s="4">
        <v>1010</v>
      </c>
      <c r="E180" s="5">
        <v>24242</v>
      </c>
      <c r="F180" s="5">
        <v>12220</v>
      </c>
      <c r="G180" s="5">
        <f t="shared" si="6"/>
        <v>12022</v>
      </c>
      <c r="H180" s="5">
        <v>25579</v>
      </c>
      <c r="I180" s="5">
        <f t="shared" si="7"/>
        <v>-1337</v>
      </c>
      <c r="J180" t="str">
        <f t="shared" si="8"/>
        <v>Below Target</v>
      </c>
    </row>
    <row r="181" spans="1:10">
      <c r="A181" s="3">
        <v>45901</v>
      </c>
      <c r="B181" t="s">
        <v>71</v>
      </c>
      <c r="C181" t="s">
        <v>67</v>
      </c>
      <c r="D181" s="4">
        <v>2841</v>
      </c>
      <c r="E181" s="5">
        <v>13499</v>
      </c>
      <c r="F181" s="5">
        <v>4495</v>
      </c>
      <c r="G181" s="5">
        <f t="shared" si="6"/>
        <v>9004</v>
      </c>
      <c r="H181" s="5">
        <v>14284</v>
      </c>
      <c r="I181" s="5">
        <f t="shared" si="7"/>
        <v>-785</v>
      </c>
      <c r="J181" t="str">
        <f t="shared" si="8"/>
        <v>Below Target</v>
      </c>
    </row>
    <row r="182" spans="1:10">
      <c r="A182" s="3">
        <v>45931</v>
      </c>
      <c r="B182" t="s">
        <v>63</v>
      </c>
      <c r="C182" t="s">
        <v>64</v>
      </c>
      <c r="D182" s="4">
        <v>3327</v>
      </c>
      <c r="E182" s="5">
        <v>24955</v>
      </c>
      <c r="F182" s="5">
        <v>12044</v>
      </c>
      <c r="G182" s="5">
        <f t="shared" si="6"/>
        <v>12911</v>
      </c>
      <c r="H182" s="5">
        <v>25152</v>
      </c>
      <c r="I182" s="5">
        <f t="shared" si="7"/>
        <v>-197</v>
      </c>
      <c r="J182" t="str">
        <f t="shared" si="8"/>
        <v>Below Target</v>
      </c>
    </row>
    <row r="183" spans="1:10">
      <c r="A183" s="3">
        <v>45931</v>
      </c>
      <c r="B183" t="s">
        <v>63</v>
      </c>
      <c r="C183" t="s">
        <v>65</v>
      </c>
      <c r="D183" s="4">
        <v>3788</v>
      </c>
      <c r="E183" s="5">
        <v>19890</v>
      </c>
      <c r="F183" s="5">
        <v>8500</v>
      </c>
      <c r="G183" s="5">
        <f t="shared" si="6"/>
        <v>11390</v>
      </c>
      <c r="H183" s="5">
        <v>19655</v>
      </c>
      <c r="I183" s="5">
        <f t="shared" si="7"/>
        <v>235</v>
      </c>
      <c r="J183" t="str">
        <f t="shared" si="8"/>
        <v>Above Target</v>
      </c>
    </row>
    <row r="184" spans="1:10">
      <c r="A184" s="3">
        <v>45931</v>
      </c>
      <c r="B184" t="s">
        <v>63</v>
      </c>
      <c r="C184" t="s">
        <v>66</v>
      </c>
      <c r="D184" s="4">
        <v>1104</v>
      </c>
      <c r="E184" s="5">
        <v>26506</v>
      </c>
      <c r="F184" s="5">
        <v>13719</v>
      </c>
      <c r="G184" s="5">
        <f t="shared" si="6"/>
        <v>12787</v>
      </c>
      <c r="H184" s="5">
        <v>26613</v>
      </c>
      <c r="I184" s="5">
        <f t="shared" si="7"/>
        <v>-107</v>
      </c>
      <c r="J184" t="str">
        <f t="shared" si="8"/>
        <v>Below Target</v>
      </c>
    </row>
    <row r="185" spans="1:10">
      <c r="A185" s="3">
        <v>45931</v>
      </c>
      <c r="B185" t="s">
        <v>63</v>
      </c>
      <c r="C185" t="s">
        <v>67</v>
      </c>
      <c r="D185" s="4">
        <v>3403</v>
      </c>
      <c r="E185" s="5">
        <v>16165</v>
      </c>
      <c r="F185" s="5">
        <v>5551</v>
      </c>
      <c r="G185" s="5">
        <f t="shared" si="6"/>
        <v>10614</v>
      </c>
      <c r="H185" s="5">
        <v>16127</v>
      </c>
      <c r="I185" s="5">
        <f t="shared" si="7"/>
        <v>38</v>
      </c>
      <c r="J185" t="str">
        <f t="shared" si="8"/>
        <v>Above Target</v>
      </c>
    </row>
    <row r="186" spans="1:10">
      <c r="A186" s="3">
        <v>45931</v>
      </c>
      <c r="B186" t="s">
        <v>68</v>
      </c>
      <c r="C186" t="s">
        <v>64</v>
      </c>
      <c r="D186" s="4">
        <v>3180</v>
      </c>
      <c r="E186" s="5">
        <v>23851</v>
      </c>
      <c r="F186" s="5">
        <v>11211</v>
      </c>
      <c r="G186" s="5">
        <f t="shared" si="6"/>
        <v>12640</v>
      </c>
      <c r="H186" s="5">
        <v>24853</v>
      </c>
      <c r="I186" s="5">
        <f t="shared" si="7"/>
        <v>-1002</v>
      </c>
      <c r="J186" t="str">
        <f t="shared" si="8"/>
        <v>Below Target</v>
      </c>
    </row>
    <row r="187" spans="1:10">
      <c r="A187" s="3">
        <v>45931</v>
      </c>
      <c r="B187" t="s">
        <v>68</v>
      </c>
      <c r="C187" t="s">
        <v>65</v>
      </c>
      <c r="D187" s="4">
        <v>3626</v>
      </c>
      <c r="E187" s="5">
        <v>19041</v>
      </c>
      <c r="F187" s="5">
        <v>8100</v>
      </c>
      <c r="G187" s="5">
        <f t="shared" si="6"/>
        <v>10941</v>
      </c>
      <c r="H187" s="5">
        <v>19785</v>
      </c>
      <c r="I187" s="5">
        <f t="shared" si="7"/>
        <v>-744</v>
      </c>
      <c r="J187" t="str">
        <f t="shared" si="8"/>
        <v>Below Target</v>
      </c>
    </row>
    <row r="188" spans="1:10">
      <c r="A188" s="3">
        <v>45931</v>
      </c>
      <c r="B188" t="s">
        <v>68</v>
      </c>
      <c r="C188" t="s">
        <v>66</v>
      </c>
      <c r="D188" s="4">
        <v>1050</v>
      </c>
      <c r="E188" s="5">
        <v>25215</v>
      </c>
      <c r="F188" s="5">
        <v>12854</v>
      </c>
      <c r="G188" s="5">
        <f t="shared" si="6"/>
        <v>12361</v>
      </c>
      <c r="H188" s="5">
        <v>26458</v>
      </c>
      <c r="I188" s="5">
        <f t="shared" si="7"/>
        <v>-1243</v>
      </c>
      <c r="J188" t="str">
        <f t="shared" si="8"/>
        <v>Below Target</v>
      </c>
    </row>
    <row r="189" spans="1:10">
      <c r="A189" s="3">
        <v>45931</v>
      </c>
      <c r="B189" t="s">
        <v>68</v>
      </c>
      <c r="C189" t="s">
        <v>67</v>
      </c>
      <c r="D189" s="4">
        <v>2659</v>
      </c>
      <c r="E189" s="5">
        <v>12632</v>
      </c>
      <c r="F189" s="5">
        <v>4235</v>
      </c>
      <c r="G189" s="5">
        <f t="shared" si="6"/>
        <v>8397</v>
      </c>
      <c r="H189" s="5">
        <v>13127</v>
      </c>
      <c r="I189" s="5">
        <f t="shared" si="7"/>
        <v>-495</v>
      </c>
      <c r="J189" t="str">
        <f t="shared" si="8"/>
        <v>Below Target</v>
      </c>
    </row>
    <row r="190" spans="1:10">
      <c r="A190" s="3">
        <v>45931</v>
      </c>
      <c r="B190" t="s">
        <v>69</v>
      </c>
      <c r="C190" t="s">
        <v>64</v>
      </c>
      <c r="D190" s="4">
        <v>2079</v>
      </c>
      <c r="E190" s="5">
        <v>15595</v>
      </c>
      <c r="F190" s="5">
        <v>7476</v>
      </c>
      <c r="G190" s="5">
        <f t="shared" si="6"/>
        <v>8119</v>
      </c>
      <c r="H190" s="5">
        <v>15955</v>
      </c>
      <c r="I190" s="5">
        <f t="shared" si="7"/>
        <v>-360</v>
      </c>
      <c r="J190" t="str">
        <f t="shared" si="8"/>
        <v>Below Target</v>
      </c>
    </row>
    <row r="191" spans="1:10">
      <c r="A191" s="3">
        <v>45931</v>
      </c>
      <c r="B191" t="s">
        <v>69</v>
      </c>
      <c r="C191" t="s">
        <v>65</v>
      </c>
      <c r="D191" s="4">
        <v>2483</v>
      </c>
      <c r="E191" s="5">
        <v>13037</v>
      </c>
      <c r="F191" s="5">
        <v>5543</v>
      </c>
      <c r="G191" s="5">
        <f t="shared" si="6"/>
        <v>7494</v>
      </c>
      <c r="H191" s="5">
        <v>13077</v>
      </c>
      <c r="I191" s="5">
        <f t="shared" si="7"/>
        <v>-40</v>
      </c>
      <c r="J191" t="str">
        <f t="shared" si="8"/>
        <v>Below Target</v>
      </c>
    </row>
    <row r="192" spans="1:10">
      <c r="A192" s="3">
        <v>45931</v>
      </c>
      <c r="B192" t="s">
        <v>69</v>
      </c>
      <c r="C192" t="s">
        <v>66</v>
      </c>
      <c r="D192" s="4">
        <v>733</v>
      </c>
      <c r="E192" s="5">
        <v>17596</v>
      </c>
      <c r="F192" s="5">
        <v>8871</v>
      </c>
      <c r="G192" s="5">
        <f t="shared" si="6"/>
        <v>8725</v>
      </c>
      <c r="H192" s="5">
        <v>17510</v>
      </c>
      <c r="I192" s="5">
        <f t="shared" si="7"/>
        <v>86</v>
      </c>
      <c r="J192" t="str">
        <f t="shared" si="8"/>
        <v>Above Target</v>
      </c>
    </row>
    <row r="193" spans="1:10">
      <c r="A193" s="3">
        <v>45931</v>
      </c>
      <c r="B193" t="s">
        <v>69</v>
      </c>
      <c r="C193" t="s">
        <v>67</v>
      </c>
      <c r="D193" s="4">
        <v>1848</v>
      </c>
      <c r="E193" s="5">
        <v>8779</v>
      </c>
      <c r="F193" s="5">
        <v>2939</v>
      </c>
      <c r="G193" s="5">
        <f t="shared" si="6"/>
        <v>5840</v>
      </c>
      <c r="H193" s="5">
        <v>8621</v>
      </c>
      <c r="I193" s="5">
        <f t="shared" si="7"/>
        <v>158</v>
      </c>
      <c r="J193" t="str">
        <f t="shared" si="8"/>
        <v>Above Target</v>
      </c>
    </row>
    <row r="194" spans="1:10">
      <c r="A194" s="3">
        <v>45931</v>
      </c>
      <c r="B194" t="s">
        <v>70</v>
      </c>
      <c r="C194" t="s">
        <v>64</v>
      </c>
      <c r="D194" s="4">
        <v>2709</v>
      </c>
      <c r="E194" s="5">
        <v>20318</v>
      </c>
      <c r="F194" s="5">
        <v>9599</v>
      </c>
      <c r="G194" s="5">
        <f t="shared" ref="G194:G257" si="9">E194-F194</f>
        <v>10719</v>
      </c>
      <c r="H194" s="5">
        <v>20148</v>
      </c>
      <c r="I194" s="5">
        <f t="shared" ref="I194:I257" si="10">E194-H194</f>
        <v>170</v>
      </c>
      <c r="J194" t="str">
        <f t="shared" ref="J194:J257" si="11">IF(I194&gt;=0,"Above Target","Below Target")</f>
        <v>Above Target</v>
      </c>
    </row>
    <row r="195" spans="1:10">
      <c r="A195" s="3">
        <v>45931</v>
      </c>
      <c r="B195" t="s">
        <v>70</v>
      </c>
      <c r="C195" t="s">
        <v>65</v>
      </c>
      <c r="D195" s="4">
        <v>3175</v>
      </c>
      <c r="E195" s="5">
        <v>16672</v>
      </c>
      <c r="F195" s="5">
        <v>7081</v>
      </c>
      <c r="G195" s="5">
        <f t="shared" si="9"/>
        <v>9591</v>
      </c>
      <c r="H195" s="5">
        <v>17800</v>
      </c>
      <c r="I195" s="5">
        <f t="shared" si="10"/>
        <v>-1128</v>
      </c>
      <c r="J195" t="str">
        <f t="shared" si="11"/>
        <v>Below Target</v>
      </c>
    </row>
    <row r="196" spans="1:10">
      <c r="A196" s="3">
        <v>45931</v>
      </c>
      <c r="B196" t="s">
        <v>70</v>
      </c>
      <c r="C196" t="s">
        <v>66</v>
      </c>
      <c r="D196" s="4">
        <v>903</v>
      </c>
      <c r="E196" s="5">
        <v>21674</v>
      </c>
      <c r="F196" s="5">
        <v>10934</v>
      </c>
      <c r="G196" s="5">
        <f t="shared" si="9"/>
        <v>10740</v>
      </c>
      <c r="H196" s="5">
        <v>21242</v>
      </c>
      <c r="I196" s="5">
        <f t="shared" si="10"/>
        <v>432</v>
      </c>
      <c r="J196" t="str">
        <f t="shared" si="11"/>
        <v>Above Target</v>
      </c>
    </row>
    <row r="197" spans="1:10">
      <c r="A197" s="3">
        <v>45931</v>
      </c>
      <c r="B197" t="s">
        <v>70</v>
      </c>
      <c r="C197" t="s">
        <v>67</v>
      </c>
      <c r="D197" s="4">
        <v>2370</v>
      </c>
      <c r="E197" s="5">
        <v>11260</v>
      </c>
      <c r="F197" s="5">
        <v>3776</v>
      </c>
      <c r="G197" s="5">
        <f t="shared" si="9"/>
        <v>7484</v>
      </c>
      <c r="H197" s="5">
        <v>11124</v>
      </c>
      <c r="I197" s="5">
        <f t="shared" si="10"/>
        <v>136</v>
      </c>
      <c r="J197" t="str">
        <f t="shared" si="11"/>
        <v>Above Target</v>
      </c>
    </row>
    <row r="198" spans="1:10">
      <c r="A198" s="3">
        <v>45931</v>
      </c>
      <c r="B198" t="s">
        <v>71</v>
      </c>
      <c r="C198" t="s">
        <v>64</v>
      </c>
      <c r="D198" s="4">
        <v>2594</v>
      </c>
      <c r="E198" s="5">
        <v>19456</v>
      </c>
      <c r="F198" s="5">
        <v>9233</v>
      </c>
      <c r="G198" s="5">
        <f t="shared" si="9"/>
        <v>10223</v>
      </c>
      <c r="H198" s="5">
        <v>20768</v>
      </c>
      <c r="I198" s="5">
        <f t="shared" si="10"/>
        <v>-1312</v>
      </c>
      <c r="J198" t="str">
        <f t="shared" si="11"/>
        <v>Below Target</v>
      </c>
    </row>
    <row r="199" spans="1:10">
      <c r="A199" s="3">
        <v>45931</v>
      </c>
      <c r="B199" t="s">
        <v>71</v>
      </c>
      <c r="C199" t="s">
        <v>65</v>
      </c>
      <c r="D199" s="4">
        <v>3186</v>
      </c>
      <c r="E199" s="5">
        <v>16728</v>
      </c>
      <c r="F199" s="5">
        <v>7095</v>
      </c>
      <c r="G199" s="5">
        <f t="shared" si="9"/>
        <v>9633</v>
      </c>
      <c r="H199" s="5">
        <v>16437</v>
      </c>
      <c r="I199" s="5">
        <f t="shared" si="10"/>
        <v>291</v>
      </c>
      <c r="J199" t="str">
        <f t="shared" si="11"/>
        <v>Above Target</v>
      </c>
    </row>
    <row r="200" spans="1:10">
      <c r="A200" s="3">
        <v>45931</v>
      </c>
      <c r="B200" t="s">
        <v>71</v>
      </c>
      <c r="C200" t="s">
        <v>66</v>
      </c>
      <c r="D200" s="4">
        <v>945</v>
      </c>
      <c r="E200" s="5">
        <v>22687</v>
      </c>
      <c r="F200" s="5">
        <v>11565</v>
      </c>
      <c r="G200" s="5">
        <f t="shared" si="9"/>
        <v>11122</v>
      </c>
      <c r="H200" s="5">
        <v>23986</v>
      </c>
      <c r="I200" s="5">
        <f t="shared" si="10"/>
        <v>-1299</v>
      </c>
      <c r="J200" t="str">
        <f t="shared" si="11"/>
        <v>Below Target</v>
      </c>
    </row>
    <row r="201" spans="1:10">
      <c r="A201" s="3">
        <v>45931</v>
      </c>
      <c r="B201" t="s">
        <v>71</v>
      </c>
      <c r="C201" t="s">
        <v>67</v>
      </c>
      <c r="D201" s="4">
        <v>2502</v>
      </c>
      <c r="E201" s="5">
        <v>11888</v>
      </c>
      <c r="F201" s="5">
        <v>4036</v>
      </c>
      <c r="G201" s="5">
        <f t="shared" si="9"/>
        <v>7852</v>
      </c>
      <c r="H201" s="5">
        <v>12055</v>
      </c>
      <c r="I201" s="5">
        <f t="shared" si="10"/>
        <v>-167</v>
      </c>
      <c r="J201" t="str">
        <f t="shared" si="11"/>
        <v>Below Target</v>
      </c>
    </row>
    <row r="202" spans="1:10">
      <c r="A202" s="3">
        <v>45962</v>
      </c>
      <c r="B202" t="s">
        <v>63</v>
      </c>
      <c r="C202" t="s">
        <v>64</v>
      </c>
      <c r="D202" s="4">
        <v>3638</v>
      </c>
      <c r="E202" s="5">
        <v>27287</v>
      </c>
      <c r="F202" s="5">
        <v>13387</v>
      </c>
      <c r="G202" s="5">
        <f t="shared" si="9"/>
        <v>13900</v>
      </c>
      <c r="H202" s="5">
        <v>27772</v>
      </c>
      <c r="I202" s="5">
        <f t="shared" si="10"/>
        <v>-485</v>
      </c>
      <c r="J202" t="str">
        <f t="shared" si="11"/>
        <v>Below Target</v>
      </c>
    </row>
    <row r="203" spans="1:10">
      <c r="A203" s="3">
        <v>45962</v>
      </c>
      <c r="B203" t="s">
        <v>63</v>
      </c>
      <c r="C203" t="s">
        <v>65</v>
      </c>
      <c r="D203" s="4">
        <v>5046</v>
      </c>
      <c r="E203" s="5">
        <v>26496</v>
      </c>
      <c r="F203" s="5">
        <v>11073</v>
      </c>
      <c r="G203" s="5">
        <f t="shared" si="9"/>
        <v>15423</v>
      </c>
      <c r="H203" s="5">
        <v>25897</v>
      </c>
      <c r="I203" s="5">
        <f t="shared" si="10"/>
        <v>599</v>
      </c>
      <c r="J203" t="str">
        <f t="shared" si="11"/>
        <v>Above Target</v>
      </c>
    </row>
    <row r="204" spans="1:10">
      <c r="A204" s="3">
        <v>45962</v>
      </c>
      <c r="B204" t="s">
        <v>63</v>
      </c>
      <c r="C204" t="s">
        <v>66</v>
      </c>
      <c r="D204" s="4">
        <v>1384</v>
      </c>
      <c r="E204" s="5">
        <v>33221</v>
      </c>
      <c r="F204" s="5">
        <v>16565</v>
      </c>
      <c r="G204" s="5">
        <f t="shared" si="9"/>
        <v>16656</v>
      </c>
      <c r="H204" s="5">
        <v>32720</v>
      </c>
      <c r="I204" s="5">
        <f t="shared" si="10"/>
        <v>501</v>
      </c>
      <c r="J204" t="str">
        <f t="shared" si="11"/>
        <v>Above Target</v>
      </c>
    </row>
    <row r="205" spans="1:10">
      <c r="A205" s="3">
        <v>45962</v>
      </c>
      <c r="B205" t="s">
        <v>63</v>
      </c>
      <c r="C205" t="s">
        <v>67</v>
      </c>
      <c r="D205" s="4">
        <v>3795</v>
      </c>
      <c r="E205" s="5">
        <v>18028</v>
      </c>
      <c r="F205" s="5">
        <v>6069</v>
      </c>
      <c r="G205" s="5">
        <f t="shared" si="9"/>
        <v>11959</v>
      </c>
      <c r="H205" s="5">
        <v>19279</v>
      </c>
      <c r="I205" s="5">
        <f t="shared" si="10"/>
        <v>-1251</v>
      </c>
      <c r="J205" t="str">
        <f t="shared" si="11"/>
        <v>Below Target</v>
      </c>
    </row>
    <row r="206" spans="1:10">
      <c r="A206" s="3">
        <v>45962</v>
      </c>
      <c r="B206" t="s">
        <v>68</v>
      </c>
      <c r="C206" t="s">
        <v>64</v>
      </c>
      <c r="D206" s="4">
        <v>3699</v>
      </c>
      <c r="E206" s="5">
        <v>27748</v>
      </c>
      <c r="F206" s="5">
        <v>13390</v>
      </c>
      <c r="G206" s="5">
        <f t="shared" si="9"/>
        <v>14358</v>
      </c>
      <c r="H206" s="5">
        <v>29110</v>
      </c>
      <c r="I206" s="5">
        <f t="shared" si="10"/>
        <v>-1362</v>
      </c>
      <c r="J206" t="str">
        <f t="shared" si="11"/>
        <v>Below Target</v>
      </c>
    </row>
    <row r="207" spans="1:10">
      <c r="A207" s="3">
        <v>45962</v>
      </c>
      <c r="B207" t="s">
        <v>68</v>
      </c>
      <c r="C207" t="s">
        <v>65</v>
      </c>
      <c r="D207" s="4">
        <v>4155</v>
      </c>
      <c r="E207" s="5">
        <v>21817</v>
      </c>
      <c r="F207" s="5">
        <v>9173</v>
      </c>
      <c r="G207" s="5">
        <f t="shared" si="9"/>
        <v>12644</v>
      </c>
      <c r="H207" s="5">
        <v>22145</v>
      </c>
      <c r="I207" s="5">
        <f t="shared" si="10"/>
        <v>-328</v>
      </c>
      <c r="J207" t="str">
        <f t="shared" si="11"/>
        <v>Below Target</v>
      </c>
    </row>
    <row r="208" spans="1:10">
      <c r="A208" s="3">
        <v>45962</v>
      </c>
      <c r="B208" t="s">
        <v>68</v>
      </c>
      <c r="C208" t="s">
        <v>66</v>
      </c>
      <c r="D208" s="4">
        <v>1216</v>
      </c>
      <c r="E208" s="5">
        <v>29204</v>
      </c>
      <c r="F208" s="5">
        <v>15162</v>
      </c>
      <c r="G208" s="5">
        <f t="shared" si="9"/>
        <v>14042</v>
      </c>
      <c r="H208" s="5">
        <v>31219</v>
      </c>
      <c r="I208" s="5">
        <f t="shared" si="10"/>
        <v>-2015</v>
      </c>
      <c r="J208" t="str">
        <f t="shared" si="11"/>
        <v>Below Target</v>
      </c>
    </row>
    <row r="209" spans="1:10">
      <c r="A209" s="3">
        <v>45962</v>
      </c>
      <c r="B209" t="s">
        <v>68</v>
      </c>
      <c r="C209" t="s">
        <v>67</v>
      </c>
      <c r="D209" s="4">
        <v>3296</v>
      </c>
      <c r="E209" s="5">
        <v>15660</v>
      </c>
      <c r="F209" s="5">
        <v>5357</v>
      </c>
      <c r="G209" s="5">
        <f t="shared" si="9"/>
        <v>10303</v>
      </c>
      <c r="H209" s="5">
        <v>16145</v>
      </c>
      <c r="I209" s="5">
        <f t="shared" si="10"/>
        <v>-485</v>
      </c>
      <c r="J209" t="str">
        <f t="shared" si="11"/>
        <v>Below Target</v>
      </c>
    </row>
    <row r="210" spans="1:10">
      <c r="A210" s="3">
        <v>45962</v>
      </c>
      <c r="B210" t="s">
        <v>69</v>
      </c>
      <c r="C210" t="s">
        <v>64</v>
      </c>
      <c r="D210" s="4">
        <v>2733</v>
      </c>
      <c r="E210" s="5">
        <v>20498</v>
      </c>
      <c r="F210" s="5">
        <v>9695</v>
      </c>
      <c r="G210" s="5">
        <f t="shared" si="9"/>
        <v>10803</v>
      </c>
      <c r="H210" s="5">
        <v>20316</v>
      </c>
      <c r="I210" s="5">
        <f t="shared" si="10"/>
        <v>182</v>
      </c>
      <c r="J210" t="str">
        <f t="shared" si="11"/>
        <v>Above Target</v>
      </c>
    </row>
    <row r="211" spans="1:10">
      <c r="A211" s="3">
        <v>45962</v>
      </c>
      <c r="B211" t="s">
        <v>69</v>
      </c>
      <c r="C211" t="s">
        <v>65</v>
      </c>
      <c r="D211" s="4">
        <v>3203</v>
      </c>
      <c r="E211" s="5">
        <v>16816</v>
      </c>
      <c r="F211" s="5">
        <v>6942</v>
      </c>
      <c r="G211" s="5">
        <f t="shared" si="9"/>
        <v>9874</v>
      </c>
      <c r="H211" s="5">
        <v>16604</v>
      </c>
      <c r="I211" s="5">
        <f t="shared" si="10"/>
        <v>212</v>
      </c>
      <c r="J211" t="str">
        <f t="shared" si="11"/>
        <v>Above Target</v>
      </c>
    </row>
    <row r="212" spans="1:10">
      <c r="A212" s="3">
        <v>45962</v>
      </c>
      <c r="B212" t="s">
        <v>69</v>
      </c>
      <c r="C212" t="s">
        <v>66</v>
      </c>
      <c r="D212" s="4">
        <v>822</v>
      </c>
      <c r="E212" s="5">
        <v>19738</v>
      </c>
      <c r="F212" s="5">
        <v>9816</v>
      </c>
      <c r="G212" s="5">
        <f t="shared" si="9"/>
        <v>9922</v>
      </c>
      <c r="H212" s="5">
        <v>20035</v>
      </c>
      <c r="I212" s="5">
        <f t="shared" si="10"/>
        <v>-297</v>
      </c>
      <c r="J212" t="str">
        <f t="shared" si="11"/>
        <v>Below Target</v>
      </c>
    </row>
    <row r="213" spans="1:10">
      <c r="A213" s="3">
        <v>45962</v>
      </c>
      <c r="B213" t="s">
        <v>69</v>
      </c>
      <c r="C213" t="s">
        <v>67</v>
      </c>
      <c r="D213" s="4">
        <v>2481</v>
      </c>
      <c r="E213" s="5">
        <v>11788</v>
      </c>
      <c r="F213" s="5">
        <v>3966</v>
      </c>
      <c r="G213" s="5">
        <f t="shared" si="9"/>
        <v>7822</v>
      </c>
      <c r="H213" s="5">
        <v>11707</v>
      </c>
      <c r="I213" s="5">
        <f t="shared" si="10"/>
        <v>81</v>
      </c>
      <c r="J213" t="str">
        <f t="shared" si="11"/>
        <v>Above Target</v>
      </c>
    </row>
    <row r="214" spans="1:10">
      <c r="A214" s="3">
        <v>45962</v>
      </c>
      <c r="B214" t="s">
        <v>70</v>
      </c>
      <c r="C214" t="s">
        <v>64</v>
      </c>
      <c r="D214" s="4">
        <v>3232</v>
      </c>
      <c r="E214" s="5">
        <v>24240</v>
      </c>
      <c r="F214" s="5">
        <v>11608</v>
      </c>
      <c r="G214" s="5">
        <f t="shared" si="9"/>
        <v>12632</v>
      </c>
      <c r="H214" s="5">
        <v>25179</v>
      </c>
      <c r="I214" s="5">
        <f t="shared" si="10"/>
        <v>-939</v>
      </c>
      <c r="J214" t="str">
        <f t="shared" si="11"/>
        <v>Below Target</v>
      </c>
    </row>
    <row r="215" spans="1:10">
      <c r="A215" s="3">
        <v>45962</v>
      </c>
      <c r="B215" t="s">
        <v>70</v>
      </c>
      <c r="C215" t="s">
        <v>65</v>
      </c>
      <c r="D215" s="4">
        <v>4093</v>
      </c>
      <c r="E215" s="5">
        <v>21489</v>
      </c>
      <c r="F215" s="5">
        <v>9155</v>
      </c>
      <c r="G215" s="5">
        <f t="shared" si="9"/>
        <v>12334</v>
      </c>
      <c r="H215" s="5">
        <v>22188</v>
      </c>
      <c r="I215" s="5">
        <f t="shared" si="10"/>
        <v>-699</v>
      </c>
      <c r="J215" t="str">
        <f t="shared" si="11"/>
        <v>Below Target</v>
      </c>
    </row>
    <row r="216" spans="1:10">
      <c r="A216" s="3">
        <v>45962</v>
      </c>
      <c r="B216" t="s">
        <v>70</v>
      </c>
      <c r="C216" t="s">
        <v>66</v>
      </c>
      <c r="D216" s="4">
        <v>1111</v>
      </c>
      <c r="E216" s="5">
        <v>26664</v>
      </c>
      <c r="F216" s="5">
        <v>13894</v>
      </c>
      <c r="G216" s="5">
        <f t="shared" si="9"/>
        <v>12770</v>
      </c>
      <c r="H216" s="5">
        <v>26998</v>
      </c>
      <c r="I216" s="5">
        <f t="shared" si="10"/>
        <v>-334</v>
      </c>
      <c r="J216" t="str">
        <f t="shared" si="11"/>
        <v>Below Target</v>
      </c>
    </row>
    <row r="217" spans="1:10">
      <c r="A217" s="3">
        <v>45962</v>
      </c>
      <c r="B217" t="s">
        <v>70</v>
      </c>
      <c r="C217" t="s">
        <v>67</v>
      </c>
      <c r="D217" s="4">
        <v>3022</v>
      </c>
      <c r="E217" s="5">
        <v>14356</v>
      </c>
      <c r="F217" s="5">
        <v>4917</v>
      </c>
      <c r="G217" s="5">
        <f t="shared" si="9"/>
        <v>9439</v>
      </c>
      <c r="H217" s="5">
        <v>15229</v>
      </c>
      <c r="I217" s="5">
        <f t="shared" si="10"/>
        <v>-873</v>
      </c>
      <c r="J217" t="str">
        <f t="shared" si="11"/>
        <v>Below Target</v>
      </c>
    </row>
    <row r="218" spans="1:10">
      <c r="A218" s="3">
        <v>45962</v>
      </c>
      <c r="B218" t="s">
        <v>71</v>
      </c>
      <c r="C218" t="s">
        <v>64</v>
      </c>
      <c r="D218" s="4">
        <v>3127</v>
      </c>
      <c r="E218" s="5">
        <v>23458</v>
      </c>
      <c r="F218" s="5">
        <v>11072</v>
      </c>
      <c r="G218" s="5">
        <f t="shared" si="9"/>
        <v>12386</v>
      </c>
      <c r="H218" s="5">
        <v>23476</v>
      </c>
      <c r="I218" s="5">
        <f t="shared" si="10"/>
        <v>-18</v>
      </c>
      <c r="J218" t="str">
        <f t="shared" si="11"/>
        <v>Below Target</v>
      </c>
    </row>
    <row r="219" spans="1:10">
      <c r="A219" s="3">
        <v>45962</v>
      </c>
      <c r="B219" t="s">
        <v>71</v>
      </c>
      <c r="C219" t="s">
        <v>65</v>
      </c>
      <c r="D219" s="4">
        <v>4275</v>
      </c>
      <c r="E219" s="5">
        <v>22447</v>
      </c>
      <c r="F219" s="5">
        <v>9460</v>
      </c>
      <c r="G219" s="5">
        <f t="shared" si="9"/>
        <v>12987</v>
      </c>
      <c r="H219" s="5">
        <v>22421</v>
      </c>
      <c r="I219" s="5">
        <f t="shared" si="10"/>
        <v>26</v>
      </c>
      <c r="J219" t="str">
        <f t="shared" si="11"/>
        <v>Above Target</v>
      </c>
    </row>
    <row r="220" spans="1:10">
      <c r="A220" s="3">
        <v>45962</v>
      </c>
      <c r="B220" t="s">
        <v>71</v>
      </c>
      <c r="C220" t="s">
        <v>66</v>
      </c>
      <c r="D220" s="4">
        <v>1092</v>
      </c>
      <c r="E220" s="5">
        <v>26208</v>
      </c>
      <c r="F220" s="5">
        <v>13492</v>
      </c>
      <c r="G220" s="5">
        <f t="shared" si="9"/>
        <v>12716</v>
      </c>
      <c r="H220" s="5">
        <v>27256</v>
      </c>
      <c r="I220" s="5">
        <f t="shared" si="10"/>
        <v>-1048</v>
      </c>
      <c r="J220" t="str">
        <f t="shared" si="11"/>
        <v>Below Target</v>
      </c>
    </row>
    <row r="221" spans="1:10">
      <c r="A221" s="3">
        <v>45962</v>
      </c>
      <c r="B221" t="s">
        <v>71</v>
      </c>
      <c r="C221" t="s">
        <v>67</v>
      </c>
      <c r="D221" s="4">
        <v>3447</v>
      </c>
      <c r="E221" s="5">
        <v>16374</v>
      </c>
      <c r="F221" s="5">
        <v>5567</v>
      </c>
      <c r="G221" s="5">
        <f t="shared" si="9"/>
        <v>10807</v>
      </c>
      <c r="H221" s="5">
        <v>16691</v>
      </c>
      <c r="I221" s="5">
        <f t="shared" si="10"/>
        <v>-317</v>
      </c>
      <c r="J221" t="str">
        <f t="shared" si="11"/>
        <v>Below Target</v>
      </c>
    </row>
    <row r="222" spans="1:10">
      <c r="A222" s="3">
        <v>45992</v>
      </c>
      <c r="B222" t="s">
        <v>63</v>
      </c>
      <c r="C222" t="s">
        <v>64</v>
      </c>
      <c r="D222" s="4">
        <v>3584</v>
      </c>
      <c r="E222" s="5">
        <v>26882</v>
      </c>
      <c r="F222" s="5">
        <v>12860</v>
      </c>
      <c r="G222" s="5">
        <f t="shared" si="9"/>
        <v>14022</v>
      </c>
      <c r="H222" s="5">
        <v>26942</v>
      </c>
      <c r="I222" s="5">
        <f t="shared" si="10"/>
        <v>-60</v>
      </c>
      <c r="J222" t="str">
        <f t="shared" si="11"/>
        <v>Below Target</v>
      </c>
    </row>
    <row r="223" spans="1:10">
      <c r="A223" s="3">
        <v>45992</v>
      </c>
      <c r="B223" t="s">
        <v>63</v>
      </c>
      <c r="C223" t="s">
        <v>65</v>
      </c>
      <c r="D223" s="4">
        <v>4548</v>
      </c>
      <c r="E223" s="5">
        <v>23879</v>
      </c>
      <c r="F223" s="5">
        <v>9824</v>
      </c>
      <c r="G223" s="5">
        <f t="shared" si="9"/>
        <v>14055</v>
      </c>
      <c r="H223" s="5">
        <v>25460</v>
      </c>
      <c r="I223" s="5">
        <f t="shared" si="10"/>
        <v>-1581</v>
      </c>
      <c r="J223" t="str">
        <f t="shared" si="11"/>
        <v>Below Target</v>
      </c>
    </row>
    <row r="224" spans="1:10">
      <c r="A224" s="3">
        <v>45992</v>
      </c>
      <c r="B224" t="s">
        <v>63</v>
      </c>
      <c r="C224" t="s">
        <v>66</v>
      </c>
      <c r="D224" s="4">
        <v>1410</v>
      </c>
      <c r="E224" s="5">
        <v>33854</v>
      </c>
      <c r="F224" s="5">
        <v>17330</v>
      </c>
      <c r="G224" s="5">
        <f t="shared" si="9"/>
        <v>16524</v>
      </c>
      <c r="H224" s="5">
        <v>36057</v>
      </c>
      <c r="I224" s="5">
        <f t="shared" si="10"/>
        <v>-2203</v>
      </c>
      <c r="J224" t="str">
        <f t="shared" si="11"/>
        <v>Below Target</v>
      </c>
    </row>
    <row r="225" spans="1:10">
      <c r="A225" s="3">
        <v>45992</v>
      </c>
      <c r="B225" t="s">
        <v>63</v>
      </c>
      <c r="C225" t="s">
        <v>67</v>
      </c>
      <c r="D225" s="4">
        <v>4005</v>
      </c>
      <c r="E225" s="5">
        <v>19027</v>
      </c>
      <c r="F225" s="5">
        <v>6525</v>
      </c>
      <c r="G225" s="5">
        <f t="shared" si="9"/>
        <v>12502</v>
      </c>
      <c r="H225" s="5">
        <v>18969</v>
      </c>
      <c r="I225" s="5">
        <f t="shared" si="10"/>
        <v>58</v>
      </c>
      <c r="J225" t="str">
        <f t="shared" si="11"/>
        <v>Above Target</v>
      </c>
    </row>
    <row r="226" spans="1:10">
      <c r="A226" s="3">
        <v>45992</v>
      </c>
      <c r="B226" t="s">
        <v>68</v>
      </c>
      <c r="C226" t="s">
        <v>64</v>
      </c>
      <c r="D226" s="4">
        <v>3658</v>
      </c>
      <c r="E226" s="5">
        <v>27442</v>
      </c>
      <c r="F226" s="5">
        <v>13153</v>
      </c>
      <c r="G226" s="5">
        <f t="shared" si="9"/>
        <v>14289</v>
      </c>
      <c r="H226" s="5">
        <v>28407</v>
      </c>
      <c r="I226" s="5">
        <f t="shared" si="10"/>
        <v>-965</v>
      </c>
      <c r="J226" t="str">
        <f t="shared" si="11"/>
        <v>Below Target</v>
      </c>
    </row>
    <row r="227" spans="1:10">
      <c r="A227" s="3">
        <v>45992</v>
      </c>
      <c r="B227" t="s">
        <v>68</v>
      </c>
      <c r="C227" t="s">
        <v>65</v>
      </c>
      <c r="D227" s="4">
        <v>4590</v>
      </c>
      <c r="E227" s="5">
        <v>24099</v>
      </c>
      <c r="F227" s="5">
        <v>9960</v>
      </c>
      <c r="G227" s="5">
        <f t="shared" si="9"/>
        <v>14139</v>
      </c>
      <c r="H227" s="5">
        <v>24787</v>
      </c>
      <c r="I227" s="5">
        <f t="shared" si="10"/>
        <v>-688</v>
      </c>
      <c r="J227" t="str">
        <f t="shared" si="11"/>
        <v>Below Target</v>
      </c>
    </row>
    <row r="228" spans="1:10">
      <c r="A228" s="3">
        <v>45992</v>
      </c>
      <c r="B228" t="s">
        <v>68</v>
      </c>
      <c r="C228" t="s">
        <v>66</v>
      </c>
      <c r="D228" s="4">
        <v>1242</v>
      </c>
      <c r="E228" s="5">
        <v>29815</v>
      </c>
      <c r="F228" s="5">
        <v>15199</v>
      </c>
      <c r="G228" s="5">
        <f t="shared" si="9"/>
        <v>14616</v>
      </c>
      <c r="H228" s="5">
        <v>29193</v>
      </c>
      <c r="I228" s="5">
        <f t="shared" si="10"/>
        <v>622</v>
      </c>
      <c r="J228" t="str">
        <f t="shared" si="11"/>
        <v>Above Target</v>
      </c>
    </row>
    <row r="229" spans="1:10">
      <c r="A229" s="3">
        <v>45992</v>
      </c>
      <c r="B229" t="s">
        <v>68</v>
      </c>
      <c r="C229" t="s">
        <v>67</v>
      </c>
      <c r="D229" s="4">
        <v>3287</v>
      </c>
      <c r="E229" s="5">
        <v>15616</v>
      </c>
      <c r="F229" s="5">
        <v>5265</v>
      </c>
      <c r="G229" s="5">
        <f t="shared" si="9"/>
        <v>10351</v>
      </c>
      <c r="H229" s="5">
        <v>16194</v>
      </c>
      <c r="I229" s="5">
        <f t="shared" si="10"/>
        <v>-578</v>
      </c>
      <c r="J229" t="str">
        <f t="shared" si="11"/>
        <v>Below Target</v>
      </c>
    </row>
    <row r="230" spans="1:10">
      <c r="A230" s="3">
        <v>45992</v>
      </c>
      <c r="B230" t="s">
        <v>69</v>
      </c>
      <c r="C230" t="s">
        <v>64</v>
      </c>
      <c r="D230" s="4">
        <v>2514</v>
      </c>
      <c r="E230" s="5">
        <v>18861</v>
      </c>
      <c r="F230" s="5">
        <v>9141</v>
      </c>
      <c r="G230" s="5">
        <f t="shared" si="9"/>
        <v>9720</v>
      </c>
      <c r="H230" s="5">
        <v>18839</v>
      </c>
      <c r="I230" s="5">
        <f t="shared" si="10"/>
        <v>22</v>
      </c>
      <c r="J230" t="str">
        <f t="shared" si="11"/>
        <v>Above Target</v>
      </c>
    </row>
    <row r="231" spans="1:10">
      <c r="A231" s="3">
        <v>45992</v>
      </c>
      <c r="B231" t="s">
        <v>69</v>
      </c>
      <c r="C231" t="s">
        <v>65</v>
      </c>
      <c r="D231" s="4">
        <v>3391</v>
      </c>
      <c r="E231" s="5">
        <v>17803</v>
      </c>
      <c r="F231" s="5">
        <v>7594</v>
      </c>
      <c r="G231" s="5">
        <f t="shared" si="9"/>
        <v>10209</v>
      </c>
      <c r="H231" s="5">
        <v>18248</v>
      </c>
      <c r="I231" s="5">
        <f t="shared" si="10"/>
        <v>-445</v>
      </c>
      <c r="J231" t="str">
        <f t="shared" si="11"/>
        <v>Below Target</v>
      </c>
    </row>
    <row r="232" spans="1:10">
      <c r="A232" s="3">
        <v>45992</v>
      </c>
      <c r="B232" t="s">
        <v>69</v>
      </c>
      <c r="C232" t="s">
        <v>66</v>
      </c>
      <c r="D232" s="4">
        <v>887</v>
      </c>
      <c r="E232" s="5">
        <v>21311</v>
      </c>
      <c r="F232" s="5">
        <v>10768</v>
      </c>
      <c r="G232" s="5">
        <f t="shared" si="9"/>
        <v>10543</v>
      </c>
      <c r="H232" s="5">
        <v>21361</v>
      </c>
      <c r="I232" s="5">
        <f t="shared" si="10"/>
        <v>-50</v>
      </c>
      <c r="J232" t="str">
        <f t="shared" si="11"/>
        <v>Below Target</v>
      </c>
    </row>
    <row r="233" spans="1:10">
      <c r="A233" s="3">
        <v>45992</v>
      </c>
      <c r="B233" t="s">
        <v>69</v>
      </c>
      <c r="C233" t="s">
        <v>67</v>
      </c>
      <c r="D233" s="4">
        <v>2664</v>
      </c>
      <c r="E233" s="5">
        <v>12658</v>
      </c>
      <c r="F233" s="5">
        <v>4283</v>
      </c>
      <c r="G233" s="5">
        <f t="shared" si="9"/>
        <v>8375</v>
      </c>
      <c r="H233" s="5">
        <v>12930</v>
      </c>
      <c r="I233" s="5">
        <f t="shared" si="10"/>
        <v>-272</v>
      </c>
      <c r="J233" t="str">
        <f t="shared" si="11"/>
        <v>Below Target</v>
      </c>
    </row>
    <row r="234" spans="1:10">
      <c r="A234" s="3">
        <v>45992</v>
      </c>
      <c r="B234" t="s">
        <v>70</v>
      </c>
      <c r="C234" t="s">
        <v>64</v>
      </c>
      <c r="D234" s="4">
        <v>3314</v>
      </c>
      <c r="E234" s="5">
        <v>24859</v>
      </c>
      <c r="F234" s="5">
        <v>11958</v>
      </c>
      <c r="G234" s="5">
        <f t="shared" si="9"/>
        <v>12901</v>
      </c>
      <c r="H234" s="5">
        <v>25141</v>
      </c>
      <c r="I234" s="5">
        <f t="shared" si="10"/>
        <v>-282</v>
      </c>
      <c r="J234" t="str">
        <f t="shared" si="11"/>
        <v>Below Target</v>
      </c>
    </row>
    <row r="235" spans="1:10">
      <c r="A235" s="3">
        <v>45992</v>
      </c>
      <c r="B235" t="s">
        <v>70</v>
      </c>
      <c r="C235" t="s">
        <v>65</v>
      </c>
      <c r="D235" s="4">
        <v>3760</v>
      </c>
      <c r="E235" s="5">
        <v>19744</v>
      </c>
      <c r="F235" s="5">
        <v>8235</v>
      </c>
      <c r="G235" s="5">
        <f t="shared" si="9"/>
        <v>11509</v>
      </c>
      <c r="H235" s="5">
        <v>20645</v>
      </c>
      <c r="I235" s="5">
        <f t="shared" si="10"/>
        <v>-901</v>
      </c>
      <c r="J235" t="str">
        <f t="shared" si="11"/>
        <v>Below Target</v>
      </c>
    </row>
    <row r="236" spans="1:10">
      <c r="A236" s="3">
        <v>45992</v>
      </c>
      <c r="B236" t="s">
        <v>70</v>
      </c>
      <c r="C236" t="s">
        <v>66</v>
      </c>
      <c r="D236" s="4">
        <v>1140</v>
      </c>
      <c r="E236" s="5">
        <v>27383</v>
      </c>
      <c r="F236" s="5">
        <v>14147</v>
      </c>
      <c r="G236" s="5">
        <f t="shared" si="9"/>
        <v>13236</v>
      </c>
      <c r="H236" s="5">
        <v>27119</v>
      </c>
      <c r="I236" s="5">
        <f t="shared" si="10"/>
        <v>264</v>
      </c>
      <c r="J236" t="str">
        <f t="shared" si="11"/>
        <v>Above Target</v>
      </c>
    </row>
    <row r="237" spans="1:10">
      <c r="A237" s="3">
        <v>45992</v>
      </c>
      <c r="B237" t="s">
        <v>70</v>
      </c>
      <c r="C237" t="s">
        <v>67</v>
      </c>
      <c r="D237" s="4">
        <v>3123</v>
      </c>
      <c r="E237" s="5">
        <v>14837</v>
      </c>
      <c r="F237" s="5">
        <v>5152</v>
      </c>
      <c r="G237" s="5">
        <f t="shared" si="9"/>
        <v>9685</v>
      </c>
      <c r="H237" s="5">
        <v>15042</v>
      </c>
      <c r="I237" s="5">
        <f t="shared" si="10"/>
        <v>-205</v>
      </c>
      <c r="J237" t="str">
        <f t="shared" si="11"/>
        <v>Below Target</v>
      </c>
    </row>
    <row r="238" spans="1:10">
      <c r="A238" s="3">
        <v>45992</v>
      </c>
      <c r="B238" t="s">
        <v>71</v>
      </c>
      <c r="C238" t="s">
        <v>64</v>
      </c>
      <c r="D238" s="4">
        <v>3108</v>
      </c>
      <c r="E238" s="5">
        <v>23311</v>
      </c>
      <c r="F238" s="5">
        <v>11454</v>
      </c>
      <c r="G238" s="5">
        <f t="shared" si="9"/>
        <v>11857</v>
      </c>
      <c r="H238" s="5">
        <v>24031</v>
      </c>
      <c r="I238" s="5">
        <f t="shared" si="10"/>
        <v>-720</v>
      </c>
      <c r="J238" t="str">
        <f t="shared" si="11"/>
        <v>Below Target</v>
      </c>
    </row>
    <row r="239" spans="1:10">
      <c r="A239" s="3">
        <v>45992</v>
      </c>
      <c r="B239" t="s">
        <v>71</v>
      </c>
      <c r="C239" t="s">
        <v>65</v>
      </c>
      <c r="D239" s="4">
        <v>3882</v>
      </c>
      <c r="E239" s="5">
        <v>20382</v>
      </c>
      <c r="F239" s="5">
        <v>8414</v>
      </c>
      <c r="G239" s="5">
        <f t="shared" si="9"/>
        <v>11968</v>
      </c>
      <c r="H239" s="5">
        <v>20893</v>
      </c>
      <c r="I239" s="5">
        <f t="shared" si="10"/>
        <v>-511</v>
      </c>
      <c r="J239" t="str">
        <f t="shared" si="11"/>
        <v>Below Target</v>
      </c>
    </row>
    <row r="240" spans="1:10">
      <c r="A240" s="3">
        <v>45992</v>
      </c>
      <c r="B240" t="s">
        <v>71</v>
      </c>
      <c r="C240" t="s">
        <v>66</v>
      </c>
      <c r="D240" s="4">
        <v>1154</v>
      </c>
      <c r="E240" s="5">
        <v>27702</v>
      </c>
      <c r="F240" s="5">
        <v>13841</v>
      </c>
      <c r="G240" s="5">
        <f t="shared" si="9"/>
        <v>13861</v>
      </c>
      <c r="H240" s="5">
        <v>29620</v>
      </c>
      <c r="I240" s="5">
        <f t="shared" si="10"/>
        <v>-1918</v>
      </c>
      <c r="J240" t="str">
        <f t="shared" si="11"/>
        <v>Below Target</v>
      </c>
    </row>
    <row r="241" spans="1:10">
      <c r="A241" s="3">
        <v>45992</v>
      </c>
      <c r="B241" t="s">
        <v>71</v>
      </c>
      <c r="C241" t="s">
        <v>67</v>
      </c>
      <c r="D241" s="4">
        <v>3381</v>
      </c>
      <c r="E241" s="5">
        <v>16061</v>
      </c>
      <c r="F241" s="5">
        <v>5450</v>
      </c>
      <c r="G241" s="5">
        <f t="shared" si="9"/>
        <v>10611</v>
      </c>
      <c r="H241" s="5">
        <v>15768</v>
      </c>
      <c r="I241" s="5">
        <f t="shared" si="10"/>
        <v>293</v>
      </c>
      <c r="J241" t="str">
        <f t="shared" si="11"/>
        <v>Above Target</v>
      </c>
    </row>
  </sheetData>
  <conditionalFormatting sqref="E2:E241">
    <cfRule type="dataBar" priority="2">
      <dataBar>
        <cfvo type="min"/>
        <cfvo type="max"/>
        <color rgb="FF1F77B4"/>
      </dataBar>
    </cfRule>
    <cfRule type="dataBar" priority="3">
      <dataBar>
        <cfvo type="min"/>
        <cfvo type="max"/>
        <color rgb="FF1F77B4"/>
      </dataBar>
      <extLst>
        <ext xmlns:x14="http://schemas.microsoft.com/office/spreadsheetml/2009/9/main" uri="{B025F937-C7B1-47D3-B67F-A62EFF666E3E}">
          <x14:id>{3E6C03CD-5191-78AC-737D-7CE312498B63}</x14:id>
        </ext>
      </extLst>
    </cfRule>
  </conditionalFormatting>
  <conditionalFormatting sqref="I2:I241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6C03CD-5191-78AC-737D-7CE312498B63}">
            <x14:dataBar>
              <x14:cfvo type="min"/>
              <x14:cfvo type="max"/>
              <x14:negativeFillColor auto="1"/>
              <x14:axisColor auto="1"/>
            </x14:dataBar>
          </x14:cfRule>
          <xm:sqref>E2:E241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3.8"/>
  <cols>
    <col min="1" max="1" width="12.59765625" customWidth="1"/>
    <col min="2" max="2" width="25.19921875" customWidth="1"/>
    <col min="4" max="4" width="8.296875" customWidth="1"/>
    <col min="6" max="6" width="15.5" customWidth="1"/>
  </cols>
  <sheetData>
    <row r="1" spans="1:6">
      <c r="A1" s="1" t="s">
        <v>72</v>
      </c>
      <c r="B1" s="1" t="s">
        <v>73</v>
      </c>
      <c r="D1" s="1" t="s">
        <v>74</v>
      </c>
      <c r="E1" s="1"/>
      <c r="F1" s="1" t="s">
        <v>75</v>
      </c>
    </row>
    <row r="2" spans="1:6">
      <c r="A2" t="s">
        <v>76</v>
      </c>
      <c r="B2" t="s">
        <v>0</v>
      </c>
      <c r="D2" t="s">
        <v>63</v>
      </c>
      <c r="F2" t="s">
        <v>64</v>
      </c>
    </row>
    <row r="3" spans="1:6">
      <c r="A3" t="s">
        <v>77</v>
      </c>
      <c r="B3">
        <v>2025</v>
      </c>
      <c r="D3" t="s">
        <v>68</v>
      </c>
      <c r="F3" t="s">
        <v>65</v>
      </c>
    </row>
    <row r="4" spans="1:6">
      <c r="A4" t="s">
        <v>78</v>
      </c>
      <c r="B4" t="s">
        <v>79</v>
      </c>
      <c r="D4" t="s">
        <v>69</v>
      </c>
      <c r="F4" t="s">
        <v>66</v>
      </c>
    </row>
    <row r="5" spans="1:6">
      <c r="A5" t="s">
        <v>10</v>
      </c>
      <c r="B5" t="s">
        <v>80</v>
      </c>
      <c r="D5" t="s">
        <v>70</v>
      </c>
      <c r="F5" t="s">
        <v>67</v>
      </c>
    </row>
    <row r="6" spans="1:6">
      <c r="A6" t="s">
        <v>81</v>
      </c>
      <c r="B6" t="s">
        <v>82</v>
      </c>
      <c r="D6" t="s">
        <v>71</v>
      </c>
    </row>
    <row r="7" spans="1:6">
      <c r="A7" t="s">
        <v>83</v>
      </c>
      <c r="B7" s="6">
        <v>46180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sqref="A1:H1"/>
    </sheetView>
  </sheetViews>
  <sheetFormatPr defaultRowHeight="13.8"/>
  <cols>
    <col min="1" max="1" width="68.19921875" customWidth="1"/>
    <col min="2" max="2" width="14.09765625" customWidth="1"/>
    <col min="3" max="3" width="10.59765625" customWidth="1"/>
    <col min="4" max="4" width="12.19921875" customWidth="1"/>
    <col min="5" max="5" width="13.5" customWidth="1"/>
    <col min="6" max="6" width="15.19921875" customWidth="1"/>
    <col min="7" max="7" width="9.69921875" customWidth="1"/>
    <col min="8" max="8" width="6.69921875" customWidth="1"/>
  </cols>
  <sheetData>
    <row r="1" spans="1:8" ht="17.399999999999999">
      <c r="A1" s="44" t="s">
        <v>84</v>
      </c>
      <c r="B1" s="45"/>
      <c r="C1" s="45"/>
      <c r="D1" s="45"/>
      <c r="E1" s="45"/>
      <c r="F1" s="45"/>
      <c r="G1" s="45"/>
      <c r="H1" s="45"/>
    </row>
    <row r="3" spans="1:8">
      <c r="A3" s="7" t="s">
        <v>56</v>
      </c>
      <c r="B3" s="7" t="s">
        <v>85</v>
      </c>
      <c r="C3" s="7" t="s">
        <v>86</v>
      </c>
      <c r="D3" s="7" t="s">
        <v>17</v>
      </c>
      <c r="E3" s="7" t="s">
        <v>22</v>
      </c>
      <c r="F3" s="7" t="s">
        <v>60</v>
      </c>
      <c r="G3" s="7" t="s">
        <v>61</v>
      </c>
      <c r="H3" s="7" t="s">
        <v>87</v>
      </c>
    </row>
    <row r="4" spans="1:8">
      <c r="A4" t="s">
        <v>63</v>
      </c>
      <c r="B4" s="5">
        <f>SUMIFS(Sales_Data!$E:$E,Sales_Data!$B:$B,A4)</f>
        <v>1176333</v>
      </c>
      <c r="C4" s="5">
        <f>SUMIFS(Sales_Data!$F:$F,Sales_Data!$B:$B,A4)</f>
        <v>529865</v>
      </c>
      <c r="D4" s="5">
        <f>B4-C4</f>
        <v>646468</v>
      </c>
      <c r="E4" s="8">
        <f>D4/B4</f>
        <v>0.54956207128423673</v>
      </c>
      <c r="F4" s="5">
        <f>SUMIFS(Sales_Data!$H:$H,Sales_Data!$B:$B,A4)</f>
        <v>1198931</v>
      </c>
      <c r="G4" s="5">
        <f>B4-F4</f>
        <v>-22598</v>
      </c>
      <c r="H4" s="9">
        <f>RANK(B4,$B$4:$B$8,0)</f>
        <v>1</v>
      </c>
    </row>
    <row r="5" spans="1:8">
      <c r="A5" t="s">
        <v>68</v>
      </c>
      <c r="B5" s="5">
        <f>SUMIFS(Sales_Data!$E:$E,Sales_Data!$B:$B,A5)</f>
        <v>1064548</v>
      </c>
      <c r="C5" s="5">
        <f>SUMIFS(Sales_Data!$F:$F,Sales_Data!$B:$B,A5)</f>
        <v>482091</v>
      </c>
      <c r="D5" s="5">
        <f>B5-C5</f>
        <v>582457</v>
      </c>
      <c r="E5" s="8">
        <f>D5/B5</f>
        <v>0.54714019471174624</v>
      </c>
      <c r="F5" s="5">
        <f>SUMIFS(Sales_Data!$H:$H,Sales_Data!$B:$B,A5)</f>
        <v>1083891</v>
      </c>
      <c r="G5" s="5">
        <f>B5-F5</f>
        <v>-19343</v>
      </c>
      <c r="H5" s="9">
        <f>RANK(B5,$B$4:$B$8,0)</f>
        <v>2</v>
      </c>
    </row>
    <row r="6" spans="1:8">
      <c r="A6" t="s">
        <v>69</v>
      </c>
      <c r="B6" s="5">
        <f>SUMIFS(Sales_Data!$E:$E,Sales_Data!$B:$B,A6)</f>
        <v>711796</v>
      </c>
      <c r="C6" s="5">
        <f>SUMIFS(Sales_Data!$F:$F,Sales_Data!$B:$B,A6)</f>
        <v>322166</v>
      </c>
      <c r="D6" s="5">
        <f>B6-C6</f>
        <v>389630</v>
      </c>
      <c r="E6" s="8">
        <f>D6/B6</f>
        <v>0.54738998252308246</v>
      </c>
      <c r="F6" s="5">
        <f>SUMIFS(Sales_Data!$H:$H,Sales_Data!$B:$B,A6)</f>
        <v>717609</v>
      </c>
      <c r="G6" s="5">
        <f>B6-F6</f>
        <v>-5813</v>
      </c>
      <c r="H6" s="9">
        <f>RANK(B6,$B$4:$B$8,0)</f>
        <v>5</v>
      </c>
    </row>
    <row r="7" spans="1:8">
      <c r="A7" t="s">
        <v>70</v>
      </c>
      <c r="B7" s="5">
        <f>SUMIFS(Sales_Data!$E:$E,Sales_Data!$B:$B,A7)</f>
        <v>875284</v>
      </c>
      <c r="C7" s="5">
        <f>SUMIFS(Sales_Data!$F:$F,Sales_Data!$B:$B,A7)</f>
        <v>395627</v>
      </c>
      <c r="D7" s="5">
        <f>B7-C7</f>
        <v>479657</v>
      </c>
      <c r="E7" s="8">
        <f>D7/B7</f>
        <v>0.54800156292129187</v>
      </c>
      <c r="F7" s="5">
        <f>SUMIFS(Sales_Data!$H:$H,Sales_Data!$B:$B,A7)</f>
        <v>890828</v>
      </c>
      <c r="G7" s="5">
        <f>B7-F7</f>
        <v>-15544</v>
      </c>
      <c r="H7" s="9">
        <f>RANK(B7,$B$4:$B$8,0)</f>
        <v>4</v>
      </c>
    </row>
    <row r="8" spans="1:8">
      <c r="A8" t="s">
        <v>71</v>
      </c>
      <c r="B8" s="5">
        <f>SUMIFS(Sales_Data!$E:$E,Sales_Data!$B:$B,A8)</f>
        <v>929360</v>
      </c>
      <c r="C8" s="5">
        <f>SUMIFS(Sales_Data!$F:$F,Sales_Data!$B:$B,A8)</f>
        <v>419834</v>
      </c>
      <c r="D8" s="5">
        <f>B8-C8</f>
        <v>509526</v>
      </c>
      <c r="E8" s="8">
        <f>D8/B8</f>
        <v>0.54825471292071959</v>
      </c>
      <c r="F8" s="5">
        <f>SUMIFS(Sales_Data!$H:$H,Sales_Data!$B:$B,A8)</f>
        <v>949728</v>
      </c>
      <c r="G8" s="5">
        <f>B8-F8</f>
        <v>-20368</v>
      </c>
      <c r="H8" s="9">
        <f>RANK(B8,$B$4:$B$8,0)</f>
        <v>3</v>
      </c>
    </row>
  </sheetData>
  <mergeCells count="1">
    <mergeCell ref="A1:H1"/>
  </mergeCells>
  <conditionalFormatting sqref="G4:G8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tabSelected="1" workbookViewId="0">
      <selection sqref="A1:H1"/>
    </sheetView>
  </sheetViews>
  <sheetFormatPr defaultRowHeight="13.8"/>
  <cols>
    <col min="1" max="4" width="16" customWidth="1"/>
    <col min="5" max="5" width="14" customWidth="1"/>
    <col min="6" max="7" width="16" customWidth="1"/>
    <col min="8" max="8" width="10" customWidth="1"/>
  </cols>
  <sheetData>
    <row r="1" spans="1:8" ht="24" customHeight="1">
      <c r="A1" s="46" t="s">
        <v>88</v>
      </c>
      <c r="B1" s="45"/>
      <c r="C1" s="45"/>
      <c r="D1" s="45"/>
      <c r="E1" s="45"/>
      <c r="F1" s="45"/>
      <c r="G1" s="45"/>
      <c r="H1" s="45"/>
    </row>
    <row r="3" spans="1:8">
      <c r="A3" s="10" t="s">
        <v>85</v>
      </c>
      <c r="B3" s="10" t="s">
        <v>86</v>
      </c>
      <c r="C3" s="10" t="s">
        <v>17</v>
      </c>
      <c r="D3" s="10" t="s">
        <v>89</v>
      </c>
      <c r="E3" s="10" t="s">
        <v>90</v>
      </c>
      <c r="F3" s="10" t="s">
        <v>91</v>
      </c>
      <c r="G3" s="10" t="s">
        <v>74</v>
      </c>
      <c r="H3" s="10" t="s">
        <v>92</v>
      </c>
    </row>
    <row r="4" spans="1:8">
      <c r="A4" s="31">
        <f>SUM(Regional_Summary!B4:B8)</f>
        <v>4757321</v>
      </c>
      <c r="B4" s="31">
        <f>SUM(Regional_Summary!C4:C8)</f>
        <v>2149583</v>
      </c>
      <c r="C4" s="31">
        <f>SUM(Regional_Summary!D4:D8)</f>
        <v>2607738</v>
      </c>
      <c r="D4" s="32">
        <f>AVERAGE(Regional_Summary!E4:E8)</f>
        <v>0.5480697048722154</v>
      </c>
      <c r="E4" s="33" t="str">
        <f>INDEX(Regional_Summary!A4:A8,MATCH(MAX(Regional_Summary!B4:B8),Regional_Summary!B4:B8,0))</f>
        <v>Toronto</v>
      </c>
      <c r="F4" s="33" t="str">
        <f>INDEX(Regional_Summary!A4:A8,MATCH(MIN(Regional_Summary!G4:G8),Regional_Summary!G4:G8,0))</f>
        <v>Toronto</v>
      </c>
      <c r="G4" s="33">
        <f>COUNTA(Regional_Summary!A4:A8)</f>
        <v>5</v>
      </c>
      <c r="H4" s="33">
        <f>2025</f>
        <v>2025</v>
      </c>
    </row>
    <row r="7" spans="1:8">
      <c r="A7" s="11" t="s">
        <v>56</v>
      </c>
      <c r="B7" s="11" t="s">
        <v>12</v>
      </c>
      <c r="C7" s="11" t="s">
        <v>59</v>
      </c>
      <c r="D7" s="11" t="s">
        <v>17</v>
      </c>
      <c r="E7" s="11" t="s">
        <v>93</v>
      </c>
      <c r="F7" s="11" t="s">
        <v>94</v>
      </c>
      <c r="G7" s="11" t="s">
        <v>61</v>
      </c>
      <c r="H7" s="11" t="s">
        <v>87</v>
      </c>
    </row>
    <row r="8" spans="1:8">
      <c r="A8" s="34" t="str">
        <f>Regional_Summary!A4</f>
        <v>Toronto</v>
      </c>
      <c r="B8" s="35">
        <f>Regional_Summary!B4</f>
        <v>1176333</v>
      </c>
      <c r="C8" s="35">
        <f>Regional_Summary!C4</f>
        <v>529865</v>
      </c>
      <c r="D8" s="35">
        <f>Regional_Summary!D4</f>
        <v>646468</v>
      </c>
      <c r="E8" s="36">
        <f>Regional_Summary!E4</f>
        <v>0.54956207128423673</v>
      </c>
      <c r="F8" s="35">
        <f>Regional_Summary!F4</f>
        <v>1198931</v>
      </c>
      <c r="G8" s="35">
        <f>Regional_Summary!G4</f>
        <v>-22598</v>
      </c>
      <c r="H8" s="34">
        <f>Regional_Summary!H4</f>
        <v>1</v>
      </c>
    </row>
    <row r="9" spans="1:8">
      <c r="A9" s="34" t="str">
        <f>Regional_Summary!A5</f>
        <v>Montreal</v>
      </c>
      <c r="B9" s="35">
        <f>Regional_Summary!B5</f>
        <v>1064548</v>
      </c>
      <c r="C9" s="35">
        <f>Regional_Summary!C5</f>
        <v>482091</v>
      </c>
      <c r="D9" s="35">
        <f>Regional_Summary!D5</f>
        <v>582457</v>
      </c>
      <c r="E9" s="36">
        <f>Regional_Summary!E5</f>
        <v>0.54714019471174624</v>
      </c>
      <c r="F9" s="35">
        <f>Regional_Summary!F5</f>
        <v>1083891</v>
      </c>
      <c r="G9" s="35">
        <f>Regional_Summary!G5</f>
        <v>-19343</v>
      </c>
      <c r="H9" s="34">
        <f>Regional_Summary!H5</f>
        <v>2</v>
      </c>
    </row>
    <row r="10" spans="1:8">
      <c r="A10" s="34" t="str">
        <f>Regional_Summary!A6</f>
        <v>Ottawa</v>
      </c>
      <c r="B10" s="35">
        <f>Regional_Summary!B6</f>
        <v>711796</v>
      </c>
      <c r="C10" s="35">
        <f>Regional_Summary!C6</f>
        <v>322166</v>
      </c>
      <c r="D10" s="35">
        <f>Regional_Summary!D6</f>
        <v>389630</v>
      </c>
      <c r="E10" s="36">
        <f>Regional_Summary!E6</f>
        <v>0.54738998252308246</v>
      </c>
      <c r="F10" s="35">
        <f>Regional_Summary!F6</f>
        <v>717609</v>
      </c>
      <c r="G10" s="35">
        <f>Regional_Summary!G6</f>
        <v>-5813</v>
      </c>
      <c r="H10" s="34">
        <f>Regional_Summary!H6</f>
        <v>5</v>
      </c>
    </row>
    <row r="11" spans="1:8">
      <c r="A11" s="34" t="str">
        <f>Regional_Summary!A7</f>
        <v>Calgary</v>
      </c>
      <c r="B11" s="35">
        <f>Regional_Summary!B7</f>
        <v>875284</v>
      </c>
      <c r="C11" s="35">
        <f>Regional_Summary!C7</f>
        <v>395627</v>
      </c>
      <c r="D11" s="35">
        <f>Regional_Summary!D7</f>
        <v>479657</v>
      </c>
      <c r="E11" s="36">
        <f>Regional_Summary!E7</f>
        <v>0.54800156292129187</v>
      </c>
      <c r="F11" s="35">
        <f>Regional_Summary!F7</f>
        <v>890828</v>
      </c>
      <c r="G11" s="35">
        <f>Regional_Summary!G7</f>
        <v>-15544</v>
      </c>
      <c r="H11" s="34">
        <f>Regional_Summary!H7</f>
        <v>4</v>
      </c>
    </row>
    <row r="12" spans="1:8">
      <c r="A12" s="34" t="str">
        <f>Regional_Summary!A8</f>
        <v>Vancouver</v>
      </c>
      <c r="B12" s="35">
        <f>Regional_Summary!B8</f>
        <v>929360</v>
      </c>
      <c r="C12" s="35">
        <f>Regional_Summary!C8</f>
        <v>419834</v>
      </c>
      <c r="D12" s="35">
        <f>Regional_Summary!D8</f>
        <v>509526</v>
      </c>
      <c r="E12" s="36">
        <f>Regional_Summary!E8</f>
        <v>0.54825471292071959</v>
      </c>
      <c r="F12" s="35">
        <f>Regional_Summary!F8</f>
        <v>949728</v>
      </c>
      <c r="G12" s="35">
        <f>Regional_Summary!G8</f>
        <v>-20368</v>
      </c>
      <c r="H12" s="34">
        <f>Regional_Summary!H8</f>
        <v>3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Sales_Data</vt:lpstr>
      <vt:lpstr>Lookups</vt:lpstr>
      <vt:lpstr>Regional_Summary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 Alireza</cp:lastModifiedBy>
  <dcterms:created xsi:type="dcterms:W3CDTF">2026-06-08T02:23:30Z</dcterms:created>
  <dcterms:modified xsi:type="dcterms:W3CDTF">2026-06-08T02:23:31Z</dcterms:modified>
</cp:coreProperties>
</file>