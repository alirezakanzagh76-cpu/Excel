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Mapping_Rules" sheetId="2" state="visible" r:id="rId2"/>
    <sheet xmlns:r="http://schemas.openxmlformats.org/officeDocument/2006/relationships" name="ERP_Transactions" sheetId="3" state="visible" r:id="rId3"/>
    <sheet xmlns:r="http://schemas.openxmlformats.org/officeDocument/2006/relationships" name="Bank_Statement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Open_Invoices" sheetId="6" state="visible" r:id="rId6"/>
    <sheet xmlns:r="http://schemas.openxmlformats.org/officeDocument/2006/relationships" name="Analysis_Model" sheetId="7" state="visible" r:id="rId7"/>
    <sheet xmlns:r="http://schemas.openxmlformats.org/officeDocument/2006/relationships" name="Exception_Log" sheetId="8" state="visible" r:id="rId8"/>
    <sheet xmlns:r="http://schemas.openxmlformats.org/officeDocument/2006/relationships" name="Power_Query_Blueprint" sheetId="9" state="visible" r:id="rId9"/>
    <sheet xmlns:r="http://schemas.openxmlformats.org/officeDocument/2006/relationships" name="Dashboard" sheetId="10" state="visible" r:id="rId10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;[Red]-$#,##0.00"/>
    <numFmt numFmtId="166" formatCode="0.0%"/>
  </numFmts>
  <fonts count="11">
    <font>
      <name val="Carlito"/>
      <sz val="11"/>
    </font>
    <font>
      <name val="Carlito"/>
      <b val="1"/>
      <color rgb="00FFFFFF"/>
      <sz val="16"/>
    </font>
    <font>
      <name val="Carlito"/>
      <b val="1"/>
      <color rgb="00FFFFFF"/>
      <sz val="11"/>
    </font>
    <font>
      <name val="Carlito"/>
      <b val="1"/>
      <color rgb="001F1F1F"/>
      <sz val="11"/>
    </font>
    <font>
      <name val="Carlito"/>
      <i val="1"/>
      <sz val="11"/>
    </font>
    <font>
      <name val="Carlito"/>
      <b val="1"/>
      <sz val="12"/>
    </font>
    <font>
      <b val="1"/>
      <color rgb="00FFFFFF"/>
      <sz val="14"/>
    </font>
    <font>
      <b val="1"/>
      <color rgb="00FFFFFF"/>
    </font>
    <font>
      <b val="1"/>
      <color rgb="001F1F1F"/>
    </font>
    <font>
      <i val="1"/>
      <color rgb="001F1F1F"/>
    </font>
    <font>
      <b val="1"/>
      <color rgb="001F1F1F"/>
      <sz val="12"/>
    </font>
  </fonts>
  <fills count="3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2E8B57"/>
      </patternFill>
    </fill>
    <fill>
      <patternFill patternType="solid">
        <fgColor rgb="00EAF6EF"/>
      </patternFill>
    </fill>
    <fill>
      <patternFill patternType="solid">
        <fgColor rgb="00F7FCF9"/>
      </patternFill>
    </fill>
    <fill>
      <patternFill patternType="solid">
        <fgColor rgb="00EDF7F1"/>
      </patternFill>
    </fill>
    <fill>
      <patternFill patternType="solid">
        <fgColor rgb="00E67E22"/>
      </patternFill>
    </fill>
    <fill>
      <patternFill patternType="solid">
        <fgColor rgb="00FDEBD0"/>
      </patternFill>
    </fill>
    <fill>
      <patternFill patternType="solid">
        <fgColor rgb="00FAFAFA"/>
      </patternFill>
    </fill>
    <fill>
      <patternFill patternType="solid">
        <fgColor rgb="002980B9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16A085"/>
      </patternFill>
    </fill>
    <fill>
      <patternFill patternType="solid">
        <fgColor rgb="00E8F8F5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D4AC0D"/>
      </patternFill>
    </fill>
    <fill>
      <patternFill patternType="solid">
        <fgColor rgb="00FCF3CF"/>
      </patternFill>
    </fill>
    <fill>
      <patternFill patternType="solid">
        <fgColor rgb="0034495E"/>
      </patternFill>
    </fill>
    <fill>
      <patternFill patternType="solid">
        <fgColor rgb="00EBEDEF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5D6D7E"/>
      </patternFill>
    </fill>
    <fill>
      <patternFill patternType="solid">
        <fgColor rgb="00F2F4F4"/>
      </patternFill>
    </fill>
    <fill>
      <patternFill patternType="solid">
        <fgColor rgb="00DCE6F1"/>
      </patternFill>
    </fill>
  </fills>
  <borders count="4"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1"/>
  </cellStyleXfs>
  <cellXfs count="20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" fontId="0" fillId="0" borderId="0" pivotButton="0" quotePrefix="0" xfId="0"/>
    <xf numFmtId="1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" fontId="0" fillId="0" borderId="0" pivotButton="0" quotePrefix="0" xfId="0"/>
    <xf numFmtId="3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5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wrapText="1"/>
    </xf>
    <xf numFmtId="0" fontId="5" fillId="7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7" borderId="1" pivotButton="0" quotePrefix="0" xfId="0"/>
    <xf numFmtId="0" fontId="5" fillId="7" borderId="1" applyAlignment="1" pivotButton="0" quotePrefix="0" xfId="0">
      <alignment wrapText="1"/>
    </xf>
    <xf numFmtId="0" fontId="5" fillId="7" borderId="1" applyAlignment="1" pivotButton="0" quotePrefix="0" xfId="0">
      <alignment horizont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5" borderId="0" applyAlignment="1" pivotButton="0" quotePrefix="0" xfId="0">
      <alignment horizontal="center" wrapText="1"/>
    </xf>
    <xf numFmtId="0" fontId="5" fillId="5" borderId="0" applyAlignment="1" pivotButton="0" quotePrefix="0" xfId="0">
      <alignment horizontal="center" vertical="center" wrapText="1"/>
    </xf>
    <xf numFmtId="0" fontId="5" fillId="5" borderId="1" pivotButton="0" quotePrefix="0" xfId="0"/>
    <xf numFmtId="0" fontId="5" fillId="5" borderId="1" applyAlignment="1" pivotButton="0" quotePrefix="0" xfId="0">
      <alignment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8" borderId="2" applyAlignment="1" pivotButton="0" quotePrefix="0" xfId="0">
      <alignment horizontal="left" vertical="center" wrapText="1"/>
    </xf>
    <xf numFmtId="0" fontId="7" fillId="8" borderId="2" pivotButton="0" quotePrefix="0" xfId="0"/>
    <xf numFmtId="0" fontId="0" fillId="9" borderId="2" pivotButton="0" quotePrefix="0" xfId="0"/>
    <xf numFmtId="0" fontId="7" fillId="8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7" fillId="12" borderId="2" pivotButton="0" quotePrefix="0" xfId="0"/>
    <xf numFmtId="0" fontId="0" fillId="13" borderId="2" pivotButton="0" quotePrefix="0" xfId="0"/>
    <xf numFmtId="0" fontId="7" fillId="12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/>
    </xf>
    <xf numFmtId="1" fontId="0" fillId="14" borderId="2" pivotButton="0" quotePrefix="0" xfId="0"/>
    <xf numFmtId="0" fontId="0" fillId="14" borderId="2" applyAlignment="1" pivotButton="0" quotePrefix="0" xfId="0">
      <alignment horizontal="left" vertical="center" wrapText="1"/>
    </xf>
    <xf numFmtId="0" fontId="0" fillId="14" borderId="0" pivotButton="0" quotePrefix="0" xfId="0"/>
    <xf numFmtId="0" fontId="0" fillId="14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left" vertical="center"/>
    </xf>
    <xf numFmtId="1" fontId="0" fillId="13" borderId="2" pivotButton="0" quotePrefix="0" xfId="0"/>
    <xf numFmtId="0" fontId="0" fillId="13" borderId="2" applyAlignment="1" pivotButton="0" quotePrefix="0" xfId="0">
      <alignment horizontal="left" vertical="center" wrapText="1"/>
    </xf>
    <xf numFmtId="0" fontId="0" fillId="13" borderId="0" pivotButton="0" quotePrefix="0" xfId="0"/>
    <xf numFmtId="0" fontId="0" fillId="13" borderId="2" applyAlignment="1" pivotButton="0" quotePrefix="0" xfId="0">
      <alignment horizontal="left" vertical="center"/>
    </xf>
    <xf numFmtId="164" fontId="0" fillId="14" borderId="2" pivotButton="0" quotePrefix="0" xfId="0"/>
    <xf numFmtId="165" fontId="0" fillId="13" borderId="2" pivotButton="0" quotePrefix="0" xfId="0"/>
    <xf numFmtId="0" fontId="6" fillId="15" borderId="2" applyAlignment="1" pivotButton="0" quotePrefix="0" xfId="0">
      <alignment horizontal="left" vertical="center" wrapText="1"/>
    </xf>
    <xf numFmtId="0" fontId="7" fillId="15" borderId="2" pivotButton="0" quotePrefix="0" xfId="0"/>
    <xf numFmtId="0" fontId="0" fillId="16" borderId="2" pivotButton="0" quotePrefix="0" xfId="0"/>
    <xf numFmtId="0" fontId="7" fillId="15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left" vertical="center"/>
    </xf>
    <xf numFmtId="164" fontId="0" fillId="17" borderId="2" applyAlignment="1" pivotButton="0" quotePrefix="0" xfId="0">
      <alignment vertical="top"/>
    </xf>
    <xf numFmtId="165" fontId="0" fillId="17" borderId="2" applyAlignment="1" pivotButton="0" quotePrefix="0" xfId="0">
      <alignment vertical="top"/>
    </xf>
    <xf numFmtId="0" fontId="0" fillId="16" borderId="2" applyAlignment="1" pivotButton="0" quotePrefix="0" xfId="0">
      <alignment horizontal="left" vertical="center"/>
    </xf>
    <xf numFmtId="164" fontId="0" fillId="16" borderId="2" applyAlignment="1" pivotButton="0" quotePrefix="0" xfId="0">
      <alignment vertical="top"/>
    </xf>
    <xf numFmtId="165" fontId="0" fillId="16" borderId="2" applyAlignment="1" pivotButton="0" quotePrefix="0" xfId="0">
      <alignment vertical="top"/>
    </xf>
    <xf numFmtId="0" fontId="6" fillId="18" borderId="2" applyAlignment="1" pivotButton="0" quotePrefix="0" xfId="0">
      <alignment horizontal="left" vertical="center" wrapText="1"/>
    </xf>
    <xf numFmtId="0" fontId="7" fillId="18" borderId="2" pivotButton="0" quotePrefix="0" xfId="0"/>
    <xf numFmtId="0" fontId="0" fillId="19" borderId="2" pivotButton="0" quotePrefix="0" xfId="0"/>
    <xf numFmtId="0" fontId="7" fillId="18" borderId="2" applyAlignment="1" pivotButton="0" quotePrefix="0" xfId="0">
      <alignment horizontal="center" vertical="center"/>
    </xf>
    <xf numFmtId="164" fontId="0" fillId="17" borderId="2" pivotButton="0" quotePrefix="0" xfId="0"/>
    <xf numFmtId="165" fontId="0" fillId="17" borderId="2" pivotButton="0" quotePrefix="0" xfId="0"/>
    <xf numFmtId="0" fontId="0" fillId="19" borderId="2" applyAlignment="1" pivotButton="0" quotePrefix="0" xfId="0">
      <alignment horizontal="left" vertical="center"/>
    </xf>
    <xf numFmtId="164" fontId="0" fillId="19" borderId="2" pivotButton="0" quotePrefix="0" xfId="0"/>
    <xf numFmtId="165" fontId="0" fillId="19" borderId="2" pivotButton="0" quotePrefix="0" xfId="0"/>
    <xf numFmtId="0" fontId="6" fillId="20" borderId="2" applyAlignment="1" pivotButton="0" quotePrefix="0" xfId="0">
      <alignment horizontal="left" vertical="center" wrapText="1"/>
    </xf>
    <xf numFmtId="0" fontId="7" fillId="20" borderId="2" pivotButton="0" quotePrefix="0" xfId="0"/>
    <xf numFmtId="0" fontId="0" fillId="21" borderId="2" pivotButton="0" quotePrefix="0" xfId="0"/>
    <xf numFmtId="0" fontId="7" fillId="20" borderId="2" applyAlignment="1" pivotButton="0" quotePrefix="0" xfId="0">
      <alignment horizontal="center" vertical="center"/>
    </xf>
    <xf numFmtId="165" fontId="0" fillId="17" borderId="2" applyAlignment="1" pivotButton="0" quotePrefix="0" xfId="0">
      <alignment horizontal="left" vertical="center" wrapText="1"/>
    </xf>
    <xf numFmtId="164" fontId="0" fillId="17" borderId="2" applyAlignment="1" pivotButton="0" quotePrefix="0" xfId="0">
      <alignment horizontal="left" vertical="center" wrapText="1"/>
    </xf>
    <xf numFmtId="1" fontId="0" fillId="17" borderId="2" pivotButton="0" quotePrefix="0" xfId="0"/>
    <xf numFmtId="0" fontId="0" fillId="17" borderId="2" applyAlignment="1" pivotButton="0" quotePrefix="0" xfId="0">
      <alignment horizontal="left" vertical="center" wrapText="1"/>
    </xf>
    <xf numFmtId="0" fontId="0" fillId="17" borderId="0" pivotButton="0" quotePrefix="0" xfId="0"/>
    <xf numFmtId="1" fontId="0" fillId="17" borderId="2" applyAlignment="1" pivotButton="0" quotePrefix="0" xfId="0">
      <alignment horizontal="left" vertical="center" wrapText="1"/>
    </xf>
    <xf numFmtId="0" fontId="0" fillId="21" borderId="2" applyAlignment="1" pivotButton="0" quotePrefix="0" xfId="0">
      <alignment horizontal="left" vertical="center"/>
    </xf>
    <xf numFmtId="164" fontId="0" fillId="21" borderId="2" pivotButton="0" quotePrefix="0" xfId="0"/>
    <xf numFmtId="165" fontId="0" fillId="21" borderId="2" pivotButton="0" quotePrefix="0" xfId="0"/>
    <xf numFmtId="165" fontId="0" fillId="21" borderId="2" applyAlignment="1" pivotButton="0" quotePrefix="0" xfId="0">
      <alignment horizontal="left" vertical="center" wrapText="1"/>
    </xf>
    <xf numFmtId="164" fontId="0" fillId="21" borderId="2" applyAlignment="1" pivotButton="0" quotePrefix="0" xfId="0">
      <alignment horizontal="left" vertical="center" wrapText="1"/>
    </xf>
    <xf numFmtId="1" fontId="0" fillId="21" borderId="2" pivotButton="0" quotePrefix="0" xfId="0"/>
    <xf numFmtId="0" fontId="0" fillId="21" borderId="2" applyAlignment="1" pivotButton="0" quotePrefix="0" xfId="0">
      <alignment horizontal="left" vertical="center" wrapText="1"/>
    </xf>
    <xf numFmtId="0" fontId="0" fillId="21" borderId="0" pivotButton="0" quotePrefix="0" xfId="0"/>
    <xf numFmtId="1" fontId="0" fillId="21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left" vertical="center" wrapText="1"/>
    </xf>
    <xf numFmtId="0" fontId="7" fillId="22" borderId="2" pivotButton="0" quotePrefix="0" xfId="0"/>
    <xf numFmtId="0" fontId="0" fillId="23" borderId="2" pivotButton="0" quotePrefix="0" xfId="0"/>
    <xf numFmtId="0" fontId="7" fillId="22" borderId="2" applyAlignment="1" pivotButton="0" quotePrefix="0" xfId="0">
      <alignment horizontal="center" vertical="center"/>
    </xf>
    <xf numFmtId="0" fontId="0" fillId="23" borderId="2" applyAlignment="1" pivotButton="0" quotePrefix="0" xfId="0">
      <alignment horizontal="left" vertical="center"/>
    </xf>
    <xf numFmtId="164" fontId="0" fillId="23" borderId="2" pivotButton="0" quotePrefix="0" xfId="0"/>
    <xf numFmtId="165" fontId="0" fillId="23" borderId="2" pivotButton="0" quotePrefix="0" xfId="0"/>
    <xf numFmtId="1" fontId="0" fillId="23" borderId="2" pivotButton="0" quotePrefix="0" xfId="0"/>
    <xf numFmtId="0" fontId="0" fillId="23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left" vertical="center" wrapText="1"/>
    </xf>
    <xf numFmtId="0" fontId="7" fillId="24" borderId="2" pivotButton="0" quotePrefix="0" xfId="0"/>
    <xf numFmtId="0" fontId="0" fillId="25" borderId="2" pivotButton="0" quotePrefix="0" xfId="0"/>
    <xf numFmtId="0" fontId="7" fillId="24" borderId="2" applyAlignment="1" pivotButton="0" quotePrefix="0" xfId="0">
      <alignment horizontal="center" vertical="center"/>
    </xf>
    <xf numFmtId="3" fontId="0" fillId="14" borderId="2" pivotButton="0" quotePrefix="0" xfId="0"/>
    <xf numFmtId="0" fontId="0" fillId="14" borderId="2" pivotButton="0" quotePrefix="0" xfId="0"/>
    <xf numFmtId="165" fontId="0" fillId="14" borderId="2" applyAlignment="1" pivotButton="0" quotePrefix="0" xfId="0">
      <alignment horizontal="left" vertical="center" wrapText="1"/>
    </xf>
    <xf numFmtId="0" fontId="8" fillId="25" borderId="2" applyAlignment="1" pivotButton="0" quotePrefix="0" xfId="0">
      <alignment horizontal="left" vertical="center"/>
    </xf>
    <xf numFmtId="3" fontId="0" fillId="25" borderId="2" pivotButton="0" quotePrefix="0" xfId="0"/>
    <xf numFmtId="0" fontId="0" fillId="25" borderId="2" applyAlignment="1" pivotButton="0" quotePrefix="0" xfId="0">
      <alignment horizontal="left" vertical="center"/>
    </xf>
    <xf numFmtId="0" fontId="0" fillId="25" borderId="0" pivotButton="0" quotePrefix="0" xfId="0"/>
    <xf numFmtId="165" fontId="0" fillId="25" borderId="2" applyAlignment="1" pivotButton="0" quotePrefix="0" xfId="0">
      <alignment horizontal="left" vertical="center" wrapText="1"/>
    </xf>
    <xf numFmtId="3" fontId="0" fillId="14" borderId="2" applyAlignment="1" pivotButton="0" quotePrefix="0" xfId="0">
      <alignment horizontal="left" vertical="center" wrapText="1"/>
    </xf>
    <xf numFmtId="3" fontId="0" fillId="25" borderId="2" applyAlignment="1" pivotButton="0" quotePrefix="0" xfId="0">
      <alignment horizontal="left" vertical="center" wrapText="1"/>
    </xf>
    <xf numFmtId="166" fontId="0" fillId="25" borderId="2" pivotButton="0" quotePrefix="0" xfId="0"/>
    <xf numFmtId="165" fontId="0" fillId="25" borderId="2" pivotButton="0" quotePrefix="0" xfId="0"/>
    <xf numFmtId="0" fontId="8" fillId="14" borderId="2" applyAlignment="1" pivotButton="0" quotePrefix="0" xfId="0">
      <alignment horizontal="left" vertical="center" wrapText="1"/>
    </xf>
    <xf numFmtId="0" fontId="0" fillId="14" borderId="1" pivotButton="0" quotePrefix="0" xfId="0"/>
    <xf numFmtId="0" fontId="2" fillId="25" borderId="2" applyAlignment="1" pivotButton="0" quotePrefix="0" xfId="0">
      <alignment horizontal="left" vertical="center"/>
    </xf>
    <xf numFmtId="0" fontId="0" fillId="25" borderId="2" applyAlignment="1" pivotButton="0" quotePrefix="0" xfId="0">
      <alignment horizontal="left" vertical="center" wrapText="1"/>
    </xf>
    <xf numFmtId="0" fontId="6" fillId="26" borderId="2" applyAlignment="1" pivotButton="0" quotePrefix="0" xfId="0">
      <alignment horizontal="left" vertical="center" wrapText="1"/>
    </xf>
    <xf numFmtId="0" fontId="7" fillId="26" borderId="2" pivotButton="0" quotePrefix="0" xfId="0"/>
    <xf numFmtId="0" fontId="0" fillId="27" borderId="2" pivotButton="0" quotePrefix="0" xfId="0"/>
    <xf numFmtId="0" fontId="7" fillId="26" borderId="2" applyAlignment="1" pivotButton="0" quotePrefix="0" xfId="0">
      <alignment horizontal="center" vertical="center"/>
    </xf>
    <xf numFmtId="0" fontId="0" fillId="27" borderId="2" applyAlignment="1" pivotButton="0" quotePrefix="0" xfId="0">
      <alignment horizontal="left" vertical="center"/>
    </xf>
    <xf numFmtId="164" fontId="0" fillId="27" borderId="2" pivotButton="0" quotePrefix="0" xfId="0"/>
    <xf numFmtId="165" fontId="0" fillId="27" borderId="2" pivotButton="0" quotePrefix="0" xfId="0"/>
    <xf numFmtId="0" fontId="6" fillId="28" borderId="2" applyAlignment="1" pivotButton="0" quotePrefix="0" xfId="0">
      <alignment horizontal="left" vertical="center" wrapText="1"/>
    </xf>
    <xf numFmtId="0" fontId="7" fillId="28" borderId="2" pivotButton="0" quotePrefix="0" xfId="0"/>
    <xf numFmtId="0" fontId="0" fillId="29" borderId="2" pivotButton="0" quotePrefix="0" xfId="0"/>
    <xf numFmtId="0" fontId="7" fillId="28" borderId="2" applyAlignment="1" pivotButton="0" quotePrefix="0" xfId="0">
      <alignment horizontal="center" vertical="center"/>
    </xf>
    <xf numFmtId="0" fontId="8" fillId="14" borderId="2" applyAlignment="1" pivotButton="0" quotePrefix="0" xfId="0">
      <alignment wrapText="1"/>
    </xf>
    <xf numFmtId="0" fontId="8" fillId="29" borderId="2" applyAlignment="1" pivotButton="0" quotePrefix="0" xfId="0">
      <alignment wrapText="1"/>
    </xf>
    <xf numFmtId="0" fontId="0" fillId="29" borderId="2" applyAlignment="1" pivotButton="0" quotePrefix="0" xfId="0">
      <alignment horizontal="left" vertical="center"/>
    </xf>
    <xf numFmtId="0" fontId="0" fillId="29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9" fillId="30" borderId="2" applyAlignment="1" pivotButton="0" quotePrefix="0" xfId="0">
      <alignment horizontal="left" vertical="center" wrapText="1"/>
    </xf>
    <xf numFmtId="0" fontId="0" fillId="30" borderId="2" pivotButton="0" quotePrefix="0" xfId="0"/>
    <xf numFmtId="0" fontId="7" fillId="2" borderId="2" applyAlignment="1" pivotButton="0" quotePrefix="0" xfId="0">
      <alignment horizontal="center" vertical="center"/>
    </xf>
    <xf numFmtId="0" fontId="10" fillId="3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3" fillId="4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'Dashboard'!$A$12:$A$14</f>
              <strCache>
                <ptCount val="0"/>
              </strCache>
            </strRef>
          </cat>
          <val>
            <numRef>
              <f>'Dashboard'!$B$12:$B$14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Open Amount</v>
          </tx>
          <spPr>
            <a:ln xmlns:a="http://schemas.openxmlformats.org/drawingml/2006/main">
              <a:prstDash val="solid"/>
            </a:ln>
          </spPr>
          <cat>
            <strRef>
              <f>'Dashboard'!$D$12:$D$16</f>
              <strCache>
                <ptCount val="0"/>
              </strCache>
            </strRef>
          </cat>
          <val>
            <numRef>
              <f>'Dashboard'!$E$12:$E$16</f>
              <numCache>
                <formatCode>$#,##0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tx>
            <v>Risk Count</v>
          </tx>
          <spPr>
            <a:ln xmlns:a="http://schemas.openxmlformats.org/drawingml/2006/main">
              <a:prstDash val="solid"/>
            </a:ln>
          </spPr>
          <cat>
            <strRef>
              <f>'Dashboard'!$D$31:$D$34</f>
              <strCache>
                <ptCount val="0"/>
              </strCache>
            </strRef>
          </cat>
          <val>
            <numRef>
              <f>'Dashboard'!$E$31:$E$34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0</col>
      <colOff>0</colOff>
      <row>22</row>
      <rowOff>0</rowOff>
    </from>
    <to>
      <col>3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</col>
      <colOff>0</colOff>
      <row>16</row>
      <rowOff>0</rowOff>
    </from>
    <to>
      <col>7</col>
      <colOff>0</colOff>
      <row>29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3</row>
      <rowOff>0</rowOff>
    </from>
    <to>
      <col>7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eadmeTable" displayName="ReadmeTable" ref="A3:C22" headerRowCount="1">
  <tableColumns count="3">
    <tableColumn id="1" name="Section"/>
    <tableColumn id="2" name="Simple explanation"/>
    <tableColumn id="3" name="Why it matters"/>
  </tableColumns>
  <tableStyleInfo name="TableStyleMedium2" showRowStripes="1"/>
</table>
</file>

<file path=xl/tables/table2.xml><?xml version="1.0" encoding="utf-8"?>
<table xmlns="http://schemas.openxmlformats.org/spreadsheetml/2006/main" id="2" name="ERPTransactionsTable" displayName="ERPTransactionsTable" ref="A3:M503" headerRowCount="1">
  <tableColumns count="13">
    <tableColumn id="1" name="Txn_ID"/>
    <tableColumn id="2" name="Txn_Date"/>
    <tableColumn id="3" name="Period"/>
    <tableColumn id="4" name="Module"/>
    <tableColumn id="5" name="Vendor_Customer"/>
    <tableColumn id="6" name="Description"/>
    <tableColumn id="7" name="Reference_No"/>
    <tableColumn id="8" name="Debit"/>
    <tableColumn id="9" name="Credit"/>
    <tableColumn id="10" name="Net_Amount"/>
    <tableColumn id="11" name="Payment_Method"/>
    <tableColumn id="12" name="Cost_Center"/>
    <tableColumn id="13" name="GL_Account"/>
  </tableColumns>
  <tableStyleInfo name="TableStyleMedium2" showRowStripes="1"/>
</table>
</file>

<file path=xl/tables/table3.xml><?xml version="1.0" encoding="utf-8"?>
<table xmlns="http://schemas.openxmlformats.org/spreadsheetml/2006/main" id="3" name="BankStatementTable" displayName="BankStatementTable" ref="A3:H448" headerRowCount="1">
  <tableColumns count="8">
    <tableColumn id="1" name="Bank_ID"/>
    <tableColumn id="2" name="Bank_Date"/>
    <tableColumn id="3" name="Bank_Description"/>
    <tableColumn id="4" name="Reference_No"/>
    <tableColumn id="5" name="Deposit"/>
    <tableColumn id="6" name="Withdrawal"/>
    <tableColumn id="7" name="Bank_Net"/>
    <tableColumn id="8" name="Bank_Status"/>
  </tableColumns>
  <tableStyleInfo name="TableStyleMedium2" showRowStripes="1"/>
</table>
</file>

<file path=xl/tables/table4.xml><?xml version="1.0" encoding="utf-8"?>
<table xmlns="http://schemas.openxmlformats.org/spreadsheetml/2006/main" id="4" name="ReconciliationTable" displayName="ReconciliationTable" ref="A3:S503" headerRowCount="1">
  <tableColumns count="19">
    <tableColumn id="1" name="Txn_ID"/>
    <tableColumn id="2" name="Txn_Date"/>
    <tableColumn id="3" name="Module"/>
    <tableColumn id="4" name="Vendor_Customer"/>
    <tableColumn id="5" name="Reference_No"/>
    <tableColumn id="6" name="ERP_Amount"/>
    <tableColumn id="7" name="Bank_Amount"/>
    <tableColumn id="8" name="Amount_Difference"/>
    <tableColumn id="9" name="Bank_Date"/>
    <tableColumn id="10" name="Date_Difference"/>
    <tableColumn id="11" name="Reconciliation_Status"/>
    <tableColumn id="12" name="Exception_Type"/>
    <tableColumn id="13" name="Priority"/>
    <tableColumn id="14" name="Suggested_Action"/>
    <tableColumn id="15" name="GL_Account"/>
    <tableColumn id="16" name="Owner"/>
    <tableColumn id="17" name="Reviewed?"/>
    <tableColumn id="18" name="Review_Notes"/>
    <tableColumn id="19" name="Days_To_Close"/>
  </tableColumns>
  <tableStyleInfo name="TableStyleMedium2" showRowStripes="1"/>
</table>
</file>

<file path=xl/tables/table5.xml><?xml version="1.0" encoding="utf-8"?>
<table xmlns="http://schemas.openxmlformats.org/spreadsheetml/2006/main" id="5" name="OpenInvoicesTable" displayName="OpenInvoicesTable" ref="A3:N223" headerRowCount="1">
  <tableColumns count="14">
    <tableColumn id="1" name="Invoice_ID"/>
    <tableColumn id="2" name="Type"/>
    <tableColumn id="3" name="Customer_Vendor"/>
    <tableColumn id="4" name="Invoice_Date"/>
    <tableColumn id="5" name="Due_Date"/>
    <tableColumn id="6" name="Original_Amount"/>
    <tableColumn id="7" name="Paid_Amount"/>
    <tableColumn id="8" name="Open_Amount"/>
    <tableColumn id="9" name="Days_Overdue"/>
    <tableColumn id="10" name="Aging_Bucket"/>
    <tableColumn id="11" name="Owner"/>
    <tableColumn id="12" name="Status"/>
    <tableColumn id="13" name="Risk_Level"/>
    <tableColumn id="14" name="Next_Action"/>
  </tableColumns>
  <tableStyleInfo name="TableStyleMedium2" showRowStripes="1"/>
</table>
</file>

<file path=xl/tables/table6.xml><?xml version="1.0" encoding="utf-8"?>
<table xmlns="http://schemas.openxmlformats.org/spreadsheetml/2006/main" id="6" name="ExceptionLogTable" displayName="ExceptionLogTable" ref="A3:J83" headerRowCount="1">
  <tableColumns count="10">
    <tableColumn id="1" name="Exception_ID"/>
    <tableColumn id="2" name="Source"/>
    <tableColumn id="3" name="Reference_No"/>
    <tableColumn id="4" name="Date"/>
    <tableColumn id="5" name="Name"/>
    <tableColumn id="6" name="Amount"/>
    <tableColumn id="7" name="Exception_Type"/>
    <tableColumn id="8" name="Priority"/>
    <tableColumn id="9" name="Owner"/>
    <tableColumn id="10" name="Suggested_Action"/>
  </tableColumns>
  <tableStyleInfo name="TableStyleMedium2" showRowStripes="1"/>
</table>
</file>

<file path=xl/tables/table7.xml><?xml version="1.0" encoding="utf-8"?>
<table xmlns="http://schemas.openxmlformats.org/spreadsheetml/2006/main" id="7" name="PowerQueryBlueprintTable" displayName="PowerQueryBlueprintTable" ref="A3:F10" headerRowCount="1">
  <tableColumns count="6">
    <tableColumn id="1" name="Step"/>
    <tableColumn id="2" name="Query Name"/>
    <tableColumn id="3" name="Source"/>
    <tableColumn id="4" name="Action"/>
    <tableColumn id="5" name="Output"/>
    <tableColumn id="6" name="Simple explana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8B57"/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 ht="24" customHeight="1">
      <c r="A1" s="88" t="inlineStr">
        <is>
          <t>Month-End Close Reconciliation &amp; AP/AR Risk Dashboard</t>
        </is>
      </c>
      <c r="B1" s="89" t="n"/>
      <c r="C1" s="89" t="n"/>
    </row>
    <row r="2" ht="22" customHeight="1">
      <c r="A2" s="90" t="n"/>
      <c r="B2" s="90" t="n"/>
      <c r="C2" s="90" t="n"/>
    </row>
    <row r="3" ht="22" customHeight="1">
      <c r="A3" s="91" t="inlineStr">
        <is>
          <t>Section</t>
        </is>
      </c>
      <c r="B3" s="91" t="inlineStr">
        <is>
          <t>Simple explanation</t>
        </is>
      </c>
      <c r="C3" s="91" t="inlineStr">
        <is>
          <t>Why it matters</t>
        </is>
      </c>
    </row>
    <row r="4">
      <c r="A4" s="92" t="inlineStr">
        <is>
          <t>Project goal</t>
        </is>
      </c>
      <c r="B4" s="92" t="inlineStr">
        <is>
          <t>This Excel file helps a finance team check month-end data. It compares ERP transactions with bank transactions. It also shows unpaid invoices.</t>
        </is>
      </c>
      <c r="C4" s="92" t="inlineStr">
        <is>
          <t>Companies need this work every month. It saves time and finds errors.</t>
        </is>
      </c>
    </row>
    <row r="5">
      <c r="A5" s="93" t="inlineStr">
        <is>
          <t>Business problem</t>
        </is>
      </c>
      <c r="B5" s="93" t="inlineStr">
        <is>
          <t>Many companies have many AP, AR, and bank records. Some records do not match. Some invoices are old. This can make month-end close slow.</t>
        </is>
      </c>
      <c r="C5" s="93" t="inlineStr">
        <is>
          <t>A manager wants clean data, clear exceptions, and fast reports.</t>
        </is>
      </c>
    </row>
    <row r="6">
      <c r="A6" s="92" t="inlineStr">
        <is>
          <t>What this workbook does</t>
        </is>
      </c>
      <c r="B6" s="92" t="inlineStr">
        <is>
          <t>It imports sample ERP data, sample bank data, and sample invoice data. It checks matches, amount differences, date differences, and invoice risk.</t>
        </is>
      </c>
      <c r="C6" s="92" t="inlineStr">
        <is>
          <t>It shows practical Excel and finance skills.</t>
        </is>
      </c>
    </row>
    <row r="7">
      <c r="A7" s="93" t="inlineStr">
        <is>
          <t>How to use it</t>
        </is>
      </c>
      <c r="B7" s="93" t="inlineStr">
        <is>
          <t>Start with the Dashboard sheet. Then check Reconciliation for transaction problems. Check Open_Invoices for AP and AR risk.</t>
        </is>
      </c>
      <c r="C7" s="93" t="inlineStr">
        <is>
          <t>This is how a real accounting team would use the file.</t>
        </is>
      </c>
    </row>
    <row r="8">
      <c r="A8" s="92" t="inlineStr">
        <is>
          <t>Main result</t>
        </is>
      </c>
      <c r="B8" s="92" t="inlineStr">
        <is>
          <t>The dashboard shows matched transactions, unmatched ERP items, bank-only items, old invoices, and high-risk items.</t>
        </is>
      </c>
      <c r="C8" s="92" t="inlineStr">
        <is>
          <t>This helps the team know what to fix first.</t>
        </is>
      </c>
    </row>
    <row r="9">
      <c r="A9" s="93" t="inlineStr">
        <is>
          <t>Sheet: Mapping_Rules</t>
        </is>
      </c>
      <c r="B9" s="93" t="inlineStr">
        <is>
          <t>This sheet has the rules. For example, how much amount difference is allowed and how many days difference is okay.</t>
        </is>
      </c>
      <c r="C9" s="93" t="inlineStr">
        <is>
          <t>Rules make the file easy to change.</t>
        </is>
      </c>
    </row>
    <row r="10">
      <c r="A10" s="92" t="inlineStr">
        <is>
          <t>Sheet: ERP_Transactions</t>
        </is>
      </c>
      <c r="B10" s="92" t="inlineStr">
        <is>
          <t>This sheet has sample ERP transactions from AP, AR, GL, Payroll, and bank fees.</t>
        </is>
      </c>
      <c r="C10" s="92" t="inlineStr">
        <is>
          <t>This is the main accounting system data.</t>
        </is>
      </c>
    </row>
    <row r="11">
      <c r="A11" s="93" t="inlineStr">
        <is>
          <t>Sheet: Bank_Statement</t>
        </is>
      </c>
      <c r="B11" s="93" t="inlineStr">
        <is>
          <t>This sheet has sample bank records. Some records match ERP. Some records do not match.</t>
        </is>
      </c>
      <c r="C11" s="93" t="inlineStr">
        <is>
          <t>This helps test bank reconciliation.</t>
        </is>
      </c>
    </row>
    <row r="12">
      <c r="A12" s="92" t="inlineStr">
        <is>
          <t>Sheet: Reconciliation</t>
        </is>
      </c>
      <c r="B12" s="92" t="inlineStr">
        <is>
          <t>This sheet compares ERP with bank data by reference number. It shows matched items and review items.</t>
        </is>
      </c>
      <c r="C12" s="92" t="inlineStr">
        <is>
          <t>This is a key month-end close task.</t>
        </is>
      </c>
    </row>
    <row r="13">
      <c r="A13" s="93" t="inlineStr">
        <is>
          <t>Sheet: Open_Invoices</t>
        </is>
      </c>
      <c r="B13" s="93" t="inlineStr">
        <is>
          <t>This sheet shows unpaid AP and AR invoices. It calculates open amount, days overdue, aging bucket, and risk level.</t>
        </is>
      </c>
      <c r="C13" s="93" t="inlineStr">
        <is>
          <t>This helps cash collection and vendor payment planning.</t>
        </is>
      </c>
    </row>
    <row r="14">
      <c r="A14" s="92" t="inlineStr">
        <is>
          <t>Sheet: Analysis_Model</t>
        </is>
      </c>
      <c r="B14" s="92" t="inlineStr">
        <is>
          <t>This sheet has summary formulas. It works like a simple data model.</t>
        </is>
      </c>
      <c r="C14" s="92" t="inlineStr">
        <is>
          <t>It supports the dashboard.</t>
        </is>
      </c>
    </row>
    <row r="15">
      <c r="A15" s="93" t="inlineStr">
        <is>
          <t>Sheet: Exception_Log</t>
        </is>
      </c>
      <c r="B15" s="93" t="inlineStr">
        <is>
          <t>This sheet lists the most important problems from the reconciliation and invoice data.</t>
        </is>
      </c>
      <c r="C15" s="93" t="inlineStr">
        <is>
          <t>Managers can see what needs action.</t>
        </is>
      </c>
    </row>
    <row r="16">
      <c r="A16" s="92" t="inlineStr">
        <is>
          <t>Sheet: Power_Query_Blueprint</t>
        </is>
      </c>
      <c r="B16" s="92" t="inlineStr">
        <is>
          <t>This sheet explains how Power Query can be used to load, clean, and combine the data.</t>
        </is>
      </c>
      <c r="C16" s="92" t="inlineStr">
        <is>
          <t>This shows data automation thinking.</t>
        </is>
      </c>
    </row>
    <row r="17">
      <c r="A17" s="93" t="inlineStr">
        <is>
          <t>Excel skills shown</t>
        </is>
      </c>
      <c r="B17" s="93" t="inlineStr">
        <is>
          <t>Tables, formulas, XLOOKUP, COUNTIF, SUMIF, date formulas, charts, dashboard design, and clean reporting.</t>
        </is>
      </c>
      <c r="C17" s="93" t="inlineStr">
        <is>
          <t>These skills are useful for accounting and finance jobs.</t>
        </is>
      </c>
    </row>
    <row r="18">
      <c r="A18" s="92" t="inlineStr">
        <is>
          <t>Employer value</t>
        </is>
      </c>
      <c r="B18" s="92" t="inlineStr">
        <is>
          <t>The file shows that I can clean data, find errors, build reports, and explain results in simple English.</t>
        </is>
      </c>
      <c r="C18" s="92" t="inlineStr">
        <is>
          <t>This is useful for Vancouver accounting and finance teams.</t>
        </is>
      </c>
    </row>
    <row r="19">
      <c r="A19" s="93" t="inlineStr">
        <is>
          <t>Interview answer</t>
        </is>
      </c>
      <c r="B19" s="93" t="inlineStr">
        <is>
          <t>I built a month-end close workbook. It compares ERP data with bank data and checks AP/AR invoices. The dashboard shows the biggest risks first.</t>
        </is>
      </c>
      <c r="C19" s="93" t="inlineStr">
        <is>
          <t>This is a clear way to explain the project.</t>
        </is>
      </c>
    </row>
    <row r="20">
      <c r="A20" s="92" t="inlineStr">
        <is>
          <t>Resume bullet</t>
        </is>
      </c>
      <c r="B20" s="92" t="inlineStr">
        <is>
          <t>Built an Excel month-end close dashboard using reconciliation formulas, AP/AR aging, exception tracking, and management KPIs.</t>
        </is>
      </c>
      <c r="C20" s="92" t="inlineStr">
        <is>
          <t>This is ready to use on a resume.</t>
        </is>
      </c>
    </row>
    <row r="21">
      <c r="A21" s="93" t="inlineStr">
        <is>
          <t>GitHub note</t>
        </is>
      </c>
      <c r="B21" s="93" t="inlineStr">
        <is>
          <t>Upload the workbook with screenshots. Add a short README. Explain the business problem, the Excel skills, and the result.</t>
        </is>
      </c>
      <c r="C21" s="93" t="inlineStr">
        <is>
          <t>This makes the portfolio easy to understand.</t>
        </is>
      </c>
    </row>
    <row r="22">
      <c r="A22" s="94" t="n"/>
      <c r="B22" s="94" t="n"/>
      <c r="C22" s="94" t="n"/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8" customWidth="1" min="3" max="3"/>
    <col width="18" customWidth="1" min="4" max="4"/>
    <col width="11" customWidth="1" min="5" max="5"/>
    <col width="14" customWidth="1" min="6" max="6"/>
    <col width="16" customWidth="1" min="7" max="7"/>
    <col width="10" customWidth="1" min="8" max="8"/>
    <col width="19" customWidth="1" min="9" max="9"/>
    <col width="14" customWidth="1" min="10" max="10"/>
    <col width="23" customWidth="1" min="11" max="11"/>
    <col width="12" customWidth="1" min="12" max="12"/>
  </cols>
  <sheetData>
    <row r="1" ht="24" customHeight="1">
      <c r="A1" s="95" t="inlineStr">
        <is>
          <t>Mapping Rules and Control Inputs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</row>
    <row r="2" ht="22" customHeight="1">
      <c r="A2" s="97" t="n"/>
      <c r="B2" s="97" t="n"/>
      <c r="C2" s="97" t="n"/>
      <c r="D2" s="97" t="n"/>
      <c r="E2" s="97" t="n"/>
      <c r="F2" s="97" t="n"/>
      <c r="G2" s="97" t="n"/>
      <c r="H2" s="97" t="n"/>
      <c r="I2" s="97" t="n"/>
      <c r="J2" s="97" t="n"/>
      <c r="K2" s="97" t="n"/>
      <c r="L2" s="97" t="n"/>
    </row>
    <row r="3" ht="22" customHeight="1">
      <c r="A3" s="98" t="inlineStr">
        <is>
          <t>Control</t>
        </is>
      </c>
      <c r="B3" s="98" t="inlineStr">
        <is>
          <t>Value</t>
        </is>
      </c>
      <c r="C3" s="98" t="inlineStr">
        <is>
          <t>Explanation</t>
        </is>
      </c>
      <c r="D3" s="98" t="n"/>
      <c r="E3" s="98" t="inlineStr">
        <is>
          <t>Modules</t>
        </is>
      </c>
      <c r="F3" s="98" t="inlineStr">
        <is>
          <t>Invoice Type</t>
        </is>
      </c>
      <c r="G3" s="98" t="inlineStr">
        <is>
          <t>Status</t>
        </is>
      </c>
      <c r="H3" s="98" t="inlineStr">
        <is>
          <t>Priority</t>
        </is>
      </c>
      <c r="I3" s="98" t="inlineStr">
        <is>
          <t>Exception Type</t>
        </is>
      </c>
      <c r="J3" s="98" t="inlineStr">
        <is>
          <t>Aging Bucket</t>
        </is>
      </c>
      <c r="K3" s="98" t="inlineStr">
        <is>
          <t>Owners</t>
        </is>
      </c>
      <c r="L3" s="98" t="inlineStr">
        <is>
          <t>Risk Level</t>
        </is>
      </c>
    </row>
    <row r="4">
      <c r="A4" s="99" t="inlineStr">
        <is>
          <t>Amount tolerance</t>
        </is>
      </c>
      <c r="B4" s="100" t="n">
        <v>10</v>
      </c>
      <c r="C4" s="101" t="inlineStr">
        <is>
          <t>Amount difference allowed for automatic match</t>
        </is>
      </c>
      <c r="D4" s="102" t="n"/>
      <c r="E4" s="103" t="inlineStr">
        <is>
          <t>AP</t>
        </is>
      </c>
      <c r="F4" s="103" t="inlineStr">
        <is>
          <t>AP</t>
        </is>
      </c>
      <c r="G4" s="103" t="inlineStr">
        <is>
          <t>Open</t>
        </is>
      </c>
      <c r="H4" s="103" t="inlineStr">
        <is>
          <t>High</t>
        </is>
      </c>
      <c r="I4" s="103" t="inlineStr">
        <is>
          <t>Missing from bank</t>
        </is>
      </c>
      <c r="J4" s="103" t="inlineStr">
        <is>
          <t>Current</t>
        </is>
      </c>
      <c r="K4" s="103" t="inlineStr">
        <is>
          <t>AP Clerk</t>
        </is>
      </c>
      <c r="L4" s="103" t="inlineStr">
        <is>
          <t>Normal</t>
        </is>
      </c>
    </row>
    <row r="5">
      <c r="A5" s="104" t="inlineStr">
        <is>
          <t>Date tolerance days</t>
        </is>
      </c>
      <c r="B5" s="105" t="n">
        <v>3</v>
      </c>
      <c r="C5" s="106" t="inlineStr">
        <is>
          <t>Date difference allowed for automatic match</t>
        </is>
      </c>
      <c r="D5" s="107" t="n"/>
      <c r="E5" s="108" t="inlineStr">
        <is>
          <t>AR</t>
        </is>
      </c>
      <c r="F5" s="108" t="inlineStr">
        <is>
          <t>AR</t>
        </is>
      </c>
      <c r="G5" s="108" t="inlineStr">
        <is>
          <t>Part Paid</t>
        </is>
      </c>
      <c r="H5" s="108" t="inlineStr">
        <is>
          <t>Medium</t>
        </is>
      </c>
      <c r="I5" s="108" t="inlineStr">
        <is>
          <t>Amount variance</t>
        </is>
      </c>
      <c r="J5" s="108" t="inlineStr">
        <is>
          <t>1-30</t>
        </is>
      </c>
      <c r="K5" s="108" t="inlineStr">
        <is>
          <t>AR Clerk</t>
        </is>
      </c>
      <c r="L5" s="108" t="inlineStr">
        <is>
          <t>Monitor</t>
        </is>
      </c>
    </row>
    <row r="6">
      <c r="A6" s="99" t="inlineStr">
        <is>
          <t>Close date</t>
        </is>
      </c>
      <c r="B6" s="109" t="n">
        <v>46053</v>
      </c>
      <c r="C6" s="103" t="inlineStr">
        <is>
          <t>Month-end close date</t>
        </is>
      </c>
      <c r="D6" s="102" t="n"/>
      <c r="E6" s="103" t="inlineStr">
        <is>
          <t>GL</t>
        </is>
      </c>
      <c r="F6" s="102" t="n"/>
      <c r="G6" s="103" t="inlineStr">
        <is>
          <t>Disputed</t>
        </is>
      </c>
      <c r="H6" s="103" t="inlineStr">
        <is>
          <t>Low</t>
        </is>
      </c>
      <c r="I6" s="103" t="inlineStr">
        <is>
          <t>Date variance</t>
        </is>
      </c>
      <c r="J6" s="103" t="inlineStr">
        <is>
          <t>31-60</t>
        </is>
      </c>
      <c r="K6" s="103" t="inlineStr">
        <is>
          <t>Accounting Technician</t>
        </is>
      </c>
      <c r="L6" s="103" t="inlineStr">
        <is>
          <t>High Risk</t>
        </is>
      </c>
    </row>
    <row r="7">
      <c r="A7" s="104" t="inlineStr">
        <is>
          <t>High risk amount</t>
        </is>
      </c>
      <c r="B7" s="110" t="n">
        <v>5000</v>
      </c>
      <c r="C7" s="106" t="inlineStr">
        <is>
          <t>Invoice amount above this value is high risk</t>
        </is>
      </c>
      <c r="D7" s="107" t="n"/>
      <c r="E7" s="108" t="inlineStr">
        <is>
          <t>Payroll</t>
        </is>
      </c>
      <c r="F7" s="107" t="n"/>
      <c r="G7" s="108" t="inlineStr">
        <is>
          <t>Promise to Pay</t>
        </is>
      </c>
      <c r="H7" s="107" t="n"/>
      <c r="I7" s="108" t="inlineStr">
        <is>
          <t>Bank-only item</t>
        </is>
      </c>
      <c r="J7" s="108" t="inlineStr">
        <is>
          <t>61-90</t>
        </is>
      </c>
      <c r="K7" s="108" t="inlineStr">
        <is>
          <t>Finance Analyst</t>
        </is>
      </c>
      <c r="L7" s="108" t="inlineStr">
        <is>
          <t>Closed</t>
        </is>
      </c>
    </row>
    <row r="8">
      <c r="A8" s="99" t="inlineStr">
        <is>
          <t>High risk days</t>
        </is>
      </c>
      <c r="B8" s="100" t="n">
        <v>60</v>
      </c>
      <c r="C8" s="101" t="inlineStr">
        <is>
          <t>Invoice days overdue above this value is high risk</t>
        </is>
      </c>
      <c r="D8" s="102" t="n"/>
      <c r="E8" s="103" t="inlineStr">
        <is>
          <t>Bank Fees</t>
        </is>
      </c>
      <c r="F8" s="102" t="n"/>
      <c r="G8" s="103" t="inlineStr">
        <is>
          <t>Closed</t>
        </is>
      </c>
      <c r="H8" s="102" t="n"/>
      <c r="I8" s="103" t="inlineStr">
        <is>
          <t>Invoice risk</t>
        </is>
      </c>
      <c r="J8" s="103" t="inlineStr">
        <is>
          <t>90+</t>
        </is>
      </c>
      <c r="K8" s="102" t="n"/>
      <c r="L8" s="102" t="n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M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9" customWidth="1" min="3" max="3"/>
    <col width="11" customWidth="1" min="4" max="4"/>
    <col width="25" customWidth="1" min="5" max="5"/>
    <col width="28" customWidth="1" min="6" max="6"/>
    <col width="14" customWidth="1" min="7" max="7"/>
    <col width="9" customWidth="1" min="8" max="8"/>
    <col width="10" customWidth="1" min="9" max="9"/>
    <col width="12" customWidth="1" min="10" max="10"/>
    <col width="16" customWidth="1" min="11" max="11"/>
    <col width="13" customWidth="1" min="12" max="12"/>
    <col width="21" customWidth="1" min="13" max="13"/>
  </cols>
  <sheetData>
    <row r="1" ht="24" customHeight="1">
      <c r="A1" s="111" t="inlineStr">
        <is>
          <t>ERP Transactions - Sample Data</t>
        </is>
      </c>
      <c r="B1" s="112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</row>
    <row r="2" ht="22" customHeight="1">
      <c r="A2" s="113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</row>
    <row r="3" ht="22" customHeight="1">
      <c r="A3" s="114" t="inlineStr">
        <is>
          <t>Txn_ID</t>
        </is>
      </c>
      <c r="B3" s="114" t="inlineStr">
        <is>
          <t>Txn_Date</t>
        </is>
      </c>
      <c r="C3" s="114" t="inlineStr">
        <is>
          <t>Period</t>
        </is>
      </c>
      <c r="D3" s="114" t="inlineStr">
        <is>
          <t>Module</t>
        </is>
      </c>
      <c r="E3" s="114" t="inlineStr">
        <is>
          <t>Vendor_Customer</t>
        </is>
      </c>
      <c r="F3" s="114" t="inlineStr">
        <is>
          <t>Description</t>
        </is>
      </c>
      <c r="G3" s="114" t="inlineStr">
        <is>
          <t>Reference_No</t>
        </is>
      </c>
      <c r="H3" s="114" t="inlineStr">
        <is>
          <t>Debit</t>
        </is>
      </c>
      <c r="I3" s="114" t="inlineStr">
        <is>
          <t>Credit</t>
        </is>
      </c>
      <c r="J3" s="114" t="inlineStr">
        <is>
          <t>Net_Amount</t>
        </is>
      </c>
      <c r="K3" s="114" t="inlineStr">
        <is>
          <t>Payment_Method</t>
        </is>
      </c>
      <c r="L3" s="114" t="inlineStr">
        <is>
          <t>Cost_Center</t>
        </is>
      </c>
      <c r="M3" s="114" t="inlineStr">
        <is>
          <t>GL_Account</t>
        </is>
      </c>
    </row>
    <row r="4">
      <c r="A4" s="115" t="inlineStr">
        <is>
          <t>ERP-00001</t>
        </is>
      </c>
      <c r="B4" s="116" t="n">
        <v>46043</v>
      </c>
      <c r="C4" s="115" t="inlineStr">
        <is>
          <t>2026-01</t>
        </is>
      </c>
      <c r="D4" s="115" t="inlineStr">
        <is>
          <t>AP</t>
        </is>
      </c>
      <c r="E4" s="115" t="inlineStr">
        <is>
          <t>Staples Canada</t>
        </is>
      </c>
      <c r="F4" s="115" t="inlineStr">
        <is>
          <t>Vendor payment - Staples Canada</t>
        </is>
      </c>
      <c r="G4" s="115" t="inlineStr">
        <is>
          <t>REF-100001</t>
        </is>
      </c>
      <c r="H4" s="117" t="n">
        <v>0</v>
      </c>
      <c r="I4" s="117" t="n">
        <v>1763.18</v>
      </c>
      <c r="J4" s="117" t="n">
        <v>-1763.18</v>
      </c>
      <c r="K4" s="115" t="inlineStr">
        <is>
          <t>Cheque</t>
        </is>
      </c>
      <c r="L4" s="115" t="inlineStr">
        <is>
          <t>200-Sales</t>
        </is>
      </c>
      <c r="M4" s="115" t="inlineStr">
        <is>
          <t>2000 AP</t>
        </is>
      </c>
    </row>
    <row r="5">
      <c r="A5" s="118" t="inlineStr">
        <is>
          <t>ERP-00002</t>
        </is>
      </c>
      <c r="B5" s="119" t="n">
        <v>46024</v>
      </c>
      <c r="C5" s="118" t="inlineStr">
        <is>
          <t>2026-01</t>
        </is>
      </c>
      <c r="D5" s="118" t="inlineStr">
        <is>
          <t>AP</t>
        </is>
      </c>
      <c r="E5" s="118" t="inlineStr">
        <is>
          <t>North Shore Telecom</t>
        </is>
      </c>
      <c r="F5" s="118" t="inlineStr">
        <is>
          <t>Vendor payment - North Shore Telecom</t>
        </is>
      </c>
      <c r="G5" s="118" t="inlineStr">
        <is>
          <t>REF-100002</t>
        </is>
      </c>
      <c r="H5" s="120" t="n">
        <v>0</v>
      </c>
      <c r="I5" s="120" t="n">
        <v>1503.88</v>
      </c>
      <c r="J5" s="120" t="n">
        <v>-1503.88</v>
      </c>
      <c r="K5" s="118" t="inlineStr">
        <is>
          <t>PAD</t>
        </is>
      </c>
      <c r="L5" s="118" t="inlineStr">
        <is>
          <t>100-Admin</t>
        </is>
      </c>
      <c r="M5" s="118" t="inlineStr">
        <is>
          <t>2000 AP</t>
        </is>
      </c>
    </row>
    <row r="6">
      <c r="A6" s="115" t="inlineStr">
        <is>
          <t>ERP-00003</t>
        </is>
      </c>
      <c r="B6" s="116" t="n">
        <v>46041</v>
      </c>
      <c r="C6" s="115" t="inlineStr">
        <is>
          <t>2026-01</t>
        </is>
      </c>
      <c r="D6" s="115" t="inlineStr">
        <is>
          <t>AP</t>
        </is>
      </c>
      <c r="E6" s="115" t="inlineStr">
        <is>
          <t>Vancouver Courier</t>
        </is>
      </c>
      <c r="F6" s="115" t="inlineStr">
        <is>
          <t>Vendor payment - Vancouver Courier</t>
        </is>
      </c>
      <c r="G6" s="115" t="inlineStr">
        <is>
          <t>REF-100003</t>
        </is>
      </c>
      <c r="H6" s="117" t="n">
        <v>0</v>
      </c>
      <c r="I6" s="117" t="n">
        <v>119.77</v>
      </c>
      <c r="J6" s="117" t="n">
        <v>-119.77</v>
      </c>
      <c r="K6" s="115" t="inlineStr">
        <is>
          <t>Cheque</t>
        </is>
      </c>
      <c r="L6" s="115" t="inlineStr">
        <is>
          <t>400-Finance</t>
        </is>
      </c>
      <c r="M6" s="115" t="inlineStr">
        <is>
          <t>2000 AP</t>
        </is>
      </c>
    </row>
    <row r="7">
      <c r="A7" s="118" t="inlineStr">
        <is>
          <t>ERP-00004</t>
        </is>
      </c>
      <c r="B7" s="119" t="n">
        <v>46047</v>
      </c>
      <c r="C7" s="118" t="inlineStr">
        <is>
          <t>2026-01</t>
        </is>
      </c>
      <c r="D7" s="118" t="inlineStr">
        <is>
          <t>AP</t>
        </is>
      </c>
      <c r="E7" s="118" t="inlineStr">
        <is>
          <t>Pacific Office Supplies</t>
        </is>
      </c>
      <c r="F7" s="118" t="inlineStr">
        <is>
          <t>Vendor payment - Pacific Office Supplies</t>
        </is>
      </c>
      <c r="G7" s="118" t="inlineStr">
        <is>
          <t>REF-100004</t>
        </is>
      </c>
      <c r="H7" s="120" t="n">
        <v>0</v>
      </c>
      <c r="I7" s="120" t="n">
        <v>2405.16</v>
      </c>
      <c r="J7" s="120" t="n">
        <v>-2405.16</v>
      </c>
      <c r="K7" s="118" t="inlineStr">
        <is>
          <t>Credit Card</t>
        </is>
      </c>
      <c r="L7" s="118" t="inlineStr">
        <is>
          <t>300-Ops</t>
        </is>
      </c>
      <c r="M7" s="118" t="inlineStr">
        <is>
          <t>2000 AP</t>
        </is>
      </c>
    </row>
    <row r="8">
      <c r="A8" s="115" t="inlineStr">
        <is>
          <t>ERP-00005</t>
        </is>
      </c>
      <c r="B8" s="116" t="n">
        <v>46040</v>
      </c>
      <c r="C8" s="115" t="inlineStr">
        <is>
          <t>2026-01</t>
        </is>
      </c>
      <c r="D8" s="115" t="inlineStr">
        <is>
          <t>AP</t>
        </is>
      </c>
      <c r="E8" s="115" t="inlineStr">
        <is>
          <t>BC Hydro</t>
        </is>
      </c>
      <c r="F8" s="115" t="inlineStr">
        <is>
          <t>Vendor payment - BC Hydro</t>
        </is>
      </c>
      <c r="G8" s="115" t="inlineStr">
        <is>
          <t>REF-100005</t>
        </is>
      </c>
      <c r="H8" s="117" t="n">
        <v>0</v>
      </c>
      <c r="I8" s="117" t="n">
        <v>562.26</v>
      </c>
      <c r="J8" s="117" t="n">
        <v>-562.26</v>
      </c>
      <c r="K8" s="115" t="inlineStr">
        <is>
          <t>Credit Card</t>
        </is>
      </c>
      <c r="L8" s="115" t="inlineStr">
        <is>
          <t>500-IT</t>
        </is>
      </c>
      <c r="M8" s="115" t="inlineStr">
        <is>
          <t>2000 AP</t>
        </is>
      </c>
    </row>
    <row r="9">
      <c r="A9" s="118" t="inlineStr">
        <is>
          <t>ERP-00006</t>
        </is>
      </c>
      <c r="B9" s="119" t="n">
        <v>46034</v>
      </c>
      <c r="C9" s="118" t="inlineStr">
        <is>
          <t>2026-01</t>
        </is>
      </c>
      <c r="D9" s="118" t="inlineStr">
        <is>
          <t>AR</t>
        </is>
      </c>
      <c r="E9" s="118" t="inlineStr">
        <is>
          <t>Harbour Design Co.</t>
        </is>
      </c>
      <c r="F9" s="118" t="inlineStr">
        <is>
          <t>Customer payment - Harbour Design Co.</t>
        </is>
      </c>
      <c r="G9" s="118" t="inlineStr">
        <is>
          <t>REF-100006</t>
        </is>
      </c>
      <c r="H9" s="120" t="n">
        <v>730.79</v>
      </c>
      <c r="I9" s="120" t="n">
        <v>0</v>
      </c>
      <c r="J9" s="120" t="n">
        <v>730.79</v>
      </c>
      <c r="K9" s="118" t="inlineStr">
        <is>
          <t>Cheque</t>
        </is>
      </c>
      <c r="L9" s="118" t="inlineStr">
        <is>
          <t>300-Ops</t>
        </is>
      </c>
      <c r="M9" s="118" t="inlineStr">
        <is>
          <t>1200 AR</t>
        </is>
      </c>
    </row>
    <row r="10">
      <c r="A10" s="115" t="inlineStr">
        <is>
          <t>ERP-00007</t>
        </is>
      </c>
      <c r="B10" s="116" t="n">
        <v>46050</v>
      </c>
      <c r="C10" s="115" t="inlineStr">
        <is>
          <t>2026-01</t>
        </is>
      </c>
      <c r="D10" s="115" t="inlineStr">
        <is>
          <t>AP</t>
        </is>
      </c>
      <c r="E10" s="115" t="inlineStr">
        <is>
          <t>Pacific Office Supplies</t>
        </is>
      </c>
      <c r="F10" s="115" t="inlineStr">
        <is>
          <t>Vendor payment - Pacific Office Supplies</t>
        </is>
      </c>
      <c r="G10" s="115" t="inlineStr">
        <is>
          <t>REF-100007</t>
        </is>
      </c>
      <c r="H10" s="117" t="n">
        <v>0</v>
      </c>
      <c r="I10" s="117" t="n">
        <v>2406.37</v>
      </c>
      <c r="J10" s="117" t="n">
        <v>-2406.37</v>
      </c>
      <c r="K10" s="115" t="inlineStr">
        <is>
          <t>Wire</t>
        </is>
      </c>
      <c r="L10" s="115" t="inlineStr">
        <is>
          <t>300-Ops</t>
        </is>
      </c>
      <c r="M10" s="115" t="inlineStr">
        <is>
          <t>2000 AP</t>
        </is>
      </c>
    </row>
    <row r="11">
      <c r="A11" s="118" t="inlineStr">
        <is>
          <t>ERP-00008</t>
        </is>
      </c>
      <c r="B11" s="119" t="n">
        <v>46031</v>
      </c>
      <c r="C11" s="118" t="inlineStr">
        <is>
          <t>2026-01</t>
        </is>
      </c>
      <c r="D11" s="118" t="inlineStr">
        <is>
          <t>GL</t>
        </is>
      </c>
      <c r="E11" s="118" t="inlineStr">
        <is>
          <t>Granville Medical</t>
        </is>
      </c>
      <c r="F11" s="118" t="inlineStr">
        <is>
          <t>Manual GL entry</t>
        </is>
      </c>
      <c r="G11" s="118" t="inlineStr">
        <is>
          <t>REF-100008</t>
        </is>
      </c>
      <c r="H11" s="120" t="n">
        <v>0</v>
      </c>
      <c r="I11" s="120" t="n">
        <v>3257.78</v>
      </c>
      <c r="J11" s="120" t="n">
        <v>-3257.78</v>
      </c>
      <c r="K11" s="118" t="inlineStr">
        <is>
          <t>PAD</t>
        </is>
      </c>
      <c r="L11" s="118" t="inlineStr">
        <is>
          <t>200-Sales</t>
        </is>
      </c>
      <c r="M11" s="118" t="inlineStr">
        <is>
          <t>2000 AP</t>
        </is>
      </c>
    </row>
    <row r="12">
      <c r="A12" s="115" t="inlineStr">
        <is>
          <t>ERP-00009</t>
        </is>
      </c>
      <c r="B12" s="116" t="n">
        <v>46052</v>
      </c>
      <c r="C12" s="115" t="inlineStr">
        <is>
          <t>2026-01</t>
        </is>
      </c>
      <c r="D12" s="115" t="inlineStr">
        <is>
          <t>AR</t>
        </is>
      </c>
      <c r="E12" s="115" t="inlineStr">
        <is>
          <t>West Van Fitness</t>
        </is>
      </c>
      <c r="F12" s="115" t="inlineStr">
        <is>
          <t>Customer payment - West Van Fitness</t>
        </is>
      </c>
      <c r="G12" s="115" t="inlineStr">
        <is>
          <t>REF-100009</t>
        </is>
      </c>
      <c r="H12" s="117" t="n">
        <v>1983.79</v>
      </c>
      <c r="I12" s="117" t="n">
        <v>0</v>
      </c>
      <c r="J12" s="117" t="n">
        <v>1983.79</v>
      </c>
      <c r="K12" s="115" t="inlineStr">
        <is>
          <t>Credit Card</t>
        </is>
      </c>
      <c r="L12" s="115" t="inlineStr">
        <is>
          <t>100-Admin</t>
        </is>
      </c>
      <c r="M12" s="115" t="inlineStr">
        <is>
          <t>1200 AR</t>
        </is>
      </c>
    </row>
    <row r="13">
      <c r="A13" s="118" t="inlineStr">
        <is>
          <t>ERP-00010</t>
        </is>
      </c>
      <c r="B13" s="119" t="n">
        <v>46035</v>
      </c>
      <c r="C13" s="118" t="inlineStr">
        <is>
          <t>2026-01</t>
        </is>
      </c>
      <c r="D13" s="118" t="inlineStr">
        <is>
          <t>AP</t>
        </is>
      </c>
      <c r="E13" s="118" t="inlineStr">
        <is>
          <t>North Shore Telecom</t>
        </is>
      </c>
      <c r="F13" s="118" t="inlineStr">
        <is>
          <t>Vendor payment - North Shore Telecom</t>
        </is>
      </c>
      <c r="G13" s="118" t="inlineStr">
        <is>
          <t>REF-100010</t>
        </is>
      </c>
      <c r="H13" s="120" t="n">
        <v>0</v>
      </c>
      <c r="I13" s="120" t="n">
        <v>5668.39</v>
      </c>
      <c r="J13" s="120" t="n">
        <v>-5668.39</v>
      </c>
      <c r="K13" s="118" t="inlineStr">
        <is>
          <t>PAD</t>
        </is>
      </c>
      <c r="L13" s="118" t="inlineStr">
        <is>
          <t>300-Ops</t>
        </is>
      </c>
      <c r="M13" s="118" t="inlineStr">
        <is>
          <t>2000 AP</t>
        </is>
      </c>
    </row>
    <row r="14">
      <c r="A14" s="115" t="inlineStr">
        <is>
          <t>ERP-00011</t>
        </is>
      </c>
      <c r="B14" s="116" t="n">
        <v>46052</v>
      </c>
      <c r="C14" s="115" t="inlineStr">
        <is>
          <t>2026-01</t>
        </is>
      </c>
      <c r="D14" s="115" t="inlineStr">
        <is>
          <t>AR</t>
        </is>
      </c>
      <c r="E14" s="115" t="inlineStr">
        <is>
          <t>Coastline Foods</t>
        </is>
      </c>
      <c r="F14" s="115" t="inlineStr">
        <is>
          <t>Customer payment - Coastline Foods</t>
        </is>
      </c>
      <c r="G14" s="115" t="inlineStr">
        <is>
          <t>REF-100011</t>
        </is>
      </c>
      <c r="H14" s="117" t="n">
        <v>2361.75</v>
      </c>
      <c r="I14" s="117" t="n">
        <v>0</v>
      </c>
      <c r="J14" s="117" t="n">
        <v>2361.75</v>
      </c>
      <c r="K14" s="115" t="inlineStr">
        <is>
          <t>Cheque</t>
        </is>
      </c>
      <c r="L14" s="115" t="inlineStr">
        <is>
          <t>500-IT</t>
        </is>
      </c>
      <c r="M14" s="115" t="inlineStr">
        <is>
          <t>1200 AR</t>
        </is>
      </c>
    </row>
    <row r="15">
      <c r="A15" s="118" t="inlineStr">
        <is>
          <t>ERP-00012</t>
        </is>
      </c>
      <c r="B15" s="119" t="n">
        <v>46035</v>
      </c>
      <c r="C15" s="118" t="inlineStr">
        <is>
          <t>2026-01</t>
        </is>
      </c>
      <c r="D15" s="118" t="inlineStr">
        <is>
          <t>AR</t>
        </is>
      </c>
      <c r="E15" s="118" t="inlineStr">
        <is>
          <t>Coastline Foods</t>
        </is>
      </c>
      <c r="F15" s="118" t="inlineStr">
        <is>
          <t>Customer payment - Coastline Foods</t>
        </is>
      </c>
      <c r="G15" s="118" t="inlineStr">
        <is>
          <t>REF-100012</t>
        </is>
      </c>
      <c r="H15" s="120" t="n">
        <v>4404.54</v>
      </c>
      <c r="I15" s="120" t="n">
        <v>0</v>
      </c>
      <c r="J15" s="120" t="n">
        <v>4404.54</v>
      </c>
      <c r="K15" s="118" t="inlineStr">
        <is>
          <t>EFT</t>
        </is>
      </c>
      <c r="L15" s="118" t="inlineStr">
        <is>
          <t>100-Admin</t>
        </is>
      </c>
      <c r="M15" s="118" t="inlineStr">
        <is>
          <t>1200 AR</t>
        </is>
      </c>
    </row>
    <row r="16">
      <c r="A16" s="115" t="inlineStr">
        <is>
          <t>ERP-00013</t>
        </is>
      </c>
      <c r="B16" s="116" t="n">
        <v>46027</v>
      </c>
      <c r="C16" s="115" t="inlineStr">
        <is>
          <t>2026-01</t>
        </is>
      </c>
      <c r="D16" s="115" t="inlineStr">
        <is>
          <t>AR</t>
        </is>
      </c>
      <c r="E16" s="115" t="inlineStr">
        <is>
          <t>Harbour Design Co.</t>
        </is>
      </c>
      <c r="F16" s="115" t="inlineStr">
        <is>
          <t>Customer payment - Harbour Design Co.</t>
        </is>
      </c>
      <c r="G16" s="115" t="inlineStr">
        <is>
          <t>REF-100013</t>
        </is>
      </c>
      <c r="H16" s="117" t="n">
        <v>3675.04</v>
      </c>
      <c r="I16" s="117" t="n">
        <v>0</v>
      </c>
      <c r="J16" s="117" t="n">
        <v>3675.04</v>
      </c>
      <c r="K16" s="115" t="inlineStr">
        <is>
          <t>EFT</t>
        </is>
      </c>
      <c r="L16" s="115" t="inlineStr">
        <is>
          <t>400-Finance</t>
        </is>
      </c>
      <c r="M16" s="115" t="inlineStr">
        <is>
          <t>1200 AR</t>
        </is>
      </c>
    </row>
    <row r="17">
      <c r="A17" s="118" t="inlineStr">
        <is>
          <t>ERP-00014</t>
        </is>
      </c>
      <c r="B17" s="119" t="n">
        <v>46040</v>
      </c>
      <c r="C17" s="118" t="inlineStr">
        <is>
          <t>2026-01</t>
        </is>
      </c>
      <c r="D17" s="118" t="inlineStr">
        <is>
          <t>Payroll</t>
        </is>
      </c>
      <c r="E17" s="118" t="inlineStr">
        <is>
          <t>Payroll Batch</t>
        </is>
      </c>
      <c r="F17" s="118" t="inlineStr">
        <is>
          <t>Payroll payment</t>
        </is>
      </c>
      <c r="G17" s="118" t="inlineStr">
        <is>
          <t>REF-100014</t>
        </is>
      </c>
      <c r="H17" s="120" t="n">
        <v>0</v>
      </c>
      <c r="I17" s="120" t="n">
        <v>2666.47</v>
      </c>
      <c r="J17" s="120" t="n">
        <v>-2666.47</v>
      </c>
      <c r="K17" s="118" t="inlineStr">
        <is>
          <t>EFT</t>
        </is>
      </c>
      <c r="L17" s="118" t="inlineStr">
        <is>
          <t>500-IT</t>
        </is>
      </c>
      <c r="M17" s="118" t="inlineStr">
        <is>
          <t>5300 Payroll</t>
        </is>
      </c>
    </row>
    <row r="18">
      <c r="A18" s="115" t="inlineStr">
        <is>
          <t>ERP-00015</t>
        </is>
      </c>
      <c r="B18" s="116" t="n">
        <v>46036</v>
      </c>
      <c r="C18" s="115" t="inlineStr">
        <is>
          <t>2026-01</t>
        </is>
      </c>
      <c r="D18" s="115" t="inlineStr">
        <is>
          <t>AP</t>
        </is>
      </c>
      <c r="E18" s="115" t="inlineStr">
        <is>
          <t>Pacific Office Supplies</t>
        </is>
      </c>
      <c r="F18" s="115" t="inlineStr">
        <is>
          <t>Vendor payment - Pacific Office Supplies</t>
        </is>
      </c>
      <c r="G18" s="115" t="inlineStr">
        <is>
          <t>REF-100015</t>
        </is>
      </c>
      <c r="H18" s="117" t="n">
        <v>0</v>
      </c>
      <c r="I18" s="117" t="n">
        <v>5917.35</v>
      </c>
      <c r="J18" s="117" t="n">
        <v>-5917.35</v>
      </c>
      <c r="K18" s="115" t="inlineStr">
        <is>
          <t>Credit Card</t>
        </is>
      </c>
      <c r="L18" s="115" t="inlineStr">
        <is>
          <t>500-IT</t>
        </is>
      </c>
      <c r="M18" s="115" t="inlineStr">
        <is>
          <t>2000 AP</t>
        </is>
      </c>
    </row>
    <row r="19">
      <c r="A19" s="118" t="inlineStr">
        <is>
          <t>ERP-00016</t>
        </is>
      </c>
      <c r="B19" s="119" t="n">
        <v>46032</v>
      </c>
      <c r="C19" s="118" t="inlineStr">
        <is>
          <t>2026-01</t>
        </is>
      </c>
      <c r="D19" s="118" t="inlineStr">
        <is>
          <t>Payroll</t>
        </is>
      </c>
      <c r="E19" s="118" t="inlineStr">
        <is>
          <t>Payroll Batch</t>
        </is>
      </c>
      <c r="F19" s="118" t="inlineStr">
        <is>
          <t>Payroll payment</t>
        </is>
      </c>
      <c r="G19" s="118" t="inlineStr">
        <is>
          <t>REF-100016</t>
        </is>
      </c>
      <c r="H19" s="120" t="n">
        <v>0</v>
      </c>
      <c r="I19" s="120" t="n">
        <v>9861.110000000001</v>
      </c>
      <c r="J19" s="120" t="n">
        <v>-9861.110000000001</v>
      </c>
      <c r="K19" s="118" t="inlineStr">
        <is>
          <t>Cheque</t>
        </is>
      </c>
      <c r="L19" s="118" t="inlineStr">
        <is>
          <t>200-Sales</t>
        </is>
      </c>
      <c r="M19" s="118" t="inlineStr">
        <is>
          <t>5300 Payroll</t>
        </is>
      </c>
    </row>
    <row r="20">
      <c r="A20" s="115" t="inlineStr">
        <is>
          <t>ERP-00017</t>
        </is>
      </c>
      <c r="B20" s="116" t="n">
        <v>46047</v>
      </c>
      <c r="C20" s="115" t="inlineStr">
        <is>
          <t>2026-01</t>
        </is>
      </c>
      <c r="D20" s="115" t="inlineStr">
        <is>
          <t>Bank Fees</t>
        </is>
      </c>
      <c r="E20" s="115" t="inlineStr">
        <is>
          <t>Bank</t>
        </is>
      </c>
      <c r="F20" s="115" t="inlineStr">
        <is>
          <t>Monthly bank service charge</t>
        </is>
      </c>
      <c r="G20" s="115" t="inlineStr">
        <is>
          <t>REF-100017</t>
        </is>
      </c>
      <c r="H20" s="117" t="n">
        <v>0</v>
      </c>
      <c r="I20" s="117" t="n">
        <v>110.63</v>
      </c>
      <c r="J20" s="117" t="n">
        <v>-110.63</v>
      </c>
      <c r="K20" s="115" t="inlineStr">
        <is>
          <t>PAD</t>
        </is>
      </c>
      <c r="L20" s="115" t="inlineStr">
        <is>
          <t>300-Ops</t>
        </is>
      </c>
      <c r="M20" s="115" t="inlineStr">
        <is>
          <t>6100 Bank Fees</t>
        </is>
      </c>
    </row>
    <row r="21">
      <c r="A21" s="118" t="inlineStr">
        <is>
          <t>ERP-00018</t>
        </is>
      </c>
      <c r="B21" s="119" t="n">
        <v>46051</v>
      </c>
      <c r="C21" s="118" t="inlineStr">
        <is>
          <t>2026-01</t>
        </is>
      </c>
      <c r="D21" s="118" t="inlineStr">
        <is>
          <t>Bank Fees</t>
        </is>
      </c>
      <c r="E21" s="118" t="inlineStr">
        <is>
          <t>Bank</t>
        </is>
      </c>
      <c r="F21" s="118" t="inlineStr">
        <is>
          <t>Monthly bank service charge</t>
        </is>
      </c>
      <c r="G21" s="118" t="inlineStr">
        <is>
          <t>REF-100018</t>
        </is>
      </c>
      <c r="H21" s="120" t="n">
        <v>0</v>
      </c>
      <c r="I21" s="120" t="n">
        <v>97.78</v>
      </c>
      <c r="J21" s="120" t="n">
        <v>-97.78</v>
      </c>
      <c r="K21" s="118" t="inlineStr">
        <is>
          <t>Cheque</t>
        </is>
      </c>
      <c r="L21" s="118" t="inlineStr">
        <is>
          <t>100-Admin</t>
        </is>
      </c>
      <c r="M21" s="118" t="inlineStr">
        <is>
          <t>6100 Bank Fees</t>
        </is>
      </c>
    </row>
    <row r="22">
      <c r="A22" s="115" t="inlineStr">
        <is>
          <t>ERP-00019</t>
        </is>
      </c>
      <c r="B22" s="116" t="n">
        <v>46038</v>
      </c>
      <c r="C22" s="115" t="inlineStr">
        <is>
          <t>2026-01</t>
        </is>
      </c>
      <c r="D22" s="115" t="inlineStr">
        <is>
          <t>Payroll</t>
        </is>
      </c>
      <c r="E22" s="115" t="inlineStr">
        <is>
          <t>Payroll Batch</t>
        </is>
      </c>
      <c r="F22" s="115" t="inlineStr">
        <is>
          <t>Payroll payment</t>
        </is>
      </c>
      <c r="G22" s="115" t="inlineStr">
        <is>
          <t>REF-100019</t>
        </is>
      </c>
      <c r="H22" s="117" t="n">
        <v>0</v>
      </c>
      <c r="I22" s="117" t="n">
        <v>16680.78</v>
      </c>
      <c r="J22" s="117" t="n">
        <v>-16680.78</v>
      </c>
      <c r="K22" s="115" t="inlineStr">
        <is>
          <t>PAD</t>
        </is>
      </c>
      <c r="L22" s="115" t="inlineStr">
        <is>
          <t>200-Sales</t>
        </is>
      </c>
      <c r="M22" s="115" t="inlineStr">
        <is>
          <t>5300 Payroll</t>
        </is>
      </c>
    </row>
    <row r="23">
      <c r="A23" s="118" t="inlineStr">
        <is>
          <t>ERP-00020</t>
        </is>
      </c>
      <c r="B23" s="119" t="n">
        <v>46028</v>
      </c>
      <c r="C23" s="118" t="inlineStr">
        <is>
          <t>2026-01</t>
        </is>
      </c>
      <c r="D23" s="118" t="inlineStr">
        <is>
          <t>AP</t>
        </is>
      </c>
      <c r="E23" s="118" t="inlineStr">
        <is>
          <t>Vancouver Courier</t>
        </is>
      </c>
      <c r="F23" s="118" t="inlineStr">
        <is>
          <t>Vendor payment - Vancouver Courier</t>
        </is>
      </c>
      <c r="G23" s="118" t="inlineStr">
        <is>
          <t>REF-100020</t>
        </is>
      </c>
      <c r="H23" s="120" t="n">
        <v>0</v>
      </c>
      <c r="I23" s="120" t="n">
        <v>3792.35</v>
      </c>
      <c r="J23" s="120" t="n">
        <v>-3792.35</v>
      </c>
      <c r="K23" s="118" t="inlineStr">
        <is>
          <t>Cheque</t>
        </is>
      </c>
      <c r="L23" s="118" t="inlineStr">
        <is>
          <t>500-IT</t>
        </is>
      </c>
      <c r="M23" s="118" t="inlineStr">
        <is>
          <t>2000 AP</t>
        </is>
      </c>
    </row>
    <row r="24">
      <c r="A24" s="115" t="inlineStr">
        <is>
          <t>ERP-00021</t>
        </is>
      </c>
      <c r="B24" s="116" t="n">
        <v>46035</v>
      </c>
      <c r="C24" s="115" t="inlineStr">
        <is>
          <t>2026-01</t>
        </is>
      </c>
      <c r="D24" s="115" t="inlineStr">
        <is>
          <t>Bank Fees</t>
        </is>
      </c>
      <c r="E24" s="115" t="inlineStr">
        <is>
          <t>Bank</t>
        </is>
      </c>
      <c r="F24" s="115" t="inlineStr">
        <is>
          <t>Monthly bank service charge</t>
        </is>
      </c>
      <c r="G24" s="115" t="inlineStr">
        <is>
          <t>REF-100021</t>
        </is>
      </c>
      <c r="H24" s="117" t="n">
        <v>0</v>
      </c>
      <c r="I24" s="117" t="n">
        <v>79.73999999999999</v>
      </c>
      <c r="J24" s="117" t="n">
        <v>-79.73999999999999</v>
      </c>
      <c r="K24" s="115" t="inlineStr">
        <is>
          <t>Wire</t>
        </is>
      </c>
      <c r="L24" s="115" t="inlineStr">
        <is>
          <t>500-IT</t>
        </is>
      </c>
      <c r="M24" s="115" t="inlineStr">
        <is>
          <t>6100 Bank Fees</t>
        </is>
      </c>
    </row>
    <row r="25">
      <c r="A25" s="118" t="inlineStr">
        <is>
          <t>ERP-00022</t>
        </is>
      </c>
      <c r="B25" s="119" t="n">
        <v>46033</v>
      </c>
      <c r="C25" s="118" t="inlineStr">
        <is>
          <t>2026-01</t>
        </is>
      </c>
      <c r="D25" s="118" t="inlineStr">
        <is>
          <t>AP</t>
        </is>
      </c>
      <c r="E25" s="118" t="inlineStr">
        <is>
          <t>Amazon Business</t>
        </is>
      </c>
      <c r="F25" s="118" t="inlineStr">
        <is>
          <t>Vendor payment - Amazon Business</t>
        </is>
      </c>
      <c r="G25" s="118" t="inlineStr">
        <is>
          <t>REF-100022</t>
        </is>
      </c>
      <c r="H25" s="120" t="n">
        <v>0</v>
      </c>
      <c r="I25" s="120" t="n">
        <v>1488.3</v>
      </c>
      <c r="J25" s="120" t="n">
        <v>-1488.3</v>
      </c>
      <c r="K25" s="118" t="inlineStr">
        <is>
          <t>Cheque</t>
        </is>
      </c>
      <c r="L25" s="118" t="inlineStr">
        <is>
          <t>100-Admin</t>
        </is>
      </c>
      <c r="M25" s="118" t="inlineStr">
        <is>
          <t>2000 AP</t>
        </is>
      </c>
    </row>
    <row r="26">
      <c r="A26" s="115" t="inlineStr">
        <is>
          <t>ERP-00023</t>
        </is>
      </c>
      <c r="B26" s="116" t="n">
        <v>46051</v>
      </c>
      <c r="C26" s="115" t="inlineStr">
        <is>
          <t>2026-01</t>
        </is>
      </c>
      <c r="D26" s="115" t="inlineStr">
        <is>
          <t>AP</t>
        </is>
      </c>
      <c r="E26" s="115" t="inlineStr">
        <is>
          <t>Metro Cleaning Ltd.</t>
        </is>
      </c>
      <c r="F26" s="115" t="inlineStr">
        <is>
          <t>Vendor payment - Metro Cleaning Ltd.</t>
        </is>
      </c>
      <c r="G26" s="115" t="inlineStr">
        <is>
          <t>REF-100023</t>
        </is>
      </c>
      <c r="H26" s="117" t="n">
        <v>0</v>
      </c>
      <c r="I26" s="117" t="n">
        <v>513.65</v>
      </c>
      <c r="J26" s="117" t="n">
        <v>-513.65</v>
      </c>
      <c r="K26" s="115" t="inlineStr">
        <is>
          <t>Cheque</t>
        </is>
      </c>
      <c r="L26" s="115" t="inlineStr">
        <is>
          <t>300-Ops</t>
        </is>
      </c>
      <c r="M26" s="115" t="inlineStr">
        <is>
          <t>2000 AP</t>
        </is>
      </c>
    </row>
    <row r="27">
      <c r="A27" s="118" t="inlineStr">
        <is>
          <t>ERP-00024</t>
        </is>
      </c>
      <c r="B27" s="119" t="n">
        <v>46046</v>
      </c>
      <c r="C27" s="118" t="inlineStr">
        <is>
          <t>2026-01</t>
        </is>
      </c>
      <c r="D27" s="118" t="inlineStr">
        <is>
          <t>Bank Fees</t>
        </is>
      </c>
      <c r="E27" s="118" t="inlineStr">
        <is>
          <t>Bank</t>
        </is>
      </c>
      <c r="F27" s="118" t="inlineStr">
        <is>
          <t>Monthly bank service charge</t>
        </is>
      </c>
      <c r="G27" s="118" t="inlineStr">
        <is>
          <t>REF-100024</t>
        </is>
      </c>
      <c r="H27" s="120" t="n">
        <v>0</v>
      </c>
      <c r="I27" s="120" t="n">
        <v>70.67</v>
      </c>
      <c r="J27" s="120" t="n">
        <v>-70.67</v>
      </c>
      <c r="K27" s="118" t="inlineStr">
        <is>
          <t>Wire</t>
        </is>
      </c>
      <c r="L27" s="118" t="inlineStr">
        <is>
          <t>200-Sales</t>
        </is>
      </c>
      <c r="M27" s="118" t="inlineStr">
        <is>
          <t>6100 Bank Fees</t>
        </is>
      </c>
    </row>
    <row r="28">
      <c r="A28" s="115" t="inlineStr">
        <is>
          <t>ERP-00025</t>
        </is>
      </c>
      <c r="B28" s="116" t="n">
        <v>46026</v>
      </c>
      <c r="C28" s="115" t="inlineStr">
        <is>
          <t>2026-01</t>
        </is>
      </c>
      <c r="D28" s="115" t="inlineStr">
        <is>
          <t>AR</t>
        </is>
      </c>
      <c r="E28" s="115" t="inlineStr">
        <is>
          <t>Raincity Tech</t>
        </is>
      </c>
      <c r="F28" s="115" t="inlineStr">
        <is>
          <t>Customer payment - Raincity Tech</t>
        </is>
      </c>
      <c r="G28" s="115" t="inlineStr">
        <is>
          <t>REF-100025</t>
        </is>
      </c>
      <c r="H28" s="117" t="n">
        <v>3686.88</v>
      </c>
      <c r="I28" s="117" t="n">
        <v>0</v>
      </c>
      <c r="J28" s="117" t="n">
        <v>3686.88</v>
      </c>
      <c r="K28" s="115" t="inlineStr">
        <is>
          <t>Wire</t>
        </is>
      </c>
      <c r="L28" s="115" t="inlineStr">
        <is>
          <t>100-Admin</t>
        </is>
      </c>
      <c r="M28" s="115" t="inlineStr">
        <is>
          <t>1200 AR</t>
        </is>
      </c>
    </row>
    <row r="29">
      <c r="A29" s="118" t="inlineStr">
        <is>
          <t>ERP-00026</t>
        </is>
      </c>
      <c r="B29" s="119" t="n">
        <v>46046</v>
      </c>
      <c r="C29" s="118" t="inlineStr">
        <is>
          <t>2026-01</t>
        </is>
      </c>
      <c r="D29" s="118" t="inlineStr">
        <is>
          <t>AP</t>
        </is>
      </c>
      <c r="E29" s="118" t="inlineStr">
        <is>
          <t>Vancouver Courier</t>
        </is>
      </c>
      <c r="F29" s="118" t="inlineStr">
        <is>
          <t>Vendor payment - Vancouver Courier</t>
        </is>
      </c>
      <c r="G29" s="118" t="inlineStr">
        <is>
          <t>REF-100026</t>
        </is>
      </c>
      <c r="H29" s="120" t="n">
        <v>0</v>
      </c>
      <c r="I29" s="120" t="n">
        <v>748.73</v>
      </c>
      <c r="J29" s="120" t="n">
        <v>-748.73</v>
      </c>
      <c r="K29" s="118" t="inlineStr">
        <is>
          <t>Cheque</t>
        </is>
      </c>
      <c r="L29" s="118" t="inlineStr">
        <is>
          <t>200-Sales</t>
        </is>
      </c>
      <c r="M29" s="118" t="inlineStr">
        <is>
          <t>2000 AP</t>
        </is>
      </c>
    </row>
    <row r="30">
      <c r="A30" s="115" t="inlineStr">
        <is>
          <t>ERP-00027</t>
        </is>
      </c>
      <c r="B30" s="116" t="n">
        <v>46031</v>
      </c>
      <c r="C30" s="115" t="inlineStr">
        <is>
          <t>2026-01</t>
        </is>
      </c>
      <c r="D30" s="115" t="inlineStr">
        <is>
          <t>AR</t>
        </is>
      </c>
      <c r="E30" s="115" t="inlineStr">
        <is>
          <t>Maple Retail Group</t>
        </is>
      </c>
      <c r="F30" s="115" t="inlineStr">
        <is>
          <t>Customer payment - Maple Retail Group</t>
        </is>
      </c>
      <c r="G30" s="115" t="inlineStr">
        <is>
          <t>REF-100027</t>
        </is>
      </c>
      <c r="H30" s="117" t="n">
        <v>3850.14</v>
      </c>
      <c r="I30" s="117" t="n">
        <v>0</v>
      </c>
      <c r="J30" s="117" t="n">
        <v>3850.14</v>
      </c>
      <c r="K30" s="115" t="inlineStr">
        <is>
          <t>PAD</t>
        </is>
      </c>
      <c r="L30" s="115" t="inlineStr">
        <is>
          <t>100-Admin</t>
        </is>
      </c>
      <c r="M30" s="115" t="inlineStr">
        <is>
          <t>1200 AR</t>
        </is>
      </c>
    </row>
    <row r="31">
      <c r="A31" s="118" t="inlineStr">
        <is>
          <t>ERP-00028</t>
        </is>
      </c>
      <c r="B31" s="119" t="n">
        <v>46052</v>
      </c>
      <c r="C31" s="118" t="inlineStr">
        <is>
          <t>2026-01</t>
        </is>
      </c>
      <c r="D31" s="118" t="inlineStr">
        <is>
          <t>GL</t>
        </is>
      </c>
      <c r="E31" s="118" t="inlineStr">
        <is>
          <t>BC Hydro</t>
        </is>
      </c>
      <c r="F31" s="118" t="inlineStr">
        <is>
          <t>Manual GL entry</t>
        </is>
      </c>
      <c r="G31" s="118" t="inlineStr">
        <is>
          <t>REF-100028</t>
        </is>
      </c>
      <c r="H31" s="120" t="n">
        <v>873.24</v>
      </c>
      <c r="I31" s="120" t="n">
        <v>0</v>
      </c>
      <c r="J31" s="120" t="n">
        <v>873.24</v>
      </c>
      <c r="K31" s="118" t="inlineStr">
        <is>
          <t>Wire</t>
        </is>
      </c>
      <c r="L31" s="118" t="inlineStr">
        <is>
          <t>100-Admin</t>
        </is>
      </c>
      <c r="M31" s="118" t="inlineStr">
        <is>
          <t>5000 Office Expense</t>
        </is>
      </c>
    </row>
    <row r="32">
      <c r="A32" s="115" t="inlineStr">
        <is>
          <t>ERP-00029</t>
        </is>
      </c>
      <c r="B32" s="116" t="n">
        <v>46031</v>
      </c>
      <c r="C32" s="115" t="inlineStr">
        <is>
          <t>2026-01</t>
        </is>
      </c>
      <c r="D32" s="115" t="inlineStr">
        <is>
          <t>Bank Fees</t>
        </is>
      </c>
      <c r="E32" s="115" t="inlineStr">
        <is>
          <t>Bank</t>
        </is>
      </c>
      <c r="F32" s="115" t="inlineStr">
        <is>
          <t>Monthly bank service charge</t>
        </is>
      </c>
      <c r="G32" s="115" t="inlineStr">
        <is>
          <t>REF-100029</t>
        </is>
      </c>
      <c r="H32" s="117" t="n">
        <v>0</v>
      </c>
      <c r="I32" s="117" t="n">
        <v>95.29000000000001</v>
      </c>
      <c r="J32" s="117" t="n">
        <v>-95.29000000000001</v>
      </c>
      <c r="K32" s="115" t="inlineStr">
        <is>
          <t>Credit Card</t>
        </is>
      </c>
      <c r="L32" s="115" t="inlineStr">
        <is>
          <t>400-Finance</t>
        </is>
      </c>
      <c r="M32" s="115" t="inlineStr">
        <is>
          <t>6100 Bank Fees</t>
        </is>
      </c>
    </row>
    <row r="33">
      <c r="A33" s="118" t="inlineStr">
        <is>
          <t>ERP-00030</t>
        </is>
      </c>
      <c r="B33" s="119" t="n">
        <v>46032</v>
      </c>
      <c r="C33" s="118" t="inlineStr">
        <is>
          <t>2026-01</t>
        </is>
      </c>
      <c r="D33" s="118" t="inlineStr">
        <is>
          <t>AP</t>
        </is>
      </c>
      <c r="E33" s="118" t="inlineStr">
        <is>
          <t>Pacific Office Supplies</t>
        </is>
      </c>
      <c r="F33" s="118" t="inlineStr">
        <is>
          <t>Vendor payment - Pacific Office Supplies</t>
        </is>
      </c>
      <c r="G33" s="118" t="inlineStr">
        <is>
          <t>REF-100030</t>
        </is>
      </c>
      <c r="H33" s="120" t="n">
        <v>0</v>
      </c>
      <c r="I33" s="120" t="n">
        <v>3624.58</v>
      </c>
      <c r="J33" s="120" t="n">
        <v>-3624.58</v>
      </c>
      <c r="K33" s="118" t="inlineStr">
        <is>
          <t>PAD</t>
        </is>
      </c>
      <c r="L33" s="118" t="inlineStr">
        <is>
          <t>100-Admin</t>
        </is>
      </c>
      <c r="M33" s="118" t="inlineStr">
        <is>
          <t>2000 AP</t>
        </is>
      </c>
    </row>
    <row r="34">
      <c r="A34" s="115" t="inlineStr">
        <is>
          <t>ERP-00031</t>
        </is>
      </c>
      <c r="B34" s="116" t="n">
        <v>46039</v>
      </c>
      <c r="C34" s="115" t="inlineStr">
        <is>
          <t>2026-01</t>
        </is>
      </c>
      <c r="D34" s="115" t="inlineStr">
        <is>
          <t>Payroll</t>
        </is>
      </c>
      <c r="E34" s="115" t="inlineStr">
        <is>
          <t>Payroll Batch</t>
        </is>
      </c>
      <c r="F34" s="115" t="inlineStr">
        <is>
          <t>Payroll payment</t>
        </is>
      </c>
      <c r="G34" s="115" t="inlineStr">
        <is>
          <t>REF-100031</t>
        </is>
      </c>
      <c r="H34" s="117" t="n">
        <v>0</v>
      </c>
      <c r="I34" s="117" t="n">
        <v>10201.33</v>
      </c>
      <c r="J34" s="117" t="n">
        <v>-10201.33</v>
      </c>
      <c r="K34" s="115" t="inlineStr">
        <is>
          <t>EFT</t>
        </is>
      </c>
      <c r="L34" s="115" t="inlineStr">
        <is>
          <t>500-IT</t>
        </is>
      </c>
      <c r="M34" s="115" t="inlineStr">
        <is>
          <t>5300 Payroll</t>
        </is>
      </c>
    </row>
    <row r="35">
      <c r="A35" s="118" t="inlineStr">
        <is>
          <t>ERP-00032</t>
        </is>
      </c>
      <c r="B35" s="119" t="n">
        <v>46025</v>
      </c>
      <c r="C35" s="118" t="inlineStr">
        <is>
          <t>2026-01</t>
        </is>
      </c>
      <c r="D35" s="118" t="inlineStr">
        <is>
          <t>GL</t>
        </is>
      </c>
      <c r="E35" s="118" t="inlineStr">
        <is>
          <t>BC Hydro</t>
        </is>
      </c>
      <c r="F35" s="118" t="inlineStr">
        <is>
          <t>Manual GL entry</t>
        </is>
      </c>
      <c r="G35" s="118" t="inlineStr">
        <is>
          <t>REF-100032</t>
        </is>
      </c>
      <c r="H35" s="120" t="n">
        <v>0</v>
      </c>
      <c r="I35" s="120" t="n">
        <v>2048.69</v>
      </c>
      <c r="J35" s="120" t="n">
        <v>-2048.69</v>
      </c>
      <c r="K35" s="118" t="inlineStr">
        <is>
          <t>PAD</t>
        </is>
      </c>
      <c r="L35" s="118" t="inlineStr">
        <is>
          <t>500-IT</t>
        </is>
      </c>
      <c r="M35" s="118" t="inlineStr">
        <is>
          <t>5000 Office Expense</t>
        </is>
      </c>
    </row>
    <row r="36">
      <c r="A36" s="115" t="inlineStr">
        <is>
          <t>ERP-00033</t>
        </is>
      </c>
      <c r="B36" s="116" t="n">
        <v>46041</v>
      </c>
      <c r="C36" s="115" t="inlineStr">
        <is>
          <t>2026-01</t>
        </is>
      </c>
      <c r="D36" s="115" t="inlineStr">
        <is>
          <t>AR</t>
        </is>
      </c>
      <c r="E36" s="115" t="inlineStr">
        <is>
          <t>Raincity Tech</t>
        </is>
      </c>
      <c r="F36" s="115" t="inlineStr">
        <is>
          <t>Customer payment - Raincity Tech</t>
        </is>
      </c>
      <c r="G36" s="115" t="inlineStr">
        <is>
          <t>REF-100033</t>
        </is>
      </c>
      <c r="H36" s="117" t="n">
        <v>7954.8</v>
      </c>
      <c r="I36" s="117" t="n">
        <v>0</v>
      </c>
      <c r="J36" s="117" t="n">
        <v>7954.8</v>
      </c>
      <c r="K36" s="115" t="inlineStr">
        <is>
          <t>Cheque</t>
        </is>
      </c>
      <c r="L36" s="115" t="inlineStr">
        <is>
          <t>300-Ops</t>
        </is>
      </c>
      <c r="M36" s="115" t="inlineStr">
        <is>
          <t>1200 AR</t>
        </is>
      </c>
    </row>
    <row r="37">
      <c r="A37" s="118" t="inlineStr">
        <is>
          <t>ERP-00034</t>
        </is>
      </c>
      <c r="B37" s="119" t="n">
        <v>46043</v>
      </c>
      <c r="C37" s="118" t="inlineStr">
        <is>
          <t>2026-01</t>
        </is>
      </c>
      <c r="D37" s="118" t="inlineStr">
        <is>
          <t>AP</t>
        </is>
      </c>
      <c r="E37" s="118" t="inlineStr">
        <is>
          <t>Metro Cleaning Ltd.</t>
        </is>
      </c>
      <c r="F37" s="118" t="inlineStr">
        <is>
          <t>Vendor payment - Metro Cleaning Ltd.</t>
        </is>
      </c>
      <c r="G37" s="118" t="inlineStr">
        <is>
          <t>REF-100034</t>
        </is>
      </c>
      <c r="H37" s="120" t="n">
        <v>0</v>
      </c>
      <c r="I37" s="120" t="n">
        <v>5765.59</v>
      </c>
      <c r="J37" s="120" t="n">
        <v>-5765.59</v>
      </c>
      <c r="K37" s="118" t="inlineStr">
        <is>
          <t>EFT</t>
        </is>
      </c>
      <c r="L37" s="118" t="inlineStr">
        <is>
          <t>100-Admin</t>
        </is>
      </c>
      <c r="M37" s="118" t="inlineStr">
        <is>
          <t>2000 AP</t>
        </is>
      </c>
    </row>
    <row r="38">
      <c r="A38" s="115" t="inlineStr">
        <is>
          <t>ERP-00035</t>
        </is>
      </c>
      <c r="B38" s="116" t="n">
        <v>46029</v>
      </c>
      <c r="C38" s="115" t="inlineStr">
        <is>
          <t>2026-01</t>
        </is>
      </c>
      <c r="D38" s="115" t="inlineStr">
        <is>
          <t>AR</t>
        </is>
      </c>
      <c r="E38" s="115" t="inlineStr">
        <is>
          <t>Coastline Foods</t>
        </is>
      </c>
      <c r="F38" s="115" t="inlineStr">
        <is>
          <t>Customer payment - Coastline Foods</t>
        </is>
      </c>
      <c r="G38" s="115" t="inlineStr">
        <is>
          <t>REF-100035</t>
        </is>
      </c>
      <c r="H38" s="117" t="n">
        <v>7942.72</v>
      </c>
      <c r="I38" s="117" t="n">
        <v>0</v>
      </c>
      <c r="J38" s="117" t="n">
        <v>7942.72</v>
      </c>
      <c r="K38" s="115" t="inlineStr">
        <is>
          <t>EFT</t>
        </is>
      </c>
      <c r="L38" s="115" t="inlineStr">
        <is>
          <t>200-Sales</t>
        </is>
      </c>
      <c r="M38" s="115" t="inlineStr">
        <is>
          <t>1200 AR</t>
        </is>
      </c>
    </row>
    <row r="39">
      <c r="A39" s="118" t="inlineStr">
        <is>
          <t>ERP-00036</t>
        </is>
      </c>
      <c r="B39" s="119" t="n">
        <v>46040</v>
      </c>
      <c r="C39" s="118" t="inlineStr">
        <is>
          <t>2026-01</t>
        </is>
      </c>
      <c r="D39" s="118" t="inlineStr">
        <is>
          <t>GL</t>
        </is>
      </c>
      <c r="E39" s="118" t="inlineStr">
        <is>
          <t>Raincity Tech</t>
        </is>
      </c>
      <c r="F39" s="118" t="inlineStr">
        <is>
          <t>Manual GL entry</t>
        </is>
      </c>
      <c r="G39" s="118" t="inlineStr">
        <is>
          <t>REF-100036</t>
        </is>
      </c>
      <c r="H39" s="120" t="n">
        <v>0</v>
      </c>
      <c r="I39" s="120" t="n">
        <v>4920.07</v>
      </c>
      <c r="J39" s="120" t="n">
        <v>-4920.07</v>
      </c>
      <c r="K39" s="118" t="inlineStr">
        <is>
          <t>PAD</t>
        </is>
      </c>
      <c r="L39" s="118" t="inlineStr">
        <is>
          <t>300-Ops</t>
        </is>
      </c>
      <c r="M39" s="118" t="inlineStr">
        <is>
          <t>1010 Cash</t>
        </is>
      </c>
    </row>
    <row r="40">
      <c r="A40" s="115" t="inlineStr">
        <is>
          <t>ERP-00037</t>
        </is>
      </c>
      <c r="B40" s="116" t="n">
        <v>46026</v>
      </c>
      <c r="C40" s="115" t="inlineStr">
        <is>
          <t>2026-01</t>
        </is>
      </c>
      <c r="D40" s="115" t="inlineStr">
        <is>
          <t>Bank Fees</t>
        </is>
      </c>
      <c r="E40" s="115" t="inlineStr">
        <is>
          <t>Bank</t>
        </is>
      </c>
      <c r="F40" s="115" t="inlineStr">
        <is>
          <t>Monthly bank service charge</t>
        </is>
      </c>
      <c r="G40" s="115" t="inlineStr">
        <is>
          <t>REF-100037</t>
        </is>
      </c>
      <c r="H40" s="117" t="n">
        <v>0</v>
      </c>
      <c r="I40" s="117" t="n">
        <v>20.44</v>
      </c>
      <c r="J40" s="117" t="n">
        <v>-20.44</v>
      </c>
      <c r="K40" s="115" t="inlineStr">
        <is>
          <t>EFT</t>
        </is>
      </c>
      <c r="L40" s="115" t="inlineStr">
        <is>
          <t>100-Admin</t>
        </is>
      </c>
      <c r="M40" s="115" t="inlineStr">
        <is>
          <t>6100 Bank Fees</t>
        </is>
      </c>
    </row>
    <row r="41">
      <c r="A41" s="118" t="inlineStr">
        <is>
          <t>ERP-00038</t>
        </is>
      </c>
      <c r="B41" s="119" t="n">
        <v>46042</v>
      </c>
      <c r="C41" s="118" t="inlineStr">
        <is>
          <t>2026-01</t>
        </is>
      </c>
      <c r="D41" s="118" t="inlineStr">
        <is>
          <t>AP</t>
        </is>
      </c>
      <c r="E41" s="118" t="inlineStr">
        <is>
          <t>Metro Cleaning Ltd.</t>
        </is>
      </c>
      <c r="F41" s="118" t="inlineStr">
        <is>
          <t>Vendor payment - Metro Cleaning Ltd.</t>
        </is>
      </c>
      <c r="G41" s="118" t="inlineStr">
        <is>
          <t>REF-100038</t>
        </is>
      </c>
      <c r="H41" s="120" t="n">
        <v>0</v>
      </c>
      <c r="I41" s="120" t="n">
        <v>1326.02</v>
      </c>
      <c r="J41" s="120" t="n">
        <v>-1326.02</v>
      </c>
      <c r="K41" s="118" t="inlineStr">
        <is>
          <t>Credit Card</t>
        </is>
      </c>
      <c r="L41" s="118" t="inlineStr">
        <is>
          <t>500-IT</t>
        </is>
      </c>
      <c r="M41" s="118" t="inlineStr">
        <is>
          <t>2000 AP</t>
        </is>
      </c>
    </row>
    <row r="42">
      <c r="A42" s="115" t="inlineStr">
        <is>
          <t>ERP-00039</t>
        </is>
      </c>
      <c r="B42" s="116" t="n">
        <v>46036</v>
      </c>
      <c r="C42" s="115" t="inlineStr">
        <is>
          <t>2026-01</t>
        </is>
      </c>
      <c r="D42" s="115" t="inlineStr">
        <is>
          <t>Payroll</t>
        </is>
      </c>
      <c r="E42" s="115" t="inlineStr">
        <is>
          <t>Payroll Batch</t>
        </is>
      </c>
      <c r="F42" s="115" t="inlineStr">
        <is>
          <t>Payroll payment</t>
        </is>
      </c>
      <c r="G42" s="115" t="inlineStr">
        <is>
          <t>REF-100039</t>
        </is>
      </c>
      <c r="H42" s="117" t="n">
        <v>0</v>
      </c>
      <c r="I42" s="117" t="n">
        <v>3139.26</v>
      </c>
      <c r="J42" s="117" t="n">
        <v>-3139.26</v>
      </c>
      <c r="K42" s="115" t="inlineStr">
        <is>
          <t>Credit Card</t>
        </is>
      </c>
      <c r="L42" s="115" t="inlineStr">
        <is>
          <t>200-Sales</t>
        </is>
      </c>
      <c r="M42" s="115" t="inlineStr">
        <is>
          <t>5300 Payroll</t>
        </is>
      </c>
    </row>
    <row r="43">
      <c r="A43" s="118" t="inlineStr">
        <is>
          <t>ERP-00040</t>
        </is>
      </c>
      <c r="B43" s="119" t="n">
        <v>46037</v>
      </c>
      <c r="C43" s="118" t="inlineStr">
        <is>
          <t>2026-01</t>
        </is>
      </c>
      <c r="D43" s="118" t="inlineStr">
        <is>
          <t>AR</t>
        </is>
      </c>
      <c r="E43" s="118" t="inlineStr">
        <is>
          <t>Granville Medical</t>
        </is>
      </c>
      <c r="F43" s="118" t="inlineStr">
        <is>
          <t>Customer payment - Granville Medical</t>
        </is>
      </c>
      <c r="G43" s="118" t="inlineStr">
        <is>
          <t>REF-100040</t>
        </is>
      </c>
      <c r="H43" s="120" t="n">
        <v>4833.57</v>
      </c>
      <c r="I43" s="120" t="n">
        <v>0</v>
      </c>
      <c r="J43" s="120" t="n">
        <v>4833.57</v>
      </c>
      <c r="K43" s="118" t="inlineStr">
        <is>
          <t>EFT</t>
        </is>
      </c>
      <c r="L43" s="118" t="inlineStr">
        <is>
          <t>100-Admin</t>
        </is>
      </c>
      <c r="M43" s="118" t="inlineStr">
        <is>
          <t>1200 AR</t>
        </is>
      </c>
    </row>
    <row r="44">
      <c r="A44" s="115" t="inlineStr">
        <is>
          <t>ERP-00041</t>
        </is>
      </c>
      <c r="B44" s="116" t="n">
        <v>46045</v>
      </c>
      <c r="C44" s="115" t="inlineStr">
        <is>
          <t>2026-01</t>
        </is>
      </c>
      <c r="D44" s="115" t="inlineStr">
        <is>
          <t>Payroll</t>
        </is>
      </c>
      <c r="E44" s="115" t="inlineStr">
        <is>
          <t>Payroll Batch</t>
        </is>
      </c>
      <c r="F44" s="115" t="inlineStr">
        <is>
          <t>Payroll payment</t>
        </is>
      </c>
      <c r="G44" s="115" t="inlineStr">
        <is>
          <t>REF-100041</t>
        </is>
      </c>
      <c r="H44" s="117" t="n">
        <v>0</v>
      </c>
      <c r="I44" s="117" t="n">
        <v>10411.06</v>
      </c>
      <c r="J44" s="117" t="n">
        <v>-10411.06</v>
      </c>
      <c r="K44" s="115" t="inlineStr">
        <is>
          <t>Credit Card</t>
        </is>
      </c>
      <c r="L44" s="115" t="inlineStr">
        <is>
          <t>500-IT</t>
        </is>
      </c>
      <c r="M44" s="115" t="inlineStr">
        <is>
          <t>5300 Payroll</t>
        </is>
      </c>
    </row>
    <row r="45">
      <c r="A45" s="118" t="inlineStr">
        <is>
          <t>ERP-00042</t>
        </is>
      </c>
      <c r="B45" s="119" t="n">
        <v>46032</v>
      </c>
      <c r="C45" s="118" t="inlineStr">
        <is>
          <t>2026-01</t>
        </is>
      </c>
      <c r="D45" s="118" t="inlineStr">
        <is>
          <t>AR</t>
        </is>
      </c>
      <c r="E45" s="118" t="inlineStr">
        <is>
          <t>Maple Retail Group</t>
        </is>
      </c>
      <c r="F45" s="118" t="inlineStr">
        <is>
          <t>Customer payment - Maple Retail Group</t>
        </is>
      </c>
      <c r="G45" s="118" t="inlineStr">
        <is>
          <t>REF-100042</t>
        </is>
      </c>
      <c r="H45" s="120" t="n">
        <v>7656.02</v>
      </c>
      <c r="I45" s="120" t="n">
        <v>0</v>
      </c>
      <c r="J45" s="120" t="n">
        <v>7656.02</v>
      </c>
      <c r="K45" s="118" t="inlineStr">
        <is>
          <t>Cheque</t>
        </is>
      </c>
      <c r="L45" s="118" t="inlineStr">
        <is>
          <t>200-Sales</t>
        </is>
      </c>
      <c r="M45" s="118" t="inlineStr">
        <is>
          <t>1200 AR</t>
        </is>
      </c>
    </row>
    <row r="46">
      <c r="A46" s="115" t="inlineStr">
        <is>
          <t>ERP-00043</t>
        </is>
      </c>
      <c r="B46" s="116" t="n">
        <v>46051</v>
      </c>
      <c r="C46" s="115" t="inlineStr">
        <is>
          <t>2026-01</t>
        </is>
      </c>
      <c r="D46" s="115" t="inlineStr">
        <is>
          <t>Payroll</t>
        </is>
      </c>
      <c r="E46" s="115" t="inlineStr">
        <is>
          <t>Payroll Batch</t>
        </is>
      </c>
      <c r="F46" s="115" t="inlineStr">
        <is>
          <t>Payroll payment</t>
        </is>
      </c>
      <c r="G46" s="115" t="inlineStr">
        <is>
          <t>REF-100043</t>
        </is>
      </c>
      <c r="H46" s="117" t="n">
        <v>0</v>
      </c>
      <c r="I46" s="117" t="n">
        <v>16620.64</v>
      </c>
      <c r="J46" s="117" t="n">
        <v>-16620.64</v>
      </c>
      <c r="K46" s="115" t="inlineStr">
        <is>
          <t>Cheque</t>
        </is>
      </c>
      <c r="L46" s="115" t="inlineStr">
        <is>
          <t>200-Sales</t>
        </is>
      </c>
      <c r="M46" s="115" t="inlineStr">
        <is>
          <t>5300 Payroll</t>
        </is>
      </c>
    </row>
    <row r="47">
      <c r="A47" s="118" t="inlineStr">
        <is>
          <t>ERP-00044</t>
        </is>
      </c>
      <c r="B47" s="119" t="n">
        <v>46048</v>
      </c>
      <c r="C47" s="118" t="inlineStr">
        <is>
          <t>2026-01</t>
        </is>
      </c>
      <c r="D47" s="118" t="inlineStr">
        <is>
          <t>Payroll</t>
        </is>
      </c>
      <c r="E47" s="118" t="inlineStr">
        <is>
          <t>Payroll Batch</t>
        </is>
      </c>
      <c r="F47" s="118" t="inlineStr">
        <is>
          <t>Payroll payment</t>
        </is>
      </c>
      <c r="G47" s="118" t="inlineStr">
        <is>
          <t>REF-100044</t>
        </is>
      </c>
      <c r="H47" s="120" t="n">
        <v>0</v>
      </c>
      <c r="I47" s="120" t="n">
        <v>15280.53</v>
      </c>
      <c r="J47" s="120" t="n">
        <v>-15280.53</v>
      </c>
      <c r="K47" s="118" t="inlineStr">
        <is>
          <t>EFT</t>
        </is>
      </c>
      <c r="L47" s="118" t="inlineStr">
        <is>
          <t>200-Sales</t>
        </is>
      </c>
      <c r="M47" s="118" t="inlineStr">
        <is>
          <t>5300 Payroll</t>
        </is>
      </c>
    </row>
    <row r="48">
      <c r="A48" s="115" t="inlineStr">
        <is>
          <t>ERP-00045</t>
        </is>
      </c>
      <c r="B48" s="116" t="n">
        <v>46036</v>
      </c>
      <c r="C48" s="115" t="inlineStr">
        <is>
          <t>2026-01</t>
        </is>
      </c>
      <c r="D48" s="115" t="inlineStr">
        <is>
          <t>Payroll</t>
        </is>
      </c>
      <c r="E48" s="115" t="inlineStr">
        <is>
          <t>Payroll Batch</t>
        </is>
      </c>
      <c r="F48" s="115" t="inlineStr">
        <is>
          <t>Payroll payment</t>
        </is>
      </c>
      <c r="G48" s="115" t="inlineStr">
        <is>
          <t>REF-100045</t>
        </is>
      </c>
      <c r="H48" s="117" t="n">
        <v>0</v>
      </c>
      <c r="I48" s="117" t="n">
        <v>15028.93</v>
      </c>
      <c r="J48" s="117" t="n">
        <v>-15028.93</v>
      </c>
      <c r="K48" s="115" t="inlineStr">
        <is>
          <t>Cheque</t>
        </is>
      </c>
      <c r="L48" s="115" t="inlineStr">
        <is>
          <t>300-Ops</t>
        </is>
      </c>
      <c r="M48" s="115" t="inlineStr">
        <is>
          <t>5300 Payroll</t>
        </is>
      </c>
    </row>
    <row r="49">
      <c r="A49" s="118" t="inlineStr">
        <is>
          <t>ERP-00046</t>
        </is>
      </c>
      <c r="B49" s="119" t="n">
        <v>46024</v>
      </c>
      <c r="C49" s="118" t="inlineStr">
        <is>
          <t>2026-01</t>
        </is>
      </c>
      <c r="D49" s="118" t="inlineStr">
        <is>
          <t>Payroll</t>
        </is>
      </c>
      <c r="E49" s="118" t="inlineStr">
        <is>
          <t>Payroll Batch</t>
        </is>
      </c>
      <c r="F49" s="118" t="inlineStr">
        <is>
          <t>Payroll payment</t>
        </is>
      </c>
      <c r="G49" s="118" t="inlineStr">
        <is>
          <t>REF-100046</t>
        </is>
      </c>
      <c r="H49" s="120" t="n">
        <v>0</v>
      </c>
      <c r="I49" s="120" t="n">
        <v>5725.29</v>
      </c>
      <c r="J49" s="120" t="n">
        <v>-5725.29</v>
      </c>
      <c r="K49" s="118" t="inlineStr">
        <is>
          <t>Wire</t>
        </is>
      </c>
      <c r="L49" s="118" t="inlineStr">
        <is>
          <t>300-Ops</t>
        </is>
      </c>
      <c r="M49" s="118" t="inlineStr">
        <is>
          <t>5300 Payroll</t>
        </is>
      </c>
    </row>
    <row r="50">
      <c r="A50" s="115" t="inlineStr">
        <is>
          <t>ERP-00047</t>
        </is>
      </c>
      <c r="B50" s="116" t="n">
        <v>46044</v>
      </c>
      <c r="C50" s="115" t="inlineStr">
        <is>
          <t>2026-01</t>
        </is>
      </c>
      <c r="D50" s="115" t="inlineStr">
        <is>
          <t>AP</t>
        </is>
      </c>
      <c r="E50" s="115" t="inlineStr">
        <is>
          <t>Metro Cleaning Ltd.</t>
        </is>
      </c>
      <c r="F50" s="115" t="inlineStr">
        <is>
          <t>Vendor payment - Metro Cleaning Ltd.</t>
        </is>
      </c>
      <c r="G50" s="115" t="inlineStr">
        <is>
          <t>REF-100047</t>
        </is>
      </c>
      <c r="H50" s="117" t="n">
        <v>0</v>
      </c>
      <c r="I50" s="117" t="n">
        <v>1785.05</v>
      </c>
      <c r="J50" s="117" t="n">
        <v>-1785.05</v>
      </c>
      <c r="K50" s="115" t="inlineStr">
        <is>
          <t>EFT</t>
        </is>
      </c>
      <c r="L50" s="115" t="inlineStr">
        <is>
          <t>300-Ops</t>
        </is>
      </c>
      <c r="M50" s="115" t="inlineStr">
        <is>
          <t>2000 AP</t>
        </is>
      </c>
    </row>
    <row r="51">
      <c r="A51" s="118" t="inlineStr">
        <is>
          <t>ERP-00048</t>
        </is>
      </c>
      <c r="B51" s="119" t="n">
        <v>46049</v>
      </c>
      <c r="C51" s="118" t="inlineStr">
        <is>
          <t>2026-01</t>
        </is>
      </c>
      <c r="D51" s="118" t="inlineStr">
        <is>
          <t>AR</t>
        </is>
      </c>
      <c r="E51" s="118" t="inlineStr">
        <is>
          <t>Maple Retail Group</t>
        </is>
      </c>
      <c r="F51" s="118" t="inlineStr">
        <is>
          <t>Customer payment - Maple Retail Group</t>
        </is>
      </c>
      <c r="G51" s="118" t="inlineStr">
        <is>
          <t>REF-100048</t>
        </is>
      </c>
      <c r="H51" s="120" t="n">
        <v>1113.1</v>
      </c>
      <c r="I51" s="120" t="n">
        <v>0</v>
      </c>
      <c r="J51" s="120" t="n">
        <v>1113.1</v>
      </c>
      <c r="K51" s="118" t="inlineStr">
        <is>
          <t>Credit Card</t>
        </is>
      </c>
      <c r="L51" s="118" t="inlineStr">
        <is>
          <t>200-Sales</t>
        </is>
      </c>
      <c r="M51" s="118" t="inlineStr">
        <is>
          <t>1200 AR</t>
        </is>
      </c>
    </row>
    <row r="52">
      <c r="A52" s="115" t="inlineStr">
        <is>
          <t>ERP-00049</t>
        </is>
      </c>
      <c r="B52" s="116" t="n">
        <v>46036</v>
      </c>
      <c r="C52" s="115" t="inlineStr">
        <is>
          <t>2026-01</t>
        </is>
      </c>
      <c r="D52" s="115" t="inlineStr">
        <is>
          <t>AP</t>
        </is>
      </c>
      <c r="E52" s="115" t="inlineStr">
        <is>
          <t>Vancouver Courier</t>
        </is>
      </c>
      <c r="F52" s="115" t="inlineStr">
        <is>
          <t>Vendor payment - Vancouver Courier</t>
        </is>
      </c>
      <c r="G52" s="115" t="inlineStr">
        <is>
          <t>REF-100049</t>
        </is>
      </c>
      <c r="H52" s="117" t="n">
        <v>0</v>
      </c>
      <c r="I52" s="117" t="n">
        <v>1999.71</v>
      </c>
      <c r="J52" s="117" t="n">
        <v>-1999.71</v>
      </c>
      <c r="K52" s="115" t="inlineStr">
        <is>
          <t>PAD</t>
        </is>
      </c>
      <c r="L52" s="115" t="inlineStr">
        <is>
          <t>500-IT</t>
        </is>
      </c>
      <c r="M52" s="115" t="inlineStr">
        <is>
          <t>2000 AP</t>
        </is>
      </c>
    </row>
    <row r="53">
      <c r="A53" s="118" t="inlineStr">
        <is>
          <t>ERP-00050</t>
        </is>
      </c>
      <c r="B53" s="119" t="n">
        <v>46045</v>
      </c>
      <c r="C53" s="118" t="inlineStr">
        <is>
          <t>2026-01</t>
        </is>
      </c>
      <c r="D53" s="118" t="inlineStr">
        <is>
          <t>AR</t>
        </is>
      </c>
      <c r="E53" s="118" t="inlineStr">
        <is>
          <t>West Van Fitness</t>
        </is>
      </c>
      <c r="F53" s="118" t="inlineStr">
        <is>
          <t>Customer payment - West Van Fitness</t>
        </is>
      </c>
      <c r="G53" s="118" t="inlineStr">
        <is>
          <t>REF-100050</t>
        </is>
      </c>
      <c r="H53" s="120" t="n">
        <v>7878.55</v>
      </c>
      <c r="I53" s="120" t="n">
        <v>0</v>
      </c>
      <c r="J53" s="120" t="n">
        <v>7878.55</v>
      </c>
      <c r="K53" s="118" t="inlineStr">
        <is>
          <t>PAD</t>
        </is>
      </c>
      <c r="L53" s="118" t="inlineStr">
        <is>
          <t>200-Sales</t>
        </is>
      </c>
      <c r="M53" s="118" t="inlineStr">
        <is>
          <t>1200 AR</t>
        </is>
      </c>
    </row>
    <row r="54">
      <c r="A54" s="115" t="inlineStr">
        <is>
          <t>ERP-00051</t>
        </is>
      </c>
      <c r="B54" s="116" t="n">
        <v>46052</v>
      </c>
      <c r="C54" s="115" t="inlineStr">
        <is>
          <t>2026-01</t>
        </is>
      </c>
      <c r="D54" s="115" t="inlineStr">
        <is>
          <t>AP</t>
        </is>
      </c>
      <c r="E54" s="115" t="inlineStr">
        <is>
          <t>Metro Cleaning Ltd.</t>
        </is>
      </c>
      <c r="F54" s="115" t="inlineStr">
        <is>
          <t>Vendor payment - Metro Cleaning Ltd.</t>
        </is>
      </c>
      <c r="G54" s="115" t="inlineStr">
        <is>
          <t>REF-100051</t>
        </is>
      </c>
      <c r="H54" s="117" t="n">
        <v>0</v>
      </c>
      <c r="I54" s="117" t="n">
        <v>4139.93</v>
      </c>
      <c r="J54" s="117" t="n">
        <v>-4139.93</v>
      </c>
      <c r="K54" s="115" t="inlineStr">
        <is>
          <t>EFT</t>
        </is>
      </c>
      <c r="L54" s="115" t="inlineStr">
        <is>
          <t>300-Ops</t>
        </is>
      </c>
      <c r="M54" s="115" t="inlineStr">
        <is>
          <t>2000 AP</t>
        </is>
      </c>
    </row>
    <row r="55">
      <c r="A55" s="118" t="inlineStr">
        <is>
          <t>ERP-00052</t>
        </is>
      </c>
      <c r="B55" s="119" t="n">
        <v>46045</v>
      </c>
      <c r="C55" s="118" t="inlineStr">
        <is>
          <t>2026-01</t>
        </is>
      </c>
      <c r="D55" s="118" t="inlineStr">
        <is>
          <t>AP</t>
        </is>
      </c>
      <c r="E55" s="118" t="inlineStr">
        <is>
          <t>North Shore Telecom</t>
        </is>
      </c>
      <c r="F55" s="118" t="inlineStr">
        <is>
          <t>Vendor payment - North Shore Telecom</t>
        </is>
      </c>
      <c r="G55" s="118" t="inlineStr">
        <is>
          <t>REF-100052</t>
        </is>
      </c>
      <c r="H55" s="120" t="n">
        <v>0</v>
      </c>
      <c r="I55" s="120" t="n">
        <v>1254.06</v>
      </c>
      <c r="J55" s="120" t="n">
        <v>-1254.06</v>
      </c>
      <c r="K55" s="118" t="inlineStr">
        <is>
          <t>Wire</t>
        </is>
      </c>
      <c r="L55" s="118" t="inlineStr">
        <is>
          <t>200-Sales</t>
        </is>
      </c>
      <c r="M55" s="118" t="inlineStr">
        <is>
          <t>2000 AP</t>
        </is>
      </c>
    </row>
    <row r="56">
      <c r="A56" s="115" t="inlineStr">
        <is>
          <t>ERP-00053</t>
        </is>
      </c>
      <c r="B56" s="116" t="n">
        <v>46049</v>
      </c>
      <c r="C56" s="115" t="inlineStr">
        <is>
          <t>2026-01</t>
        </is>
      </c>
      <c r="D56" s="115" t="inlineStr">
        <is>
          <t>AP</t>
        </is>
      </c>
      <c r="E56" s="115" t="inlineStr">
        <is>
          <t>Metro Cleaning Ltd.</t>
        </is>
      </c>
      <c r="F56" s="115" t="inlineStr">
        <is>
          <t>Vendor payment - Metro Cleaning Ltd.</t>
        </is>
      </c>
      <c r="G56" s="115" t="inlineStr">
        <is>
          <t>REF-100053</t>
        </is>
      </c>
      <c r="H56" s="117" t="n">
        <v>0</v>
      </c>
      <c r="I56" s="117" t="n">
        <v>1366.32</v>
      </c>
      <c r="J56" s="117" t="n">
        <v>-1366.32</v>
      </c>
      <c r="K56" s="115" t="inlineStr">
        <is>
          <t>PAD</t>
        </is>
      </c>
      <c r="L56" s="115" t="inlineStr">
        <is>
          <t>500-IT</t>
        </is>
      </c>
      <c r="M56" s="115" t="inlineStr">
        <is>
          <t>2000 AP</t>
        </is>
      </c>
    </row>
    <row r="57">
      <c r="A57" s="118" t="inlineStr">
        <is>
          <t>ERP-00054</t>
        </is>
      </c>
      <c r="B57" s="119" t="n">
        <v>46044</v>
      </c>
      <c r="C57" s="118" t="inlineStr">
        <is>
          <t>2026-01</t>
        </is>
      </c>
      <c r="D57" s="118" t="inlineStr">
        <is>
          <t>AP</t>
        </is>
      </c>
      <c r="E57" s="118" t="inlineStr">
        <is>
          <t>BC Hydro</t>
        </is>
      </c>
      <c r="F57" s="118" t="inlineStr">
        <is>
          <t>Vendor payment - BC Hydro</t>
        </is>
      </c>
      <c r="G57" s="118" t="inlineStr">
        <is>
          <t>REF-100054</t>
        </is>
      </c>
      <c r="H57" s="120" t="n">
        <v>0</v>
      </c>
      <c r="I57" s="120" t="n">
        <v>4937.66</v>
      </c>
      <c r="J57" s="120" t="n">
        <v>-4937.66</v>
      </c>
      <c r="K57" s="118" t="inlineStr">
        <is>
          <t>Cheque</t>
        </is>
      </c>
      <c r="L57" s="118" t="inlineStr">
        <is>
          <t>100-Admin</t>
        </is>
      </c>
      <c r="M57" s="118" t="inlineStr">
        <is>
          <t>2000 AP</t>
        </is>
      </c>
    </row>
    <row r="58">
      <c r="A58" s="115" t="inlineStr">
        <is>
          <t>ERP-00055</t>
        </is>
      </c>
      <c r="B58" s="116" t="n">
        <v>46053</v>
      </c>
      <c r="C58" s="115" t="inlineStr">
        <is>
          <t>2026-01</t>
        </is>
      </c>
      <c r="D58" s="115" t="inlineStr">
        <is>
          <t>GL</t>
        </is>
      </c>
      <c r="E58" s="115" t="inlineStr">
        <is>
          <t>Granville Medical</t>
        </is>
      </c>
      <c r="F58" s="115" t="inlineStr">
        <is>
          <t>Manual GL entry</t>
        </is>
      </c>
      <c r="G58" s="115" t="inlineStr">
        <is>
          <t>REF-100055</t>
        </is>
      </c>
      <c r="H58" s="117" t="n">
        <v>0</v>
      </c>
      <c r="I58" s="117" t="n">
        <v>1586.58</v>
      </c>
      <c r="J58" s="117" t="n">
        <v>-1586.58</v>
      </c>
      <c r="K58" s="115" t="inlineStr">
        <is>
          <t>EFT</t>
        </is>
      </c>
      <c r="L58" s="115" t="inlineStr">
        <is>
          <t>100-Admin</t>
        </is>
      </c>
      <c r="M58" s="115" t="inlineStr">
        <is>
          <t>2000 AP</t>
        </is>
      </c>
    </row>
    <row r="59">
      <c r="A59" s="118" t="inlineStr">
        <is>
          <t>ERP-00056</t>
        </is>
      </c>
      <c r="B59" s="119" t="n">
        <v>46047</v>
      </c>
      <c r="C59" s="118" t="inlineStr">
        <is>
          <t>2026-01</t>
        </is>
      </c>
      <c r="D59" s="118" t="inlineStr">
        <is>
          <t>AP</t>
        </is>
      </c>
      <c r="E59" s="118" t="inlineStr">
        <is>
          <t>BC Hydro</t>
        </is>
      </c>
      <c r="F59" s="118" t="inlineStr">
        <is>
          <t>Vendor payment - BC Hydro</t>
        </is>
      </c>
      <c r="G59" s="118" t="inlineStr">
        <is>
          <t>REF-100056</t>
        </is>
      </c>
      <c r="H59" s="120" t="n">
        <v>0</v>
      </c>
      <c r="I59" s="120" t="n">
        <v>5503.16</v>
      </c>
      <c r="J59" s="120" t="n">
        <v>-5503.16</v>
      </c>
      <c r="K59" s="118" t="inlineStr">
        <is>
          <t>PAD</t>
        </is>
      </c>
      <c r="L59" s="118" t="inlineStr">
        <is>
          <t>200-Sales</t>
        </is>
      </c>
      <c r="M59" s="118" t="inlineStr">
        <is>
          <t>2000 AP</t>
        </is>
      </c>
    </row>
    <row r="60">
      <c r="A60" s="115" t="inlineStr">
        <is>
          <t>ERP-00057</t>
        </is>
      </c>
      <c r="B60" s="116" t="n">
        <v>46030</v>
      </c>
      <c r="C60" s="115" t="inlineStr">
        <is>
          <t>2026-01</t>
        </is>
      </c>
      <c r="D60" s="115" t="inlineStr">
        <is>
          <t>AP</t>
        </is>
      </c>
      <c r="E60" s="115" t="inlineStr">
        <is>
          <t>Staples Canada</t>
        </is>
      </c>
      <c r="F60" s="115" t="inlineStr">
        <is>
          <t>Vendor payment - Staples Canada</t>
        </is>
      </c>
      <c r="G60" s="115" t="inlineStr">
        <is>
          <t>REF-100057</t>
        </is>
      </c>
      <c r="H60" s="117" t="n">
        <v>0</v>
      </c>
      <c r="I60" s="117" t="n">
        <v>113.93</v>
      </c>
      <c r="J60" s="117" t="n">
        <v>-113.93</v>
      </c>
      <c r="K60" s="115" t="inlineStr">
        <is>
          <t>EFT</t>
        </is>
      </c>
      <c r="L60" s="115" t="inlineStr">
        <is>
          <t>400-Finance</t>
        </is>
      </c>
      <c r="M60" s="115" t="inlineStr">
        <is>
          <t>2000 AP</t>
        </is>
      </c>
    </row>
    <row r="61">
      <c r="A61" s="118" t="inlineStr">
        <is>
          <t>ERP-00058</t>
        </is>
      </c>
      <c r="B61" s="119" t="n">
        <v>46052</v>
      </c>
      <c r="C61" s="118" t="inlineStr">
        <is>
          <t>2026-01</t>
        </is>
      </c>
      <c r="D61" s="118" t="inlineStr">
        <is>
          <t>Payroll</t>
        </is>
      </c>
      <c r="E61" s="118" t="inlineStr">
        <is>
          <t>Payroll Batch</t>
        </is>
      </c>
      <c r="F61" s="118" t="inlineStr">
        <is>
          <t>Payroll payment</t>
        </is>
      </c>
      <c r="G61" s="118" t="inlineStr">
        <is>
          <t>REF-100058</t>
        </is>
      </c>
      <c r="H61" s="120" t="n">
        <v>0</v>
      </c>
      <c r="I61" s="120" t="n">
        <v>9118.700000000001</v>
      </c>
      <c r="J61" s="120" t="n">
        <v>-9118.700000000001</v>
      </c>
      <c r="K61" s="118" t="inlineStr">
        <is>
          <t>Wire</t>
        </is>
      </c>
      <c r="L61" s="118" t="inlineStr">
        <is>
          <t>500-IT</t>
        </is>
      </c>
      <c r="M61" s="118" t="inlineStr">
        <is>
          <t>5300 Payroll</t>
        </is>
      </c>
    </row>
    <row r="62">
      <c r="A62" s="115" t="inlineStr">
        <is>
          <t>ERP-00059</t>
        </is>
      </c>
      <c r="B62" s="116" t="n">
        <v>46042</v>
      </c>
      <c r="C62" s="115" t="inlineStr">
        <is>
          <t>2026-01</t>
        </is>
      </c>
      <c r="D62" s="115" t="inlineStr">
        <is>
          <t>AP</t>
        </is>
      </c>
      <c r="E62" s="115" t="inlineStr">
        <is>
          <t>Vancouver Courier</t>
        </is>
      </c>
      <c r="F62" s="115" t="inlineStr">
        <is>
          <t>Vendor payment - Vancouver Courier</t>
        </is>
      </c>
      <c r="G62" s="115" t="inlineStr">
        <is>
          <t>REF-100059</t>
        </is>
      </c>
      <c r="H62" s="117" t="n">
        <v>0</v>
      </c>
      <c r="I62" s="117" t="n">
        <v>5535.53</v>
      </c>
      <c r="J62" s="117" t="n">
        <v>-5535.53</v>
      </c>
      <c r="K62" s="115" t="inlineStr">
        <is>
          <t>PAD</t>
        </is>
      </c>
      <c r="L62" s="115" t="inlineStr">
        <is>
          <t>500-IT</t>
        </is>
      </c>
      <c r="M62" s="115" t="inlineStr">
        <is>
          <t>2000 AP</t>
        </is>
      </c>
    </row>
    <row r="63">
      <c r="A63" s="118" t="inlineStr">
        <is>
          <t>ERP-00060</t>
        </is>
      </c>
      <c r="B63" s="119" t="n">
        <v>46046</v>
      </c>
      <c r="C63" s="118" t="inlineStr">
        <is>
          <t>2026-01</t>
        </is>
      </c>
      <c r="D63" s="118" t="inlineStr">
        <is>
          <t>Payroll</t>
        </is>
      </c>
      <c r="E63" s="118" t="inlineStr">
        <is>
          <t>Payroll Batch</t>
        </is>
      </c>
      <c r="F63" s="118" t="inlineStr">
        <is>
          <t>Payroll payment</t>
        </is>
      </c>
      <c r="G63" s="118" t="inlineStr">
        <is>
          <t>REF-100060</t>
        </is>
      </c>
      <c r="H63" s="120" t="n">
        <v>0</v>
      </c>
      <c r="I63" s="120" t="n">
        <v>9026.01</v>
      </c>
      <c r="J63" s="120" t="n">
        <v>-9026.01</v>
      </c>
      <c r="K63" s="118" t="inlineStr">
        <is>
          <t>Cheque</t>
        </is>
      </c>
      <c r="L63" s="118" t="inlineStr">
        <is>
          <t>300-Ops</t>
        </is>
      </c>
      <c r="M63" s="118" t="inlineStr">
        <is>
          <t>5300 Payroll</t>
        </is>
      </c>
    </row>
    <row r="64">
      <c r="A64" s="115" t="inlineStr">
        <is>
          <t>ERP-00061</t>
        </is>
      </c>
      <c r="B64" s="116" t="n">
        <v>46031</v>
      </c>
      <c r="C64" s="115" t="inlineStr">
        <is>
          <t>2026-01</t>
        </is>
      </c>
      <c r="D64" s="115" t="inlineStr">
        <is>
          <t>AR</t>
        </is>
      </c>
      <c r="E64" s="115" t="inlineStr">
        <is>
          <t>Harbour Design Co.</t>
        </is>
      </c>
      <c r="F64" s="115" t="inlineStr">
        <is>
          <t>Customer payment - Harbour Design Co.</t>
        </is>
      </c>
      <c r="G64" s="115" t="inlineStr">
        <is>
          <t>REF-100061</t>
        </is>
      </c>
      <c r="H64" s="117" t="n">
        <v>2535.83</v>
      </c>
      <c r="I64" s="117" t="n">
        <v>0</v>
      </c>
      <c r="J64" s="117" t="n">
        <v>2535.83</v>
      </c>
      <c r="K64" s="115" t="inlineStr">
        <is>
          <t>Credit Card</t>
        </is>
      </c>
      <c r="L64" s="115" t="inlineStr">
        <is>
          <t>300-Ops</t>
        </is>
      </c>
      <c r="M64" s="115" t="inlineStr">
        <is>
          <t>1200 AR</t>
        </is>
      </c>
    </row>
    <row r="65">
      <c r="A65" s="118" t="inlineStr">
        <is>
          <t>ERP-00062</t>
        </is>
      </c>
      <c r="B65" s="119" t="n">
        <v>46030</v>
      </c>
      <c r="C65" s="118" t="inlineStr">
        <is>
          <t>2026-01</t>
        </is>
      </c>
      <c r="D65" s="118" t="inlineStr">
        <is>
          <t>AR</t>
        </is>
      </c>
      <c r="E65" s="118" t="inlineStr">
        <is>
          <t>Coastline Foods</t>
        </is>
      </c>
      <c r="F65" s="118" t="inlineStr">
        <is>
          <t>Customer payment - Coastline Foods</t>
        </is>
      </c>
      <c r="G65" s="118" t="inlineStr">
        <is>
          <t>REF-100062</t>
        </is>
      </c>
      <c r="H65" s="120" t="n">
        <v>6048.6</v>
      </c>
      <c r="I65" s="120" t="n">
        <v>0</v>
      </c>
      <c r="J65" s="120" t="n">
        <v>6048.6</v>
      </c>
      <c r="K65" s="118" t="inlineStr">
        <is>
          <t>EFT</t>
        </is>
      </c>
      <c r="L65" s="118" t="inlineStr">
        <is>
          <t>400-Finance</t>
        </is>
      </c>
      <c r="M65" s="118" t="inlineStr">
        <is>
          <t>1200 AR</t>
        </is>
      </c>
    </row>
    <row r="66">
      <c r="A66" s="115" t="inlineStr">
        <is>
          <t>ERP-00063</t>
        </is>
      </c>
      <c r="B66" s="116" t="n">
        <v>46029</v>
      </c>
      <c r="C66" s="115" t="inlineStr">
        <is>
          <t>2026-01</t>
        </is>
      </c>
      <c r="D66" s="115" t="inlineStr">
        <is>
          <t>Payroll</t>
        </is>
      </c>
      <c r="E66" s="115" t="inlineStr">
        <is>
          <t>Payroll Batch</t>
        </is>
      </c>
      <c r="F66" s="115" t="inlineStr">
        <is>
          <t>Payroll payment</t>
        </is>
      </c>
      <c r="G66" s="115" t="inlineStr">
        <is>
          <t>REF-100063</t>
        </is>
      </c>
      <c r="H66" s="117" t="n">
        <v>0</v>
      </c>
      <c r="I66" s="117" t="n">
        <v>8147.41</v>
      </c>
      <c r="J66" s="117" t="n">
        <v>-8147.41</v>
      </c>
      <c r="K66" s="115" t="inlineStr">
        <is>
          <t>PAD</t>
        </is>
      </c>
      <c r="L66" s="115" t="inlineStr">
        <is>
          <t>100-Admin</t>
        </is>
      </c>
      <c r="M66" s="115" t="inlineStr">
        <is>
          <t>5300 Payroll</t>
        </is>
      </c>
    </row>
    <row r="67">
      <c r="A67" s="118" t="inlineStr">
        <is>
          <t>ERP-00064</t>
        </is>
      </c>
      <c r="B67" s="119" t="n">
        <v>46047</v>
      </c>
      <c r="C67" s="118" t="inlineStr">
        <is>
          <t>2026-01</t>
        </is>
      </c>
      <c r="D67" s="118" t="inlineStr">
        <is>
          <t>AR</t>
        </is>
      </c>
      <c r="E67" s="118" t="inlineStr">
        <is>
          <t>Granville Medical</t>
        </is>
      </c>
      <c r="F67" s="118" t="inlineStr">
        <is>
          <t>Customer payment - Granville Medical</t>
        </is>
      </c>
      <c r="G67" s="118" t="inlineStr">
        <is>
          <t>REF-100064</t>
        </is>
      </c>
      <c r="H67" s="120" t="n">
        <v>199.23</v>
      </c>
      <c r="I67" s="120" t="n">
        <v>0</v>
      </c>
      <c r="J67" s="120" t="n">
        <v>199.23</v>
      </c>
      <c r="K67" s="118" t="inlineStr">
        <is>
          <t>Credit Card</t>
        </is>
      </c>
      <c r="L67" s="118" t="inlineStr">
        <is>
          <t>300-Ops</t>
        </is>
      </c>
      <c r="M67" s="118" t="inlineStr">
        <is>
          <t>1200 AR</t>
        </is>
      </c>
    </row>
    <row r="68">
      <c r="A68" s="115" t="inlineStr">
        <is>
          <t>ERP-00065</t>
        </is>
      </c>
      <c r="B68" s="116" t="n">
        <v>46046</v>
      </c>
      <c r="C68" s="115" t="inlineStr">
        <is>
          <t>2026-01</t>
        </is>
      </c>
      <c r="D68" s="115" t="inlineStr">
        <is>
          <t>AR</t>
        </is>
      </c>
      <c r="E68" s="115" t="inlineStr">
        <is>
          <t>West Van Fitness</t>
        </is>
      </c>
      <c r="F68" s="115" t="inlineStr">
        <is>
          <t>Customer payment - West Van Fitness</t>
        </is>
      </c>
      <c r="G68" s="115" t="inlineStr">
        <is>
          <t>REF-100065</t>
        </is>
      </c>
      <c r="H68" s="117" t="n">
        <v>7646.72</v>
      </c>
      <c r="I68" s="117" t="n">
        <v>0</v>
      </c>
      <c r="J68" s="117" t="n">
        <v>7646.72</v>
      </c>
      <c r="K68" s="115" t="inlineStr">
        <is>
          <t>Wire</t>
        </is>
      </c>
      <c r="L68" s="115" t="inlineStr">
        <is>
          <t>200-Sales</t>
        </is>
      </c>
      <c r="M68" s="115" t="inlineStr">
        <is>
          <t>1200 AR</t>
        </is>
      </c>
    </row>
    <row r="69">
      <c r="A69" s="118" t="inlineStr">
        <is>
          <t>ERP-00066</t>
        </is>
      </c>
      <c r="B69" s="119" t="n">
        <v>46044</v>
      </c>
      <c r="C69" s="118" t="inlineStr">
        <is>
          <t>2026-01</t>
        </is>
      </c>
      <c r="D69" s="118" t="inlineStr">
        <is>
          <t>GL</t>
        </is>
      </c>
      <c r="E69" s="118" t="inlineStr">
        <is>
          <t>Vancouver Courier</t>
        </is>
      </c>
      <c r="F69" s="118" t="inlineStr">
        <is>
          <t>Manual GL entry</t>
        </is>
      </c>
      <c r="G69" s="118" t="inlineStr">
        <is>
          <t>REF-100066</t>
        </is>
      </c>
      <c r="H69" s="120" t="n">
        <v>0</v>
      </c>
      <c r="I69" s="120" t="n">
        <v>3634.7</v>
      </c>
      <c r="J69" s="120" t="n">
        <v>-3634.7</v>
      </c>
      <c r="K69" s="118" t="inlineStr">
        <is>
          <t>PAD</t>
        </is>
      </c>
      <c r="L69" s="118" t="inlineStr">
        <is>
          <t>500-IT</t>
        </is>
      </c>
      <c r="M69" s="118" t="inlineStr">
        <is>
          <t>2000 AP</t>
        </is>
      </c>
    </row>
    <row r="70">
      <c r="A70" s="115" t="inlineStr">
        <is>
          <t>ERP-00067</t>
        </is>
      </c>
      <c r="B70" s="116" t="n">
        <v>46044</v>
      </c>
      <c r="C70" s="115" t="inlineStr">
        <is>
          <t>2026-01</t>
        </is>
      </c>
      <c r="D70" s="115" t="inlineStr">
        <is>
          <t>AP</t>
        </is>
      </c>
      <c r="E70" s="115" t="inlineStr">
        <is>
          <t>Staples Canada</t>
        </is>
      </c>
      <c r="F70" s="115" t="inlineStr">
        <is>
          <t>Vendor payment - Staples Canada</t>
        </is>
      </c>
      <c r="G70" s="115" t="inlineStr">
        <is>
          <t>REF-100067</t>
        </is>
      </c>
      <c r="H70" s="117" t="n">
        <v>0</v>
      </c>
      <c r="I70" s="117" t="n">
        <v>2703.11</v>
      </c>
      <c r="J70" s="117" t="n">
        <v>-2703.11</v>
      </c>
      <c r="K70" s="115" t="inlineStr">
        <is>
          <t>Wire</t>
        </is>
      </c>
      <c r="L70" s="115" t="inlineStr">
        <is>
          <t>200-Sales</t>
        </is>
      </c>
      <c r="M70" s="115" t="inlineStr">
        <is>
          <t>2000 AP</t>
        </is>
      </c>
    </row>
    <row r="71">
      <c r="A71" s="118" t="inlineStr">
        <is>
          <t>ERP-00068</t>
        </is>
      </c>
      <c r="B71" s="119" t="n">
        <v>46037</v>
      </c>
      <c r="C71" s="118" t="inlineStr">
        <is>
          <t>2026-01</t>
        </is>
      </c>
      <c r="D71" s="118" t="inlineStr">
        <is>
          <t>AP</t>
        </is>
      </c>
      <c r="E71" s="118" t="inlineStr">
        <is>
          <t>Vancouver Courier</t>
        </is>
      </c>
      <c r="F71" s="118" t="inlineStr">
        <is>
          <t>Vendor payment - Vancouver Courier</t>
        </is>
      </c>
      <c r="G71" s="118" t="inlineStr">
        <is>
          <t>REF-100068</t>
        </is>
      </c>
      <c r="H71" s="120" t="n">
        <v>0</v>
      </c>
      <c r="I71" s="120" t="n">
        <v>5463.4</v>
      </c>
      <c r="J71" s="120" t="n">
        <v>-5463.4</v>
      </c>
      <c r="K71" s="118" t="inlineStr">
        <is>
          <t>Credit Card</t>
        </is>
      </c>
      <c r="L71" s="118" t="inlineStr">
        <is>
          <t>400-Finance</t>
        </is>
      </c>
      <c r="M71" s="118" t="inlineStr">
        <is>
          <t>2000 AP</t>
        </is>
      </c>
    </row>
    <row r="72">
      <c r="A72" s="115" t="inlineStr">
        <is>
          <t>ERP-00069</t>
        </is>
      </c>
      <c r="B72" s="116" t="n">
        <v>46046</v>
      </c>
      <c r="C72" s="115" t="inlineStr">
        <is>
          <t>2026-01</t>
        </is>
      </c>
      <c r="D72" s="115" t="inlineStr">
        <is>
          <t>AR</t>
        </is>
      </c>
      <c r="E72" s="115" t="inlineStr">
        <is>
          <t>Raincity Tech</t>
        </is>
      </c>
      <c r="F72" s="115" t="inlineStr">
        <is>
          <t>Customer payment - Raincity Tech</t>
        </is>
      </c>
      <c r="G72" s="115" t="inlineStr">
        <is>
          <t>REF-100069</t>
        </is>
      </c>
      <c r="H72" s="117" t="n">
        <v>2022.26</v>
      </c>
      <c r="I72" s="117" t="n">
        <v>0</v>
      </c>
      <c r="J72" s="117" t="n">
        <v>2022.26</v>
      </c>
      <c r="K72" s="115" t="inlineStr">
        <is>
          <t>EFT</t>
        </is>
      </c>
      <c r="L72" s="115" t="inlineStr">
        <is>
          <t>100-Admin</t>
        </is>
      </c>
      <c r="M72" s="115" t="inlineStr">
        <is>
          <t>1200 AR</t>
        </is>
      </c>
    </row>
    <row r="73">
      <c r="A73" s="118" t="inlineStr">
        <is>
          <t>ERP-00070</t>
        </is>
      </c>
      <c r="B73" s="119" t="n">
        <v>46023</v>
      </c>
      <c r="C73" s="118" t="inlineStr">
        <is>
          <t>2026-01</t>
        </is>
      </c>
      <c r="D73" s="118" t="inlineStr">
        <is>
          <t>AR</t>
        </is>
      </c>
      <c r="E73" s="118" t="inlineStr">
        <is>
          <t>Coastline Foods</t>
        </is>
      </c>
      <c r="F73" s="118" t="inlineStr">
        <is>
          <t>Customer payment - Coastline Foods</t>
        </is>
      </c>
      <c r="G73" s="118" t="inlineStr">
        <is>
          <t>REF-100070</t>
        </is>
      </c>
      <c r="H73" s="120" t="n">
        <v>1203.95</v>
      </c>
      <c r="I73" s="120" t="n">
        <v>0</v>
      </c>
      <c r="J73" s="120" t="n">
        <v>1203.95</v>
      </c>
      <c r="K73" s="118" t="inlineStr">
        <is>
          <t>EFT</t>
        </is>
      </c>
      <c r="L73" s="118" t="inlineStr">
        <is>
          <t>500-IT</t>
        </is>
      </c>
      <c r="M73" s="118" t="inlineStr">
        <is>
          <t>1200 AR</t>
        </is>
      </c>
    </row>
    <row r="74">
      <c r="A74" s="115" t="inlineStr">
        <is>
          <t>ERP-00071</t>
        </is>
      </c>
      <c r="B74" s="116" t="n">
        <v>46037</v>
      </c>
      <c r="C74" s="115" t="inlineStr">
        <is>
          <t>2026-01</t>
        </is>
      </c>
      <c r="D74" s="115" t="inlineStr">
        <is>
          <t>GL</t>
        </is>
      </c>
      <c r="E74" s="115" t="inlineStr">
        <is>
          <t>Harbour Design Co.</t>
        </is>
      </c>
      <c r="F74" s="115" t="inlineStr">
        <is>
          <t>Manual GL entry</t>
        </is>
      </c>
      <c r="G74" s="115" t="inlineStr">
        <is>
          <t>REF-100071</t>
        </is>
      </c>
      <c r="H74" s="117" t="n">
        <v>0</v>
      </c>
      <c r="I74" s="117" t="n">
        <v>1876.03</v>
      </c>
      <c r="J74" s="117" t="n">
        <v>-1876.03</v>
      </c>
      <c r="K74" s="115" t="inlineStr">
        <is>
          <t>Cheque</t>
        </is>
      </c>
      <c r="L74" s="115" t="inlineStr">
        <is>
          <t>300-Ops</t>
        </is>
      </c>
      <c r="M74" s="115" t="inlineStr">
        <is>
          <t>1200 AR</t>
        </is>
      </c>
    </row>
    <row r="75">
      <c r="A75" s="118" t="inlineStr">
        <is>
          <t>ERP-00072</t>
        </is>
      </c>
      <c r="B75" s="119" t="n">
        <v>46041</v>
      </c>
      <c r="C75" s="118" t="inlineStr">
        <is>
          <t>2026-01</t>
        </is>
      </c>
      <c r="D75" s="118" t="inlineStr">
        <is>
          <t>GL</t>
        </is>
      </c>
      <c r="E75" s="118" t="inlineStr">
        <is>
          <t>Vancouver Courier</t>
        </is>
      </c>
      <c r="F75" s="118" t="inlineStr">
        <is>
          <t>Manual GL entry</t>
        </is>
      </c>
      <c r="G75" s="118" t="inlineStr">
        <is>
          <t>REF-100072</t>
        </is>
      </c>
      <c r="H75" s="120" t="n">
        <v>0</v>
      </c>
      <c r="I75" s="120" t="n">
        <v>2013.44</v>
      </c>
      <c r="J75" s="120" t="n">
        <v>-2013.44</v>
      </c>
      <c r="K75" s="118" t="inlineStr">
        <is>
          <t>PAD</t>
        </is>
      </c>
      <c r="L75" s="118" t="inlineStr">
        <is>
          <t>200-Sales</t>
        </is>
      </c>
      <c r="M75" s="118" t="inlineStr">
        <is>
          <t>1200 AR</t>
        </is>
      </c>
    </row>
    <row r="76">
      <c r="A76" s="115" t="inlineStr">
        <is>
          <t>ERP-00073</t>
        </is>
      </c>
      <c r="B76" s="116" t="n">
        <v>46042</v>
      </c>
      <c r="C76" s="115" t="inlineStr">
        <is>
          <t>2026-01</t>
        </is>
      </c>
      <c r="D76" s="115" t="inlineStr">
        <is>
          <t>Payroll</t>
        </is>
      </c>
      <c r="E76" s="115" t="inlineStr">
        <is>
          <t>Payroll Batch</t>
        </is>
      </c>
      <c r="F76" s="115" t="inlineStr">
        <is>
          <t>Payroll payment</t>
        </is>
      </c>
      <c r="G76" s="115" t="inlineStr">
        <is>
          <t>REF-100073</t>
        </is>
      </c>
      <c r="H76" s="117" t="n">
        <v>0</v>
      </c>
      <c r="I76" s="117" t="n">
        <v>14045.29</v>
      </c>
      <c r="J76" s="117" t="n">
        <v>-14045.29</v>
      </c>
      <c r="K76" s="115" t="inlineStr">
        <is>
          <t>PAD</t>
        </is>
      </c>
      <c r="L76" s="115" t="inlineStr">
        <is>
          <t>100-Admin</t>
        </is>
      </c>
      <c r="M76" s="115" t="inlineStr">
        <is>
          <t>5300 Payroll</t>
        </is>
      </c>
    </row>
    <row r="77">
      <c r="A77" s="118" t="inlineStr">
        <is>
          <t>ERP-00074</t>
        </is>
      </c>
      <c r="B77" s="119" t="n">
        <v>46025</v>
      </c>
      <c r="C77" s="118" t="inlineStr">
        <is>
          <t>2026-01</t>
        </is>
      </c>
      <c r="D77" s="118" t="inlineStr">
        <is>
          <t>AR</t>
        </is>
      </c>
      <c r="E77" s="118" t="inlineStr">
        <is>
          <t>Raincity Tech</t>
        </is>
      </c>
      <c r="F77" s="118" t="inlineStr">
        <is>
          <t>Customer payment - Raincity Tech</t>
        </is>
      </c>
      <c r="G77" s="118" t="inlineStr">
        <is>
          <t>REF-100074</t>
        </is>
      </c>
      <c r="H77" s="120" t="n">
        <v>255.65</v>
      </c>
      <c r="I77" s="120" t="n">
        <v>0</v>
      </c>
      <c r="J77" s="120" t="n">
        <v>255.65</v>
      </c>
      <c r="K77" s="118" t="inlineStr">
        <is>
          <t>Wire</t>
        </is>
      </c>
      <c r="L77" s="118" t="inlineStr">
        <is>
          <t>400-Finance</t>
        </is>
      </c>
      <c r="M77" s="118" t="inlineStr">
        <is>
          <t>1200 AR</t>
        </is>
      </c>
    </row>
    <row r="78">
      <c r="A78" s="115" t="inlineStr">
        <is>
          <t>ERP-00075</t>
        </is>
      </c>
      <c r="B78" s="116" t="n">
        <v>46049</v>
      </c>
      <c r="C78" s="115" t="inlineStr">
        <is>
          <t>2026-01</t>
        </is>
      </c>
      <c r="D78" s="115" t="inlineStr">
        <is>
          <t>AR</t>
        </is>
      </c>
      <c r="E78" s="115" t="inlineStr">
        <is>
          <t>Coastline Foods</t>
        </is>
      </c>
      <c r="F78" s="115" t="inlineStr">
        <is>
          <t>Customer payment - Coastline Foods</t>
        </is>
      </c>
      <c r="G78" s="115" t="inlineStr">
        <is>
          <t>REF-100075</t>
        </is>
      </c>
      <c r="H78" s="117" t="n">
        <v>3786.32</v>
      </c>
      <c r="I78" s="117" t="n">
        <v>0</v>
      </c>
      <c r="J78" s="117" t="n">
        <v>3786.32</v>
      </c>
      <c r="K78" s="115" t="inlineStr">
        <is>
          <t>PAD</t>
        </is>
      </c>
      <c r="L78" s="115" t="inlineStr">
        <is>
          <t>300-Ops</t>
        </is>
      </c>
      <c r="M78" s="115" t="inlineStr">
        <is>
          <t>1200 AR</t>
        </is>
      </c>
    </row>
    <row r="79">
      <c r="A79" s="118" t="inlineStr">
        <is>
          <t>ERP-00076</t>
        </is>
      </c>
      <c r="B79" s="119" t="n">
        <v>46049</v>
      </c>
      <c r="C79" s="118" t="inlineStr">
        <is>
          <t>2026-01</t>
        </is>
      </c>
      <c r="D79" s="118" t="inlineStr">
        <is>
          <t>GL</t>
        </is>
      </c>
      <c r="E79" s="118" t="inlineStr">
        <is>
          <t>Amazon Business</t>
        </is>
      </c>
      <c r="F79" s="118" t="inlineStr">
        <is>
          <t>Manual GL entry</t>
        </is>
      </c>
      <c r="G79" s="118" t="inlineStr">
        <is>
          <t>REF-100076</t>
        </is>
      </c>
      <c r="H79" s="120" t="n">
        <v>1645.41</v>
      </c>
      <c r="I79" s="120" t="n">
        <v>0</v>
      </c>
      <c r="J79" s="120" t="n">
        <v>1645.41</v>
      </c>
      <c r="K79" s="118" t="inlineStr">
        <is>
          <t>Credit Card</t>
        </is>
      </c>
      <c r="L79" s="118" t="inlineStr">
        <is>
          <t>400-Finance</t>
        </is>
      </c>
      <c r="M79" s="118" t="inlineStr">
        <is>
          <t>1200 AR</t>
        </is>
      </c>
    </row>
    <row r="80">
      <c r="A80" s="115" t="inlineStr">
        <is>
          <t>ERP-00077</t>
        </is>
      </c>
      <c r="B80" s="116" t="n">
        <v>46044</v>
      </c>
      <c r="C80" s="115" t="inlineStr">
        <is>
          <t>2026-01</t>
        </is>
      </c>
      <c r="D80" s="115" t="inlineStr">
        <is>
          <t>AR</t>
        </is>
      </c>
      <c r="E80" s="115" t="inlineStr">
        <is>
          <t>Maple Retail Group</t>
        </is>
      </c>
      <c r="F80" s="115" t="inlineStr">
        <is>
          <t>Customer payment - Maple Retail Group</t>
        </is>
      </c>
      <c r="G80" s="115" t="inlineStr">
        <is>
          <t>REF-100077</t>
        </is>
      </c>
      <c r="H80" s="117" t="n">
        <v>4277.46</v>
      </c>
      <c r="I80" s="117" t="n">
        <v>0</v>
      </c>
      <c r="J80" s="117" t="n">
        <v>4277.46</v>
      </c>
      <c r="K80" s="115" t="inlineStr">
        <is>
          <t>Credit Card</t>
        </is>
      </c>
      <c r="L80" s="115" t="inlineStr">
        <is>
          <t>200-Sales</t>
        </is>
      </c>
      <c r="M80" s="115" t="inlineStr">
        <is>
          <t>1200 AR</t>
        </is>
      </c>
    </row>
    <row r="81">
      <c r="A81" s="118" t="inlineStr">
        <is>
          <t>ERP-00078</t>
        </is>
      </c>
      <c r="B81" s="119" t="n">
        <v>46033</v>
      </c>
      <c r="C81" s="118" t="inlineStr">
        <is>
          <t>2026-01</t>
        </is>
      </c>
      <c r="D81" s="118" t="inlineStr">
        <is>
          <t>AP</t>
        </is>
      </c>
      <c r="E81" s="118" t="inlineStr">
        <is>
          <t>Amazon Business</t>
        </is>
      </c>
      <c r="F81" s="118" t="inlineStr">
        <is>
          <t>Vendor payment - Amazon Business</t>
        </is>
      </c>
      <c r="G81" s="118" t="inlineStr">
        <is>
          <t>REF-100078</t>
        </is>
      </c>
      <c r="H81" s="120" t="n">
        <v>0</v>
      </c>
      <c r="I81" s="120" t="n">
        <v>4371.24</v>
      </c>
      <c r="J81" s="120" t="n">
        <v>-4371.24</v>
      </c>
      <c r="K81" s="118" t="inlineStr">
        <is>
          <t>Credit Card</t>
        </is>
      </c>
      <c r="L81" s="118" t="inlineStr">
        <is>
          <t>500-IT</t>
        </is>
      </c>
      <c r="M81" s="118" t="inlineStr">
        <is>
          <t>2000 AP</t>
        </is>
      </c>
    </row>
    <row r="82">
      <c r="A82" s="115" t="inlineStr">
        <is>
          <t>ERP-00079</t>
        </is>
      </c>
      <c r="B82" s="116" t="n">
        <v>46046</v>
      </c>
      <c r="C82" s="115" t="inlineStr">
        <is>
          <t>2026-01</t>
        </is>
      </c>
      <c r="D82" s="115" t="inlineStr">
        <is>
          <t>AR</t>
        </is>
      </c>
      <c r="E82" s="115" t="inlineStr">
        <is>
          <t>West Van Fitness</t>
        </is>
      </c>
      <c r="F82" s="115" t="inlineStr">
        <is>
          <t>Customer payment - West Van Fitness</t>
        </is>
      </c>
      <c r="G82" s="115" t="inlineStr">
        <is>
          <t>REF-100079</t>
        </is>
      </c>
      <c r="H82" s="117" t="n">
        <v>6480.67</v>
      </c>
      <c r="I82" s="117" t="n">
        <v>0</v>
      </c>
      <c r="J82" s="117" t="n">
        <v>6480.67</v>
      </c>
      <c r="K82" s="115" t="inlineStr">
        <is>
          <t>Wire</t>
        </is>
      </c>
      <c r="L82" s="115" t="inlineStr">
        <is>
          <t>400-Finance</t>
        </is>
      </c>
      <c r="M82" s="115" t="inlineStr">
        <is>
          <t>1200 AR</t>
        </is>
      </c>
    </row>
    <row r="83">
      <c r="A83" s="118" t="inlineStr">
        <is>
          <t>ERP-00080</t>
        </is>
      </c>
      <c r="B83" s="119" t="n">
        <v>46030</v>
      </c>
      <c r="C83" s="118" t="inlineStr">
        <is>
          <t>2026-01</t>
        </is>
      </c>
      <c r="D83" s="118" t="inlineStr">
        <is>
          <t>AR</t>
        </is>
      </c>
      <c r="E83" s="118" t="inlineStr">
        <is>
          <t>Coastline Foods</t>
        </is>
      </c>
      <c r="F83" s="118" t="inlineStr">
        <is>
          <t>Customer payment - Coastline Foods</t>
        </is>
      </c>
      <c r="G83" s="118" t="inlineStr">
        <is>
          <t>REF-100080</t>
        </is>
      </c>
      <c r="H83" s="120" t="n">
        <v>2706.82</v>
      </c>
      <c r="I83" s="120" t="n">
        <v>0</v>
      </c>
      <c r="J83" s="120" t="n">
        <v>2706.82</v>
      </c>
      <c r="K83" s="118" t="inlineStr">
        <is>
          <t>PAD</t>
        </is>
      </c>
      <c r="L83" s="118" t="inlineStr">
        <is>
          <t>300-Ops</t>
        </is>
      </c>
      <c r="M83" s="118" t="inlineStr">
        <is>
          <t>1200 AR</t>
        </is>
      </c>
    </row>
    <row r="84">
      <c r="A84" s="115" t="inlineStr">
        <is>
          <t>ERP-00081</t>
        </is>
      </c>
      <c r="B84" s="116" t="n">
        <v>46046</v>
      </c>
      <c r="C84" s="115" t="inlineStr">
        <is>
          <t>2026-01</t>
        </is>
      </c>
      <c r="D84" s="115" t="inlineStr">
        <is>
          <t>AR</t>
        </is>
      </c>
      <c r="E84" s="115" t="inlineStr">
        <is>
          <t>Raincity Tech</t>
        </is>
      </c>
      <c r="F84" s="115" t="inlineStr">
        <is>
          <t>Customer payment - Raincity Tech</t>
        </is>
      </c>
      <c r="G84" s="115" t="inlineStr">
        <is>
          <t>REF-100081</t>
        </is>
      </c>
      <c r="H84" s="117" t="n">
        <v>6018.84</v>
      </c>
      <c r="I84" s="117" t="n">
        <v>0</v>
      </c>
      <c r="J84" s="117" t="n">
        <v>6018.84</v>
      </c>
      <c r="K84" s="115" t="inlineStr">
        <is>
          <t>Credit Card</t>
        </is>
      </c>
      <c r="L84" s="115" t="inlineStr">
        <is>
          <t>300-Ops</t>
        </is>
      </c>
      <c r="M84" s="115" t="inlineStr">
        <is>
          <t>1200 AR</t>
        </is>
      </c>
    </row>
    <row r="85">
      <c r="A85" s="118" t="inlineStr">
        <is>
          <t>ERP-00082</t>
        </is>
      </c>
      <c r="B85" s="119" t="n">
        <v>46033</v>
      </c>
      <c r="C85" s="118" t="inlineStr">
        <is>
          <t>2026-01</t>
        </is>
      </c>
      <c r="D85" s="118" t="inlineStr">
        <is>
          <t>AP</t>
        </is>
      </c>
      <c r="E85" s="118" t="inlineStr">
        <is>
          <t>Amazon Business</t>
        </is>
      </c>
      <c r="F85" s="118" t="inlineStr">
        <is>
          <t>Vendor payment - Amazon Business</t>
        </is>
      </c>
      <c r="G85" s="118" t="inlineStr">
        <is>
          <t>REF-100082</t>
        </is>
      </c>
      <c r="H85" s="120" t="n">
        <v>0</v>
      </c>
      <c r="I85" s="120" t="n">
        <v>5899.37</v>
      </c>
      <c r="J85" s="120" t="n">
        <v>-5899.37</v>
      </c>
      <c r="K85" s="118" t="inlineStr">
        <is>
          <t>Cheque</t>
        </is>
      </c>
      <c r="L85" s="118" t="inlineStr">
        <is>
          <t>200-Sales</t>
        </is>
      </c>
      <c r="M85" s="118" t="inlineStr">
        <is>
          <t>2000 AP</t>
        </is>
      </c>
    </row>
    <row r="86">
      <c r="A86" s="115" t="inlineStr">
        <is>
          <t>ERP-00083</t>
        </is>
      </c>
      <c r="B86" s="116" t="n">
        <v>46041</v>
      </c>
      <c r="C86" s="115" t="inlineStr">
        <is>
          <t>2026-01</t>
        </is>
      </c>
      <c r="D86" s="115" t="inlineStr">
        <is>
          <t>Bank Fees</t>
        </is>
      </c>
      <c r="E86" s="115" t="inlineStr">
        <is>
          <t>Bank</t>
        </is>
      </c>
      <c r="F86" s="115" t="inlineStr">
        <is>
          <t>Monthly bank service charge</t>
        </is>
      </c>
      <c r="G86" s="115" t="inlineStr">
        <is>
          <t>REF-100083</t>
        </is>
      </c>
      <c r="H86" s="117" t="n">
        <v>0</v>
      </c>
      <c r="I86" s="117" t="n">
        <v>65.33</v>
      </c>
      <c r="J86" s="117" t="n">
        <v>-65.33</v>
      </c>
      <c r="K86" s="115" t="inlineStr">
        <is>
          <t>Credit Card</t>
        </is>
      </c>
      <c r="L86" s="115" t="inlineStr">
        <is>
          <t>100-Admin</t>
        </is>
      </c>
      <c r="M86" s="115" t="inlineStr">
        <is>
          <t>6100 Bank Fees</t>
        </is>
      </c>
    </row>
    <row r="87">
      <c r="A87" s="118" t="inlineStr">
        <is>
          <t>ERP-00084</t>
        </is>
      </c>
      <c r="B87" s="119" t="n">
        <v>46032</v>
      </c>
      <c r="C87" s="118" t="inlineStr">
        <is>
          <t>2026-01</t>
        </is>
      </c>
      <c r="D87" s="118" t="inlineStr">
        <is>
          <t>AP</t>
        </is>
      </c>
      <c r="E87" s="118" t="inlineStr">
        <is>
          <t>North Shore Telecom</t>
        </is>
      </c>
      <c r="F87" s="118" t="inlineStr">
        <is>
          <t>Vendor payment - North Shore Telecom</t>
        </is>
      </c>
      <c r="G87" s="118" t="inlineStr">
        <is>
          <t>REF-100084</t>
        </is>
      </c>
      <c r="H87" s="120" t="n">
        <v>0</v>
      </c>
      <c r="I87" s="120" t="n">
        <v>1929.88</v>
      </c>
      <c r="J87" s="120" t="n">
        <v>-1929.88</v>
      </c>
      <c r="K87" s="118" t="inlineStr">
        <is>
          <t>PAD</t>
        </is>
      </c>
      <c r="L87" s="118" t="inlineStr">
        <is>
          <t>200-Sales</t>
        </is>
      </c>
      <c r="M87" s="118" t="inlineStr">
        <is>
          <t>2000 AP</t>
        </is>
      </c>
    </row>
    <row r="88">
      <c r="A88" s="115" t="inlineStr">
        <is>
          <t>ERP-00085</t>
        </is>
      </c>
      <c r="B88" s="116" t="n">
        <v>46045</v>
      </c>
      <c r="C88" s="115" t="inlineStr">
        <is>
          <t>2026-01</t>
        </is>
      </c>
      <c r="D88" s="115" t="inlineStr">
        <is>
          <t>Bank Fees</t>
        </is>
      </c>
      <c r="E88" s="115" t="inlineStr">
        <is>
          <t>Bank</t>
        </is>
      </c>
      <c r="F88" s="115" t="inlineStr">
        <is>
          <t>Monthly bank service charge</t>
        </is>
      </c>
      <c r="G88" s="115" t="inlineStr">
        <is>
          <t>REF-100085</t>
        </is>
      </c>
      <c r="H88" s="117" t="n">
        <v>0</v>
      </c>
      <c r="I88" s="117" t="n">
        <v>78.36</v>
      </c>
      <c r="J88" s="117" t="n">
        <v>-78.36</v>
      </c>
      <c r="K88" s="115" t="inlineStr">
        <is>
          <t>Wire</t>
        </is>
      </c>
      <c r="L88" s="115" t="inlineStr">
        <is>
          <t>100-Admin</t>
        </is>
      </c>
      <c r="M88" s="115" t="inlineStr">
        <is>
          <t>6100 Bank Fees</t>
        </is>
      </c>
    </row>
    <row r="89">
      <c r="A89" s="118" t="inlineStr">
        <is>
          <t>ERP-00086</t>
        </is>
      </c>
      <c r="B89" s="119" t="n">
        <v>46041</v>
      </c>
      <c r="C89" s="118" t="inlineStr">
        <is>
          <t>2026-01</t>
        </is>
      </c>
      <c r="D89" s="118" t="inlineStr">
        <is>
          <t>AP</t>
        </is>
      </c>
      <c r="E89" s="118" t="inlineStr">
        <is>
          <t>BC Hydro</t>
        </is>
      </c>
      <c r="F89" s="118" t="inlineStr">
        <is>
          <t>Vendor payment - BC Hydro</t>
        </is>
      </c>
      <c r="G89" s="118" t="inlineStr">
        <is>
          <t>REF-100086</t>
        </is>
      </c>
      <c r="H89" s="120" t="n">
        <v>0</v>
      </c>
      <c r="I89" s="120" t="n">
        <v>2775.67</v>
      </c>
      <c r="J89" s="120" t="n">
        <v>-2775.67</v>
      </c>
      <c r="K89" s="118" t="inlineStr">
        <is>
          <t>Cheque</t>
        </is>
      </c>
      <c r="L89" s="118" t="inlineStr">
        <is>
          <t>100-Admin</t>
        </is>
      </c>
      <c r="M89" s="118" t="inlineStr">
        <is>
          <t>2000 AP</t>
        </is>
      </c>
    </row>
    <row r="90">
      <c r="A90" s="115" t="inlineStr">
        <is>
          <t>ERP-00087</t>
        </is>
      </c>
      <c r="B90" s="116" t="n">
        <v>46025</v>
      </c>
      <c r="C90" s="115" t="inlineStr">
        <is>
          <t>2026-01</t>
        </is>
      </c>
      <c r="D90" s="115" t="inlineStr">
        <is>
          <t>AR</t>
        </is>
      </c>
      <c r="E90" s="115" t="inlineStr">
        <is>
          <t>Maple Retail Group</t>
        </is>
      </c>
      <c r="F90" s="115" t="inlineStr">
        <is>
          <t>Customer payment - Maple Retail Group</t>
        </is>
      </c>
      <c r="G90" s="115" t="inlineStr">
        <is>
          <t>REF-100087</t>
        </is>
      </c>
      <c r="H90" s="117" t="n">
        <v>4968.13</v>
      </c>
      <c r="I90" s="117" t="n">
        <v>0</v>
      </c>
      <c r="J90" s="117" t="n">
        <v>4968.13</v>
      </c>
      <c r="K90" s="115" t="inlineStr">
        <is>
          <t>EFT</t>
        </is>
      </c>
      <c r="L90" s="115" t="inlineStr">
        <is>
          <t>200-Sales</t>
        </is>
      </c>
      <c r="M90" s="115" t="inlineStr">
        <is>
          <t>1200 AR</t>
        </is>
      </c>
    </row>
    <row r="91">
      <c r="A91" s="118" t="inlineStr">
        <is>
          <t>ERP-00088</t>
        </is>
      </c>
      <c r="B91" s="119" t="n">
        <v>46030</v>
      </c>
      <c r="C91" s="118" t="inlineStr">
        <is>
          <t>2026-01</t>
        </is>
      </c>
      <c r="D91" s="118" t="inlineStr">
        <is>
          <t>AP</t>
        </is>
      </c>
      <c r="E91" s="118" t="inlineStr">
        <is>
          <t>Vancouver Courier</t>
        </is>
      </c>
      <c r="F91" s="118" t="inlineStr">
        <is>
          <t>Vendor payment - Vancouver Courier</t>
        </is>
      </c>
      <c r="G91" s="118" t="inlineStr">
        <is>
          <t>REF-100088</t>
        </is>
      </c>
      <c r="H91" s="120" t="n">
        <v>0</v>
      </c>
      <c r="I91" s="120" t="n">
        <v>2626.99</v>
      </c>
      <c r="J91" s="120" t="n">
        <v>-2626.99</v>
      </c>
      <c r="K91" s="118" t="inlineStr">
        <is>
          <t>PAD</t>
        </is>
      </c>
      <c r="L91" s="118" t="inlineStr">
        <is>
          <t>500-IT</t>
        </is>
      </c>
      <c r="M91" s="118" t="inlineStr">
        <is>
          <t>2000 AP</t>
        </is>
      </c>
    </row>
    <row r="92">
      <c r="A92" s="115" t="inlineStr">
        <is>
          <t>ERP-00089</t>
        </is>
      </c>
      <c r="B92" s="116" t="n">
        <v>46037</v>
      </c>
      <c r="C92" s="115" t="inlineStr">
        <is>
          <t>2026-01</t>
        </is>
      </c>
      <c r="D92" s="115" t="inlineStr">
        <is>
          <t>AP</t>
        </is>
      </c>
      <c r="E92" s="115" t="inlineStr">
        <is>
          <t>Amazon Business</t>
        </is>
      </c>
      <c r="F92" s="115" t="inlineStr">
        <is>
          <t>Vendor payment - Amazon Business</t>
        </is>
      </c>
      <c r="G92" s="115" t="inlineStr">
        <is>
          <t>REF-100089</t>
        </is>
      </c>
      <c r="H92" s="117" t="n">
        <v>0</v>
      </c>
      <c r="I92" s="117" t="n">
        <v>6138.99</v>
      </c>
      <c r="J92" s="117" t="n">
        <v>-6138.99</v>
      </c>
      <c r="K92" s="115" t="inlineStr">
        <is>
          <t>Credit Card</t>
        </is>
      </c>
      <c r="L92" s="115" t="inlineStr">
        <is>
          <t>500-IT</t>
        </is>
      </c>
      <c r="M92" s="115" t="inlineStr">
        <is>
          <t>2000 AP</t>
        </is>
      </c>
    </row>
    <row r="93">
      <c r="A93" s="118" t="inlineStr">
        <is>
          <t>ERP-00090</t>
        </is>
      </c>
      <c r="B93" s="119" t="n">
        <v>46029</v>
      </c>
      <c r="C93" s="118" t="inlineStr">
        <is>
          <t>2026-01</t>
        </is>
      </c>
      <c r="D93" s="118" t="inlineStr">
        <is>
          <t>AR</t>
        </is>
      </c>
      <c r="E93" s="118" t="inlineStr">
        <is>
          <t>Raincity Tech</t>
        </is>
      </c>
      <c r="F93" s="118" t="inlineStr">
        <is>
          <t>Customer payment - Raincity Tech</t>
        </is>
      </c>
      <c r="G93" s="118" t="inlineStr">
        <is>
          <t>REF-100090</t>
        </is>
      </c>
      <c r="H93" s="120" t="n">
        <v>5664.57</v>
      </c>
      <c r="I93" s="120" t="n">
        <v>0</v>
      </c>
      <c r="J93" s="120" t="n">
        <v>5664.57</v>
      </c>
      <c r="K93" s="118" t="inlineStr">
        <is>
          <t>Cheque</t>
        </is>
      </c>
      <c r="L93" s="118" t="inlineStr">
        <is>
          <t>200-Sales</t>
        </is>
      </c>
      <c r="M93" s="118" t="inlineStr">
        <is>
          <t>1200 AR</t>
        </is>
      </c>
    </row>
    <row r="94">
      <c r="A94" s="115" t="inlineStr">
        <is>
          <t>ERP-00091</t>
        </is>
      </c>
      <c r="B94" s="116" t="n">
        <v>46036</v>
      </c>
      <c r="C94" s="115" t="inlineStr">
        <is>
          <t>2026-01</t>
        </is>
      </c>
      <c r="D94" s="115" t="inlineStr">
        <is>
          <t>AR</t>
        </is>
      </c>
      <c r="E94" s="115" t="inlineStr">
        <is>
          <t>West Van Fitness</t>
        </is>
      </c>
      <c r="F94" s="115" t="inlineStr">
        <is>
          <t>Customer payment - West Van Fitness</t>
        </is>
      </c>
      <c r="G94" s="115" t="inlineStr">
        <is>
          <t>REF-100091</t>
        </is>
      </c>
      <c r="H94" s="117" t="n">
        <v>4073.77</v>
      </c>
      <c r="I94" s="117" t="n">
        <v>0</v>
      </c>
      <c r="J94" s="117" t="n">
        <v>4073.77</v>
      </c>
      <c r="K94" s="115" t="inlineStr">
        <is>
          <t>EFT</t>
        </is>
      </c>
      <c r="L94" s="115" t="inlineStr">
        <is>
          <t>200-Sales</t>
        </is>
      </c>
      <c r="M94" s="115" t="inlineStr">
        <is>
          <t>1200 AR</t>
        </is>
      </c>
    </row>
    <row r="95">
      <c r="A95" s="118" t="inlineStr">
        <is>
          <t>ERP-00092</t>
        </is>
      </c>
      <c r="B95" s="119" t="n">
        <v>46037</v>
      </c>
      <c r="C95" s="118" t="inlineStr">
        <is>
          <t>2026-01</t>
        </is>
      </c>
      <c r="D95" s="118" t="inlineStr">
        <is>
          <t>AP</t>
        </is>
      </c>
      <c r="E95" s="118" t="inlineStr">
        <is>
          <t>North Shore Telecom</t>
        </is>
      </c>
      <c r="F95" s="118" t="inlineStr">
        <is>
          <t>Vendor payment - North Shore Telecom</t>
        </is>
      </c>
      <c r="G95" s="118" t="inlineStr">
        <is>
          <t>REF-100092</t>
        </is>
      </c>
      <c r="H95" s="120" t="n">
        <v>0</v>
      </c>
      <c r="I95" s="120" t="n">
        <v>5734.34</v>
      </c>
      <c r="J95" s="120" t="n">
        <v>-5734.34</v>
      </c>
      <c r="K95" s="118" t="inlineStr">
        <is>
          <t>PAD</t>
        </is>
      </c>
      <c r="L95" s="118" t="inlineStr">
        <is>
          <t>200-Sales</t>
        </is>
      </c>
      <c r="M95" s="118" t="inlineStr">
        <is>
          <t>2000 AP</t>
        </is>
      </c>
    </row>
    <row r="96">
      <c r="A96" s="115" t="inlineStr">
        <is>
          <t>ERP-00093</t>
        </is>
      </c>
      <c r="B96" s="116" t="n">
        <v>46052</v>
      </c>
      <c r="C96" s="115" t="inlineStr">
        <is>
          <t>2026-01</t>
        </is>
      </c>
      <c r="D96" s="115" t="inlineStr">
        <is>
          <t>AP</t>
        </is>
      </c>
      <c r="E96" s="115" t="inlineStr">
        <is>
          <t>North Shore Telecom</t>
        </is>
      </c>
      <c r="F96" s="115" t="inlineStr">
        <is>
          <t>Vendor payment - North Shore Telecom</t>
        </is>
      </c>
      <c r="G96" s="115" t="inlineStr">
        <is>
          <t>REF-100093</t>
        </is>
      </c>
      <c r="H96" s="117" t="n">
        <v>0</v>
      </c>
      <c r="I96" s="117" t="n">
        <v>517.03</v>
      </c>
      <c r="J96" s="117" t="n">
        <v>-517.03</v>
      </c>
      <c r="K96" s="115" t="inlineStr">
        <is>
          <t>Cheque</t>
        </is>
      </c>
      <c r="L96" s="115" t="inlineStr">
        <is>
          <t>300-Ops</t>
        </is>
      </c>
      <c r="M96" s="115" t="inlineStr">
        <is>
          <t>2000 AP</t>
        </is>
      </c>
    </row>
    <row r="97">
      <c r="A97" s="118" t="inlineStr">
        <is>
          <t>ERP-00094</t>
        </is>
      </c>
      <c r="B97" s="119" t="n">
        <v>46037</v>
      </c>
      <c r="C97" s="118" t="inlineStr">
        <is>
          <t>2026-01</t>
        </is>
      </c>
      <c r="D97" s="118" t="inlineStr">
        <is>
          <t>GL</t>
        </is>
      </c>
      <c r="E97" s="118" t="inlineStr">
        <is>
          <t>West Van Fitness</t>
        </is>
      </c>
      <c r="F97" s="118" t="inlineStr">
        <is>
          <t>Manual GL entry</t>
        </is>
      </c>
      <c r="G97" s="118" t="inlineStr">
        <is>
          <t>REF-100094</t>
        </is>
      </c>
      <c r="H97" s="120" t="n">
        <v>2042.42</v>
      </c>
      <c r="I97" s="120" t="n">
        <v>0</v>
      </c>
      <c r="J97" s="120" t="n">
        <v>2042.42</v>
      </c>
      <c r="K97" s="118" t="inlineStr">
        <is>
          <t>Wire</t>
        </is>
      </c>
      <c r="L97" s="118" t="inlineStr">
        <is>
          <t>100-Admin</t>
        </is>
      </c>
      <c r="M97" s="118" t="inlineStr">
        <is>
          <t>6100 Bank Fees</t>
        </is>
      </c>
    </row>
    <row r="98">
      <c r="A98" s="115" t="inlineStr">
        <is>
          <t>ERP-00095</t>
        </is>
      </c>
      <c r="B98" s="116" t="n">
        <v>46042</v>
      </c>
      <c r="C98" s="115" t="inlineStr">
        <is>
          <t>2026-01</t>
        </is>
      </c>
      <c r="D98" s="115" t="inlineStr">
        <is>
          <t>AP</t>
        </is>
      </c>
      <c r="E98" s="115" t="inlineStr">
        <is>
          <t>Pacific Office Supplies</t>
        </is>
      </c>
      <c r="F98" s="115" t="inlineStr">
        <is>
          <t>Vendor payment - Pacific Office Supplies</t>
        </is>
      </c>
      <c r="G98" s="115" t="inlineStr">
        <is>
          <t>REF-100095</t>
        </is>
      </c>
      <c r="H98" s="117" t="n">
        <v>0</v>
      </c>
      <c r="I98" s="117" t="n">
        <v>1481.02</v>
      </c>
      <c r="J98" s="117" t="n">
        <v>-1481.02</v>
      </c>
      <c r="K98" s="115" t="inlineStr">
        <is>
          <t>PAD</t>
        </is>
      </c>
      <c r="L98" s="115" t="inlineStr">
        <is>
          <t>500-IT</t>
        </is>
      </c>
      <c r="M98" s="115" t="inlineStr">
        <is>
          <t>2000 AP</t>
        </is>
      </c>
    </row>
    <row r="99">
      <c r="A99" s="118" t="inlineStr">
        <is>
          <t>ERP-00096</t>
        </is>
      </c>
      <c r="B99" s="119" t="n">
        <v>46047</v>
      </c>
      <c r="C99" s="118" t="inlineStr">
        <is>
          <t>2026-01</t>
        </is>
      </c>
      <c r="D99" s="118" t="inlineStr">
        <is>
          <t>GL</t>
        </is>
      </c>
      <c r="E99" s="118" t="inlineStr">
        <is>
          <t>Amazon Business</t>
        </is>
      </c>
      <c r="F99" s="118" t="inlineStr">
        <is>
          <t>Manual GL entry</t>
        </is>
      </c>
      <c r="G99" s="118" t="inlineStr">
        <is>
          <t>REF-100096</t>
        </is>
      </c>
      <c r="H99" s="120" t="n">
        <v>0</v>
      </c>
      <c r="I99" s="120" t="n">
        <v>2902.42</v>
      </c>
      <c r="J99" s="120" t="n">
        <v>-2902.42</v>
      </c>
      <c r="K99" s="118" t="inlineStr">
        <is>
          <t>Wire</t>
        </is>
      </c>
      <c r="L99" s="118" t="inlineStr">
        <is>
          <t>500-IT</t>
        </is>
      </c>
      <c r="M99" s="118" t="inlineStr">
        <is>
          <t>2000 AP</t>
        </is>
      </c>
    </row>
    <row r="100">
      <c r="A100" s="115" t="inlineStr">
        <is>
          <t>ERP-00097</t>
        </is>
      </c>
      <c r="B100" s="116" t="n">
        <v>46041</v>
      </c>
      <c r="C100" s="115" t="inlineStr">
        <is>
          <t>2026-01</t>
        </is>
      </c>
      <c r="D100" s="115" t="inlineStr">
        <is>
          <t>AR</t>
        </is>
      </c>
      <c r="E100" s="115" t="inlineStr">
        <is>
          <t>Granville Medical</t>
        </is>
      </c>
      <c r="F100" s="115" t="inlineStr">
        <is>
          <t>Customer payment - Granville Medical</t>
        </is>
      </c>
      <c r="G100" s="115" t="inlineStr">
        <is>
          <t>REF-100097</t>
        </is>
      </c>
      <c r="H100" s="117" t="n">
        <v>8241.610000000001</v>
      </c>
      <c r="I100" s="117" t="n">
        <v>0</v>
      </c>
      <c r="J100" s="117" t="n">
        <v>8241.610000000001</v>
      </c>
      <c r="K100" s="115" t="inlineStr">
        <is>
          <t>Wire</t>
        </is>
      </c>
      <c r="L100" s="115" t="inlineStr">
        <is>
          <t>300-Ops</t>
        </is>
      </c>
      <c r="M100" s="115" t="inlineStr">
        <is>
          <t>1200 AR</t>
        </is>
      </c>
    </row>
    <row r="101">
      <c r="A101" s="118" t="inlineStr">
        <is>
          <t>ERP-00098</t>
        </is>
      </c>
      <c r="B101" s="119" t="n">
        <v>46050</v>
      </c>
      <c r="C101" s="118" t="inlineStr">
        <is>
          <t>2026-01</t>
        </is>
      </c>
      <c r="D101" s="118" t="inlineStr">
        <is>
          <t>AP</t>
        </is>
      </c>
      <c r="E101" s="118" t="inlineStr">
        <is>
          <t>BC Hydro</t>
        </is>
      </c>
      <c r="F101" s="118" t="inlineStr">
        <is>
          <t>Vendor payment - BC Hydro</t>
        </is>
      </c>
      <c r="G101" s="118" t="inlineStr">
        <is>
          <t>REF-100098</t>
        </is>
      </c>
      <c r="H101" s="120" t="n">
        <v>0</v>
      </c>
      <c r="I101" s="120" t="n">
        <v>4325.28</v>
      </c>
      <c r="J101" s="120" t="n">
        <v>-4325.28</v>
      </c>
      <c r="K101" s="118" t="inlineStr">
        <is>
          <t>Credit Card</t>
        </is>
      </c>
      <c r="L101" s="118" t="inlineStr">
        <is>
          <t>400-Finance</t>
        </is>
      </c>
      <c r="M101" s="118" t="inlineStr">
        <is>
          <t>2000 AP</t>
        </is>
      </c>
    </row>
    <row r="102">
      <c r="A102" s="115" t="inlineStr">
        <is>
          <t>ERP-00099</t>
        </is>
      </c>
      <c r="B102" s="116" t="n">
        <v>46033</v>
      </c>
      <c r="C102" s="115" t="inlineStr">
        <is>
          <t>2026-01</t>
        </is>
      </c>
      <c r="D102" s="115" t="inlineStr">
        <is>
          <t>AP</t>
        </is>
      </c>
      <c r="E102" s="115" t="inlineStr">
        <is>
          <t>Pacific Office Supplies</t>
        </is>
      </c>
      <c r="F102" s="115" t="inlineStr">
        <is>
          <t>Vendor payment - Pacific Office Supplies</t>
        </is>
      </c>
      <c r="G102" s="115" t="inlineStr">
        <is>
          <t>REF-100099</t>
        </is>
      </c>
      <c r="H102" s="117" t="n">
        <v>0</v>
      </c>
      <c r="I102" s="117" t="n">
        <v>6017.53</v>
      </c>
      <c r="J102" s="117" t="n">
        <v>-6017.53</v>
      </c>
      <c r="K102" s="115" t="inlineStr">
        <is>
          <t>Wire</t>
        </is>
      </c>
      <c r="L102" s="115" t="inlineStr">
        <is>
          <t>500-IT</t>
        </is>
      </c>
      <c r="M102" s="115" t="inlineStr">
        <is>
          <t>2000 AP</t>
        </is>
      </c>
    </row>
    <row r="103">
      <c r="A103" s="118" t="inlineStr">
        <is>
          <t>ERP-00100</t>
        </is>
      </c>
      <c r="B103" s="119" t="n">
        <v>46023</v>
      </c>
      <c r="C103" s="118" t="inlineStr">
        <is>
          <t>2026-01</t>
        </is>
      </c>
      <c r="D103" s="118" t="inlineStr">
        <is>
          <t>AR</t>
        </is>
      </c>
      <c r="E103" s="118" t="inlineStr">
        <is>
          <t>West Van Fitness</t>
        </is>
      </c>
      <c r="F103" s="118" t="inlineStr">
        <is>
          <t>Customer payment - West Van Fitness</t>
        </is>
      </c>
      <c r="G103" s="118" t="inlineStr">
        <is>
          <t>REF-100100</t>
        </is>
      </c>
      <c r="H103" s="120" t="n">
        <v>4007.5</v>
      </c>
      <c r="I103" s="120" t="n">
        <v>0</v>
      </c>
      <c r="J103" s="120" t="n">
        <v>4007.5</v>
      </c>
      <c r="K103" s="118" t="inlineStr">
        <is>
          <t>EFT</t>
        </is>
      </c>
      <c r="L103" s="118" t="inlineStr">
        <is>
          <t>200-Sales</t>
        </is>
      </c>
      <c r="M103" s="118" t="inlineStr">
        <is>
          <t>1200 AR</t>
        </is>
      </c>
    </row>
    <row r="104">
      <c r="A104" s="115" t="inlineStr">
        <is>
          <t>ERP-00101</t>
        </is>
      </c>
      <c r="B104" s="116" t="n">
        <v>46047</v>
      </c>
      <c r="C104" s="115" t="inlineStr">
        <is>
          <t>2026-01</t>
        </is>
      </c>
      <c r="D104" s="115" t="inlineStr">
        <is>
          <t>AP</t>
        </is>
      </c>
      <c r="E104" s="115" t="inlineStr">
        <is>
          <t>Metro Cleaning Ltd.</t>
        </is>
      </c>
      <c r="F104" s="115" t="inlineStr">
        <is>
          <t>Vendor payment - Metro Cleaning Ltd.</t>
        </is>
      </c>
      <c r="G104" s="115" t="inlineStr">
        <is>
          <t>REF-100101</t>
        </is>
      </c>
      <c r="H104" s="117" t="n">
        <v>0</v>
      </c>
      <c r="I104" s="117" t="n">
        <v>3441.22</v>
      </c>
      <c r="J104" s="117" t="n">
        <v>-3441.22</v>
      </c>
      <c r="K104" s="115" t="inlineStr">
        <is>
          <t>Credit Card</t>
        </is>
      </c>
      <c r="L104" s="115" t="inlineStr">
        <is>
          <t>400-Finance</t>
        </is>
      </c>
      <c r="M104" s="115" t="inlineStr">
        <is>
          <t>2000 AP</t>
        </is>
      </c>
    </row>
    <row r="105">
      <c r="A105" s="118" t="inlineStr">
        <is>
          <t>ERP-00102</t>
        </is>
      </c>
      <c r="B105" s="119" t="n">
        <v>46038</v>
      </c>
      <c r="C105" s="118" t="inlineStr">
        <is>
          <t>2026-01</t>
        </is>
      </c>
      <c r="D105" s="118" t="inlineStr">
        <is>
          <t>AP</t>
        </is>
      </c>
      <c r="E105" s="118" t="inlineStr">
        <is>
          <t>Staples Canada</t>
        </is>
      </c>
      <c r="F105" s="118" t="inlineStr">
        <is>
          <t>Vendor payment - Staples Canada</t>
        </is>
      </c>
      <c r="G105" s="118" t="inlineStr">
        <is>
          <t>REF-100102</t>
        </is>
      </c>
      <c r="H105" s="120" t="n">
        <v>0</v>
      </c>
      <c r="I105" s="120" t="n">
        <v>3806.29</v>
      </c>
      <c r="J105" s="120" t="n">
        <v>-3806.29</v>
      </c>
      <c r="K105" s="118" t="inlineStr">
        <is>
          <t>Cheque</t>
        </is>
      </c>
      <c r="L105" s="118" t="inlineStr">
        <is>
          <t>200-Sales</t>
        </is>
      </c>
      <c r="M105" s="118" t="inlineStr">
        <is>
          <t>2000 AP</t>
        </is>
      </c>
    </row>
    <row r="106">
      <c r="A106" s="115" t="inlineStr">
        <is>
          <t>ERP-00103</t>
        </is>
      </c>
      <c r="B106" s="116" t="n">
        <v>46025</v>
      </c>
      <c r="C106" s="115" t="inlineStr">
        <is>
          <t>2026-01</t>
        </is>
      </c>
      <c r="D106" s="115" t="inlineStr">
        <is>
          <t>AP</t>
        </is>
      </c>
      <c r="E106" s="115" t="inlineStr">
        <is>
          <t>Vancouver Courier</t>
        </is>
      </c>
      <c r="F106" s="115" t="inlineStr">
        <is>
          <t>Vendor payment - Vancouver Courier</t>
        </is>
      </c>
      <c r="G106" s="115" t="inlineStr">
        <is>
          <t>REF-100103</t>
        </is>
      </c>
      <c r="H106" s="117" t="n">
        <v>0</v>
      </c>
      <c r="I106" s="117" t="n">
        <v>5667.13</v>
      </c>
      <c r="J106" s="117" t="n">
        <v>-5667.13</v>
      </c>
      <c r="K106" s="115" t="inlineStr">
        <is>
          <t>Wire</t>
        </is>
      </c>
      <c r="L106" s="115" t="inlineStr">
        <is>
          <t>100-Admin</t>
        </is>
      </c>
      <c r="M106" s="115" t="inlineStr">
        <is>
          <t>2000 AP</t>
        </is>
      </c>
    </row>
    <row r="107">
      <c r="A107" s="118" t="inlineStr">
        <is>
          <t>ERP-00104</t>
        </is>
      </c>
      <c r="B107" s="119" t="n">
        <v>46045</v>
      </c>
      <c r="C107" s="118" t="inlineStr">
        <is>
          <t>2026-01</t>
        </is>
      </c>
      <c r="D107" s="118" t="inlineStr">
        <is>
          <t>AP</t>
        </is>
      </c>
      <c r="E107" s="118" t="inlineStr">
        <is>
          <t>Staples Canada</t>
        </is>
      </c>
      <c r="F107" s="118" t="inlineStr">
        <is>
          <t>Vendor payment - Staples Canada</t>
        </is>
      </c>
      <c r="G107" s="118" t="inlineStr">
        <is>
          <t>REF-100104</t>
        </is>
      </c>
      <c r="H107" s="120" t="n">
        <v>0</v>
      </c>
      <c r="I107" s="120" t="n">
        <v>1753.36</v>
      </c>
      <c r="J107" s="120" t="n">
        <v>-1753.36</v>
      </c>
      <c r="K107" s="118" t="inlineStr">
        <is>
          <t>Wire</t>
        </is>
      </c>
      <c r="L107" s="118" t="inlineStr">
        <is>
          <t>400-Finance</t>
        </is>
      </c>
      <c r="M107" s="118" t="inlineStr">
        <is>
          <t>2000 AP</t>
        </is>
      </c>
    </row>
    <row r="108">
      <c r="A108" s="115" t="inlineStr">
        <is>
          <t>ERP-00105</t>
        </is>
      </c>
      <c r="B108" s="116" t="n">
        <v>46052</v>
      </c>
      <c r="C108" s="115" t="inlineStr">
        <is>
          <t>2026-01</t>
        </is>
      </c>
      <c r="D108" s="115" t="inlineStr">
        <is>
          <t>AR</t>
        </is>
      </c>
      <c r="E108" s="115" t="inlineStr">
        <is>
          <t>Harbour Design Co.</t>
        </is>
      </c>
      <c r="F108" s="115" t="inlineStr">
        <is>
          <t>Customer payment - Harbour Design Co.</t>
        </is>
      </c>
      <c r="G108" s="115" t="inlineStr">
        <is>
          <t>REF-100105</t>
        </is>
      </c>
      <c r="H108" s="117" t="n">
        <v>7492.37</v>
      </c>
      <c r="I108" s="117" t="n">
        <v>0</v>
      </c>
      <c r="J108" s="117" t="n">
        <v>7492.37</v>
      </c>
      <c r="K108" s="115" t="inlineStr">
        <is>
          <t>EFT</t>
        </is>
      </c>
      <c r="L108" s="115" t="inlineStr">
        <is>
          <t>300-Ops</t>
        </is>
      </c>
      <c r="M108" s="115" t="inlineStr">
        <is>
          <t>1200 AR</t>
        </is>
      </c>
    </row>
    <row r="109">
      <c r="A109" s="118" t="inlineStr">
        <is>
          <t>ERP-00106</t>
        </is>
      </c>
      <c r="B109" s="119" t="n">
        <v>46048</v>
      </c>
      <c r="C109" s="118" t="inlineStr">
        <is>
          <t>2026-01</t>
        </is>
      </c>
      <c r="D109" s="118" t="inlineStr">
        <is>
          <t>AR</t>
        </is>
      </c>
      <c r="E109" s="118" t="inlineStr">
        <is>
          <t>Maple Retail Group</t>
        </is>
      </c>
      <c r="F109" s="118" t="inlineStr">
        <is>
          <t>Customer payment - Maple Retail Group</t>
        </is>
      </c>
      <c r="G109" s="118" t="inlineStr">
        <is>
          <t>REF-100106</t>
        </is>
      </c>
      <c r="H109" s="120" t="n">
        <v>2511.71</v>
      </c>
      <c r="I109" s="120" t="n">
        <v>0</v>
      </c>
      <c r="J109" s="120" t="n">
        <v>2511.71</v>
      </c>
      <c r="K109" s="118" t="inlineStr">
        <is>
          <t>Credit Card</t>
        </is>
      </c>
      <c r="L109" s="118" t="inlineStr">
        <is>
          <t>500-IT</t>
        </is>
      </c>
      <c r="M109" s="118" t="inlineStr">
        <is>
          <t>1200 AR</t>
        </is>
      </c>
    </row>
    <row r="110">
      <c r="A110" s="115" t="inlineStr">
        <is>
          <t>ERP-00107</t>
        </is>
      </c>
      <c r="B110" s="116" t="n">
        <v>46037</v>
      </c>
      <c r="C110" s="115" t="inlineStr">
        <is>
          <t>2026-01</t>
        </is>
      </c>
      <c r="D110" s="115" t="inlineStr">
        <is>
          <t>AR</t>
        </is>
      </c>
      <c r="E110" s="115" t="inlineStr">
        <is>
          <t>Raincity Tech</t>
        </is>
      </c>
      <c r="F110" s="115" t="inlineStr">
        <is>
          <t>Customer payment - Raincity Tech</t>
        </is>
      </c>
      <c r="G110" s="115" t="inlineStr">
        <is>
          <t>REF-100107</t>
        </is>
      </c>
      <c r="H110" s="117" t="n">
        <v>2925.87</v>
      </c>
      <c r="I110" s="117" t="n">
        <v>0</v>
      </c>
      <c r="J110" s="117" t="n">
        <v>2925.87</v>
      </c>
      <c r="K110" s="115" t="inlineStr">
        <is>
          <t>PAD</t>
        </is>
      </c>
      <c r="L110" s="115" t="inlineStr">
        <is>
          <t>400-Finance</t>
        </is>
      </c>
      <c r="M110" s="115" t="inlineStr">
        <is>
          <t>1200 AR</t>
        </is>
      </c>
    </row>
    <row r="111">
      <c r="A111" s="118" t="inlineStr">
        <is>
          <t>ERP-00108</t>
        </is>
      </c>
      <c r="B111" s="119" t="n">
        <v>46045</v>
      </c>
      <c r="C111" s="118" t="inlineStr">
        <is>
          <t>2026-01</t>
        </is>
      </c>
      <c r="D111" s="118" t="inlineStr">
        <is>
          <t>AP</t>
        </is>
      </c>
      <c r="E111" s="118" t="inlineStr">
        <is>
          <t>BC Hydro</t>
        </is>
      </c>
      <c r="F111" s="118" t="inlineStr">
        <is>
          <t>Vendor payment - BC Hydro</t>
        </is>
      </c>
      <c r="G111" s="118" t="inlineStr">
        <is>
          <t>REF-100108</t>
        </is>
      </c>
      <c r="H111" s="120" t="n">
        <v>0</v>
      </c>
      <c r="I111" s="120" t="n">
        <v>1509.4</v>
      </c>
      <c r="J111" s="120" t="n">
        <v>-1509.4</v>
      </c>
      <c r="K111" s="118" t="inlineStr">
        <is>
          <t>Wire</t>
        </is>
      </c>
      <c r="L111" s="118" t="inlineStr">
        <is>
          <t>100-Admin</t>
        </is>
      </c>
      <c r="M111" s="118" t="inlineStr">
        <is>
          <t>2000 AP</t>
        </is>
      </c>
    </row>
    <row r="112">
      <c r="A112" s="115" t="inlineStr">
        <is>
          <t>ERP-00109</t>
        </is>
      </c>
      <c r="B112" s="116" t="n">
        <v>46048</v>
      </c>
      <c r="C112" s="115" t="inlineStr">
        <is>
          <t>2026-01</t>
        </is>
      </c>
      <c r="D112" s="115" t="inlineStr">
        <is>
          <t>AR</t>
        </is>
      </c>
      <c r="E112" s="115" t="inlineStr">
        <is>
          <t>Harbour Design Co.</t>
        </is>
      </c>
      <c r="F112" s="115" t="inlineStr">
        <is>
          <t>Customer payment - Harbour Design Co.</t>
        </is>
      </c>
      <c r="G112" s="115" t="inlineStr">
        <is>
          <t>REF-100109</t>
        </is>
      </c>
      <c r="H112" s="117" t="n">
        <v>6766.49</v>
      </c>
      <c r="I112" s="117" t="n">
        <v>0</v>
      </c>
      <c r="J112" s="117" t="n">
        <v>6766.49</v>
      </c>
      <c r="K112" s="115" t="inlineStr">
        <is>
          <t>Cheque</t>
        </is>
      </c>
      <c r="L112" s="115" t="inlineStr">
        <is>
          <t>400-Finance</t>
        </is>
      </c>
      <c r="M112" s="115" t="inlineStr">
        <is>
          <t>1200 AR</t>
        </is>
      </c>
    </row>
    <row r="113">
      <c r="A113" s="118" t="inlineStr">
        <is>
          <t>ERP-00110</t>
        </is>
      </c>
      <c r="B113" s="119" t="n">
        <v>46027</v>
      </c>
      <c r="C113" s="118" t="inlineStr">
        <is>
          <t>2026-01</t>
        </is>
      </c>
      <c r="D113" s="118" t="inlineStr">
        <is>
          <t>AR</t>
        </is>
      </c>
      <c r="E113" s="118" t="inlineStr">
        <is>
          <t>West Van Fitness</t>
        </is>
      </c>
      <c r="F113" s="118" t="inlineStr">
        <is>
          <t>Customer payment - West Van Fitness</t>
        </is>
      </c>
      <c r="G113" s="118" t="inlineStr">
        <is>
          <t>REF-100110</t>
        </is>
      </c>
      <c r="H113" s="120" t="n">
        <v>2922.16</v>
      </c>
      <c r="I113" s="120" t="n">
        <v>0</v>
      </c>
      <c r="J113" s="120" t="n">
        <v>2922.16</v>
      </c>
      <c r="K113" s="118" t="inlineStr">
        <is>
          <t>EFT</t>
        </is>
      </c>
      <c r="L113" s="118" t="inlineStr">
        <is>
          <t>400-Finance</t>
        </is>
      </c>
      <c r="M113" s="118" t="inlineStr">
        <is>
          <t>1200 AR</t>
        </is>
      </c>
    </row>
    <row r="114">
      <c r="A114" s="115" t="inlineStr">
        <is>
          <t>ERP-00111</t>
        </is>
      </c>
      <c r="B114" s="116" t="n">
        <v>46036</v>
      </c>
      <c r="C114" s="115" t="inlineStr">
        <is>
          <t>2026-01</t>
        </is>
      </c>
      <c r="D114" s="115" t="inlineStr">
        <is>
          <t>Payroll</t>
        </is>
      </c>
      <c r="E114" s="115" t="inlineStr">
        <is>
          <t>Payroll Batch</t>
        </is>
      </c>
      <c r="F114" s="115" t="inlineStr">
        <is>
          <t>Payroll payment</t>
        </is>
      </c>
      <c r="G114" s="115" t="inlineStr">
        <is>
          <t>REF-100111</t>
        </is>
      </c>
      <c r="H114" s="117" t="n">
        <v>0</v>
      </c>
      <c r="I114" s="117" t="n">
        <v>16564.37</v>
      </c>
      <c r="J114" s="117" t="n">
        <v>-16564.37</v>
      </c>
      <c r="K114" s="115" t="inlineStr">
        <is>
          <t>EFT</t>
        </is>
      </c>
      <c r="L114" s="115" t="inlineStr">
        <is>
          <t>400-Finance</t>
        </is>
      </c>
      <c r="M114" s="115" t="inlineStr">
        <is>
          <t>5300 Payroll</t>
        </is>
      </c>
    </row>
    <row r="115">
      <c r="A115" s="118" t="inlineStr">
        <is>
          <t>ERP-00112</t>
        </is>
      </c>
      <c r="B115" s="119" t="n">
        <v>46045</v>
      </c>
      <c r="C115" s="118" t="inlineStr">
        <is>
          <t>2026-01</t>
        </is>
      </c>
      <c r="D115" s="118" t="inlineStr">
        <is>
          <t>AR</t>
        </is>
      </c>
      <c r="E115" s="118" t="inlineStr">
        <is>
          <t>Maple Retail Group</t>
        </is>
      </c>
      <c r="F115" s="118" t="inlineStr">
        <is>
          <t>Customer payment - Maple Retail Group</t>
        </is>
      </c>
      <c r="G115" s="118" t="inlineStr">
        <is>
          <t>REF-100112</t>
        </is>
      </c>
      <c r="H115" s="120" t="n">
        <v>7262.24</v>
      </c>
      <c r="I115" s="120" t="n">
        <v>0</v>
      </c>
      <c r="J115" s="120" t="n">
        <v>7262.24</v>
      </c>
      <c r="K115" s="118" t="inlineStr">
        <is>
          <t>PAD</t>
        </is>
      </c>
      <c r="L115" s="118" t="inlineStr">
        <is>
          <t>400-Finance</t>
        </is>
      </c>
      <c r="M115" s="118" t="inlineStr">
        <is>
          <t>1200 AR</t>
        </is>
      </c>
    </row>
    <row r="116">
      <c r="A116" s="115" t="inlineStr">
        <is>
          <t>ERP-00113</t>
        </is>
      </c>
      <c r="B116" s="116" t="n">
        <v>46043</v>
      </c>
      <c r="C116" s="115" t="inlineStr">
        <is>
          <t>2026-01</t>
        </is>
      </c>
      <c r="D116" s="115" t="inlineStr">
        <is>
          <t>GL</t>
        </is>
      </c>
      <c r="E116" s="115" t="inlineStr">
        <is>
          <t>Harbour Design Co.</t>
        </is>
      </c>
      <c r="F116" s="115" t="inlineStr">
        <is>
          <t>Manual GL entry</t>
        </is>
      </c>
      <c r="G116" s="115" t="inlineStr">
        <is>
          <t>REF-100113</t>
        </is>
      </c>
      <c r="H116" s="117" t="n">
        <v>0</v>
      </c>
      <c r="I116" s="117" t="n">
        <v>2465.34</v>
      </c>
      <c r="J116" s="117" t="n">
        <v>-2465.34</v>
      </c>
      <c r="K116" s="115" t="inlineStr">
        <is>
          <t>Cheque</t>
        </is>
      </c>
      <c r="L116" s="115" t="inlineStr">
        <is>
          <t>300-Ops</t>
        </is>
      </c>
      <c r="M116" s="115" t="inlineStr">
        <is>
          <t>1200 AR</t>
        </is>
      </c>
    </row>
    <row r="117">
      <c r="A117" s="118" t="inlineStr">
        <is>
          <t>ERP-00114</t>
        </is>
      </c>
      <c r="B117" s="119" t="n">
        <v>46046</v>
      </c>
      <c r="C117" s="118" t="inlineStr">
        <is>
          <t>2026-01</t>
        </is>
      </c>
      <c r="D117" s="118" t="inlineStr">
        <is>
          <t>AP</t>
        </is>
      </c>
      <c r="E117" s="118" t="inlineStr">
        <is>
          <t>Pacific Office Supplies</t>
        </is>
      </c>
      <c r="F117" s="118" t="inlineStr">
        <is>
          <t>Vendor payment - Pacific Office Supplies</t>
        </is>
      </c>
      <c r="G117" s="118" t="inlineStr">
        <is>
          <t>REF-100114</t>
        </is>
      </c>
      <c r="H117" s="120" t="n">
        <v>0</v>
      </c>
      <c r="I117" s="120" t="n">
        <v>4733.46</v>
      </c>
      <c r="J117" s="120" t="n">
        <v>-4733.46</v>
      </c>
      <c r="K117" s="118" t="inlineStr">
        <is>
          <t>EFT</t>
        </is>
      </c>
      <c r="L117" s="118" t="inlineStr">
        <is>
          <t>400-Finance</t>
        </is>
      </c>
      <c r="M117" s="118" t="inlineStr">
        <is>
          <t>2000 AP</t>
        </is>
      </c>
    </row>
    <row r="118">
      <c r="A118" s="115" t="inlineStr">
        <is>
          <t>ERP-00115</t>
        </is>
      </c>
      <c r="B118" s="116" t="n">
        <v>46024</v>
      </c>
      <c r="C118" s="115" t="inlineStr">
        <is>
          <t>2026-01</t>
        </is>
      </c>
      <c r="D118" s="115" t="inlineStr">
        <is>
          <t>AP</t>
        </is>
      </c>
      <c r="E118" s="115" t="inlineStr">
        <is>
          <t>Pacific Office Supplies</t>
        </is>
      </c>
      <c r="F118" s="115" t="inlineStr">
        <is>
          <t>Vendor payment - Pacific Office Supplies</t>
        </is>
      </c>
      <c r="G118" s="115" t="inlineStr">
        <is>
          <t>REF-100115</t>
        </is>
      </c>
      <c r="H118" s="117" t="n">
        <v>0</v>
      </c>
      <c r="I118" s="117" t="n">
        <v>1875.41</v>
      </c>
      <c r="J118" s="117" t="n">
        <v>-1875.41</v>
      </c>
      <c r="K118" s="115" t="inlineStr">
        <is>
          <t>Credit Card</t>
        </is>
      </c>
      <c r="L118" s="115" t="inlineStr">
        <is>
          <t>400-Finance</t>
        </is>
      </c>
      <c r="M118" s="115" t="inlineStr">
        <is>
          <t>2000 AP</t>
        </is>
      </c>
    </row>
    <row r="119">
      <c r="A119" s="118" t="inlineStr">
        <is>
          <t>ERP-00116</t>
        </is>
      </c>
      <c r="B119" s="119" t="n">
        <v>46048</v>
      </c>
      <c r="C119" s="118" t="inlineStr">
        <is>
          <t>2026-01</t>
        </is>
      </c>
      <c r="D119" s="118" t="inlineStr">
        <is>
          <t>AP</t>
        </is>
      </c>
      <c r="E119" s="118" t="inlineStr">
        <is>
          <t>North Shore Telecom</t>
        </is>
      </c>
      <c r="F119" s="118" t="inlineStr">
        <is>
          <t>Vendor payment - North Shore Telecom</t>
        </is>
      </c>
      <c r="G119" s="118" t="inlineStr">
        <is>
          <t>REF-100116</t>
        </is>
      </c>
      <c r="H119" s="120" t="n">
        <v>0</v>
      </c>
      <c r="I119" s="120" t="n">
        <v>563.29</v>
      </c>
      <c r="J119" s="120" t="n">
        <v>-563.29</v>
      </c>
      <c r="K119" s="118" t="inlineStr">
        <is>
          <t>Wire</t>
        </is>
      </c>
      <c r="L119" s="118" t="inlineStr">
        <is>
          <t>500-IT</t>
        </is>
      </c>
      <c r="M119" s="118" t="inlineStr">
        <is>
          <t>2000 AP</t>
        </is>
      </c>
    </row>
    <row r="120">
      <c r="A120" s="115" t="inlineStr">
        <is>
          <t>ERP-00117</t>
        </is>
      </c>
      <c r="B120" s="116" t="n">
        <v>46027</v>
      </c>
      <c r="C120" s="115" t="inlineStr">
        <is>
          <t>2026-01</t>
        </is>
      </c>
      <c r="D120" s="115" t="inlineStr">
        <is>
          <t>AP</t>
        </is>
      </c>
      <c r="E120" s="115" t="inlineStr">
        <is>
          <t>Staples Canada</t>
        </is>
      </c>
      <c r="F120" s="115" t="inlineStr">
        <is>
          <t>Vendor payment - Staples Canada</t>
        </is>
      </c>
      <c r="G120" s="115" t="inlineStr">
        <is>
          <t>REF-100117</t>
        </is>
      </c>
      <c r="H120" s="117" t="n">
        <v>0</v>
      </c>
      <c r="I120" s="117" t="n">
        <v>1634.34</v>
      </c>
      <c r="J120" s="117" t="n">
        <v>-1634.34</v>
      </c>
      <c r="K120" s="115" t="inlineStr">
        <is>
          <t>Credit Card</t>
        </is>
      </c>
      <c r="L120" s="115" t="inlineStr">
        <is>
          <t>100-Admin</t>
        </is>
      </c>
      <c r="M120" s="115" t="inlineStr">
        <is>
          <t>2000 AP</t>
        </is>
      </c>
    </row>
    <row r="121">
      <c r="A121" s="118" t="inlineStr">
        <is>
          <t>ERP-00118</t>
        </is>
      </c>
      <c r="B121" s="119" t="n">
        <v>46037</v>
      </c>
      <c r="C121" s="118" t="inlineStr">
        <is>
          <t>2026-01</t>
        </is>
      </c>
      <c r="D121" s="118" t="inlineStr">
        <is>
          <t>Payroll</t>
        </is>
      </c>
      <c r="E121" s="118" t="inlineStr">
        <is>
          <t>Payroll Batch</t>
        </is>
      </c>
      <c r="F121" s="118" t="inlineStr">
        <is>
          <t>Payroll payment</t>
        </is>
      </c>
      <c r="G121" s="118" t="inlineStr">
        <is>
          <t>REF-100118</t>
        </is>
      </c>
      <c r="H121" s="120" t="n">
        <v>0</v>
      </c>
      <c r="I121" s="120" t="n">
        <v>12325.36</v>
      </c>
      <c r="J121" s="120" t="n">
        <v>-12325.36</v>
      </c>
      <c r="K121" s="118" t="inlineStr">
        <is>
          <t>Cheque</t>
        </is>
      </c>
      <c r="L121" s="118" t="inlineStr">
        <is>
          <t>100-Admin</t>
        </is>
      </c>
      <c r="M121" s="118" t="inlineStr">
        <is>
          <t>5300 Payroll</t>
        </is>
      </c>
    </row>
    <row r="122">
      <c r="A122" s="115" t="inlineStr">
        <is>
          <t>ERP-00119</t>
        </is>
      </c>
      <c r="B122" s="116" t="n">
        <v>46032</v>
      </c>
      <c r="C122" s="115" t="inlineStr">
        <is>
          <t>2026-01</t>
        </is>
      </c>
      <c r="D122" s="115" t="inlineStr">
        <is>
          <t>AR</t>
        </is>
      </c>
      <c r="E122" s="115" t="inlineStr">
        <is>
          <t>Granville Medical</t>
        </is>
      </c>
      <c r="F122" s="115" t="inlineStr">
        <is>
          <t>Customer payment - Granville Medical</t>
        </is>
      </c>
      <c r="G122" s="115" t="inlineStr">
        <is>
          <t>REF-100119</t>
        </is>
      </c>
      <c r="H122" s="117" t="n">
        <v>5914.12</v>
      </c>
      <c r="I122" s="117" t="n">
        <v>0</v>
      </c>
      <c r="J122" s="117" t="n">
        <v>5914.12</v>
      </c>
      <c r="K122" s="115" t="inlineStr">
        <is>
          <t>Wire</t>
        </is>
      </c>
      <c r="L122" s="115" t="inlineStr">
        <is>
          <t>300-Ops</t>
        </is>
      </c>
      <c r="M122" s="115" t="inlineStr">
        <is>
          <t>1200 AR</t>
        </is>
      </c>
    </row>
    <row r="123">
      <c r="A123" s="118" t="inlineStr">
        <is>
          <t>ERP-00120</t>
        </is>
      </c>
      <c r="B123" s="119" t="n">
        <v>46026</v>
      </c>
      <c r="C123" s="118" t="inlineStr">
        <is>
          <t>2026-01</t>
        </is>
      </c>
      <c r="D123" s="118" t="inlineStr">
        <is>
          <t>AP</t>
        </is>
      </c>
      <c r="E123" s="118" t="inlineStr">
        <is>
          <t>Amazon Business</t>
        </is>
      </c>
      <c r="F123" s="118" t="inlineStr">
        <is>
          <t>Vendor payment - Amazon Business</t>
        </is>
      </c>
      <c r="G123" s="118" t="inlineStr">
        <is>
          <t>REF-100120</t>
        </is>
      </c>
      <c r="H123" s="120" t="n">
        <v>0</v>
      </c>
      <c r="I123" s="120" t="n">
        <v>2276.83</v>
      </c>
      <c r="J123" s="120" t="n">
        <v>-2276.83</v>
      </c>
      <c r="K123" s="118" t="inlineStr">
        <is>
          <t>Credit Card</t>
        </is>
      </c>
      <c r="L123" s="118" t="inlineStr">
        <is>
          <t>300-Ops</t>
        </is>
      </c>
      <c r="M123" s="118" t="inlineStr">
        <is>
          <t>2000 AP</t>
        </is>
      </c>
    </row>
    <row r="124">
      <c r="A124" s="115" t="inlineStr">
        <is>
          <t>ERP-00121</t>
        </is>
      </c>
      <c r="B124" s="116" t="n">
        <v>46041</v>
      </c>
      <c r="C124" s="115" t="inlineStr">
        <is>
          <t>2026-01</t>
        </is>
      </c>
      <c r="D124" s="115" t="inlineStr">
        <is>
          <t>Payroll</t>
        </is>
      </c>
      <c r="E124" s="115" t="inlineStr">
        <is>
          <t>Payroll Batch</t>
        </is>
      </c>
      <c r="F124" s="115" t="inlineStr">
        <is>
          <t>Payroll payment</t>
        </is>
      </c>
      <c r="G124" s="115" t="inlineStr">
        <is>
          <t>REF-100121</t>
        </is>
      </c>
      <c r="H124" s="117" t="n">
        <v>0</v>
      </c>
      <c r="I124" s="117" t="n">
        <v>13785.52</v>
      </c>
      <c r="J124" s="117" t="n">
        <v>-13785.52</v>
      </c>
      <c r="K124" s="115" t="inlineStr">
        <is>
          <t>EFT</t>
        </is>
      </c>
      <c r="L124" s="115" t="inlineStr">
        <is>
          <t>500-IT</t>
        </is>
      </c>
      <c r="M124" s="115" t="inlineStr">
        <is>
          <t>5300 Payroll</t>
        </is>
      </c>
    </row>
    <row r="125">
      <c r="A125" s="118" t="inlineStr">
        <is>
          <t>ERP-00122</t>
        </is>
      </c>
      <c r="B125" s="119" t="n">
        <v>46030</v>
      </c>
      <c r="C125" s="118" t="inlineStr">
        <is>
          <t>2026-01</t>
        </is>
      </c>
      <c r="D125" s="118" t="inlineStr">
        <is>
          <t>AR</t>
        </is>
      </c>
      <c r="E125" s="118" t="inlineStr">
        <is>
          <t>Raincity Tech</t>
        </is>
      </c>
      <c r="F125" s="118" t="inlineStr">
        <is>
          <t>Customer payment - Raincity Tech</t>
        </is>
      </c>
      <c r="G125" s="118" t="inlineStr">
        <is>
          <t>REF-100122</t>
        </is>
      </c>
      <c r="H125" s="120" t="n">
        <v>1978.69</v>
      </c>
      <c r="I125" s="120" t="n">
        <v>0</v>
      </c>
      <c r="J125" s="120" t="n">
        <v>1978.69</v>
      </c>
      <c r="K125" s="118" t="inlineStr">
        <is>
          <t>Cheque</t>
        </is>
      </c>
      <c r="L125" s="118" t="inlineStr">
        <is>
          <t>500-IT</t>
        </is>
      </c>
      <c r="M125" s="118" t="inlineStr">
        <is>
          <t>1200 AR</t>
        </is>
      </c>
    </row>
    <row r="126">
      <c r="A126" s="115" t="inlineStr">
        <is>
          <t>ERP-00123</t>
        </is>
      </c>
      <c r="B126" s="116" t="n">
        <v>46051</v>
      </c>
      <c r="C126" s="115" t="inlineStr">
        <is>
          <t>2026-01</t>
        </is>
      </c>
      <c r="D126" s="115" t="inlineStr">
        <is>
          <t>AR</t>
        </is>
      </c>
      <c r="E126" s="115" t="inlineStr">
        <is>
          <t>Maple Retail Group</t>
        </is>
      </c>
      <c r="F126" s="115" t="inlineStr">
        <is>
          <t>Customer payment - Maple Retail Group</t>
        </is>
      </c>
      <c r="G126" s="115" t="inlineStr">
        <is>
          <t>REF-100123</t>
        </is>
      </c>
      <c r="H126" s="117" t="n">
        <v>2729.59</v>
      </c>
      <c r="I126" s="117" t="n">
        <v>0</v>
      </c>
      <c r="J126" s="117" t="n">
        <v>2729.59</v>
      </c>
      <c r="K126" s="115" t="inlineStr">
        <is>
          <t>Wire</t>
        </is>
      </c>
      <c r="L126" s="115" t="inlineStr">
        <is>
          <t>100-Admin</t>
        </is>
      </c>
      <c r="M126" s="115" t="inlineStr">
        <is>
          <t>1200 AR</t>
        </is>
      </c>
    </row>
    <row r="127">
      <c r="A127" s="118" t="inlineStr">
        <is>
          <t>ERP-00124</t>
        </is>
      </c>
      <c r="B127" s="119" t="n">
        <v>46032</v>
      </c>
      <c r="C127" s="118" t="inlineStr">
        <is>
          <t>2026-01</t>
        </is>
      </c>
      <c r="D127" s="118" t="inlineStr">
        <is>
          <t>AP</t>
        </is>
      </c>
      <c r="E127" s="118" t="inlineStr">
        <is>
          <t>BC Hydro</t>
        </is>
      </c>
      <c r="F127" s="118" t="inlineStr">
        <is>
          <t>Vendor payment - BC Hydro</t>
        </is>
      </c>
      <c r="G127" s="118" t="inlineStr">
        <is>
          <t>REF-100124</t>
        </is>
      </c>
      <c r="H127" s="120" t="n">
        <v>0</v>
      </c>
      <c r="I127" s="120" t="n">
        <v>1154.92</v>
      </c>
      <c r="J127" s="120" t="n">
        <v>-1154.92</v>
      </c>
      <c r="K127" s="118" t="inlineStr">
        <is>
          <t>Cheque</t>
        </is>
      </c>
      <c r="L127" s="118" t="inlineStr">
        <is>
          <t>500-IT</t>
        </is>
      </c>
      <c r="M127" s="118" t="inlineStr">
        <is>
          <t>2000 AP</t>
        </is>
      </c>
    </row>
    <row r="128">
      <c r="A128" s="115" t="inlineStr">
        <is>
          <t>ERP-00125</t>
        </is>
      </c>
      <c r="B128" s="116" t="n">
        <v>46034</v>
      </c>
      <c r="C128" s="115" t="inlineStr">
        <is>
          <t>2026-01</t>
        </is>
      </c>
      <c r="D128" s="115" t="inlineStr">
        <is>
          <t>AR</t>
        </is>
      </c>
      <c r="E128" s="115" t="inlineStr">
        <is>
          <t>Raincity Tech</t>
        </is>
      </c>
      <c r="F128" s="115" t="inlineStr">
        <is>
          <t>Customer payment - Raincity Tech</t>
        </is>
      </c>
      <c r="G128" s="115" t="inlineStr">
        <is>
          <t>REF-100125</t>
        </is>
      </c>
      <c r="H128" s="117" t="n">
        <v>7084.45</v>
      </c>
      <c r="I128" s="117" t="n">
        <v>0</v>
      </c>
      <c r="J128" s="117" t="n">
        <v>7084.45</v>
      </c>
      <c r="K128" s="115" t="inlineStr">
        <is>
          <t>Credit Card</t>
        </is>
      </c>
      <c r="L128" s="115" t="inlineStr">
        <is>
          <t>400-Finance</t>
        </is>
      </c>
      <c r="M128" s="115" t="inlineStr">
        <is>
          <t>1200 AR</t>
        </is>
      </c>
    </row>
    <row r="129">
      <c r="A129" s="118" t="inlineStr">
        <is>
          <t>ERP-00126</t>
        </is>
      </c>
      <c r="B129" s="119" t="n">
        <v>46032</v>
      </c>
      <c r="C129" s="118" t="inlineStr">
        <is>
          <t>2026-01</t>
        </is>
      </c>
      <c r="D129" s="118" t="inlineStr">
        <is>
          <t>GL</t>
        </is>
      </c>
      <c r="E129" s="118" t="inlineStr">
        <is>
          <t>Staples Canada</t>
        </is>
      </c>
      <c r="F129" s="118" t="inlineStr">
        <is>
          <t>Manual GL entry</t>
        </is>
      </c>
      <c r="G129" s="118" t="inlineStr">
        <is>
          <t>REF-100126</t>
        </is>
      </c>
      <c r="H129" s="120" t="n">
        <v>4030.95</v>
      </c>
      <c r="I129" s="120" t="n">
        <v>0</v>
      </c>
      <c r="J129" s="120" t="n">
        <v>4030.95</v>
      </c>
      <c r="K129" s="118" t="inlineStr">
        <is>
          <t>Cheque</t>
        </is>
      </c>
      <c r="L129" s="118" t="inlineStr">
        <is>
          <t>200-Sales</t>
        </is>
      </c>
      <c r="M129" s="118" t="inlineStr">
        <is>
          <t>1200 AR</t>
        </is>
      </c>
    </row>
    <row r="130">
      <c r="A130" s="115" t="inlineStr">
        <is>
          <t>ERP-00127</t>
        </is>
      </c>
      <c r="B130" s="116" t="n">
        <v>46046</v>
      </c>
      <c r="C130" s="115" t="inlineStr">
        <is>
          <t>2026-01</t>
        </is>
      </c>
      <c r="D130" s="115" t="inlineStr">
        <is>
          <t>GL</t>
        </is>
      </c>
      <c r="E130" s="115" t="inlineStr">
        <is>
          <t>Vancouver Courier</t>
        </is>
      </c>
      <c r="F130" s="115" t="inlineStr">
        <is>
          <t>Manual GL entry</t>
        </is>
      </c>
      <c r="G130" s="115" t="inlineStr">
        <is>
          <t>REF-100127</t>
        </is>
      </c>
      <c r="H130" s="117" t="n">
        <v>0</v>
      </c>
      <c r="I130" s="117" t="n">
        <v>4837.99</v>
      </c>
      <c r="J130" s="117" t="n">
        <v>-4837.99</v>
      </c>
      <c r="K130" s="115" t="inlineStr">
        <is>
          <t>EFT</t>
        </is>
      </c>
      <c r="L130" s="115" t="inlineStr">
        <is>
          <t>400-Finance</t>
        </is>
      </c>
      <c r="M130" s="115" t="inlineStr">
        <is>
          <t>5200 Software</t>
        </is>
      </c>
    </row>
    <row r="131">
      <c r="A131" s="118" t="inlineStr">
        <is>
          <t>ERP-00128</t>
        </is>
      </c>
      <c r="B131" s="119" t="n">
        <v>46044</v>
      </c>
      <c r="C131" s="118" t="inlineStr">
        <is>
          <t>2026-01</t>
        </is>
      </c>
      <c r="D131" s="118" t="inlineStr">
        <is>
          <t>GL</t>
        </is>
      </c>
      <c r="E131" s="118" t="inlineStr">
        <is>
          <t>Amazon Business</t>
        </is>
      </c>
      <c r="F131" s="118" t="inlineStr">
        <is>
          <t>Manual GL entry</t>
        </is>
      </c>
      <c r="G131" s="118" t="inlineStr">
        <is>
          <t>REF-100128</t>
        </is>
      </c>
      <c r="H131" s="120" t="n">
        <v>0</v>
      </c>
      <c r="I131" s="120" t="n">
        <v>2943.57</v>
      </c>
      <c r="J131" s="120" t="n">
        <v>-2943.57</v>
      </c>
      <c r="K131" s="118" t="inlineStr">
        <is>
          <t>EFT</t>
        </is>
      </c>
      <c r="L131" s="118" t="inlineStr">
        <is>
          <t>200-Sales</t>
        </is>
      </c>
      <c r="M131" s="118" t="inlineStr">
        <is>
          <t>5200 Software</t>
        </is>
      </c>
    </row>
    <row r="132">
      <c r="A132" s="115" t="inlineStr">
        <is>
          <t>ERP-00129</t>
        </is>
      </c>
      <c r="B132" s="116" t="n">
        <v>46030</v>
      </c>
      <c r="C132" s="115" t="inlineStr">
        <is>
          <t>2026-01</t>
        </is>
      </c>
      <c r="D132" s="115" t="inlineStr">
        <is>
          <t>AR</t>
        </is>
      </c>
      <c r="E132" s="115" t="inlineStr">
        <is>
          <t>Harbour Design Co.</t>
        </is>
      </c>
      <c r="F132" s="115" t="inlineStr">
        <is>
          <t>Customer payment - Harbour Design Co.</t>
        </is>
      </c>
      <c r="G132" s="115" t="inlineStr">
        <is>
          <t>REF-100129</t>
        </is>
      </c>
      <c r="H132" s="117" t="n">
        <v>7029.19</v>
      </c>
      <c r="I132" s="117" t="n">
        <v>0</v>
      </c>
      <c r="J132" s="117" t="n">
        <v>7029.19</v>
      </c>
      <c r="K132" s="115" t="inlineStr">
        <is>
          <t>Credit Card</t>
        </is>
      </c>
      <c r="L132" s="115" t="inlineStr">
        <is>
          <t>400-Finance</t>
        </is>
      </c>
      <c r="M132" s="115" t="inlineStr">
        <is>
          <t>1200 AR</t>
        </is>
      </c>
    </row>
    <row r="133">
      <c r="A133" s="118" t="inlineStr">
        <is>
          <t>ERP-00130</t>
        </is>
      </c>
      <c r="B133" s="119" t="n">
        <v>46032</v>
      </c>
      <c r="C133" s="118" t="inlineStr">
        <is>
          <t>2026-01</t>
        </is>
      </c>
      <c r="D133" s="118" t="inlineStr">
        <is>
          <t>Bank Fees</t>
        </is>
      </c>
      <c r="E133" s="118" t="inlineStr">
        <is>
          <t>Bank</t>
        </is>
      </c>
      <c r="F133" s="118" t="inlineStr">
        <is>
          <t>Monthly bank service charge</t>
        </is>
      </c>
      <c r="G133" s="118" t="inlineStr">
        <is>
          <t>REF-100130</t>
        </is>
      </c>
      <c r="H133" s="120" t="n">
        <v>0</v>
      </c>
      <c r="I133" s="120" t="n">
        <v>18.35</v>
      </c>
      <c r="J133" s="120" t="n">
        <v>-18.35</v>
      </c>
      <c r="K133" s="118" t="inlineStr">
        <is>
          <t>Cheque</t>
        </is>
      </c>
      <c r="L133" s="118" t="inlineStr">
        <is>
          <t>500-IT</t>
        </is>
      </c>
      <c r="M133" s="118" t="inlineStr">
        <is>
          <t>6100 Bank Fees</t>
        </is>
      </c>
    </row>
    <row r="134">
      <c r="A134" s="115" t="inlineStr">
        <is>
          <t>ERP-00131</t>
        </is>
      </c>
      <c r="B134" s="116" t="n">
        <v>46053</v>
      </c>
      <c r="C134" s="115" t="inlineStr">
        <is>
          <t>2026-01</t>
        </is>
      </c>
      <c r="D134" s="115" t="inlineStr">
        <is>
          <t>GL</t>
        </is>
      </c>
      <c r="E134" s="115" t="inlineStr">
        <is>
          <t>Coastline Foods</t>
        </is>
      </c>
      <c r="F134" s="115" t="inlineStr">
        <is>
          <t>Manual GL entry</t>
        </is>
      </c>
      <c r="G134" s="115" t="inlineStr">
        <is>
          <t>REF-100131</t>
        </is>
      </c>
      <c r="H134" s="117" t="n">
        <v>0</v>
      </c>
      <c r="I134" s="117" t="n">
        <v>2124.68</v>
      </c>
      <c r="J134" s="117" t="n">
        <v>-2124.68</v>
      </c>
      <c r="K134" s="115" t="inlineStr">
        <is>
          <t>Wire</t>
        </is>
      </c>
      <c r="L134" s="115" t="inlineStr">
        <is>
          <t>100-Admin</t>
        </is>
      </c>
      <c r="M134" s="115" t="inlineStr">
        <is>
          <t>2000 AP</t>
        </is>
      </c>
    </row>
    <row r="135">
      <c r="A135" s="118" t="inlineStr">
        <is>
          <t>ERP-00132</t>
        </is>
      </c>
      <c r="B135" s="119" t="n">
        <v>46042</v>
      </c>
      <c r="C135" s="118" t="inlineStr">
        <is>
          <t>2026-01</t>
        </is>
      </c>
      <c r="D135" s="118" t="inlineStr">
        <is>
          <t>AR</t>
        </is>
      </c>
      <c r="E135" s="118" t="inlineStr">
        <is>
          <t>Raincity Tech</t>
        </is>
      </c>
      <c r="F135" s="118" t="inlineStr">
        <is>
          <t>Customer payment - Raincity Tech</t>
        </is>
      </c>
      <c r="G135" s="118" t="inlineStr">
        <is>
          <t>REF-100132</t>
        </is>
      </c>
      <c r="H135" s="120" t="n">
        <v>423.18</v>
      </c>
      <c r="I135" s="120" t="n">
        <v>0</v>
      </c>
      <c r="J135" s="120" t="n">
        <v>423.18</v>
      </c>
      <c r="K135" s="118" t="inlineStr">
        <is>
          <t>Credit Card</t>
        </is>
      </c>
      <c r="L135" s="118" t="inlineStr">
        <is>
          <t>200-Sales</t>
        </is>
      </c>
      <c r="M135" s="118" t="inlineStr">
        <is>
          <t>1200 AR</t>
        </is>
      </c>
    </row>
    <row r="136">
      <c r="A136" s="115" t="inlineStr">
        <is>
          <t>ERP-00133</t>
        </is>
      </c>
      <c r="B136" s="116" t="n">
        <v>46026</v>
      </c>
      <c r="C136" s="115" t="inlineStr">
        <is>
          <t>2026-01</t>
        </is>
      </c>
      <c r="D136" s="115" t="inlineStr">
        <is>
          <t>Bank Fees</t>
        </is>
      </c>
      <c r="E136" s="115" t="inlineStr">
        <is>
          <t>Bank</t>
        </is>
      </c>
      <c r="F136" s="115" t="inlineStr">
        <is>
          <t>Monthly bank service charge</t>
        </is>
      </c>
      <c r="G136" s="115" t="inlineStr">
        <is>
          <t>REF-100133</t>
        </is>
      </c>
      <c r="H136" s="117" t="n">
        <v>0</v>
      </c>
      <c r="I136" s="117" t="n">
        <v>47.24</v>
      </c>
      <c r="J136" s="117" t="n">
        <v>-47.24</v>
      </c>
      <c r="K136" s="115" t="inlineStr">
        <is>
          <t>Credit Card</t>
        </is>
      </c>
      <c r="L136" s="115" t="inlineStr">
        <is>
          <t>100-Admin</t>
        </is>
      </c>
      <c r="M136" s="115" t="inlineStr">
        <is>
          <t>6100 Bank Fees</t>
        </is>
      </c>
    </row>
    <row r="137">
      <c r="A137" s="118" t="inlineStr">
        <is>
          <t>ERP-00134</t>
        </is>
      </c>
      <c r="B137" s="119" t="n">
        <v>46053</v>
      </c>
      <c r="C137" s="118" t="inlineStr">
        <is>
          <t>2026-01</t>
        </is>
      </c>
      <c r="D137" s="118" t="inlineStr">
        <is>
          <t>Payroll</t>
        </is>
      </c>
      <c r="E137" s="118" t="inlineStr">
        <is>
          <t>Payroll Batch</t>
        </is>
      </c>
      <c r="F137" s="118" t="inlineStr">
        <is>
          <t>Payroll payment</t>
        </is>
      </c>
      <c r="G137" s="118" t="inlineStr">
        <is>
          <t>REF-100134</t>
        </is>
      </c>
      <c r="H137" s="120" t="n">
        <v>0</v>
      </c>
      <c r="I137" s="120" t="n">
        <v>9093.4</v>
      </c>
      <c r="J137" s="120" t="n">
        <v>-9093.4</v>
      </c>
      <c r="K137" s="118" t="inlineStr">
        <is>
          <t>Cheque</t>
        </is>
      </c>
      <c r="L137" s="118" t="inlineStr">
        <is>
          <t>500-IT</t>
        </is>
      </c>
      <c r="M137" s="118" t="inlineStr">
        <is>
          <t>5300 Payroll</t>
        </is>
      </c>
    </row>
    <row r="138">
      <c r="A138" s="115" t="inlineStr">
        <is>
          <t>ERP-00135</t>
        </is>
      </c>
      <c r="B138" s="116" t="n">
        <v>46024</v>
      </c>
      <c r="C138" s="115" t="inlineStr">
        <is>
          <t>2026-01</t>
        </is>
      </c>
      <c r="D138" s="115" t="inlineStr">
        <is>
          <t>GL</t>
        </is>
      </c>
      <c r="E138" s="115" t="inlineStr">
        <is>
          <t>BC Hydro</t>
        </is>
      </c>
      <c r="F138" s="115" t="inlineStr">
        <is>
          <t>Manual GL entry</t>
        </is>
      </c>
      <c r="G138" s="115" t="inlineStr">
        <is>
          <t>REF-100135</t>
        </is>
      </c>
      <c r="H138" s="117" t="n">
        <v>0</v>
      </c>
      <c r="I138" s="117" t="n">
        <v>4944.66</v>
      </c>
      <c r="J138" s="117" t="n">
        <v>-4944.66</v>
      </c>
      <c r="K138" s="115" t="inlineStr">
        <is>
          <t>EFT</t>
        </is>
      </c>
      <c r="L138" s="115" t="inlineStr">
        <is>
          <t>500-IT</t>
        </is>
      </c>
      <c r="M138" s="115" t="inlineStr">
        <is>
          <t>5000 Office Expense</t>
        </is>
      </c>
    </row>
    <row r="139">
      <c r="A139" s="118" t="inlineStr">
        <is>
          <t>ERP-00136</t>
        </is>
      </c>
      <c r="B139" s="119" t="n">
        <v>46030</v>
      </c>
      <c r="C139" s="118" t="inlineStr">
        <is>
          <t>2026-01</t>
        </is>
      </c>
      <c r="D139" s="118" t="inlineStr">
        <is>
          <t>AP</t>
        </is>
      </c>
      <c r="E139" s="118" t="inlineStr">
        <is>
          <t>North Shore Telecom</t>
        </is>
      </c>
      <c r="F139" s="118" t="inlineStr">
        <is>
          <t>Vendor payment - North Shore Telecom</t>
        </is>
      </c>
      <c r="G139" s="118" t="inlineStr">
        <is>
          <t>REF-100136</t>
        </is>
      </c>
      <c r="H139" s="120" t="n">
        <v>0</v>
      </c>
      <c r="I139" s="120" t="n">
        <v>4906.5</v>
      </c>
      <c r="J139" s="120" t="n">
        <v>-4906.5</v>
      </c>
      <c r="K139" s="118" t="inlineStr">
        <is>
          <t>PAD</t>
        </is>
      </c>
      <c r="L139" s="118" t="inlineStr">
        <is>
          <t>100-Admin</t>
        </is>
      </c>
      <c r="M139" s="118" t="inlineStr">
        <is>
          <t>2000 AP</t>
        </is>
      </c>
    </row>
    <row r="140">
      <c r="A140" s="115" t="inlineStr">
        <is>
          <t>ERP-00137</t>
        </is>
      </c>
      <c r="B140" s="116" t="n">
        <v>46040</v>
      </c>
      <c r="C140" s="115" t="inlineStr">
        <is>
          <t>2026-01</t>
        </is>
      </c>
      <c r="D140" s="115" t="inlineStr">
        <is>
          <t>AP</t>
        </is>
      </c>
      <c r="E140" s="115" t="inlineStr">
        <is>
          <t>North Shore Telecom</t>
        </is>
      </c>
      <c r="F140" s="115" t="inlineStr">
        <is>
          <t>Vendor payment - North Shore Telecom</t>
        </is>
      </c>
      <c r="G140" s="115" t="inlineStr">
        <is>
          <t>REF-100137</t>
        </is>
      </c>
      <c r="H140" s="117" t="n">
        <v>0</v>
      </c>
      <c r="I140" s="117" t="n">
        <v>752.75</v>
      </c>
      <c r="J140" s="117" t="n">
        <v>-752.75</v>
      </c>
      <c r="K140" s="115" t="inlineStr">
        <is>
          <t>EFT</t>
        </is>
      </c>
      <c r="L140" s="115" t="inlineStr">
        <is>
          <t>200-Sales</t>
        </is>
      </c>
      <c r="M140" s="115" t="inlineStr">
        <is>
          <t>2000 AP</t>
        </is>
      </c>
    </row>
    <row r="141">
      <c r="A141" s="118" t="inlineStr">
        <is>
          <t>ERP-00138</t>
        </is>
      </c>
      <c r="B141" s="119" t="n">
        <v>46023</v>
      </c>
      <c r="C141" s="118" t="inlineStr">
        <is>
          <t>2026-01</t>
        </is>
      </c>
      <c r="D141" s="118" t="inlineStr">
        <is>
          <t>AP</t>
        </is>
      </c>
      <c r="E141" s="118" t="inlineStr">
        <is>
          <t>Pacific Office Supplies</t>
        </is>
      </c>
      <c r="F141" s="118" t="inlineStr">
        <is>
          <t>Vendor payment - Pacific Office Supplies</t>
        </is>
      </c>
      <c r="G141" s="118" t="inlineStr">
        <is>
          <t>REF-100138</t>
        </is>
      </c>
      <c r="H141" s="120" t="n">
        <v>0</v>
      </c>
      <c r="I141" s="120" t="n">
        <v>855.76</v>
      </c>
      <c r="J141" s="120" t="n">
        <v>-855.76</v>
      </c>
      <c r="K141" s="118" t="inlineStr">
        <is>
          <t>Wire</t>
        </is>
      </c>
      <c r="L141" s="118" t="inlineStr">
        <is>
          <t>500-IT</t>
        </is>
      </c>
      <c r="M141" s="118" t="inlineStr">
        <is>
          <t>2000 AP</t>
        </is>
      </c>
    </row>
    <row r="142">
      <c r="A142" s="115" t="inlineStr">
        <is>
          <t>ERP-00139</t>
        </is>
      </c>
      <c r="B142" s="116" t="n">
        <v>46047</v>
      </c>
      <c r="C142" s="115" t="inlineStr">
        <is>
          <t>2026-01</t>
        </is>
      </c>
      <c r="D142" s="115" t="inlineStr">
        <is>
          <t>AR</t>
        </is>
      </c>
      <c r="E142" s="115" t="inlineStr">
        <is>
          <t>West Van Fitness</t>
        </is>
      </c>
      <c r="F142" s="115" t="inlineStr">
        <is>
          <t>Customer payment - West Van Fitness</t>
        </is>
      </c>
      <c r="G142" s="115" t="inlineStr">
        <is>
          <t>REF-100139</t>
        </is>
      </c>
      <c r="H142" s="117" t="n">
        <v>1060.6</v>
      </c>
      <c r="I142" s="117" t="n">
        <v>0</v>
      </c>
      <c r="J142" s="117" t="n">
        <v>1060.6</v>
      </c>
      <c r="K142" s="115" t="inlineStr">
        <is>
          <t>PAD</t>
        </is>
      </c>
      <c r="L142" s="115" t="inlineStr">
        <is>
          <t>200-Sales</t>
        </is>
      </c>
      <c r="M142" s="115" t="inlineStr">
        <is>
          <t>1200 AR</t>
        </is>
      </c>
    </row>
    <row r="143">
      <c r="A143" s="118" t="inlineStr">
        <is>
          <t>ERP-00140</t>
        </is>
      </c>
      <c r="B143" s="119" t="n">
        <v>46024</v>
      </c>
      <c r="C143" s="118" t="inlineStr">
        <is>
          <t>2026-01</t>
        </is>
      </c>
      <c r="D143" s="118" t="inlineStr">
        <is>
          <t>GL</t>
        </is>
      </c>
      <c r="E143" s="118" t="inlineStr">
        <is>
          <t>Granville Medical</t>
        </is>
      </c>
      <c r="F143" s="118" t="inlineStr">
        <is>
          <t>Manual GL entry</t>
        </is>
      </c>
      <c r="G143" s="118" t="inlineStr">
        <is>
          <t>REF-100140</t>
        </is>
      </c>
      <c r="H143" s="120" t="n">
        <v>2631.18</v>
      </c>
      <c r="I143" s="120" t="n">
        <v>0</v>
      </c>
      <c r="J143" s="120" t="n">
        <v>2631.18</v>
      </c>
      <c r="K143" s="118" t="inlineStr">
        <is>
          <t>EFT</t>
        </is>
      </c>
      <c r="L143" s="118" t="inlineStr">
        <is>
          <t>400-Finance</t>
        </is>
      </c>
      <c r="M143" s="118" t="inlineStr">
        <is>
          <t>1010 Cash</t>
        </is>
      </c>
    </row>
    <row r="144">
      <c r="A144" s="115" t="inlineStr">
        <is>
          <t>ERP-00141</t>
        </is>
      </c>
      <c r="B144" s="116" t="n">
        <v>46036</v>
      </c>
      <c r="C144" s="115" t="inlineStr">
        <is>
          <t>2026-01</t>
        </is>
      </c>
      <c r="D144" s="115" t="inlineStr">
        <is>
          <t>GL</t>
        </is>
      </c>
      <c r="E144" s="115" t="inlineStr">
        <is>
          <t>Maple Retail Group</t>
        </is>
      </c>
      <c r="F144" s="115" t="inlineStr">
        <is>
          <t>Manual GL entry</t>
        </is>
      </c>
      <c r="G144" s="115" t="inlineStr">
        <is>
          <t>REF-100141</t>
        </is>
      </c>
      <c r="H144" s="117" t="n">
        <v>3576.39</v>
      </c>
      <c r="I144" s="117" t="n">
        <v>0</v>
      </c>
      <c r="J144" s="117" t="n">
        <v>3576.39</v>
      </c>
      <c r="K144" s="115" t="inlineStr">
        <is>
          <t>Credit Card</t>
        </is>
      </c>
      <c r="L144" s="115" t="inlineStr">
        <is>
          <t>500-IT</t>
        </is>
      </c>
      <c r="M144" s="115" t="inlineStr">
        <is>
          <t>1200 AR</t>
        </is>
      </c>
    </row>
    <row r="145">
      <c r="A145" s="118" t="inlineStr">
        <is>
          <t>ERP-00142</t>
        </is>
      </c>
      <c r="B145" s="119" t="n">
        <v>46043</v>
      </c>
      <c r="C145" s="118" t="inlineStr">
        <is>
          <t>2026-01</t>
        </is>
      </c>
      <c r="D145" s="118" t="inlineStr">
        <is>
          <t>AR</t>
        </is>
      </c>
      <c r="E145" s="118" t="inlineStr">
        <is>
          <t>Harbour Design Co.</t>
        </is>
      </c>
      <c r="F145" s="118" t="inlineStr">
        <is>
          <t>Customer payment - Harbour Design Co.</t>
        </is>
      </c>
      <c r="G145" s="118" t="inlineStr">
        <is>
          <t>REF-100142</t>
        </is>
      </c>
      <c r="H145" s="120" t="n">
        <v>2865.3</v>
      </c>
      <c r="I145" s="120" t="n">
        <v>0</v>
      </c>
      <c r="J145" s="120" t="n">
        <v>2865.3</v>
      </c>
      <c r="K145" s="118" t="inlineStr">
        <is>
          <t>PAD</t>
        </is>
      </c>
      <c r="L145" s="118" t="inlineStr">
        <is>
          <t>500-IT</t>
        </is>
      </c>
      <c r="M145" s="118" t="inlineStr">
        <is>
          <t>1200 AR</t>
        </is>
      </c>
    </row>
    <row r="146">
      <c r="A146" s="115" t="inlineStr">
        <is>
          <t>ERP-00143</t>
        </is>
      </c>
      <c r="B146" s="116" t="n">
        <v>46045</v>
      </c>
      <c r="C146" s="115" t="inlineStr">
        <is>
          <t>2026-01</t>
        </is>
      </c>
      <c r="D146" s="115" t="inlineStr">
        <is>
          <t>AP</t>
        </is>
      </c>
      <c r="E146" s="115" t="inlineStr">
        <is>
          <t>Staples Canada</t>
        </is>
      </c>
      <c r="F146" s="115" t="inlineStr">
        <is>
          <t>Vendor payment - Staples Canada</t>
        </is>
      </c>
      <c r="G146" s="115" t="inlineStr">
        <is>
          <t>REF-100143</t>
        </is>
      </c>
      <c r="H146" s="117" t="n">
        <v>0</v>
      </c>
      <c r="I146" s="117" t="n">
        <v>4063.61</v>
      </c>
      <c r="J146" s="117" t="n">
        <v>-4063.61</v>
      </c>
      <c r="K146" s="115" t="inlineStr">
        <is>
          <t>PAD</t>
        </is>
      </c>
      <c r="L146" s="115" t="inlineStr">
        <is>
          <t>200-Sales</t>
        </is>
      </c>
      <c r="M146" s="115" t="inlineStr">
        <is>
          <t>2000 AP</t>
        </is>
      </c>
    </row>
    <row r="147">
      <c r="A147" s="118" t="inlineStr">
        <is>
          <t>ERP-00144</t>
        </is>
      </c>
      <c r="B147" s="119" t="n">
        <v>46049</v>
      </c>
      <c r="C147" s="118" t="inlineStr">
        <is>
          <t>2026-01</t>
        </is>
      </c>
      <c r="D147" s="118" t="inlineStr">
        <is>
          <t>AR</t>
        </is>
      </c>
      <c r="E147" s="118" t="inlineStr">
        <is>
          <t>Granville Medical</t>
        </is>
      </c>
      <c r="F147" s="118" t="inlineStr">
        <is>
          <t>Customer payment - Granville Medical</t>
        </is>
      </c>
      <c r="G147" s="118" t="inlineStr">
        <is>
          <t>REF-100144</t>
        </is>
      </c>
      <c r="H147" s="120" t="n">
        <v>6242.26</v>
      </c>
      <c r="I147" s="120" t="n">
        <v>0</v>
      </c>
      <c r="J147" s="120" t="n">
        <v>6242.26</v>
      </c>
      <c r="K147" s="118" t="inlineStr">
        <is>
          <t>Credit Card</t>
        </is>
      </c>
      <c r="L147" s="118" t="inlineStr">
        <is>
          <t>400-Finance</t>
        </is>
      </c>
      <c r="M147" s="118" t="inlineStr">
        <is>
          <t>1200 AR</t>
        </is>
      </c>
    </row>
    <row r="148">
      <c r="A148" s="115" t="inlineStr">
        <is>
          <t>ERP-00145</t>
        </is>
      </c>
      <c r="B148" s="116" t="n">
        <v>46027</v>
      </c>
      <c r="C148" s="115" t="inlineStr">
        <is>
          <t>2026-01</t>
        </is>
      </c>
      <c r="D148" s="115" t="inlineStr">
        <is>
          <t>GL</t>
        </is>
      </c>
      <c r="E148" s="115" t="inlineStr">
        <is>
          <t>Maple Retail Group</t>
        </is>
      </c>
      <c r="F148" s="115" t="inlineStr">
        <is>
          <t>Manual GL entry</t>
        </is>
      </c>
      <c r="G148" s="115" t="inlineStr">
        <is>
          <t>REF-100145</t>
        </is>
      </c>
      <c r="H148" s="117" t="n">
        <v>0</v>
      </c>
      <c r="I148" s="117" t="n">
        <v>382.31</v>
      </c>
      <c r="J148" s="117" t="n">
        <v>-382.31</v>
      </c>
      <c r="K148" s="115" t="inlineStr">
        <is>
          <t>Wire</t>
        </is>
      </c>
      <c r="L148" s="115" t="inlineStr">
        <is>
          <t>100-Admin</t>
        </is>
      </c>
      <c r="M148" s="115" t="inlineStr">
        <is>
          <t>1200 AR</t>
        </is>
      </c>
    </row>
    <row r="149">
      <c r="A149" s="118" t="inlineStr">
        <is>
          <t>ERP-00146</t>
        </is>
      </c>
      <c r="B149" s="119" t="n">
        <v>46040</v>
      </c>
      <c r="C149" s="118" t="inlineStr">
        <is>
          <t>2026-01</t>
        </is>
      </c>
      <c r="D149" s="118" t="inlineStr">
        <is>
          <t>AP</t>
        </is>
      </c>
      <c r="E149" s="118" t="inlineStr">
        <is>
          <t>Amazon Business</t>
        </is>
      </c>
      <c r="F149" s="118" t="inlineStr">
        <is>
          <t>Vendor payment - Amazon Business</t>
        </is>
      </c>
      <c r="G149" s="118" t="inlineStr">
        <is>
          <t>REF-100146</t>
        </is>
      </c>
      <c r="H149" s="120" t="n">
        <v>0</v>
      </c>
      <c r="I149" s="120" t="n">
        <v>3517.5</v>
      </c>
      <c r="J149" s="120" t="n">
        <v>-3517.5</v>
      </c>
      <c r="K149" s="118" t="inlineStr">
        <is>
          <t>EFT</t>
        </is>
      </c>
      <c r="L149" s="118" t="inlineStr">
        <is>
          <t>400-Finance</t>
        </is>
      </c>
      <c r="M149" s="118" t="inlineStr">
        <is>
          <t>2000 AP</t>
        </is>
      </c>
    </row>
    <row r="150">
      <c r="A150" s="115" t="inlineStr">
        <is>
          <t>ERP-00147</t>
        </is>
      </c>
      <c r="B150" s="116" t="n">
        <v>46046</v>
      </c>
      <c r="C150" s="115" t="inlineStr">
        <is>
          <t>2026-01</t>
        </is>
      </c>
      <c r="D150" s="115" t="inlineStr">
        <is>
          <t>AP</t>
        </is>
      </c>
      <c r="E150" s="115" t="inlineStr">
        <is>
          <t>Metro Cleaning Ltd.</t>
        </is>
      </c>
      <c r="F150" s="115" t="inlineStr">
        <is>
          <t>Vendor payment - Metro Cleaning Ltd.</t>
        </is>
      </c>
      <c r="G150" s="115" t="inlineStr">
        <is>
          <t>REF-100147</t>
        </is>
      </c>
      <c r="H150" s="117" t="n">
        <v>0</v>
      </c>
      <c r="I150" s="117" t="n">
        <v>3754.51</v>
      </c>
      <c r="J150" s="117" t="n">
        <v>-3754.51</v>
      </c>
      <c r="K150" s="115" t="inlineStr">
        <is>
          <t>Credit Card</t>
        </is>
      </c>
      <c r="L150" s="115" t="inlineStr">
        <is>
          <t>100-Admin</t>
        </is>
      </c>
      <c r="M150" s="115" t="inlineStr">
        <is>
          <t>2000 AP</t>
        </is>
      </c>
    </row>
    <row r="151">
      <c r="A151" s="118" t="inlineStr">
        <is>
          <t>ERP-00148</t>
        </is>
      </c>
      <c r="B151" s="119" t="n">
        <v>46038</v>
      </c>
      <c r="C151" s="118" t="inlineStr">
        <is>
          <t>2026-01</t>
        </is>
      </c>
      <c r="D151" s="118" t="inlineStr">
        <is>
          <t>AP</t>
        </is>
      </c>
      <c r="E151" s="118" t="inlineStr">
        <is>
          <t>Pacific Office Supplies</t>
        </is>
      </c>
      <c r="F151" s="118" t="inlineStr">
        <is>
          <t>Vendor payment - Pacific Office Supplies</t>
        </is>
      </c>
      <c r="G151" s="118" t="inlineStr">
        <is>
          <t>REF-100148</t>
        </is>
      </c>
      <c r="H151" s="120" t="n">
        <v>0</v>
      </c>
      <c r="I151" s="120" t="n">
        <v>2222.7</v>
      </c>
      <c r="J151" s="120" t="n">
        <v>-2222.7</v>
      </c>
      <c r="K151" s="118" t="inlineStr">
        <is>
          <t>PAD</t>
        </is>
      </c>
      <c r="L151" s="118" t="inlineStr">
        <is>
          <t>300-Ops</t>
        </is>
      </c>
      <c r="M151" s="118" t="inlineStr">
        <is>
          <t>2000 AP</t>
        </is>
      </c>
    </row>
    <row r="152">
      <c r="A152" s="115" t="inlineStr">
        <is>
          <t>ERP-00149</t>
        </is>
      </c>
      <c r="B152" s="116" t="n">
        <v>46048</v>
      </c>
      <c r="C152" s="115" t="inlineStr">
        <is>
          <t>2026-01</t>
        </is>
      </c>
      <c r="D152" s="115" t="inlineStr">
        <is>
          <t>AR</t>
        </is>
      </c>
      <c r="E152" s="115" t="inlineStr">
        <is>
          <t>West Van Fitness</t>
        </is>
      </c>
      <c r="F152" s="115" t="inlineStr">
        <is>
          <t>Customer payment - West Van Fitness</t>
        </is>
      </c>
      <c r="G152" s="115" t="inlineStr">
        <is>
          <t>REF-100149</t>
        </is>
      </c>
      <c r="H152" s="117" t="n">
        <v>8287.459999999999</v>
      </c>
      <c r="I152" s="117" t="n">
        <v>0</v>
      </c>
      <c r="J152" s="117" t="n">
        <v>8287.459999999999</v>
      </c>
      <c r="K152" s="115" t="inlineStr">
        <is>
          <t>PAD</t>
        </is>
      </c>
      <c r="L152" s="115" t="inlineStr">
        <is>
          <t>500-IT</t>
        </is>
      </c>
      <c r="M152" s="115" t="inlineStr">
        <is>
          <t>1200 AR</t>
        </is>
      </c>
    </row>
    <row r="153">
      <c r="A153" s="118" t="inlineStr">
        <is>
          <t>ERP-00150</t>
        </is>
      </c>
      <c r="B153" s="119" t="n">
        <v>46044</v>
      </c>
      <c r="C153" s="118" t="inlineStr">
        <is>
          <t>2026-01</t>
        </is>
      </c>
      <c r="D153" s="118" t="inlineStr">
        <is>
          <t>Payroll</t>
        </is>
      </c>
      <c r="E153" s="118" t="inlineStr">
        <is>
          <t>Payroll Batch</t>
        </is>
      </c>
      <c r="F153" s="118" t="inlineStr">
        <is>
          <t>Payroll payment</t>
        </is>
      </c>
      <c r="G153" s="118" t="inlineStr">
        <is>
          <t>REF-100150</t>
        </is>
      </c>
      <c r="H153" s="120" t="n">
        <v>0</v>
      </c>
      <c r="I153" s="120" t="n">
        <v>6377.99</v>
      </c>
      <c r="J153" s="120" t="n">
        <v>-6377.99</v>
      </c>
      <c r="K153" s="118" t="inlineStr">
        <is>
          <t>Cheque</t>
        </is>
      </c>
      <c r="L153" s="118" t="inlineStr">
        <is>
          <t>300-Ops</t>
        </is>
      </c>
      <c r="M153" s="118" t="inlineStr">
        <is>
          <t>5300 Payroll</t>
        </is>
      </c>
    </row>
    <row r="154">
      <c r="A154" s="115" t="inlineStr">
        <is>
          <t>ERP-00151</t>
        </is>
      </c>
      <c r="B154" s="116" t="n">
        <v>46034</v>
      </c>
      <c r="C154" s="115" t="inlineStr">
        <is>
          <t>2026-01</t>
        </is>
      </c>
      <c r="D154" s="115" t="inlineStr">
        <is>
          <t>AP</t>
        </is>
      </c>
      <c r="E154" s="115" t="inlineStr">
        <is>
          <t>Vancouver Courier</t>
        </is>
      </c>
      <c r="F154" s="115" t="inlineStr">
        <is>
          <t>Vendor payment - Vancouver Courier</t>
        </is>
      </c>
      <c r="G154" s="115" t="inlineStr">
        <is>
          <t>REF-100151</t>
        </is>
      </c>
      <c r="H154" s="117" t="n">
        <v>0</v>
      </c>
      <c r="I154" s="117" t="n">
        <v>956.7</v>
      </c>
      <c r="J154" s="117" t="n">
        <v>-956.7</v>
      </c>
      <c r="K154" s="115" t="inlineStr">
        <is>
          <t>Wire</t>
        </is>
      </c>
      <c r="L154" s="115" t="inlineStr">
        <is>
          <t>100-Admin</t>
        </is>
      </c>
      <c r="M154" s="115" t="inlineStr">
        <is>
          <t>2000 AP</t>
        </is>
      </c>
    </row>
    <row r="155">
      <c r="A155" s="118" t="inlineStr">
        <is>
          <t>ERP-00152</t>
        </is>
      </c>
      <c r="B155" s="119" t="n">
        <v>46039</v>
      </c>
      <c r="C155" s="118" t="inlineStr">
        <is>
          <t>2026-01</t>
        </is>
      </c>
      <c r="D155" s="118" t="inlineStr">
        <is>
          <t>AP</t>
        </is>
      </c>
      <c r="E155" s="118" t="inlineStr">
        <is>
          <t>BC Hydro</t>
        </is>
      </c>
      <c r="F155" s="118" t="inlineStr">
        <is>
          <t>Vendor payment - BC Hydro</t>
        </is>
      </c>
      <c r="G155" s="118" t="inlineStr">
        <is>
          <t>REF-100152</t>
        </is>
      </c>
      <c r="H155" s="120" t="n">
        <v>0</v>
      </c>
      <c r="I155" s="120" t="n">
        <v>2856.31</v>
      </c>
      <c r="J155" s="120" t="n">
        <v>-2856.31</v>
      </c>
      <c r="K155" s="118" t="inlineStr">
        <is>
          <t>Cheque</t>
        </is>
      </c>
      <c r="L155" s="118" t="inlineStr">
        <is>
          <t>300-Ops</t>
        </is>
      </c>
      <c r="M155" s="118" t="inlineStr">
        <is>
          <t>2000 AP</t>
        </is>
      </c>
    </row>
    <row r="156">
      <c r="A156" s="115" t="inlineStr">
        <is>
          <t>ERP-00153</t>
        </is>
      </c>
      <c r="B156" s="116" t="n">
        <v>46041</v>
      </c>
      <c r="C156" s="115" t="inlineStr">
        <is>
          <t>2026-01</t>
        </is>
      </c>
      <c r="D156" s="115" t="inlineStr">
        <is>
          <t>AR</t>
        </is>
      </c>
      <c r="E156" s="115" t="inlineStr">
        <is>
          <t>Maple Retail Group</t>
        </is>
      </c>
      <c r="F156" s="115" t="inlineStr">
        <is>
          <t>Customer payment - Maple Retail Group</t>
        </is>
      </c>
      <c r="G156" s="115" t="inlineStr">
        <is>
          <t>REF-100153</t>
        </is>
      </c>
      <c r="H156" s="117" t="n">
        <v>1449.09</v>
      </c>
      <c r="I156" s="117" t="n">
        <v>0</v>
      </c>
      <c r="J156" s="117" t="n">
        <v>1449.09</v>
      </c>
      <c r="K156" s="115" t="inlineStr">
        <is>
          <t>PAD</t>
        </is>
      </c>
      <c r="L156" s="115" t="inlineStr">
        <is>
          <t>100-Admin</t>
        </is>
      </c>
      <c r="M156" s="115" t="inlineStr">
        <is>
          <t>1200 AR</t>
        </is>
      </c>
    </row>
    <row r="157">
      <c r="A157" s="118" t="inlineStr">
        <is>
          <t>ERP-00154</t>
        </is>
      </c>
      <c r="B157" s="119" t="n">
        <v>46036</v>
      </c>
      <c r="C157" s="118" t="inlineStr">
        <is>
          <t>2026-01</t>
        </is>
      </c>
      <c r="D157" s="118" t="inlineStr">
        <is>
          <t>AR</t>
        </is>
      </c>
      <c r="E157" s="118" t="inlineStr">
        <is>
          <t>Granville Medical</t>
        </is>
      </c>
      <c r="F157" s="118" t="inlineStr">
        <is>
          <t>Customer payment - Granville Medical</t>
        </is>
      </c>
      <c r="G157" s="118" t="inlineStr">
        <is>
          <t>REF-100154</t>
        </is>
      </c>
      <c r="H157" s="120" t="n">
        <v>3608.43</v>
      </c>
      <c r="I157" s="120" t="n">
        <v>0</v>
      </c>
      <c r="J157" s="120" t="n">
        <v>3608.43</v>
      </c>
      <c r="K157" s="118" t="inlineStr">
        <is>
          <t>Cheque</t>
        </is>
      </c>
      <c r="L157" s="118" t="inlineStr">
        <is>
          <t>500-IT</t>
        </is>
      </c>
      <c r="M157" s="118" t="inlineStr">
        <is>
          <t>1200 AR</t>
        </is>
      </c>
    </row>
    <row r="158">
      <c r="A158" s="115" t="inlineStr">
        <is>
          <t>ERP-00155</t>
        </is>
      </c>
      <c r="B158" s="116" t="n">
        <v>46044</v>
      </c>
      <c r="C158" s="115" t="inlineStr">
        <is>
          <t>2026-01</t>
        </is>
      </c>
      <c r="D158" s="115" t="inlineStr">
        <is>
          <t>GL</t>
        </is>
      </c>
      <c r="E158" s="115" t="inlineStr">
        <is>
          <t>Maple Retail Group</t>
        </is>
      </c>
      <c r="F158" s="115" t="inlineStr">
        <is>
          <t>Manual GL entry</t>
        </is>
      </c>
      <c r="G158" s="115" t="inlineStr">
        <is>
          <t>REF-100155</t>
        </is>
      </c>
      <c r="H158" s="117" t="n">
        <v>2658.32</v>
      </c>
      <c r="I158" s="117" t="n">
        <v>0</v>
      </c>
      <c r="J158" s="117" t="n">
        <v>2658.32</v>
      </c>
      <c r="K158" s="115" t="inlineStr">
        <is>
          <t>Wire</t>
        </is>
      </c>
      <c r="L158" s="115" t="inlineStr">
        <is>
          <t>500-IT</t>
        </is>
      </c>
      <c r="M158" s="115" t="inlineStr">
        <is>
          <t>5000 Office Expense</t>
        </is>
      </c>
    </row>
    <row r="159">
      <c r="A159" s="118" t="inlineStr">
        <is>
          <t>ERP-00156</t>
        </is>
      </c>
      <c r="B159" s="119" t="n">
        <v>46029</v>
      </c>
      <c r="C159" s="118" t="inlineStr">
        <is>
          <t>2026-01</t>
        </is>
      </c>
      <c r="D159" s="118" t="inlineStr">
        <is>
          <t>GL</t>
        </is>
      </c>
      <c r="E159" s="118" t="inlineStr">
        <is>
          <t>Harbour Design Co.</t>
        </is>
      </c>
      <c r="F159" s="118" t="inlineStr">
        <is>
          <t>Manual GL entry</t>
        </is>
      </c>
      <c r="G159" s="118" t="inlineStr">
        <is>
          <t>REF-100156</t>
        </is>
      </c>
      <c r="H159" s="120" t="n">
        <v>1314.82</v>
      </c>
      <c r="I159" s="120" t="n">
        <v>0</v>
      </c>
      <c r="J159" s="120" t="n">
        <v>1314.82</v>
      </c>
      <c r="K159" s="118" t="inlineStr">
        <is>
          <t>Wire</t>
        </is>
      </c>
      <c r="L159" s="118" t="inlineStr">
        <is>
          <t>400-Finance</t>
        </is>
      </c>
      <c r="M159" s="118" t="inlineStr">
        <is>
          <t>1010 Cash</t>
        </is>
      </c>
    </row>
    <row r="160">
      <c r="A160" s="115" t="inlineStr">
        <is>
          <t>ERP-00157</t>
        </is>
      </c>
      <c r="B160" s="116" t="n">
        <v>46030</v>
      </c>
      <c r="C160" s="115" t="inlineStr">
        <is>
          <t>2026-01</t>
        </is>
      </c>
      <c r="D160" s="115" t="inlineStr">
        <is>
          <t>AR</t>
        </is>
      </c>
      <c r="E160" s="115" t="inlineStr">
        <is>
          <t>Harbour Design Co.</t>
        </is>
      </c>
      <c r="F160" s="115" t="inlineStr">
        <is>
          <t>Customer payment - Harbour Design Co.</t>
        </is>
      </c>
      <c r="G160" s="115" t="inlineStr">
        <is>
          <t>REF-100157</t>
        </is>
      </c>
      <c r="H160" s="117" t="n">
        <v>6881.77</v>
      </c>
      <c r="I160" s="117" t="n">
        <v>0</v>
      </c>
      <c r="J160" s="117" t="n">
        <v>6881.77</v>
      </c>
      <c r="K160" s="115" t="inlineStr">
        <is>
          <t>EFT</t>
        </is>
      </c>
      <c r="L160" s="115" t="inlineStr">
        <is>
          <t>400-Finance</t>
        </is>
      </c>
      <c r="M160" s="115" t="inlineStr">
        <is>
          <t>1200 AR</t>
        </is>
      </c>
    </row>
    <row r="161">
      <c r="A161" s="118" t="inlineStr">
        <is>
          <t>ERP-00158</t>
        </is>
      </c>
      <c r="B161" s="119" t="n">
        <v>46024</v>
      </c>
      <c r="C161" s="118" t="inlineStr">
        <is>
          <t>2026-01</t>
        </is>
      </c>
      <c r="D161" s="118" t="inlineStr">
        <is>
          <t>AR</t>
        </is>
      </c>
      <c r="E161" s="118" t="inlineStr">
        <is>
          <t>Granville Medical</t>
        </is>
      </c>
      <c r="F161" s="118" t="inlineStr">
        <is>
          <t>Customer payment - Granville Medical</t>
        </is>
      </c>
      <c r="G161" s="118" t="inlineStr">
        <is>
          <t>REF-100158</t>
        </is>
      </c>
      <c r="H161" s="120" t="n">
        <v>7841.71</v>
      </c>
      <c r="I161" s="120" t="n">
        <v>0</v>
      </c>
      <c r="J161" s="120" t="n">
        <v>7841.71</v>
      </c>
      <c r="K161" s="118" t="inlineStr">
        <is>
          <t>Credit Card</t>
        </is>
      </c>
      <c r="L161" s="118" t="inlineStr">
        <is>
          <t>500-IT</t>
        </is>
      </c>
      <c r="M161" s="118" t="inlineStr">
        <is>
          <t>1200 AR</t>
        </is>
      </c>
    </row>
    <row r="162">
      <c r="A162" s="115" t="inlineStr">
        <is>
          <t>ERP-00159</t>
        </is>
      </c>
      <c r="B162" s="116" t="n">
        <v>46036</v>
      </c>
      <c r="C162" s="115" t="inlineStr">
        <is>
          <t>2026-01</t>
        </is>
      </c>
      <c r="D162" s="115" t="inlineStr">
        <is>
          <t>AP</t>
        </is>
      </c>
      <c r="E162" s="115" t="inlineStr">
        <is>
          <t>BC Hydro</t>
        </is>
      </c>
      <c r="F162" s="115" t="inlineStr">
        <is>
          <t>Vendor payment - BC Hydro</t>
        </is>
      </c>
      <c r="G162" s="115" t="inlineStr">
        <is>
          <t>REF-100159</t>
        </is>
      </c>
      <c r="H162" s="117" t="n">
        <v>0</v>
      </c>
      <c r="I162" s="117" t="n">
        <v>207.64</v>
      </c>
      <c r="J162" s="117" t="n">
        <v>-207.64</v>
      </c>
      <c r="K162" s="115" t="inlineStr">
        <is>
          <t>Credit Card</t>
        </is>
      </c>
      <c r="L162" s="115" t="inlineStr">
        <is>
          <t>200-Sales</t>
        </is>
      </c>
      <c r="M162" s="115" t="inlineStr">
        <is>
          <t>2000 AP</t>
        </is>
      </c>
    </row>
    <row r="163">
      <c r="A163" s="118" t="inlineStr">
        <is>
          <t>ERP-00160</t>
        </is>
      </c>
      <c r="B163" s="119" t="n">
        <v>46052</v>
      </c>
      <c r="C163" s="118" t="inlineStr">
        <is>
          <t>2026-01</t>
        </is>
      </c>
      <c r="D163" s="118" t="inlineStr">
        <is>
          <t>AR</t>
        </is>
      </c>
      <c r="E163" s="118" t="inlineStr">
        <is>
          <t>Granville Medical</t>
        </is>
      </c>
      <c r="F163" s="118" t="inlineStr">
        <is>
          <t>Customer payment - Granville Medical</t>
        </is>
      </c>
      <c r="G163" s="118" t="inlineStr">
        <is>
          <t>REF-100160</t>
        </is>
      </c>
      <c r="H163" s="120" t="n">
        <v>7201.44</v>
      </c>
      <c r="I163" s="120" t="n">
        <v>0</v>
      </c>
      <c r="J163" s="120" t="n">
        <v>7201.44</v>
      </c>
      <c r="K163" s="118" t="inlineStr">
        <is>
          <t>Cheque</t>
        </is>
      </c>
      <c r="L163" s="118" t="inlineStr">
        <is>
          <t>400-Finance</t>
        </is>
      </c>
      <c r="M163" s="118" t="inlineStr">
        <is>
          <t>1200 AR</t>
        </is>
      </c>
    </row>
    <row r="164">
      <c r="A164" s="115" t="inlineStr">
        <is>
          <t>ERP-00161</t>
        </is>
      </c>
      <c r="B164" s="116" t="n">
        <v>46032</v>
      </c>
      <c r="C164" s="115" t="inlineStr">
        <is>
          <t>2026-01</t>
        </is>
      </c>
      <c r="D164" s="115" t="inlineStr">
        <is>
          <t>GL</t>
        </is>
      </c>
      <c r="E164" s="115" t="inlineStr">
        <is>
          <t>BC Hydro</t>
        </is>
      </c>
      <c r="F164" s="115" t="inlineStr">
        <is>
          <t>Manual GL entry</t>
        </is>
      </c>
      <c r="G164" s="115" t="inlineStr">
        <is>
          <t>REF-100161</t>
        </is>
      </c>
      <c r="H164" s="117" t="n">
        <v>1698.69</v>
      </c>
      <c r="I164" s="117" t="n">
        <v>0</v>
      </c>
      <c r="J164" s="117" t="n">
        <v>1698.69</v>
      </c>
      <c r="K164" s="115" t="inlineStr">
        <is>
          <t>PAD</t>
        </is>
      </c>
      <c r="L164" s="115" t="inlineStr">
        <is>
          <t>500-IT</t>
        </is>
      </c>
      <c r="M164" s="115" t="inlineStr">
        <is>
          <t>1200 AR</t>
        </is>
      </c>
    </row>
    <row r="165">
      <c r="A165" s="118" t="inlineStr">
        <is>
          <t>ERP-00162</t>
        </is>
      </c>
      <c r="B165" s="119" t="n">
        <v>46053</v>
      </c>
      <c r="C165" s="118" t="inlineStr">
        <is>
          <t>2026-01</t>
        </is>
      </c>
      <c r="D165" s="118" t="inlineStr">
        <is>
          <t>Payroll</t>
        </is>
      </c>
      <c r="E165" s="118" t="inlineStr">
        <is>
          <t>Payroll Batch</t>
        </is>
      </c>
      <c r="F165" s="118" t="inlineStr">
        <is>
          <t>Payroll payment</t>
        </is>
      </c>
      <c r="G165" s="118" t="inlineStr">
        <is>
          <t>REF-100162</t>
        </is>
      </c>
      <c r="H165" s="120" t="n">
        <v>0</v>
      </c>
      <c r="I165" s="120" t="n">
        <v>14318.04</v>
      </c>
      <c r="J165" s="120" t="n">
        <v>-14318.04</v>
      </c>
      <c r="K165" s="118" t="inlineStr">
        <is>
          <t>Cheque</t>
        </is>
      </c>
      <c r="L165" s="118" t="inlineStr">
        <is>
          <t>100-Admin</t>
        </is>
      </c>
      <c r="M165" s="118" t="inlineStr">
        <is>
          <t>5300 Payroll</t>
        </is>
      </c>
    </row>
    <row r="166">
      <c r="A166" s="115" t="inlineStr">
        <is>
          <t>ERP-00163</t>
        </is>
      </c>
      <c r="B166" s="116" t="n">
        <v>46027</v>
      </c>
      <c r="C166" s="115" t="inlineStr">
        <is>
          <t>2026-01</t>
        </is>
      </c>
      <c r="D166" s="115" t="inlineStr">
        <is>
          <t>GL</t>
        </is>
      </c>
      <c r="E166" s="115" t="inlineStr">
        <is>
          <t>Granville Medical</t>
        </is>
      </c>
      <c r="F166" s="115" t="inlineStr">
        <is>
          <t>Manual GL entry</t>
        </is>
      </c>
      <c r="G166" s="115" t="inlineStr">
        <is>
          <t>REF-100163</t>
        </is>
      </c>
      <c r="H166" s="117" t="n">
        <v>0</v>
      </c>
      <c r="I166" s="117" t="n">
        <v>423</v>
      </c>
      <c r="J166" s="117" t="n">
        <v>-423</v>
      </c>
      <c r="K166" s="115" t="inlineStr">
        <is>
          <t>Wire</t>
        </is>
      </c>
      <c r="L166" s="115" t="inlineStr">
        <is>
          <t>500-IT</t>
        </is>
      </c>
      <c r="M166" s="115" t="inlineStr">
        <is>
          <t>6100 Bank Fees</t>
        </is>
      </c>
    </row>
    <row r="167">
      <c r="A167" s="118" t="inlineStr">
        <is>
          <t>ERP-00164</t>
        </is>
      </c>
      <c r="B167" s="119" t="n">
        <v>46051</v>
      </c>
      <c r="C167" s="118" t="inlineStr">
        <is>
          <t>2026-01</t>
        </is>
      </c>
      <c r="D167" s="118" t="inlineStr">
        <is>
          <t>AR</t>
        </is>
      </c>
      <c r="E167" s="118" t="inlineStr">
        <is>
          <t>Harbour Design Co.</t>
        </is>
      </c>
      <c r="F167" s="118" t="inlineStr">
        <is>
          <t>Customer payment - Harbour Design Co.</t>
        </is>
      </c>
      <c r="G167" s="118" t="inlineStr">
        <is>
          <t>REF-100164</t>
        </is>
      </c>
      <c r="H167" s="120" t="n">
        <v>8387.540000000001</v>
      </c>
      <c r="I167" s="120" t="n">
        <v>0</v>
      </c>
      <c r="J167" s="120" t="n">
        <v>8387.540000000001</v>
      </c>
      <c r="K167" s="118" t="inlineStr">
        <is>
          <t>Credit Card</t>
        </is>
      </c>
      <c r="L167" s="118" t="inlineStr">
        <is>
          <t>300-Ops</t>
        </is>
      </c>
      <c r="M167" s="118" t="inlineStr">
        <is>
          <t>1200 AR</t>
        </is>
      </c>
    </row>
    <row r="168">
      <c r="A168" s="115" t="inlineStr">
        <is>
          <t>ERP-00165</t>
        </is>
      </c>
      <c r="B168" s="116" t="n">
        <v>46043</v>
      </c>
      <c r="C168" s="115" t="inlineStr">
        <is>
          <t>2026-01</t>
        </is>
      </c>
      <c r="D168" s="115" t="inlineStr">
        <is>
          <t>AP</t>
        </is>
      </c>
      <c r="E168" s="115" t="inlineStr">
        <is>
          <t>Metro Cleaning Ltd.</t>
        </is>
      </c>
      <c r="F168" s="115" t="inlineStr">
        <is>
          <t>Vendor payment - Metro Cleaning Ltd.</t>
        </is>
      </c>
      <c r="G168" s="115" t="inlineStr">
        <is>
          <t>REF-100165</t>
        </is>
      </c>
      <c r="H168" s="117" t="n">
        <v>0</v>
      </c>
      <c r="I168" s="117" t="n">
        <v>3699.49</v>
      </c>
      <c r="J168" s="117" t="n">
        <v>-3699.49</v>
      </c>
      <c r="K168" s="115" t="inlineStr">
        <is>
          <t>Credit Card</t>
        </is>
      </c>
      <c r="L168" s="115" t="inlineStr">
        <is>
          <t>500-IT</t>
        </is>
      </c>
      <c r="M168" s="115" t="inlineStr">
        <is>
          <t>2000 AP</t>
        </is>
      </c>
    </row>
    <row r="169">
      <c r="A169" s="118" t="inlineStr">
        <is>
          <t>ERP-00166</t>
        </is>
      </c>
      <c r="B169" s="119" t="n">
        <v>46024</v>
      </c>
      <c r="C169" s="118" t="inlineStr">
        <is>
          <t>2026-01</t>
        </is>
      </c>
      <c r="D169" s="118" t="inlineStr">
        <is>
          <t>AR</t>
        </is>
      </c>
      <c r="E169" s="118" t="inlineStr">
        <is>
          <t>Raincity Tech</t>
        </is>
      </c>
      <c r="F169" s="118" t="inlineStr">
        <is>
          <t>Customer payment - Raincity Tech</t>
        </is>
      </c>
      <c r="G169" s="118" t="inlineStr">
        <is>
          <t>REF-100166</t>
        </is>
      </c>
      <c r="H169" s="120" t="n">
        <v>790.7</v>
      </c>
      <c r="I169" s="120" t="n">
        <v>0</v>
      </c>
      <c r="J169" s="120" t="n">
        <v>790.7</v>
      </c>
      <c r="K169" s="118" t="inlineStr">
        <is>
          <t>EFT</t>
        </is>
      </c>
      <c r="L169" s="118" t="inlineStr">
        <is>
          <t>500-IT</t>
        </is>
      </c>
      <c r="M169" s="118" t="inlineStr">
        <is>
          <t>1200 AR</t>
        </is>
      </c>
    </row>
    <row r="170">
      <c r="A170" s="115" t="inlineStr">
        <is>
          <t>ERP-00167</t>
        </is>
      </c>
      <c r="B170" s="116" t="n">
        <v>46040</v>
      </c>
      <c r="C170" s="115" t="inlineStr">
        <is>
          <t>2026-01</t>
        </is>
      </c>
      <c r="D170" s="115" t="inlineStr">
        <is>
          <t>Bank Fees</t>
        </is>
      </c>
      <c r="E170" s="115" t="inlineStr">
        <is>
          <t>Bank</t>
        </is>
      </c>
      <c r="F170" s="115" t="inlineStr">
        <is>
          <t>Monthly bank service charge</t>
        </is>
      </c>
      <c r="G170" s="115" t="inlineStr">
        <is>
          <t>REF-100167</t>
        </is>
      </c>
      <c r="H170" s="117" t="n">
        <v>0</v>
      </c>
      <c r="I170" s="117" t="n">
        <v>89.98</v>
      </c>
      <c r="J170" s="117" t="n">
        <v>-89.98</v>
      </c>
      <c r="K170" s="115" t="inlineStr">
        <is>
          <t>EFT</t>
        </is>
      </c>
      <c r="L170" s="115" t="inlineStr">
        <is>
          <t>400-Finance</t>
        </is>
      </c>
      <c r="M170" s="115" t="inlineStr">
        <is>
          <t>6100 Bank Fees</t>
        </is>
      </c>
    </row>
    <row r="171">
      <c r="A171" s="118" t="inlineStr">
        <is>
          <t>ERP-00168</t>
        </is>
      </c>
      <c r="B171" s="119" t="n">
        <v>46041</v>
      </c>
      <c r="C171" s="118" t="inlineStr">
        <is>
          <t>2026-01</t>
        </is>
      </c>
      <c r="D171" s="118" t="inlineStr">
        <is>
          <t>AR</t>
        </is>
      </c>
      <c r="E171" s="118" t="inlineStr">
        <is>
          <t>Raincity Tech</t>
        </is>
      </c>
      <c r="F171" s="118" t="inlineStr">
        <is>
          <t>Customer payment - Raincity Tech</t>
        </is>
      </c>
      <c r="G171" s="118" t="inlineStr">
        <is>
          <t>REF-100168</t>
        </is>
      </c>
      <c r="H171" s="120" t="n">
        <v>5201.8</v>
      </c>
      <c r="I171" s="120" t="n">
        <v>0</v>
      </c>
      <c r="J171" s="120" t="n">
        <v>5201.8</v>
      </c>
      <c r="K171" s="118" t="inlineStr">
        <is>
          <t>PAD</t>
        </is>
      </c>
      <c r="L171" s="118" t="inlineStr">
        <is>
          <t>200-Sales</t>
        </is>
      </c>
      <c r="M171" s="118" t="inlineStr">
        <is>
          <t>1200 AR</t>
        </is>
      </c>
    </row>
    <row r="172">
      <c r="A172" s="115" t="inlineStr">
        <is>
          <t>ERP-00169</t>
        </is>
      </c>
      <c r="B172" s="116" t="n">
        <v>46037</v>
      </c>
      <c r="C172" s="115" t="inlineStr">
        <is>
          <t>2026-01</t>
        </is>
      </c>
      <c r="D172" s="115" t="inlineStr">
        <is>
          <t>AP</t>
        </is>
      </c>
      <c r="E172" s="115" t="inlineStr">
        <is>
          <t>Vancouver Courier</t>
        </is>
      </c>
      <c r="F172" s="115" t="inlineStr">
        <is>
          <t>Vendor payment - Vancouver Courier</t>
        </is>
      </c>
      <c r="G172" s="115" t="inlineStr">
        <is>
          <t>REF-100169</t>
        </is>
      </c>
      <c r="H172" s="117" t="n">
        <v>0</v>
      </c>
      <c r="I172" s="117" t="n">
        <v>2181.84</v>
      </c>
      <c r="J172" s="117" t="n">
        <v>-2181.84</v>
      </c>
      <c r="K172" s="115" t="inlineStr">
        <is>
          <t>EFT</t>
        </is>
      </c>
      <c r="L172" s="115" t="inlineStr">
        <is>
          <t>500-IT</t>
        </is>
      </c>
      <c r="M172" s="115" t="inlineStr">
        <is>
          <t>2000 AP</t>
        </is>
      </c>
    </row>
    <row r="173">
      <c r="A173" s="118" t="inlineStr">
        <is>
          <t>ERP-00170</t>
        </is>
      </c>
      <c r="B173" s="119" t="n">
        <v>46037</v>
      </c>
      <c r="C173" s="118" t="inlineStr">
        <is>
          <t>2026-01</t>
        </is>
      </c>
      <c r="D173" s="118" t="inlineStr">
        <is>
          <t>Bank Fees</t>
        </is>
      </c>
      <c r="E173" s="118" t="inlineStr">
        <is>
          <t>Bank</t>
        </is>
      </c>
      <c r="F173" s="118" t="inlineStr">
        <is>
          <t>Monthly bank service charge</t>
        </is>
      </c>
      <c r="G173" s="118" t="inlineStr">
        <is>
          <t>REF-100170</t>
        </is>
      </c>
      <c r="H173" s="120" t="n">
        <v>0</v>
      </c>
      <c r="I173" s="120" t="n">
        <v>65.27</v>
      </c>
      <c r="J173" s="120" t="n">
        <v>-65.27</v>
      </c>
      <c r="K173" s="118" t="inlineStr">
        <is>
          <t>PAD</t>
        </is>
      </c>
      <c r="L173" s="118" t="inlineStr">
        <is>
          <t>200-Sales</t>
        </is>
      </c>
      <c r="M173" s="118" t="inlineStr">
        <is>
          <t>6100 Bank Fees</t>
        </is>
      </c>
    </row>
    <row r="174">
      <c r="A174" s="115" t="inlineStr">
        <is>
          <t>ERP-00171</t>
        </is>
      </c>
      <c r="B174" s="116" t="n">
        <v>46047</v>
      </c>
      <c r="C174" s="115" t="inlineStr">
        <is>
          <t>2026-01</t>
        </is>
      </c>
      <c r="D174" s="115" t="inlineStr">
        <is>
          <t>AP</t>
        </is>
      </c>
      <c r="E174" s="115" t="inlineStr">
        <is>
          <t>Amazon Business</t>
        </is>
      </c>
      <c r="F174" s="115" t="inlineStr">
        <is>
          <t>Vendor payment - Amazon Business</t>
        </is>
      </c>
      <c r="G174" s="115" t="inlineStr">
        <is>
          <t>REF-100171</t>
        </is>
      </c>
      <c r="H174" s="117" t="n">
        <v>0</v>
      </c>
      <c r="I174" s="117" t="n">
        <v>400.48</v>
      </c>
      <c r="J174" s="117" t="n">
        <v>-400.48</v>
      </c>
      <c r="K174" s="115" t="inlineStr">
        <is>
          <t>Credit Card</t>
        </is>
      </c>
      <c r="L174" s="115" t="inlineStr">
        <is>
          <t>100-Admin</t>
        </is>
      </c>
      <c r="M174" s="115" t="inlineStr">
        <is>
          <t>2000 AP</t>
        </is>
      </c>
    </row>
    <row r="175">
      <c r="A175" s="118" t="inlineStr">
        <is>
          <t>ERP-00172</t>
        </is>
      </c>
      <c r="B175" s="119" t="n">
        <v>46046</v>
      </c>
      <c r="C175" s="118" t="inlineStr">
        <is>
          <t>2026-01</t>
        </is>
      </c>
      <c r="D175" s="118" t="inlineStr">
        <is>
          <t>Payroll</t>
        </is>
      </c>
      <c r="E175" s="118" t="inlineStr">
        <is>
          <t>Payroll Batch</t>
        </is>
      </c>
      <c r="F175" s="118" t="inlineStr">
        <is>
          <t>Payroll payment</t>
        </is>
      </c>
      <c r="G175" s="118" t="inlineStr">
        <is>
          <t>REF-100172</t>
        </is>
      </c>
      <c r="H175" s="120" t="n">
        <v>0</v>
      </c>
      <c r="I175" s="120" t="n">
        <v>16483.95</v>
      </c>
      <c r="J175" s="120" t="n">
        <v>-16483.95</v>
      </c>
      <c r="K175" s="118" t="inlineStr">
        <is>
          <t>PAD</t>
        </is>
      </c>
      <c r="L175" s="118" t="inlineStr">
        <is>
          <t>200-Sales</t>
        </is>
      </c>
      <c r="M175" s="118" t="inlineStr">
        <is>
          <t>5300 Payroll</t>
        </is>
      </c>
    </row>
    <row r="176">
      <c r="A176" s="115" t="inlineStr">
        <is>
          <t>ERP-00173</t>
        </is>
      </c>
      <c r="B176" s="116" t="n">
        <v>46032</v>
      </c>
      <c r="C176" s="115" t="inlineStr">
        <is>
          <t>2026-01</t>
        </is>
      </c>
      <c r="D176" s="115" t="inlineStr">
        <is>
          <t>Bank Fees</t>
        </is>
      </c>
      <c r="E176" s="115" t="inlineStr">
        <is>
          <t>Bank</t>
        </is>
      </c>
      <c r="F176" s="115" t="inlineStr">
        <is>
          <t>Monthly bank service charge</t>
        </is>
      </c>
      <c r="G176" s="115" t="inlineStr">
        <is>
          <t>REF-100173</t>
        </is>
      </c>
      <c r="H176" s="117" t="n">
        <v>0</v>
      </c>
      <c r="I176" s="117" t="n">
        <v>85.33</v>
      </c>
      <c r="J176" s="117" t="n">
        <v>-85.33</v>
      </c>
      <c r="K176" s="115" t="inlineStr">
        <is>
          <t>Wire</t>
        </is>
      </c>
      <c r="L176" s="115" t="inlineStr">
        <is>
          <t>200-Sales</t>
        </is>
      </c>
      <c r="M176" s="115" t="inlineStr">
        <is>
          <t>6100 Bank Fees</t>
        </is>
      </c>
    </row>
    <row r="177">
      <c r="A177" s="118" t="inlineStr">
        <is>
          <t>ERP-00174</t>
        </is>
      </c>
      <c r="B177" s="119" t="n">
        <v>46035</v>
      </c>
      <c r="C177" s="118" t="inlineStr">
        <is>
          <t>2026-01</t>
        </is>
      </c>
      <c r="D177" s="118" t="inlineStr">
        <is>
          <t>AR</t>
        </is>
      </c>
      <c r="E177" s="118" t="inlineStr">
        <is>
          <t>Raincity Tech</t>
        </is>
      </c>
      <c r="F177" s="118" t="inlineStr">
        <is>
          <t>Customer payment - Raincity Tech</t>
        </is>
      </c>
      <c r="G177" s="118" t="inlineStr">
        <is>
          <t>REF-100174</t>
        </is>
      </c>
      <c r="H177" s="120" t="n">
        <v>6940.09</v>
      </c>
      <c r="I177" s="120" t="n">
        <v>0</v>
      </c>
      <c r="J177" s="120" t="n">
        <v>6940.09</v>
      </c>
      <c r="K177" s="118" t="inlineStr">
        <is>
          <t>PAD</t>
        </is>
      </c>
      <c r="L177" s="118" t="inlineStr">
        <is>
          <t>100-Admin</t>
        </is>
      </c>
      <c r="M177" s="118" t="inlineStr">
        <is>
          <t>1200 AR</t>
        </is>
      </c>
    </row>
    <row r="178">
      <c r="A178" s="115" t="inlineStr">
        <is>
          <t>ERP-00175</t>
        </is>
      </c>
      <c r="B178" s="116" t="n">
        <v>46023</v>
      </c>
      <c r="C178" s="115" t="inlineStr">
        <is>
          <t>2026-01</t>
        </is>
      </c>
      <c r="D178" s="115" t="inlineStr">
        <is>
          <t>AR</t>
        </is>
      </c>
      <c r="E178" s="115" t="inlineStr">
        <is>
          <t>Coastline Foods</t>
        </is>
      </c>
      <c r="F178" s="115" t="inlineStr">
        <is>
          <t>Customer payment - Coastline Foods</t>
        </is>
      </c>
      <c r="G178" s="115" t="inlineStr">
        <is>
          <t>REF-100175</t>
        </is>
      </c>
      <c r="H178" s="117" t="n">
        <v>8092.26</v>
      </c>
      <c r="I178" s="117" t="n">
        <v>0</v>
      </c>
      <c r="J178" s="117" t="n">
        <v>8092.26</v>
      </c>
      <c r="K178" s="115" t="inlineStr">
        <is>
          <t>Credit Card</t>
        </is>
      </c>
      <c r="L178" s="115" t="inlineStr">
        <is>
          <t>400-Finance</t>
        </is>
      </c>
      <c r="M178" s="115" t="inlineStr">
        <is>
          <t>1200 AR</t>
        </is>
      </c>
    </row>
    <row r="179">
      <c r="A179" s="118" t="inlineStr">
        <is>
          <t>ERP-00176</t>
        </is>
      </c>
      <c r="B179" s="119" t="n">
        <v>46032</v>
      </c>
      <c r="C179" s="118" t="inlineStr">
        <is>
          <t>2026-01</t>
        </is>
      </c>
      <c r="D179" s="118" t="inlineStr">
        <is>
          <t>Payroll</t>
        </is>
      </c>
      <c r="E179" s="118" t="inlineStr">
        <is>
          <t>Payroll Batch</t>
        </is>
      </c>
      <c r="F179" s="118" t="inlineStr">
        <is>
          <t>Payroll payment</t>
        </is>
      </c>
      <c r="G179" s="118" t="inlineStr">
        <is>
          <t>REF-100176</t>
        </is>
      </c>
      <c r="H179" s="120" t="n">
        <v>0</v>
      </c>
      <c r="I179" s="120" t="n">
        <v>3966.54</v>
      </c>
      <c r="J179" s="120" t="n">
        <v>-3966.54</v>
      </c>
      <c r="K179" s="118" t="inlineStr">
        <is>
          <t>PAD</t>
        </is>
      </c>
      <c r="L179" s="118" t="inlineStr">
        <is>
          <t>500-IT</t>
        </is>
      </c>
      <c r="M179" s="118" t="inlineStr">
        <is>
          <t>5300 Payroll</t>
        </is>
      </c>
    </row>
    <row r="180">
      <c r="A180" s="115" t="inlineStr">
        <is>
          <t>ERP-00177</t>
        </is>
      </c>
      <c r="B180" s="116" t="n">
        <v>46042</v>
      </c>
      <c r="C180" s="115" t="inlineStr">
        <is>
          <t>2026-01</t>
        </is>
      </c>
      <c r="D180" s="115" t="inlineStr">
        <is>
          <t>AP</t>
        </is>
      </c>
      <c r="E180" s="115" t="inlineStr">
        <is>
          <t>BC Hydro</t>
        </is>
      </c>
      <c r="F180" s="115" t="inlineStr">
        <is>
          <t>Vendor payment - BC Hydro</t>
        </is>
      </c>
      <c r="G180" s="115" t="inlineStr">
        <is>
          <t>REF-100177</t>
        </is>
      </c>
      <c r="H180" s="117" t="n">
        <v>0</v>
      </c>
      <c r="I180" s="117" t="n">
        <v>1024.03</v>
      </c>
      <c r="J180" s="117" t="n">
        <v>-1024.03</v>
      </c>
      <c r="K180" s="115" t="inlineStr">
        <is>
          <t>Cheque</t>
        </is>
      </c>
      <c r="L180" s="115" t="inlineStr">
        <is>
          <t>500-IT</t>
        </is>
      </c>
      <c r="M180" s="115" t="inlineStr">
        <is>
          <t>2000 AP</t>
        </is>
      </c>
    </row>
    <row r="181">
      <c r="A181" s="118" t="inlineStr">
        <is>
          <t>ERP-00178</t>
        </is>
      </c>
      <c r="B181" s="119" t="n">
        <v>46024</v>
      </c>
      <c r="C181" s="118" t="inlineStr">
        <is>
          <t>2026-01</t>
        </is>
      </c>
      <c r="D181" s="118" t="inlineStr">
        <is>
          <t>AR</t>
        </is>
      </c>
      <c r="E181" s="118" t="inlineStr">
        <is>
          <t>Harbour Design Co.</t>
        </is>
      </c>
      <c r="F181" s="118" t="inlineStr">
        <is>
          <t>Customer payment - Harbour Design Co.</t>
        </is>
      </c>
      <c r="G181" s="118" t="inlineStr">
        <is>
          <t>REF-100178</t>
        </is>
      </c>
      <c r="H181" s="120" t="n">
        <v>6158.54</v>
      </c>
      <c r="I181" s="120" t="n">
        <v>0</v>
      </c>
      <c r="J181" s="120" t="n">
        <v>6158.54</v>
      </c>
      <c r="K181" s="118" t="inlineStr">
        <is>
          <t>Wire</t>
        </is>
      </c>
      <c r="L181" s="118" t="inlineStr">
        <is>
          <t>500-IT</t>
        </is>
      </c>
      <c r="M181" s="118" t="inlineStr">
        <is>
          <t>1200 AR</t>
        </is>
      </c>
    </row>
    <row r="182">
      <c r="A182" s="115" t="inlineStr">
        <is>
          <t>ERP-00179</t>
        </is>
      </c>
      <c r="B182" s="116" t="n">
        <v>46030</v>
      </c>
      <c r="C182" s="115" t="inlineStr">
        <is>
          <t>2026-01</t>
        </is>
      </c>
      <c r="D182" s="115" t="inlineStr">
        <is>
          <t>AP</t>
        </is>
      </c>
      <c r="E182" s="115" t="inlineStr">
        <is>
          <t>Vancouver Courier</t>
        </is>
      </c>
      <c r="F182" s="115" t="inlineStr">
        <is>
          <t>Vendor payment - Vancouver Courier</t>
        </is>
      </c>
      <c r="G182" s="115" t="inlineStr">
        <is>
          <t>REF-100179</t>
        </is>
      </c>
      <c r="H182" s="117" t="n">
        <v>0</v>
      </c>
      <c r="I182" s="117" t="n">
        <v>4880.35</v>
      </c>
      <c r="J182" s="117" t="n">
        <v>-4880.35</v>
      </c>
      <c r="K182" s="115" t="inlineStr">
        <is>
          <t>Cheque</t>
        </is>
      </c>
      <c r="L182" s="115" t="inlineStr">
        <is>
          <t>300-Ops</t>
        </is>
      </c>
      <c r="M182" s="115" t="inlineStr">
        <is>
          <t>2000 AP</t>
        </is>
      </c>
    </row>
    <row r="183">
      <c r="A183" s="118" t="inlineStr">
        <is>
          <t>ERP-00180</t>
        </is>
      </c>
      <c r="B183" s="119" t="n">
        <v>46032</v>
      </c>
      <c r="C183" s="118" t="inlineStr">
        <is>
          <t>2026-01</t>
        </is>
      </c>
      <c r="D183" s="118" t="inlineStr">
        <is>
          <t>GL</t>
        </is>
      </c>
      <c r="E183" s="118" t="inlineStr">
        <is>
          <t>Coastline Foods</t>
        </is>
      </c>
      <c r="F183" s="118" t="inlineStr">
        <is>
          <t>Manual GL entry</t>
        </is>
      </c>
      <c r="G183" s="118" t="inlineStr">
        <is>
          <t>REF-100180</t>
        </is>
      </c>
      <c r="H183" s="120" t="n">
        <v>0</v>
      </c>
      <c r="I183" s="120" t="n">
        <v>2660.93</v>
      </c>
      <c r="J183" s="120" t="n">
        <v>-2660.93</v>
      </c>
      <c r="K183" s="118" t="inlineStr">
        <is>
          <t>PAD</t>
        </is>
      </c>
      <c r="L183" s="118" t="inlineStr">
        <is>
          <t>200-Sales</t>
        </is>
      </c>
      <c r="M183" s="118" t="inlineStr">
        <is>
          <t>5000 Office Expense</t>
        </is>
      </c>
    </row>
    <row r="184">
      <c r="A184" s="115" t="inlineStr">
        <is>
          <t>ERP-00181</t>
        </is>
      </c>
      <c r="B184" s="116" t="n">
        <v>46024</v>
      </c>
      <c r="C184" s="115" t="inlineStr">
        <is>
          <t>2026-01</t>
        </is>
      </c>
      <c r="D184" s="115" t="inlineStr">
        <is>
          <t>AR</t>
        </is>
      </c>
      <c r="E184" s="115" t="inlineStr">
        <is>
          <t>Raincity Tech</t>
        </is>
      </c>
      <c r="F184" s="115" t="inlineStr">
        <is>
          <t>Customer payment - Raincity Tech</t>
        </is>
      </c>
      <c r="G184" s="115" t="inlineStr">
        <is>
          <t>REF-100181</t>
        </is>
      </c>
      <c r="H184" s="117" t="n">
        <v>4780.42</v>
      </c>
      <c r="I184" s="117" t="n">
        <v>0</v>
      </c>
      <c r="J184" s="117" t="n">
        <v>4780.42</v>
      </c>
      <c r="K184" s="115" t="inlineStr">
        <is>
          <t>EFT</t>
        </is>
      </c>
      <c r="L184" s="115" t="inlineStr">
        <is>
          <t>500-IT</t>
        </is>
      </c>
      <c r="M184" s="115" t="inlineStr">
        <is>
          <t>1200 AR</t>
        </is>
      </c>
    </row>
    <row r="185">
      <c r="A185" s="118" t="inlineStr">
        <is>
          <t>ERP-00182</t>
        </is>
      </c>
      <c r="B185" s="119" t="n">
        <v>46032</v>
      </c>
      <c r="C185" s="118" t="inlineStr">
        <is>
          <t>2026-01</t>
        </is>
      </c>
      <c r="D185" s="118" t="inlineStr">
        <is>
          <t>AP</t>
        </is>
      </c>
      <c r="E185" s="118" t="inlineStr">
        <is>
          <t>North Shore Telecom</t>
        </is>
      </c>
      <c r="F185" s="118" t="inlineStr">
        <is>
          <t>Vendor payment - North Shore Telecom</t>
        </is>
      </c>
      <c r="G185" s="118" t="inlineStr">
        <is>
          <t>REF-100182</t>
        </is>
      </c>
      <c r="H185" s="120" t="n">
        <v>0</v>
      </c>
      <c r="I185" s="120" t="n">
        <v>1749.48</v>
      </c>
      <c r="J185" s="120" t="n">
        <v>-1749.48</v>
      </c>
      <c r="K185" s="118" t="inlineStr">
        <is>
          <t>PAD</t>
        </is>
      </c>
      <c r="L185" s="118" t="inlineStr">
        <is>
          <t>200-Sales</t>
        </is>
      </c>
      <c r="M185" s="118" t="inlineStr">
        <is>
          <t>2000 AP</t>
        </is>
      </c>
    </row>
    <row r="186">
      <c r="A186" s="115" t="inlineStr">
        <is>
          <t>ERP-00183</t>
        </is>
      </c>
      <c r="B186" s="116" t="n">
        <v>46025</v>
      </c>
      <c r="C186" s="115" t="inlineStr">
        <is>
          <t>2026-01</t>
        </is>
      </c>
      <c r="D186" s="115" t="inlineStr">
        <is>
          <t>Bank Fees</t>
        </is>
      </c>
      <c r="E186" s="115" t="inlineStr">
        <is>
          <t>Bank</t>
        </is>
      </c>
      <c r="F186" s="115" t="inlineStr">
        <is>
          <t>Monthly bank service charge</t>
        </is>
      </c>
      <c r="G186" s="115" t="inlineStr">
        <is>
          <t>REF-100183</t>
        </is>
      </c>
      <c r="H186" s="117" t="n">
        <v>0</v>
      </c>
      <c r="I186" s="117" t="n">
        <v>30.53</v>
      </c>
      <c r="J186" s="117" t="n">
        <v>-30.53</v>
      </c>
      <c r="K186" s="115" t="inlineStr">
        <is>
          <t>Wire</t>
        </is>
      </c>
      <c r="L186" s="115" t="inlineStr">
        <is>
          <t>300-Ops</t>
        </is>
      </c>
      <c r="M186" s="115" t="inlineStr">
        <is>
          <t>6100 Bank Fees</t>
        </is>
      </c>
    </row>
    <row r="187">
      <c r="A187" s="118" t="inlineStr">
        <is>
          <t>ERP-00184</t>
        </is>
      </c>
      <c r="B187" s="119" t="n">
        <v>46036</v>
      </c>
      <c r="C187" s="118" t="inlineStr">
        <is>
          <t>2026-01</t>
        </is>
      </c>
      <c r="D187" s="118" t="inlineStr">
        <is>
          <t>AP</t>
        </is>
      </c>
      <c r="E187" s="118" t="inlineStr">
        <is>
          <t>Amazon Business</t>
        </is>
      </c>
      <c r="F187" s="118" t="inlineStr">
        <is>
          <t>Vendor payment - Amazon Business</t>
        </is>
      </c>
      <c r="G187" s="118" t="inlineStr">
        <is>
          <t>REF-100184</t>
        </is>
      </c>
      <c r="H187" s="120" t="n">
        <v>0</v>
      </c>
      <c r="I187" s="120" t="n">
        <v>2368.64</v>
      </c>
      <c r="J187" s="120" t="n">
        <v>-2368.64</v>
      </c>
      <c r="K187" s="118" t="inlineStr">
        <is>
          <t>Wire</t>
        </is>
      </c>
      <c r="L187" s="118" t="inlineStr">
        <is>
          <t>100-Admin</t>
        </is>
      </c>
      <c r="M187" s="118" t="inlineStr">
        <is>
          <t>2000 AP</t>
        </is>
      </c>
    </row>
    <row r="188">
      <c r="A188" s="115" t="inlineStr">
        <is>
          <t>ERP-00185</t>
        </is>
      </c>
      <c r="B188" s="116" t="n">
        <v>46026</v>
      </c>
      <c r="C188" s="115" t="inlineStr">
        <is>
          <t>2026-01</t>
        </is>
      </c>
      <c r="D188" s="115" t="inlineStr">
        <is>
          <t>Payroll</t>
        </is>
      </c>
      <c r="E188" s="115" t="inlineStr">
        <is>
          <t>Payroll Batch</t>
        </is>
      </c>
      <c r="F188" s="115" t="inlineStr">
        <is>
          <t>Payroll payment</t>
        </is>
      </c>
      <c r="G188" s="115" t="inlineStr">
        <is>
          <t>REF-100185</t>
        </is>
      </c>
      <c r="H188" s="117" t="n">
        <v>0</v>
      </c>
      <c r="I188" s="117" t="n">
        <v>11924.43</v>
      </c>
      <c r="J188" s="117" t="n">
        <v>-11924.43</v>
      </c>
      <c r="K188" s="115" t="inlineStr">
        <is>
          <t>Cheque</t>
        </is>
      </c>
      <c r="L188" s="115" t="inlineStr">
        <is>
          <t>200-Sales</t>
        </is>
      </c>
      <c r="M188" s="115" t="inlineStr">
        <is>
          <t>5300 Payroll</t>
        </is>
      </c>
    </row>
    <row r="189">
      <c r="A189" s="118" t="inlineStr">
        <is>
          <t>ERP-00186</t>
        </is>
      </c>
      <c r="B189" s="119" t="n">
        <v>46027</v>
      </c>
      <c r="C189" s="118" t="inlineStr">
        <is>
          <t>2026-01</t>
        </is>
      </c>
      <c r="D189" s="118" t="inlineStr">
        <is>
          <t>GL</t>
        </is>
      </c>
      <c r="E189" s="118" t="inlineStr">
        <is>
          <t>Maple Retail Group</t>
        </is>
      </c>
      <c r="F189" s="118" t="inlineStr">
        <is>
          <t>Manual GL entry</t>
        </is>
      </c>
      <c r="G189" s="118" t="inlineStr">
        <is>
          <t>REF-100186</t>
        </is>
      </c>
      <c r="H189" s="120" t="n">
        <v>2270.58</v>
      </c>
      <c r="I189" s="120" t="n">
        <v>0</v>
      </c>
      <c r="J189" s="120" t="n">
        <v>2270.58</v>
      </c>
      <c r="K189" s="118" t="inlineStr">
        <is>
          <t>EFT</t>
        </is>
      </c>
      <c r="L189" s="118" t="inlineStr">
        <is>
          <t>300-Ops</t>
        </is>
      </c>
      <c r="M189" s="118" t="inlineStr">
        <is>
          <t>1200 AR</t>
        </is>
      </c>
    </row>
    <row r="190">
      <c r="A190" s="115" t="inlineStr">
        <is>
          <t>ERP-00187</t>
        </is>
      </c>
      <c r="B190" s="116" t="n">
        <v>46046</v>
      </c>
      <c r="C190" s="115" t="inlineStr">
        <is>
          <t>2026-01</t>
        </is>
      </c>
      <c r="D190" s="115" t="inlineStr">
        <is>
          <t>AR</t>
        </is>
      </c>
      <c r="E190" s="115" t="inlineStr">
        <is>
          <t>Granville Medical</t>
        </is>
      </c>
      <c r="F190" s="115" t="inlineStr">
        <is>
          <t>Customer payment - Granville Medical</t>
        </is>
      </c>
      <c r="G190" s="115" t="inlineStr">
        <is>
          <t>REF-100187</t>
        </is>
      </c>
      <c r="H190" s="117" t="n">
        <v>1078.41</v>
      </c>
      <c r="I190" s="117" t="n">
        <v>0</v>
      </c>
      <c r="J190" s="117" t="n">
        <v>1078.41</v>
      </c>
      <c r="K190" s="115" t="inlineStr">
        <is>
          <t>Credit Card</t>
        </is>
      </c>
      <c r="L190" s="115" t="inlineStr">
        <is>
          <t>200-Sales</t>
        </is>
      </c>
      <c r="M190" s="115" t="inlineStr">
        <is>
          <t>1200 AR</t>
        </is>
      </c>
    </row>
    <row r="191">
      <c r="A191" s="118" t="inlineStr">
        <is>
          <t>ERP-00188</t>
        </is>
      </c>
      <c r="B191" s="119" t="n">
        <v>46043</v>
      </c>
      <c r="C191" s="118" t="inlineStr">
        <is>
          <t>2026-01</t>
        </is>
      </c>
      <c r="D191" s="118" t="inlineStr">
        <is>
          <t>GL</t>
        </is>
      </c>
      <c r="E191" s="118" t="inlineStr">
        <is>
          <t>Maple Retail Group</t>
        </is>
      </c>
      <c r="F191" s="118" t="inlineStr">
        <is>
          <t>Manual GL entry</t>
        </is>
      </c>
      <c r="G191" s="118" t="inlineStr">
        <is>
          <t>REF-100188</t>
        </is>
      </c>
      <c r="H191" s="120" t="n">
        <v>0</v>
      </c>
      <c r="I191" s="120" t="n">
        <v>360.9</v>
      </c>
      <c r="J191" s="120" t="n">
        <v>-360.9</v>
      </c>
      <c r="K191" s="118" t="inlineStr">
        <is>
          <t>PAD</t>
        </is>
      </c>
      <c r="L191" s="118" t="inlineStr">
        <is>
          <t>500-IT</t>
        </is>
      </c>
      <c r="M191" s="118" t="inlineStr">
        <is>
          <t>6100 Bank Fees</t>
        </is>
      </c>
    </row>
    <row r="192">
      <c r="A192" s="115" t="inlineStr">
        <is>
          <t>ERP-00189</t>
        </is>
      </c>
      <c r="B192" s="116" t="n">
        <v>46032</v>
      </c>
      <c r="C192" s="115" t="inlineStr">
        <is>
          <t>2026-01</t>
        </is>
      </c>
      <c r="D192" s="115" t="inlineStr">
        <is>
          <t>AR</t>
        </is>
      </c>
      <c r="E192" s="115" t="inlineStr">
        <is>
          <t>West Van Fitness</t>
        </is>
      </c>
      <c r="F192" s="115" t="inlineStr">
        <is>
          <t>Customer payment - West Van Fitness</t>
        </is>
      </c>
      <c r="G192" s="115" t="inlineStr">
        <is>
          <t>REF-100189</t>
        </is>
      </c>
      <c r="H192" s="117" t="n">
        <v>3096.01</v>
      </c>
      <c r="I192" s="117" t="n">
        <v>0</v>
      </c>
      <c r="J192" s="117" t="n">
        <v>3096.01</v>
      </c>
      <c r="K192" s="115" t="inlineStr">
        <is>
          <t>PAD</t>
        </is>
      </c>
      <c r="L192" s="115" t="inlineStr">
        <is>
          <t>400-Finance</t>
        </is>
      </c>
      <c r="M192" s="115" t="inlineStr">
        <is>
          <t>1200 AR</t>
        </is>
      </c>
    </row>
    <row r="193">
      <c r="A193" s="118" t="inlineStr">
        <is>
          <t>ERP-00190</t>
        </is>
      </c>
      <c r="B193" s="119" t="n">
        <v>46034</v>
      </c>
      <c r="C193" s="118" t="inlineStr">
        <is>
          <t>2026-01</t>
        </is>
      </c>
      <c r="D193" s="118" t="inlineStr">
        <is>
          <t>AP</t>
        </is>
      </c>
      <c r="E193" s="118" t="inlineStr">
        <is>
          <t>Amazon Business</t>
        </is>
      </c>
      <c r="F193" s="118" t="inlineStr">
        <is>
          <t>Vendor payment - Amazon Business</t>
        </is>
      </c>
      <c r="G193" s="118" t="inlineStr">
        <is>
          <t>REF-100190</t>
        </is>
      </c>
      <c r="H193" s="120" t="n">
        <v>0</v>
      </c>
      <c r="I193" s="120" t="n">
        <v>3409.78</v>
      </c>
      <c r="J193" s="120" t="n">
        <v>-3409.78</v>
      </c>
      <c r="K193" s="118" t="inlineStr">
        <is>
          <t>PAD</t>
        </is>
      </c>
      <c r="L193" s="118" t="inlineStr">
        <is>
          <t>500-IT</t>
        </is>
      </c>
      <c r="M193" s="118" t="inlineStr">
        <is>
          <t>2000 AP</t>
        </is>
      </c>
    </row>
    <row r="194">
      <c r="A194" s="115" t="inlineStr">
        <is>
          <t>ERP-00191</t>
        </is>
      </c>
      <c r="B194" s="116" t="n">
        <v>46034</v>
      </c>
      <c r="C194" s="115" t="inlineStr">
        <is>
          <t>2026-01</t>
        </is>
      </c>
      <c r="D194" s="115" t="inlineStr">
        <is>
          <t>AP</t>
        </is>
      </c>
      <c r="E194" s="115" t="inlineStr">
        <is>
          <t>Pacific Office Supplies</t>
        </is>
      </c>
      <c r="F194" s="115" t="inlineStr">
        <is>
          <t>Vendor payment - Pacific Office Supplies</t>
        </is>
      </c>
      <c r="G194" s="115" t="inlineStr">
        <is>
          <t>REF-100191</t>
        </is>
      </c>
      <c r="H194" s="117" t="n">
        <v>0</v>
      </c>
      <c r="I194" s="117" t="n">
        <v>2265.41</v>
      </c>
      <c r="J194" s="117" t="n">
        <v>-2265.41</v>
      </c>
      <c r="K194" s="115" t="inlineStr">
        <is>
          <t>EFT</t>
        </is>
      </c>
      <c r="L194" s="115" t="inlineStr">
        <is>
          <t>300-Ops</t>
        </is>
      </c>
      <c r="M194" s="115" t="inlineStr">
        <is>
          <t>2000 AP</t>
        </is>
      </c>
    </row>
    <row r="195">
      <c r="A195" s="118" t="inlineStr">
        <is>
          <t>ERP-00192</t>
        </is>
      </c>
      <c r="B195" s="119" t="n">
        <v>46046</v>
      </c>
      <c r="C195" s="118" t="inlineStr">
        <is>
          <t>2026-01</t>
        </is>
      </c>
      <c r="D195" s="118" t="inlineStr">
        <is>
          <t>GL</t>
        </is>
      </c>
      <c r="E195" s="118" t="inlineStr">
        <is>
          <t>Metro Cleaning Ltd.</t>
        </is>
      </c>
      <c r="F195" s="118" t="inlineStr">
        <is>
          <t>Manual GL entry</t>
        </is>
      </c>
      <c r="G195" s="118" t="inlineStr">
        <is>
          <t>REF-100192</t>
        </is>
      </c>
      <c r="H195" s="120" t="n">
        <v>0</v>
      </c>
      <c r="I195" s="120" t="n">
        <v>269.46</v>
      </c>
      <c r="J195" s="120" t="n">
        <v>-269.46</v>
      </c>
      <c r="K195" s="118" t="inlineStr">
        <is>
          <t>Wire</t>
        </is>
      </c>
      <c r="L195" s="118" t="inlineStr">
        <is>
          <t>400-Finance</t>
        </is>
      </c>
      <c r="M195" s="118" t="inlineStr">
        <is>
          <t>2000 AP</t>
        </is>
      </c>
    </row>
    <row r="196">
      <c r="A196" s="115" t="inlineStr">
        <is>
          <t>ERP-00193</t>
        </is>
      </c>
      <c r="B196" s="116" t="n">
        <v>46047</v>
      </c>
      <c r="C196" s="115" t="inlineStr">
        <is>
          <t>2026-01</t>
        </is>
      </c>
      <c r="D196" s="115" t="inlineStr">
        <is>
          <t>Bank Fees</t>
        </is>
      </c>
      <c r="E196" s="115" t="inlineStr">
        <is>
          <t>Bank</t>
        </is>
      </c>
      <c r="F196" s="115" t="inlineStr">
        <is>
          <t>Monthly bank service charge</t>
        </is>
      </c>
      <c r="G196" s="115" t="inlineStr">
        <is>
          <t>REF-100193</t>
        </is>
      </c>
      <c r="H196" s="117" t="n">
        <v>0</v>
      </c>
      <c r="I196" s="117" t="n">
        <v>9.25</v>
      </c>
      <c r="J196" s="117" t="n">
        <v>-9.25</v>
      </c>
      <c r="K196" s="115" t="inlineStr">
        <is>
          <t>Cheque</t>
        </is>
      </c>
      <c r="L196" s="115" t="inlineStr">
        <is>
          <t>100-Admin</t>
        </is>
      </c>
      <c r="M196" s="115" t="inlineStr">
        <is>
          <t>6100 Bank Fees</t>
        </is>
      </c>
    </row>
    <row r="197">
      <c r="A197" s="118" t="inlineStr">
        <is>
          <t>ERP-00194</t>
        </is>
      </c>
      <c r="B197" s="119" t="n">
        <v>46032</v>
      </c>
      <c r="C197" s="118" t="inlineStr">
        <is>
          <t>2026-01</t>
        </is>
      </c>
      <c r="D197" s="118" t="inlineStr">
        <is>
          <t>AR</t>
        </is>
      </c>
      <c r="E197" s="118" t="inlineStr">
        <is>
          <t>West Van Fitness</t>
        </is>
      </c>
      <c r="F197" s="118" t="inlineStr">
        <is>
          <t>Customer payment - West Van Fitness</t>
        </is>
      </c>
      <c r="G197" s="118" t="inlineStr">
        <is>
          <t>REF-100194</t>
        </is>
      </c>
      <c r="H197" s="120" t="n">
        <v>4102.89</v>
      </c>
      <c r="I197" s="120" t="n">
        <v>0</v>
      </c>
      <c r="J197" s="120" t="n">
        <v>4102.89</v>
      </c>
      <c r="K197" s="118" t="inlineStr">
        <is>
          <t>EFT</t>
        </is>
      </c>
      <c r="L197" s="118" t="inlineStr">
        <is>
          <t>200-Sales</t>
        </is>
      </c>
      <c r="M197" s="118" t="inlineStr">
        <is>
          <t>1200 AR</t>
        </is>
      </c>
    </row>
    <row r="198">
      <c r="A198" s="115" t="inlineStr">
        <is>
          <t>ERP-00195</t>
        </is>
      </c>
      <c r="B198" s="116" t="n">
        <v>46033</v>
      </c>
      <c r="C198" s="115" t="inlineStr">
        <is>
          <t>2026-01</t>
        </is>
      </c>
      <c r="D198" s="115" t="inlineStr">
        <is>
          <t>AP</t>
        </is>
      </c>
      <c r="E198" s="115" t="inlineStr">
        <is>
          <t>Vancouver Courier</t>
        </is>
      </c>
      <c r="F198" s="115" t="inlineStr">
        <is>
          <t>Vendor payment - Vancouver Courier</t>
        </is>
      </c>
      <c r="G198" s="115" t="inlineStr">
        <is>
          <t>REF-100195</t>
        </is>
      </c>
      <c r="H198" s="117" t="n">
        <v>0</v>
      </c>
      <c r="I198" s="117" t="n">
        <v>2332.28</v>
      </c>
      <c r="J198" s="117" t="n">
        <v>-2332.28</v>
      </c>
      <c r="K198" s="115" t="inlineStr">
        <is>
          <t>Wire</t>
        </is>
      </c>
      <c r="L198" s="115" t="inlineStr">
        <is>
          <t>400-Finance</t>
        </is>
      </c>
      <c r="M198" s="115" t="inlineStr">
        <is>
          <t>2000 AP</t>
        </is>
      </c>
    </row>
    <row r="199">
      <c r="A199" s="118" t="inlineStr">
        <is>
          <t>ERP-00196</t>
        </is>
      </c>
      <c r="B199" s="119" t="n">
        <v>46035</v>
      </c>
      <c r="C199" s="118" t="inlineStr">
        <is>
          <t>2026-01</t>
        </is>
      </c>
      <c r="D199" s="118" t="inlineStr">
        <is>
          <t>AP</t>
        </is>
      </c>
      <c r="E199" s="118" t="inlineStr">
        <is>
          <t>North Shore Telecom</t>
        </is>
      </c>
      <c r="F199" s="118" t="inlineStr">
        <is>
          <t>Vendor payment - North Shore Telecom</t>
        </is>
      </c>
      <c r="G199" s="118" t="inlineStr">
        <is>
          <t>REF-100196</t>
        </is>
      </c>
      <c r="H199" s="120" t="n">
        <v>0</v>
      </c>
      <c r="I199" s="120" t="n">
        <v>3116.76</v>
      </c>
      <c r="J199" s="120" t="n">
        <v>-3116.76</v>
      </c>
      <c r="K199" s="118" t="inlineStr">
        <is>
          <t>Wire</t>
        </is>
      </c>
      <c r="L199" s="118" t="inlineStr">
        <is>
          <t>300-Ops</t>
        </is>
      </c>
      <c r="M199" s="118" t="inlineStr">
        <is>
          <t>2000 AP</t>
        </is>
      </c>
    </row>
    <row r="200">
      <c r="A200" s="115" t="inlineStr">
        <is>
          <t>ERP-00197</t>
        </is>
      </c>
      <c r="B200" s="116" t="n">
        <v>46039</v>
      </c>
      <c r="C200" s="115" t="inlineStr">
        <is>
          <t>2026-01</t>
        </is>
      </c>
      <c r="D200" s="115" t="inlineStr">
        <is>
          <t>AP</t>
        </is>
      </c>
      <c r="E200" s="115" t="inlineStr">
        <is>
          <t>Pacific Office Supplies</t>
        </is>
      </c>
      <c r="F200" s="115" t="inlineStr">
        <is>
          <t>Vendor payment - Pacific Office Supplies</t>
        </is>
      </c>
      <c r="G200" s="115" t="inlineStr">
        <is>
          <t>REF-100197</t>
        </is>
      </c>
      <c r="H200" s="117" t="n">
        <v>0</v>
      </c>
      <c r="I200" s="117" t="n">
        <v>4529.74</v>
      </c>
      <c r="J200" s="117" t="n">
        <v>-4529.74</v>
      </c>
      <c r="K200" s="115" t="inlineStr">
        <is>
          <t>EFT</t>
        </is>
      </c>
      <c r="L200" s="115" t="inlineStr">
        <is>
          <t>400-Finance</t>
        </is>
      </c>
      <c r="M200" s="115" t="inlineStr">
        <is>
          <t>2000 AP</t>
        </is>
      </c>
    </row>
    <row r="201">
      <c r="A201" s="118" t="inlineStr">
        <is>
          <t>ERP-00198</t>
        </is>
      </c>
      <c r="B201" s="119" t="n">
        <v>46033</v>
      </c>
      <c r="C201" s="118" t="inlineStr">
        <is>
          <t>2026-01</t>
        </is>
      </c>
      <c r="D201" s="118" t="inlineStr">
        <is>
          <t>AP</t>
        </is>
      </c>
      <c r="E201" s="118" t="inlineStr">
        <is>
          <t>Metro Cleaning Ltd.</t>
        </is>
      </c>
      <c r="F201" s="118" t="inlineStr">
        <is>
          <t>Vendor payment - Metro Cleaning Ltd.</t>
        </is>
      </c>
      <c r="G201" s="118" t="inlineStr">
        <is>
          <t>REF-100198</t>
        </is>
      </c>
      <c r="H201" s="120" t="n">
        <v>0</v>
      </c>
      <c r="I201" s="120" t="n">
        <v>4124.83</v>
      </c>
      <c r="J201" s="120" t="n">
        <v>-4124.83</v>
      </c>
      <c r="K201" s="118" t="inlineStr">
        <is>
          <t>Credit Card</t>
        </is>
      </c>
      <c r="L201" s="118" t="inlineStr">
        <is>
          <t>400-Finance</t>
        </is>
      </c>
      <c r="M201" s="118" t="inlineStr">
        <is>
          <t>2000 AP</t>
        </is>
      </c>
    </row>
    <row r="202">
      <c r="A202" s="115" t="inlineStr">
        <is>
          <t>ERP-00199</t>
        </is>
      </c>
      <c r="B202" s="116" t="n">
        <v>46037</v>
      </c>
      <c r="C202" s="115" t="inlineStr">
        <is>
          <t>2026-01</t>
        </is>
      </c>
      <c r="D202" s="115" t="inlineStr">
        <is>
          <t>AR</t>
        </is>
      </c>
      <c r="E202" s="115" t="inlineStr">
        <is>
          <t>Maple Retail Group</t>
        </is>
      </c>
      <c r="F202" s="115" t="inlineStr">
        <is>
          <t>Customer payment - Maple Retail Group</t>
        </is>
      </c>
      <c r="G202" s="115" t="inlineStr">
        <is>
          <t>REF-100199</t>
        </is>
      </c>
      <c r="H202" s="117" t="n">
        <v>6218.9</v>
      </c>
      <c r="I202" s="117" t="n">
        <v>0</v>
      </c>
      <c r="J202" s="117" t="n">
        <v>6218.9</v>
      </c>
      <c r="K202" s="115" t="inlineStr">
        <is>
          <t>Credit Card</t>
        </is>
      </c>
      <c r="L202" s="115" t="inlineStr">
        <is>
          <t>500-IT</t>
        </is>
      </c>
      <c r="M202" s="115" t="inlineStr">
        <is>
          <t>1200 AR</t>
        </is>
      </c>
    </row>
    <row r="203">
      <c r="A203" s="118" t="inlineStr">
        <is>
          <t>ERP-00200</t>
        </is>
      </c>
      <c r="B203" s="119" t="n">
        <v>46031</v>
      </c>
      <c r="C203" s="118" t="inlineStr">
        <is>
          <t>2026-01</t>
        </is>
      </c>
      <c r="D203" s="118" t="inlineStr">
        <is>
          <t>AR</t>
        </is>
      </c>
      <c r="E203" s="118" t="inlineStr">
        <is>
          <t>Maple Retail Group</t>
        </is>
      </c>
      <c r="F203" s="118" t="inlineStr">
        <is>
          <t>Customer payment - Maple Retail Group</t>
        </is>
      </c>
      <c r="G203" s="118" t="inlineStr">
        <is>
          <t>REF-100200</t>
        </is>
      </c>
      <c r="H203" s="120" t="n">
        <v>776.59</v>
      </c>
      <c r="I203" s="120" t="n">
        <v>0</v>
      </c>
      <c r="J203" s="120" t="n">
        <v>776.59</v>
      </c>
      <c r="K203" s="118" t="inlineStr">
        <is>
          <t>Wire</t>
        </is>
      </c>
      <c r="L203" s="118" t="inlineStr">
        <is>
          <t>300-Ops</t>
        </is>
      </c>
      <c r="M203" s="118" t="inlineStr">
        <is>
          <t>1200 AR</t>
        </is>
      </c>
    </row>
    <row r="204">
      <c r="A204" s="115" t="inlineStr">
        <is>
          <t>ERP-00201</t>
        </is>
      </c>
      <c r="B204" s="116" t="n">
        <v>46027</v>
      </c>
      <c r="C204" s="115" t="inlineStr">
        <is>
          <t>2026-01</t>
        </is>
      </c>
      <c r="D204" s="115" t="inlineStr">
        <is>
          <t>Payroll</t>
        </is>
      </c>
      <c r="E204" s="115" t="inlineStr">
        <is>
          <t>Payroll Batch</t>
        </is>
      </c>
      <c r="F204" s="115" t="inlineStr">
        <is>
          <t>Payroll payment</t>
        </is>
      </c>
      <c r="G204" s="115" t="inlineStr">
        <is>
          <t>REF-100201</t>
        </is>
      </c>
      <c r="H204" s="117" t="n">
        <v>0</v>
      </c>
      <c r="I204" s="117" t="n">
        <v>12332.29</v>
      </c>
      <c r="J204" s="117" t="n">
        <v>-12332.29</v>
      </c>
      <c r="K204" s="115" t="inlineStr">
        <is>
          <t>Wire</t>
        </is>
      </c>
      <c r="L204" s="115" t="inlineStr">
        <is>
          <t>100-Admin</t>
        </is>
      </c>
      <c r="M204" s="115" t="inlineStr">
        <is>
          <t>5300 Payroll</t>
        </is>
      </c>
    </row>
    <row r="205">
      <c r="A205" s="118" t="inlineStr">
        <is>
          <t>ERP-00202</t>
        </is>
      </c>
      <c r="B205" s="119" t="n">
        <v>46034</v>
      </c>
      <c r="C205" s="118" t="inlineStr">
        <is>
          <t>2026-01</t>
        </is>
      </c>
      <c r="D205" s="118" t="inlineStr">
        <is>
          <t>AR</t>
        </is>
      </c>
      <c r="E205" s="118" t="inlineStr">
        <is>
          <t>West Van Fitness</t>
        </is>
      </c>
      <c r="F205" s="118" t="inlineStr">
        <is>
          <t>Customer payment - West Van Fitness</t>
        </is>
      </c>
      <c r="G205" s="118" t="inlineStr">
        <is>
          <t>REF-100202</t>
        </is>
      </c>
      <c r="H205" s="120" t="n">
        <v>420.42</v>
      </c>
      <c r="I205" s="120" t="n">
        <v>0</v>
      </c>
      <c r="J205" s="120" t="n">
        <v>420.42</v>
      </c>
      <c r="K205" s="118" t="inlineStr">
        <is>
          <t>Cheque</t>
        </is>
      </c>
      <c r="L205" s="118" t="inlineStr">
        <is>
          <t>400-Finance</t>
        </is>
      </c>
      <c r="M205" s="118" t="inlineStr">
        <is>
          <t>1200 AR</t>
        </is>
      </c>
    </row>
    <row r="206">
      <c r="A206" s="115" t="inlineStr">
        <is>
          <t>ERP-00203</t>
        </is>
      </c>
      <c r="B206" s="116" t="n">
        <v>46034</v>
      </c>
      <c r="C206" s="115" t="inlineStr">
        <is>
          <t>2026-01</t>
        </is>
      </c>
      <c r="D206" s="115" t="inlineStr">
        <is>
          <t>AR</t>
        </is>
      </c>
      <c r="E206" s="115" t="inlineStr">
        <is>
          <t>Maple Retail Group</t>
        </is>
      </c>
      <c r="F206" s="115" t="inlineStr">
        <is>
          <t>Customer payment - Maple Retail Group</t>
        </is>
      </c>
      <c r="G206" s="115" t="inlineStr">
        <is>
          <t>REF-100203</t>
        </is>
      </c>
      <c r="H206" s="117" t="n">
        <v>4942.25</v>
      </c>
      <c r="I206" s="117" t="n">
        <v>0</v>
      </c>
      <c r="J206" s="117" t="n">
        <v>4942.25</v>
      </c>
      <c r="K206" s="115" t="inlineStr">
        <is>
          <t>PAD</t>
        </is>
      </c>
      <c r="L206" s="115" t="inlineStr">
        <is>
          <t>300-Ops</t>
        </is>
      </c>
      <c r="M206" s="115" t="inlineStr">
        <is>
          <t>1200 AR</t>
        </is>
      </c>
    </row>
    <row r="207">
      <c r="A207" s="118" t="inlineStr">
        <is>
          <t>ERP-00204</t>
        </is>
      </c>
      <c r="B207" s="119" t="n">
        <v>46026</v>
      </c>
      <c r="C207" s="118" t="inlineStr">
        <is>
          <t>2026-01</t>
        </is>
      </c>
      <c r="D207" s="118" t="inlineStr">
        <is>
          <t>AP</t>
        </is>
      </c>
      <c r="E207" s="118" t="inlineStr">
        <is>
          <t>North Shore Telecom</t>
        </is>
      </c>
      <c r="F207" s="118" t="inlineStr">
        <is>
          <t>Vendor payment - North Shore Telecom</t>
        </is>
      </c>
      <c r="G207" s="118" t="inlineStr">
        <is>
          <t>REF-100204</t>
        </is>
      </c>
      <c r="H207" s="120" t="n">
        <v>0</v>
      </c>
      <c r="I207" s="120" t="n">
        <v>3134.15</v>
      </c>
      <c r="J207" s="120" t="n">
        <v>-3134.15</v>
      </c>
      <c r="K207" s="118" t="inlineStr">
        <is>
          <t>Wire</t>
        </is>
      </c>
      <c r="L207" s="118" t="inlineStr">
        <is>
          <t>500-IT</t>
        </is>
      </c>
      <c r="M207" s="118" t="inlineStr">
        <is>
          <t>2000 AP</t>
        </is>
      </c>
    </row>
    <row r="208">
      <c r="A208" s="115" t="inlineStr">
        <is>
          <t>ERP-00205</t>
        </is>
      </c>
      <c r="B208" s="116" t="n">
        <v>46029</v>
      </c>
      <c r="C208" s="115" t="inlineStr">
        <is>
          <t>2026-01</t>
        </is>
      </c>
      <c r="D208" s="115" t="inlineStr">
        <is>
          <t>Bank Fees</t>
        </is>
      </c>
      <c r="E208" s="115" t="inlineStr">
        <is>
          <t>Bank</t>
        </is>
      </c>
      <c r="F208" s="115" t="inlineStr">
        <is>
          <t>Monthly bank service charge</t>
        </is>
      </c>
      <c r="G208" s="115" t="inlineStr">
        <is>
          <t>REF-100205</t>
        </is>
      </c>
      <c r="H208" s="117" t="n">
        <v>0</v>
      </c>
      <c r="I208" s="117" t="n">
        <v>37.84</v>
      </c>
      <c r="J208" s="117" t="n">
        <v>-37.84</v>
      </c>
      <c r="K208" s="115" t="inlineStr">
        <is>
          <t>Wire</t>
        </is>
      </c>
      <c r="L208" s="115" t="inlineStr">
        <is>
          <t>200-Sales</t>
        </is>
      </c>
      <c r="M208" s="115" t="inlineStr">
        <is>
          <t>6100 Bank Fees</t>
        </is>
      </c>
    </row>
    <row r="209">
      <c r="A209" s="118" t="inlineStr">
        <is>
          <t>ERP-00206</t>
        </is>
      </c>
      <c r="B209" s="119" t="n">
        <v>46051</v>
      </c>
      <c r="C209" s="118" t="inlineStr">
        <is>
          <t>2026-01</t>
        </is>
      </c>
      <c r="D209" s="118" t="inlineStr">
        <is>
          <t>GL</t>
        </is>
      </c>
      <c r="E209" s="118" t="inlineStr">
        <is>
          <t>North Shore Telecom</t>
        </is>
      </c>
      <c r="F209" s="118" t="inlineStr">
        <is>
          <t>Manual GL entry</t>
        </is>
      </c>
      <c r="G209" s="118" t="inlineStr">
        <is>
          <t>REF-100206</t>
        </is>
      </c>
      <c r="H209" s="120" t="n">
        <v>0</v>
      </c>
      <c r="I209" s="120" t="n">
        <v>4062.04</v>
      </c>
      <c r="J209" s="120" t="n">
        <v>-4062.04</v>
      </c>
      <c r="K209" s="118" t="inlineStr">
        <is>
          <t>Credit Card</t>
        </is>
      </c>
      <c r="L209" s="118" t="inlineStr">
        <is>
          <t>100-Admin</t>
        </is>
      </c>
      <c r="M209" s="118" t="inlineStr">
        <is>
          <t>5200 Software</t>
        </is>
      </c>
    </row>
    <row r="210">
      <c r="A210" s="115" t="inlineStr">
        <is>
          <t>ERP-00207</t>
        </is>
      </c>
      <c r="B210" s="116" t="n">
        <v>46050</v>
      </c>
      <c r="C210" s="115" t="inlineStr">
        <is>
          <t>2026-01</t>
        </is>
      </c>
      <c r="D210" s="115" t="inlineStr">
        <is>
          <t>AP</t>
        </is>
      </c>
      <c r="E210" s="115" t="inlineStr">
        <is>
          <t>Staples Canada</t>
        </is>
      </c>
      <c r="F210" s="115" t="inlineStr">
        <is>
          <t>Vendor payment - Staples Canada</t>
        </is>
      </c>
      <c r="G210" s="115" t="inlineStr">
        <is>
          <t>REF-100207</t>
        </is>
      </c>
      <c r="H210" s="117" t="n">
        <v>0</v>
      </c>
      <c r="I210" s="117" t="n">
        <v>5755.23</v>
      </c>
      <c r="J210" s="117" t="n">
        <v>-5755.23</v>
      </c>
      <c r="K210" s="115" t="inlineStr">
        <is>
          <t>Cheque</t>
        </is>
      </c>
      <c r="L210" s="115" t="inlineStr">
        <is>
          <t>300-Ops</t>
        </is>
      </c>
      <c r="M210" s="115" t="inlineStr">
        <is>
          <t>2000 AP</t>
        </is>
      </c>
    </row>
    <row r="211">
      <c r="A211" s="118" t="inlineStr">
        <is>
          <t>ERP-00208</t>
        </is>
      </c>
      <c r="B211" s="119" t="n">
        <v>46048</v>
      </c>
      <c r="C211" s="118" t="inlineStr">
        <is>
          <t>2026-01</t>
        </is>
      </c>
      <c r="D211" s="118" t="inlineStr">
        <is>
          <t>AP</t>
        </is>
      </c>
      <c r="E211" s="118" t="inlineStr">
        <is>
          <t>Vancouver Courier</t>
        </is>
      </c>
      <c r="F211" s="118" t="inlineStr">
        <is>
          <t>Vendor payment - Vancouver Courier</t>
        </is>
      </c>
      <c r="G211" s="118" t="inlineStr">
        <is>
          <t>REF-100208</t>
        </is>
      </c>
      <c r="H211" s="120" t="n">
        <v>0</v>
      </c>
      <c r="I211" s="120" t="n">
        <v>3103.41</v>
      </c>
      <c r="J211" s="120" t="n">
        <v>-3103.41</v>
      </c>
      <c r="K211" s="118" t="inlineStr">
        <is>
          <t>Credit Card</t>
        </is>
      </c>
      <c r="L211" s="118" t="inlineStr">
        <is>
          <t>500-IT</t>
        </is>
      </c>
      <c r="M211" s="118" t="inlineStr">
        <is>
          <t>2000 AP</t>
        </is>
      </c>
    </row>
    <row r="212">
      <c r="A212" s="115" t="inlineStr">
        <is>
          <t>ERP-00209</t>
        </is>
      </c>
      <c r="B212" s="116" t="n">
        <v>46040</v>
      </c>
      <c r="C212" s="115" t="inlineStr">
        <is>
          <t>2026-01</t>
        </is>
      </c>
      <c r="D212" s="115" t="inlineStr">
        <is>
          <t>AP</t>
        </is>
      </c>
      <c r="E212" s="115" t="inlineStr">
        <is>
          <t>Pacific Office Supplies</t>
        </is>
      </c>
      <c r="F212" s="115" t="inlineStr">
        <is>
          <t>Vendor payment - Pacific Office Supplies</t>
        </is>
      </c>
      <c r="G212" s="115" t="inlineStr">
        <is>
          <t>REF-100209</t>
        </is>
      </c>
      <c r="H212" s="117" t="n">
        <v>0</v>
      </c>
      <c r="I212" s="117" t="n">
        <v>482.38</v>
      </c>
      <c r="J212" s="117" t="n">
        <v>-482.38</v>
      </c>
      <c r="K212" s="115" t="inlineStr">
        <is>
          <t>Wire</t>
        </is>
      </c>
      <c r="L212" s="115" t="inlineStr">
        <is>
          <t>400-Finance</t>
        </is>
      </c>
      <c r="M212" s="115" t="inlineStr">
        <is>
          <t>2000 AP</t>
        </is>
      </c>
    </row>
    <row r="213">
      <c r="A213" s="118" t="inlineStr">
        <is>
          <t>ERP-00210</t>
        </is>
      </c>
      <c r="B213" s="119" t="n">
        <v>46025</v>
      </c>
      <c r="C213" s="118" t="inlineStr">
        <is>
          <t>2026-01</t>
        </is>
      </c>
      <c r="D213" s="118" t="inlineStr">
        <is>
          <t>AP</t>
        </is>
      </c>
      <c r="E213" s="118" t="inlineStr">
        <is>
          <t>Metro Cleaning Ltd.</t>
        </is>
      </c>
      <c r="F213" s="118" t="inlineStr">
        <is>
          <t>Vendor payment - Metro Cleaning Ltd.</t>
        </is>
      </c>
      <c r="G213" s="118" t="inlineStr">
        <is>
          <t>REF-100210</t>
        </is>
      </c>
      <c r="H213" s="120" t="n">
        <v>0</v>
      </c>
      <c r="I213" s="120" t="n">
        <v>4011.11</v>
      </c>
      <c r="J213" s="120" t="n">
        <v>-4011.11</v>
      </c>
      <c r="K213" s="118" t="inlineStr">
        <is>
          <t>Wire</t>
        </is>
      </c>
      <c r="L213" s="118" t="inlineStr">
        <is>
          <t>400-Finance</t>
        </is>
      </c>
      <c r="M213" s="118" t="inlineStr">
        <is>
          <t>2000 AP</t>
        </is>
      </c>
    </row>
    <row r="214">
      <c r="A214" s="115" t="inlineStr">
        <is>
          <t>ERP-00211</t>
        </is>
      </c>
      <c r="B214" s="116" t="n">
        <v>46049</v>
      </c>
      <c r="C214" s="115" t="inlineStr">
        <is>
          <t>2026-01</t>
        </is>
      </c>
      <c r="D214" s="115" t="inlineStr">
        <is>
          <t>GL</t>
        </is>
      </c>
      <c r="E214" s="115" t="inlineStr">
        <is>
          <t>Granville Medical</t>
        </is>
      </c>
      <c r="F214" s="115" t="inlineStr">
        <is>
          <t>Manual GL entry</t>
        </is>
      </c>
      <c r="G214" s="115" t="inlineStr">
        <is>
          <t>REF-100211</t>
        </is>
      </c>
      <c r="H214" s="117" t="n">
        <v>0</v>
      </c>
      <c r="I214" s="117" t="n">
        <v>2959.54</v>
      </c>
      <c r="J214" s="117" t="n">
        <v>-2959.54</v>
      </c>
      <c r="K214" s="115" t="inlineStr">
        <is>
          <t>Wire</t>
        </is>
      </c>
      <c r="L214" s="115" t="inlineStr">
        <is>
          <t>500-IT</t>
        </is>
      </c>
      <c r="M214" s="115" t="inlineStr">
        <is>
          <t>2000 AP</t>
        </is>
      </c>
    </row>
    <row r="215">
      <c r="A215" s="118" t="inlineStr">
        <is>
          <t>ERP-00212</t>
        </is>
      </c>
      <c r="B215" s="119" t="n">
        <v>46024</v>
      </c>
      <c r="C215" s="118" t="inlineStr">
        <is>
          <t>2026-01</t>
        </is>
      </c>
      <c r="D215" s="118" t="inlineStr">
        <is>
          <t>Payroll</t>
        </is>
      </c>
      <c r="E215" s="118" t="inlineStr">
        <is>
          <t>Payroll Batch</t>
        </is>
      </c>
      <c r="F215" s="118" t="inlineStr">
        <is>
          <t>Payroll payment</t>
        </is>
      </c>
      <c r="G215" s="118" t="inlineStr">
        <is>
          <t>REF-100212</t>
        </is>
      </c>
      <c r="H215" s="120" t="n">
        <v>0</v>
      </c>
      <c r="I215" s="120" t="n">
        <v>10012.48</v>
      </c>
      <c r="J215" s="120" t="n">
        <v>-10012.48</v>
      </c>
      <c r="K215" s="118" t="inlineStr">
        <is>
          <t>Credit Card</t>
        </is>
      </c>
      <c r="L215" s="118" t="inlineStr">
        <is>
          <t>200-Sales</t>
        </is>
      </c>
      <c r="M215" s="118" t="inlineStr">
        <is>
          <t>5300 Payroll</t>
        </is>
      </c>
    </row>
    <row r="216">
      <c r="A216" s="115" t="inlineStr">
        <is>
          <t>ERP-00213</t>
        </is>
      </c>
      <c r="B216" s="116" t="n">
        <v>46053</v>
      </c>
      <c r="C216" s="115" t="inlineStr">
        <is>
          <t>2026-01</t>
        </is>
      </c>
      <c r="D216" s="115" t="inlineStr">
        <is>
          <t>AR</t>
        </is>
      </c>
      <c r="E216" s="115" t="inlineStr">
        <is>
          <t>Raincity Tech</t>
        </is>
      </c>
      <c r="F216" s="115" t="inlineStr">
        <is>
          <t>Customer payment - Raincity Tech</t>
        </is>
      </c>
      <c r="G216" s="115" t="inlineStr">
        <is>
          <t>REF-100213</t>
        </is>
      </c>
      <c r="H216" s="117" t="n">
        <v>7213.55</v>
      </c>
      <c r="I216" s="117" t="n">
        <v>0</v>
      </c>
      <c r="J216" s="117" t="n">
        <v>7213.55</v>
      </c>
      <c r="K216" s="115" t="inlineStr">
        <is>
          <t>Credit Card</t>
        </is>
      </c>
      <c r="L216" s="115" t="inlineStr">
        <is>
          <t>200-Sales</t>
        </is>
      </c>
      <c r="M216" s="115" t="inlineStr">
        <is>
          <t>1200 AR</t>
        </is>
      </c>
    </row>
    <row r="217">
      <c r="A217" s="118" t="inlineStr">
        <is>
          <t>ERP-00214</t>
        </is>
      </c>
      <c r="B217" s="119" t="n">
        <v>46032</v>
      </c>
      <c r="C217" s="118" t="inlineStr">
        <is>
          <t>2026-01</t>
        </is>
      </c>
      <c r="D217" s="118" t="inlineStr">
        <is>
          <t>AR</t>
        </is>
      </c>
      <c r="E217" s="118" t="inlineStr">
        <is>
          <t>Maple Retail Group</t>
        </is>
      </c>
      <c r="F217" s="118" t="inlineStr">
        <is>
          <t>Customer payment - Maple Retail Group</t>
        </is>
      </c>
      <c r="G217" s="118" t="inlineStr">
        <is>
          <t>REF-100214</t>
        </is>
      </c>
      <c r="H217" s="120" t="n">
        <v>4346.49</v>
      </c>
      <c r="I217" s="120" t="n">
        <v>0</v>
      </c>
      <c r="J217" s="120" t="n">
        <v>4346.49</v>
      </c>
      <c r="K217" s="118" t="inlineStr">
        <is>
          <t>Cheque</t>
        </is>
      </c>
      <c r="L217" s="118" t="inlineStr">
        <is>
          <t>500-IT</t>
        </is>
      </c>
      <c r="M217" s="118" t="inlineStr">
        <is>
          <t>1200 AR</t>
        </is>
      </c>
    </row>
    <row r="218">
      <c r="A218" s="115" t="inlineStr">
        <is>
          <t>ERP-00215</t>
        </is>
      </c>
      <c r="B218" s="116" t="n">
        <v>46027</v>
      </c>
      <c r="C218" s="115" t="inlineStr">
        <is>
          <t>2026-01</t>
        </is>
      </c>
      <c r="D218" s="115" t="inlineStr">
        <is>
          <t>AP</t>
        </is>
      </c>
      <c r="E218" s="115" t="inlineStr">
        <is>
          <t>Amazon Business</t>
        </is>
      </c>
      <c r="F218" s="115" t="inlineStr">
        <is>
          <t>Vendor payment - Amazon Business</t>
        </is>
      </c>
      <c r="G218" s="115" t="inlineStr">
        <is>
          <t>REF-100215</t>
        </is>
      </c>
      <c r="H218" s="117" t="n">
        <v>0</v>
      </c>
      <c r="I218" s="117" t="n">
        <v>4490.27</v>
      </c>
      <c r="J218" s="117" t="n">
        <v>-4490.27</v>
      </c>
      <c r="K218" s="115" t="inlineStr">
        <is>
          <t>PAD</t>
        </is>
      </c>
      <c r="L218" s="115" t="inlineStr">
        <is>
          <t>300-Ops</t>
        </is>
      </c>
      <c r="M218" s="115" t="inlineStr">
        <is>
          <t>2000 AP</t>
        </is>
      </c>
    </row>
    <row r="219">
      <c r="A219" s="118" t="inlineStr">
        <is>
          <t>ERP-00216</t>
        </is>
      </c>
      <c r="B219" s="119" t="n">
        <v>46041</v>
      </c>
      <c r="C219" s="118" t="inlineStr">
        <is>
          <t>2026-01</t>
        </is>
      </c>
      <c r="D219" s="118" t="inlineStr">
        <is>
          <t>AP</t>
        </is>
      </c>
      <c r="E219" s="118" t="inlineStr">
        <is>
          <t>Vancouver Courier</t>
        </is>
      </c>
      <c r="F219" s="118" t="inlineStr">
        <is>
          <t>Vendor payment - Vancouver Courier</t>
        </is>
      </c>
      <c r="G219" s="118" t="inlineStr">
        <is>
          <t>REF-100216</t>
        </is>
      </c>
      <c r="H219" s="120" t="n">
        <v>0</v>
      </c>
      <c r="I219" s="120" t="n">
        <v>253.65</v>
      </c>
      <c r="J219" s="120" t="n">
        <v>-253.65</v>
      </c>
      <c r="K219" s="118" t="inlineStr">
        <is>
          <t>EFT</t>
        </is>
      </c>
      <c r="L219" s="118" t="inlineStr">
        <is>
          <t>500-IT</t>
        </is>
      </c>
      <c r="M219" s="118" t="inlineStr">
        <is>
          <t>2000 AP</t>
        </is>
      </c>
    </row>
    <row r="220">
      <c r="A220" s="115" t="inlineStr">
        <is>
          <t>ERP-00217</t>
        </is>
      </c>
      <c r="B220" s="116" t="n">
        <v>46036</v>
      </c>
      <c r="C220" s="115" t="inlineStr">
        <is>
          <t>2026-01</t>
        </is>
      </c>
      <c r="D220" s="115" t="inlineStr">
        <is>
          <t>AR</t>
        </is>
      </c>
      <c r="E220" s="115" t="inlineStr">
        <is>
          <t>Maple Retail Group</t>
        </is>
      </c>
      <c r="F220" s="115" t="inlineStr">
        <is>
          <t>Customer payment - Maple Retail Group</t>
        </is>
      </c>
      <c r="G220" s="115" t="inlineStr">
        <is>
          <t>REF-100217</t>
        </is>
      </c>
      <c r="H220" s="117" t="n">
        <v>4308.62</v>
      </c>
      <c r="I220" s="117" t="n">
        <v>0</v>
      </c>
      <c r="J220" s="117" t="n">
        <v>4308.62</v>
      </c>
      <c r="K220" s="115" t="inlineStr">
        <is>
          <t>PAD</t>
        </is>
      </c>
      <c r="L220" s="115" t="inlineStr">
        <is>
          <t>300-Ops</t>
        </is>
      </c>
      <c r="M220" s="115" t="inlineStr">
        <is>
          <t>1200 AR</t>
        </is>
      </c>
    </row>
    <row r="221">
      <c r="A221" s="118" t="inlineStr">
        <is>
          <t>ERP-00218</t>
        </is>
      </c>
      <c r="B221" s="119" t="n">
        <v>46048</v>
      </c>
      <c r="C221" s="118" t="inlineStr">
        <is>
          <t>2026-01</t>
        </is>
      </c>
      <c r="D221" s="118" t="inlineStr">
        <is>
          <t>Payroll</t>
        </is>
      </c>
      <c r="E221" s="118" t="inlineStr">
        <is>
          <t>Payroll Batch</t>
        </is>
      </c>
      <c r="F221" s="118" t="inlineStr">
        <is>
          <t>Payroll payment</t>
        </is>
      </c>
      <c r="G221" s="118" t="inlineStr">
        <is>
          <t>REF-100218</t>
        </is>
      </c>
      <c r="H221" s="120" t="n">
        <v>0</v>
      </c>
      <c r="I221" s="120" t="n">
        <v>8388.34</v>
      </c>
      <c r="J221" s="120" t="n">
        <v>-8388.34</v>
      </c>
      <c r="K221" s="118" t="inlineStr">
        <is>
          <t>Wire</t>
        </is>
      </c>
      <c r="L221" s="118" t="inlineStr">
        <is>
          <t>100-Admin</t>
        </is>
      </c>
      <c r="M221" s="118" t="inlineStr">
        <is>
          <t>5300 Payroll</t>
        </is>
      </c>
    </row>
    <row r="222">
      <c r="A222" s="115" t="inlineStr">
        <is>
          <t>ERP-00219</t>
        </is>
      </c>
      <c r="B222" s="116" t="n">
        <v>46038</v>
      </c>
      <c r="C222" s="115" t="inlineStr">
        <is>
          <t>2026-01</t>
        </is>
      </c>
      <c r="D222" s="115" t="inlineStr">
        <is>
          <t>AR</t>
        </is>
      </c>
      <c r="E222" s="115" t="inlineStr">
        <is>
          <t>Raincity Tech</t>
        </is>
      </c>
      <c r="F222" s="115" t="inlineStr">
        <is>
          <t>Customer payment - Raincity Tech</t>
        </is>
      </c>
      <c r="G222" s="115" t="inlineStr">
        <is>
          <t>REF-100219</t>
        </is>
      </c>
      <c r="H222" s="117" t="n">
        <v>5215.61</v>
      </c>
      <c r="I222" s="117" t="n">
        <v>0</v>
      </c>
      <c r="J222" s="117" t="n">
        <v>5215.61</v>
      </c>
      <c r="K222" s="115" t="inlineStr">
        <is>
          <t>Credit Card</t>
        </is>
      </c>
      <c r="L222" s="115" t="inlineStr">
        <is>
          <t>300-Ops</t>
        </is>
      </c>
      <c r="M222" s="115" t="inlineStr">
        <is>
          <t>1200 AR</t>
        </is>
      </c>
    </row>
    <row r="223">
      <c r="A223" s="118" t="inlineStr">
        <is>
          <t>ERP-00220</t>
        </is>
      </c>
      <c r="B223" s="119" t="n">
        <v>46027</v>
      </c>
      <c r="C223" s="118" t="inlineStr">
        <is>
          <t>2026-01</t>
        </is>
      </c>
      <c r="D223" s="118" t="inlineStr">
        <is>
          <t>GL</t>
        </is>
      </c>
      <c r="E223" s="118" t="inlineStr">
        <is>
          <t>Coastline Foods</t>
        </is>
      </c>
      <c r="F223" s="118" t="inlineStr">
        <is>
          <t>Manual GL entry</t>
        </is>
      </c>
      <c r="G223" s="118" t="inlineStr">
        <is>
          <t>REF-100220</t>
        </is>
      </c>
      <c r="H223" s="120" t="n">
        <v>2830.17</v>
      </c>
      <c r="I223" s="120" t="n">
        <v>0</v>
      </c>
      <c r="J223" s="120" t="n">
        <v>2830.17</v>
      </c>
      <c r="K223" s="118" t="inlineStr">
        <is>
          <t>EFT</t>
        </is>
      </c>
      <c r="L223" s="118" t="inlineStr">
        <is>
          <t>300-Ops</t>
        </is>
      </c>
      <c r="M223" s="118" t="inlineStr">
        <is>
          <t>6100 Bank Fees</t>
        </is>
      </c>
    </row>
    <row r="224">
      <c r="A224" s="115" t="inlineStr">
        <is>
          <t>ERP-00221</t>
        </is>
      </c>
      <c r="B224" s="116" t="n">
        <v>46032</v>
      </c>
      <c r="C224" s="115" t="inlineStr">
        <is>
          <t>2026-01</t>
        </is>
      </c>
      <c r="D224" s="115" t="inlineStr">
        <is>
          <t>Bank Fees</t>
        </is>
      </c>
      <c r="E224" s="115" t="inlineStr">
        <is>
          <t>Bank</t>
        </is>
      </c>
      <c r="F224" s="115" t="inlineStr">
        <is>
          <t>Monthly bank service charge</t>
        </is>
      </c>
      <c r="G224" s="115" t="inlineStr">
        <is>
          <t>REF-100221</t>
        </is>
      </c>
      <c r="H224" s="117" t="n">
        <v>0</v>
      </c>
      <c r="I224" s="117" t="n">
        <v>104.38</v>
      </c>
      <c r="J224" s="117" t="n">
        <v>-104.38</v>
      </c>
      <c r="K224" s="115" t="inlineStr">
        <is>
          <t>Wire</t>
        </is>
      </c>
      <c r="L224" s="115" t="inlineStr">
        <is>
          <t>200-Sales</t>
        </is>
      </c>
      <c r="M224" s="115" t="inlineStr">
        <is>
          <t>6100 Bank Fees</t>
        </is>
      </c>
    </row>
    <row r="225">
      <c r="A225" s="118" t="inlineStr">
        <is>
          <t>ERP-00222</t>
        </is>
      </c>
      <c r="B225" s="119" t="n">
        <v>46051</v>
      </c>
      <c r="C225" s="118" t="inlineStr">
        <is>
          <t>2026-01</t>
        </is>
      </c>
      <c r="D225" s="118" t="inlineStr">
        <is>
          <t>AP</t>
        </is>
      </c>
      <c r="E225" s="118" t="inlineStr">
        <is>
          <t>Metro Cleaning Ltd.</t>
        </is>
      </c>
      <c r="F225" s="118" t="inlineStr">
        <is>
          <t>Vendor payment - Metro Cleaning Ltd.</t>
        </is>
      </c>
      <c r="G225" s="118" t="inlineStr">
        <is>
          <t>REF-100222</t>
        </is>
      </c>
      <c r="H225" s="120" t="n">
        <v>0</v>
      </c>
      <c r="I225" s="120" t="n">
        <v>5794.56</v>
      </c>
      <c r="J225" s="120" t="n">
        <v>-5794.56</v>
      </c>
      <c r="K225" s="118" t="inlineStr">
        <is>
          <t>Credit Card</t>
        </is>
      </c>
      <c r="L225" s="118" t="inlineStr">
        <is>
          <t>200-Sales</t>
        </is>
      </c>
      <c r="M225" s="118" t="inlineStr">
        <is>
          <t>2000 AP</t>
        </is>
      </c>
    </row>
    <row r="226">
      <c r="A226" s="115" t="inlineStr">
        <is>
          <t>ERP-00223</t>
        </is>
      </c>
      <c r="B226" s="116" t="n">
        <v>46037</v>
      </c>
      <c r="C226" s="115" t="inlineStr">
        <is>
          <t>2026-01</t>
        </is>
      </c>
      <c r="D226" s="115" t="inlineStr">
        <is>
          <t>AR</t>
        </is>
      </c>
      <c r="E226" s="115" t="inlineStr">
        <is>
          <t>Raincity Tech</t>
        </is>
      </c>
      <c r="F226" s="115" t="inlineStr">
        <is>
          <t>Customer payment - Raincity Tech</t>
        </is>
      </c>
      <c r="G226" s="115" t="inlineStr">
        <is>
          <t>REF-100223</t>
        </is>
      </c>
      <c r="H226" s="117" t="n">
        <v>4303.04</v>
      </c>
      <c r="I226" s="117" t="n">
        <v>0</v>
      </c>
      <c r="J226" s="117" t="n">
        <v>4303.04</v>
      </c>
      <c r="K226" s="115" t="inlineStr">
        <is>
          <t>EFT</t>
        </is>
      </c>
      <c r="L226" s="115" t="inlineStr">
        <is>
          <t>400-Finance</t>
        </is>
      </c>
      <c r="M226" s="115" t="inlineStr">
        <is>
          <t>1200 AR</t>
        </is>
      </c>
    </row>
    <row r="227">
      <c r="A227" s="118" t="inlineStr">
        <is>
          <t>ERP-00224</t>
        </is>
      </c>
      <c r="B227" s="119" t="n">
        <v>46034</v>
      </c>
      <c r="C227" s="118" t="inlineStr">
        <is>
          <t>2026-01</t>
        </is>
      </c>
      <c r="D227" s="118" t="inlineStr">
        <is>
          <t>AP</t>
        </is>
      </c>
      <c r="E227" s="118" t="inlineStr">
        <is>
          <t>Metro Cleaning Ltd.</t>
        </is>
      </c>
      <c r="F227" s="118" t="inlineStr">
        <is>
          <t>Vendor payment - Metro Cleaning Ltd.</t>
        </is>
      </c>
      <c r="G227" s="118" t="inlineStr">
        <is>
          <t>REF-100224</t>
        </is>
      </c>
      <c r="H227" s="120" t="n">
        <v>0</v>
      </c>
      <c r="I227" s="120" t="n">
        <v>3108.75</v>
      </c>
      <c r="J227" s="120" t="n">
        <v>-3108.75</v>
      </c>
      <c r="K227" s="118" t="inlineStr">
        <is>
          <t>Wire</t>
        </is>
      </c>
      <c r="L227" s="118" t="inlineStr">
        <is>
          <t>300-Ops</t>
        </is>
      </c>
      <c r="M227" s="118" t="inlineStr">
        <is>
          <t>2000 AP</t>
        </is>
      </c>
    </row>
    <row r="228">
      <c r="A228" s="115" t="inlineStr">
        <is>
          <t>ERP-00225</t>
        </is>
      </c>
      <c r="B228" s="116" t="n">
        <v>46051</v>
      </c>
      <c r="C228" s="115" t="inlineStr">
        <is>
          <t>2026-01</t>
        </is>
      </c>
      <c r="D228" s="115" t="inlineStr">
        <is>
          <t>AP</t>
        </is>
      </c>
      <c r="E228" s="115" t="inlineStr">
        <is>
          <t>Metro Cleaning Ltd.</t>
        </is>
      </c>
      <c r="F228" s="115" t="inlineStr">
        <is>
          <t>Vendor payment - Metro Cleaning Ltd.</t>
        </is>
      </c>
      <c r="G228" s="115" t="inlineStr">
        <is>
          <t>REF-100225</t>
        </is>
      </c>
      <c r="H228" s="117" t="n">
        <v>0</v>
      </c>
      <c r="I228" s="117" t="n">
        <v>4754.8</v>
      </c>
      <c r="J228" s="117" t="n">
        <v>-4754.8</v>
      </c>
      <c r="K228" s="115" t="inlineStr">
        <is>
          <t>Credit Card</t>
        </is>
      </c>
      <c r="L228" s="115" t="inlineStr">
        <is>
          <t>100-Admin</t>
        </is>
      </c>
      <c r="M228" s="115" t="inlineStr">
        <is>
          <t>2000 AP</t>
        </is>
      </c>
    </row>
    <row r="229">
      <c r="A229" s="118" t="inlineStr">
        <is>
          <t>ERP-00226</t>
        </is>
      </c>
      <c r="B229" s="119" t="n">
        <v>46032</v>
      </c>
      <c r="C229" s="118" t="inlineStr">
        <is>
          <t>2026-01</t>
        </is>
      </c>
      <c r="D229" s="118" t="inlineStr">
        <is>
          <t>AP</t>
        </is>
      </c>
      <c r="E229" s="118" t="inlineStr">
        <is>
          <t>Amazon Business</t>
        </is>
      </c>
      <c r="F229" s="118" t="inlineStr">
        <is>
          <t>Vendor payment - Amazon Business</t>
        </is>
      </c>
      <c r="G229" s="118" t="inlineStr">
        <is>
          <t>REF-100226</t>
        </is>
      </c>
      <c r="H229" s="120" t="n">
        <v>0</v>
      </c>
      <c r="I229" s="120" t="n">
        <v>2836.17</v>
      </c>
      <c r="J229" s="120" t="n">
        <v>-2836.17</v>
      </c>
      <c r="K229" s="118" t="inlineStr">
        <is>
          <t>PAD</t>
        </is>
      </c>
      <c r="L229" s="118" t="inlineStr">
        <is>
          <t>300-Ops</t>
        </is>
      </c>
      <c r="M229" s="118" t="inlineStr">
        <is>
          <t>2000 AP</t>
        </is>
      </c>
    </row>
    <row r="230">
      <c r="A230" s="115" t="inlineStr">
        <is>
          <t>ERP-00227</t>
        </is>
      </c>
      <c r="B230" s="116" t="n">
        <v>46042</v>
      </c>
      <c r="C230" s="115" t="inlineStr">
        <is>
          <t>2026-01</t>
        </is>
      </c>
      <c r="D230" s="115" t="inlineStr">
        <is>
          <t>GL</t>
        </is>
      </c>
      <c r="E230" s="115" t="inlineStr">
        <is>
          <t>North Shore Telecom</t>
        </is>
      </c>
      <c r="F230" s="115" t="inlineStr">
        <is>
          <t>Manual GL entry</t>
        </is>
      </c>
      <c r="G230" s="115" t="inlineStr">
        <is>
          <t>REF-100227</t>
        </is>
      </c>
      <c r="H230" s="117" t="n">
        <v>686.88</v>
      </c>
      <c r="I230" s="117" t="n">
        <v>0</v>
      </c>
      <c r="J230" s="117" t="n">
        <v>686.88</v>
      </c>
      <c r="K230" s="115" t="inlineStr">
        <is>
          <t>Credit Card</t>
        </is>
      </c>
      <c r="L230" s="115" t="inlineStr">
        <is>
          <t>500-IT</t>
        </is>
      </c>
      <c r="M230" s="115" t="inlineStr">
        <is>
          <t>5200 Software</t>
        </is>
      </c>
    </row>
    <row r="231">
      <c r="A231" s="118" t="inlineStr">
        <is>
          <t>ERP-00228</t>
        </is>
      </c>
      <c r="B231" s="119" t="n">
        <v>46047</v>
      </c>
      <c r="C231" s="118" t="inlineStr">
        <is>
          <t>2026-01</t>
        </is>
      </c>
      <c r="D231" s="118" t="inlineStr">
        <is>
          <t>AP</t>
        </is>
      </c>
      <c r="E231" s="118" t="inlineStr">
        <is>
          <t>Amazon Business</t>
        </is>
      </c>
      <c r="F231" s="118" t="inlineStr">
        <is>
          <t>Vendor payment - Amazon Business</t>
        </is>
      </c>
      <c r="G231" s="118" t="inlineStr">
        <is>
          <t>REF-100228</t>
        </is>
      </c>
      <c r="H231" s="120" t="n">
        <v>0</v>
      </c>
      <c r="I231" s="120" t="n">
        <v>3195.83</v>
      </c>
      <c r="J231" s="120" t="n">
        <v>-3195.83</v>
      </c>
      <c r="K231" s="118" t="inlineStr">
        <is>
          <t>PAD</t>
        </is>
      </c>
      <c r="L231" s="118" t="inlineStr">
        <is>
          <t>100-Admin</t>
        </is>
      </c>
      <c r="M231" s="118" t="inlineStr">
        <is>
          <t>2000 AP</t>
        </is>
      </c>
    </row>
    <row r="232">
      <c r="A232" s="115" t="inlineStr">
        <is>
          <t>ERP-00229</t>
        </is>
      </c>
      <c r="B232" s="116" t="n">
        <v>46048</v>
      </c>
      <c r="C232" s="115" t="inlineStr">
        <is>
          <t>2026-01</t>
        </is>
      </c>
      <c r="D232" s="115" t="inlineStr">
        <is>
          <t>AR</t>
        </is>
      </c>
      <c r="E232" s="115" t="inlineStr">
        <is>
          <t>Granville Medical</t>
        </is>
      </c>
      <c r="F232" s="115" t="inlineStr">
        <is>
          <t>Customer payment - Granville Medical</t>
        </is>
      </c>
      <c r="G232" s="115" t="inlineStr">
        <is>
          <t>REF-100229</t>
        </is>
      </c>
      <c r="H232" s="117" t="n">
        <v>1393.65</v>
      </c>
      <c r="I232" s="117" t="n">
        <v>0</v>
      </c>
      <c r="J232" s="117" t="n">
        <v>1393.65</v>
      </c>
      <c r="K232" s="115" t="inlineStr">
        <is>
          <t>PAD</t>
        </is>
      </c>
      <c r="L232" s="115" t="inlineStr">
        <is>
          <t>200-Sales</t>
        </is>
      </c>
      <c r="M232" s="115" t="inlineStr">
        <is>
          <t>1200 AR</t>
        </is>
      </c>
    </row>
    <row r="233">
      <c r="A233" s="118" t="inlineStr">
        <is>
          <t>ERP-00230</t>
        </is>
      </c>
      <c r="B233" s="119" t="n">
        <v>46042</v>
      </c>
      <c r="C233" s="118" t="inlineStr">
        <is>
          <t>2026-01</t>
        </is>
      </c>
      <c r="D233" s="118" t="inlineStr">
        <is>
          <t>GL</t>
        </is>
      </c>
      <c r="E233" s="118" t="inlineStr">
        <is>
          <t>Amazon Business</t>
        </is>
      </c>
      <c r="F233" s="118" t="inlineStr">
        <is>
          <t>Manual GL entry</t>
        </is>
      </c>
      <c r="G233" s="118" t="inlineStr">
        <is>
          <t>REF-100230</t>
        </is>
      </c>
      <c r="H233" s="120" t="n">
        <v>0</v>
      </c>
      <c r="I233" s="120" t="n">
        <v>2988.94</v>
      </c>
      <c r="J233" s="120" t="n">
        <v>-2988.94</v>
      </c>
      <c r="K233" s="118" t="inlineStr">
        <is>
          <t>PAD</t>
        </is>
      </c>
      <c r="L233" s="118" t="inlineStr">
        <is>
          <t>300-Ops</t>
        </is>
      </c>
      <c r="M233" s="118" t="inlineStr">
        <is>
          <t>6100 Bank Fees</t>
        </is>
      </c>
    </row>
    <row r="234">
      <c r="A234" s="115" t="inlineStr">
        <is>
          <t>ERP-00231</t>
        </is>
      </c>
      <c r="B234" s="116" t="n">
        <v>46044</v>
      </c>
      <c r="C234" s="115" t="inlineStr">
        <is>
          <t>2026-01</t>
        </is>
      </c>
      <c r="D234" s="115" t="inlineStr">
        <is>
          <t>AP</t>
        </is>
      </c>
      <c r="E234" s="115" t="inlineStr">
        <is>
          <t>BC Hydro</t>
        </is>
      </c>
      <c r="F234" s="115" t="inlineStr">
        <is>
          <t>Vendor payment - BC Hydro</t>
        </is>
      </c>
      <c r="G234" s="115" t="inlineStr">
        <is>
          <t>REF-100231</t>
        </is>
      </c>
      <c r="H234" s="117" t="n">
        <v>0</v>
      </c>
      <c r="I234" s="117" t="n">
        <v>3652.26</v>
      </c>
      <c r="J234" s="117" t="n">
        <v>-3652.26</v>
      </c>
      <c r="K234" s="115" t="inlineStr">
        <is>
          <t>EFT</t>
        </is>
      </c>
      <c r="L234" s="115" t="inlineStr">
        <is>
          <t>500-IT</t>
        </is>
      </c>
      <c r="M234" s="115" t="inlineStr">
        <is>
          <t>2000 AP</t>
        </is>
      </c>
    </row>
    <row r="235">
      <c r="A235" s="118" t="inlineStr">
        <is>
          <t>ERP-00232</t>
        </is>
      </c>
      <c r="B235" s="119" t="n">
        <v>46041</v>
      </c>
      <c r="C235" s="118" t="inlineStr">
        <is>
          <t>2026-01</t>
        </is>
      </c>
      <c r="D235" s="118" t="inlineStr">
        <is>
          <t>AR</t>
        </is>
      </c>
      <c r="E235" s="118" t="inlineStr">
        <is>
          <t>West Van Fitness</t>
        </is>
      </c>
      <c r="F235" s="118" t="inlineStr">
        <is>
          <t>Customer payment - West Van Fitness</t>
        </is>
      </c>
      <c r="G235" s="118" t="inlineStr">
        <is>
          <t>REF-100232</t>
        </is>
      </c>
      <c r="H235" s="120" t="n">
        <v>5402.36</v>
      </c>
      <c r="I235" s="120" t="n">
        <v>0</v>
      </c>
      <c r="J235" s="120" t="n">
        <v>5402.36</v>
      </c>
      <c r="K235" s="118" t="inlineStr">
        <is>
          <t>PAD</t>
        </is>
      </c>
      <c r="L235" s="118" t="inlineStr">
        <is>
          <t>400-Finance</t>
        </is>
      </c>
      <c r="M235" s="118" t="inlineStr">
        <is>
          <t>1200 AR</t>
        </is>
      </c>
    </row>
    <row r="236">
      <c r="A236" s="115" t="inlineStr">
        <is>
          <t>ERP-00233</t>
        </is>
      </c>
      <c r="B236" s="116" t="n">
        <v>46029</v>
      </c>
      <c r="C236" s="115" t="inlineStr">
        <is>
          <t>2026-01</t>
        </is>
      </c>
      <c r="D236" s="115" t="inlineStr">
        <is>
          <t>AP</t>
        </is>
      </c>
      <c r="E236" s="115" t="inlineStr">
        <is>
          <t>Metro Cleaning Ltd.</t>
        </is>
      </c>
      <c r="F236" s="115" t="inlineStr">
        <is>
          <t>Vendor payment - Metro Cleaning Ltd.</t>
        </is>
      </c>
      <c r="G236" s="115" t="inlineStr">
        <is>
          <t>REF-100233</t>
        </is>
      </c>
      <c r="H236" s="117" t="n">
        <v>0</v>
      </c>
      <c r="I236" s="117" t="n">
        <v>2642.94</v>
      </c>
      <c r="J236" s="117" t="n">
        <v>-2642.94</v>
      </c>
      <c r="K236" s="115" t="inlineStr">
        <is>
          <t>Wire</t>
        </is>
      </c>
      <c r="L236" s="115" t="inlineStr">
        <is>
          <t>200-Sales</t>
        </is>
      </c>
      <c r="M236" s="115" t="inlineStr">
        <is>
          <t>2000 AP</t>
        </is>
      </c>
    </row>
    <row r="237">
      <c r="A237" s="118" t="inlineStr">
        <is>
          <t>ERP-00234</t>
        </is>
      </c>
      <c r="B237" s="119" t="n">
        <v>46046</v>
      </c>
      <c r="C237" s="118" t="inlineStr">
        <is>
          <t>2026-01</t>
        </is>
      </c>
      <c r="D237" s="118" t="inlineStr">
        <is>
          <t>GL</t>
        </is>
      </c>
      <c r="E237" s="118" t="inlineStr">
        <is>
          <t>West Van Fitness</t>
        </is>
      </c>
      <c r="F237" s="118" t="inlineStr">
        <is>
          <t>Manual GL entry</t>
        </is>
      </c>
      <c r="G237" s="118" t="inlineStr">
        <is>
          <t>REF-100234</t>
        </is>
      </c>
      <c r="H237" s="120" t="n">
        <v>733.51</v>
      </c>
      <c r="I237" s="120" t="n">
        <v>0</v>
      </c>
      <c r="J237" s="120" t="n">
        <v>733.51</v>
      </c>
      <c r="K237" s="118" t="inlineStr">
        <is>
          <t>Wire</t>
        </is>
      </c>
      <c r="L237" s="118" t="inlineStr">
        <is>
          <t>500-IT</t>
        </is>
      </c>
      <c r="M237" s="118" t="inlineStr">
        <is>
          <t>5200 Software</t>
        </is>
      </c>
    </row>
    <row r="238">
      <c r="A238" s="115" t="inlineStr">
        <is>
          <t>ERP-00235</t>
        </is>
      </c>
      <c r="B238" s="116" t="n">
        <v>46040</v>
      </c>
      <c r="C238" s="115" t="inlineStr">
        <is>
          <t>2026-01</t>
        </is>
      </c>
      <c r="D238" s="115" t="inlineStr">
        <is>
          <t>AP</t>
        </is>
      </c>
      <c r="E238" s="115" t="inlineStr">
        <is>
          <t>Metro Cleaning Ltd.</t>
        </is>
      </c>
      <c r="F238" s="115" t="inlineStr">
        <is>
          <t>Vendor payment - Metro Cleaning Ltd.</t>
        </is>
      </c>
      <c r="G238" s="115" t="inlineStr">
        <is>
          <t>REF-100235</t>
        </is>
      </c>
      <c r="H238" s="117" t="n">
        <v>0</v>
      </c>
      <c r="I238" s="117" t="n">
        <v>4216.32</v>
      </c>
      <c r="J238" s="117" t="n">
        <v>-4216.32</v>
      </c>
      <c r="K238" s="115" t="inlineStr">
        <is>
          <t>Credit Card</t>
        </is>
      </c>
      <c r="L238" s="115" t="inlineStr">
        <is>
          <t>500-IT</t>
        </is>
      </c>
      <c r="M238" s="115" t="inlineStr">
        <is>
          <t>2000 AP</t>
        </is>
      </c>
    </row>
    <row r="239">
      <c r="A239" s="118" t="inlineStr">
        <is>
          <t>ERP-00236</t>
        </is>
      </c>
      <c r="B239" s="119" t="n">
        <v>46032</v>
      </c>
      <c r="C239" s="118" t="inlineStr">
        <is>
          <t>2026-01</t>
        </is>
      </c>
      <c r="D239" s="118" t="inlineStr">
        <is>
          <t>AP</t>
        </is>
      </c>
      <c r="E239" s="118" t="inlineStr">
        <is>
          <t>Metro Cleaning Ltd.</t>
        </is>
      </c>
      <c r="F239" s="118" t="inlineStr">
        <is>
          <t>Vendor payment - Metro Cleaning Ltd.</t>
        </is>
      </c>
      <c r="G239" s="118" t="inlineStr">
        <is>
          <t>REF-100236</t>
        </is>
      </c>
      <c r="H239" s="120" t="n">
        <v>0</v>
      </c>
      <c r="I239" s="120" t="n">
        <v>4799.59</v>
      </c>
      <c r="J239" s="120" t="n">
        <v>-4799.59</v>
      </c>
      <c r="K239" s="118" t="inlineStr">
        <is>
          <t>Cheque</t>
        </is>
      </c>
      <c r="L239" s="118" t="inlineStr">
        <is>
          <t>400-Finance</t>
        </is>
      </c>
      <c r="M239" s="118" t="inlineStr">
        <is>
          <t>2000 AP</t>
        </is>
      </c>
    </row>
    <row r="240">
      <c r="A240" s="115" t="inlineStr">
        <is>
          <t>ERP-00237</t>
        </is>
      </c>
      <c r="B240" s="116" t="n">
        <v>46052</v>
      </c>
      <c r="C240" s="115" t="inlineStr">
        <is>
          <t>2026-01</t>
        </is>
      </c>
      <c r="D240" s="115" t="inlineStr">
        <is>
          <t>GL</t>
        </is>
      </c>
      <c r="E240" s="115" t="inlineStr">
        <is>
          <t>Amazon Business</t>
        </is>
      </c>
      <c r="F240" s="115" t="inlineStr">
        <is>
          <t>Manual GL entry</t>
        </is>
      </c>
      <c r="G240" s="115" t="inlineStr">
        <is>
          <t>REF-100237</t>
        </is>
      </c>
      <c r="H240" s="117" t="n">
        <v>0</v>
      </c>
      <c r="I240" s="117" t="n">
        <v>1474.56</v>
      </c>
      <c r="J240" s="117" t="n">
        <v>-1474.56</v>
      </c>
      <c r="K240" s="115" t="inlineStr">
        <is>
          <t>Wire</t>
        </is>
      </c>
      <c r="L240" s="115" t="inlineStr">
        <is>
          <t>300-Ops</t>
        </is>
      </c>
      <c r="M240" s="115" t="inlineStr">
        <is>
          <t>5300 Payroll</t>
        </is>
      </c>
    </row>
    <row r="241">
      <c r="A241" s="118" t="inlineStr">
        <is>
          <t>ERP-00238</t>
        </is>
      </c>
      <c r="B241" s="119" t="n">
        <v>46048</v>
      </c>
      <c r="C241" s="118" t="inlineStr">
        <is>
          <t>2026-01</t>
        </is>
      </c>
      <c r="D241" s="118" t="inlineStr">
        <is>
          <t>AP</t>
        </is>
      </c>
      <c r="E241" s="118" t="inlineStr">
        <is>
          <t>Pacific Office Supplies</t>
        </is>
      </c>
      <c r="F241" s="118" t="inlineStr">
        <is>
          <t>Vendor payment - Pacific Office Supplies</t>
        </is>
      </c>
      <c r="G241" s="118" t="inlineStr">
        <is>
          <t>REF-100238</t>
        </is>
      </c>
      <c r="H241" s="120" t="n">
        <v>0</v>
      </c>
      <c r="I241" s="120" t="n">
        <v>1840.3</v>
      </c>
      <c r="J241" s="120" t="n">
        <v>-1840.3</v>
      </c>
      <c r="K241" s="118" t="inlineStr">
        <is>
          <t>EFT</t>
        </is>
      </c>
      <c r="L241" s="118" t="inlineStr">
        <is>
          <t>300-Ops</t>
        </is>
      </c>
      <c r="M241" s="118" t="inlineStr">
        <is>
          <t>2000 AP</t>
        </is>
      </c>
    </row>
    <row r="242">
      <c r="A242" s="115" t="inlineStr">
        <is>
          <t>ERP-00239</t>
        </is>
      </c>
      <c r="B242" s="116" t="n">
        <v>46043</v>
      </c>
      <c r="C242" s="115" t="inlineStr">
        <is>
          <t>2026-01</t>
        </is>
      </c>
      <c r="D242" s="115" t="inlineStr">
        <is>
          <t>AP</t>
        </is>
      </c>
      <c r="E242" s="115" t="inlineStr">
        <is>
          <t>BC Hydro</t>
        </is>
      </c>
      <c r="F242" s="115" t="inlineStr">
        <is>
          <t>Vendor payment - BC Hydro</t>
        </is>
      </c>
      <c r="G242" s="115" t="inlineStr">
        <is>
          <t>REF-100239</t>
        </is>
      </c>
      <c r="H242" s="117" t="n">
        <v>0</v>
      </c>
      <c r="I242" s="117" t="n">
        <v>1389.6</v>
      </c>
      <c r="J242" s="117" t="n">
        <v>-1389.6</v>
      </c>
      <c r="K242" s="115" t="inlineStr">
        <is>
          <t>PAD</t>
        </is>
      </c>
      <c r="L242" s="115" t="inlineStr">
        <is>
          <t>300-Ops</t>
        </is>
      </c>
      <c r="M242" s="115" t="inlineStr">
        <is>
          <t>2000 AP</t>
        </is>
      </c>
    </row>
    <row r="243">
      <c r="A243" s="118" t="inlineStr">
        <is>
          <t>ERP-00240</t>
        </is>
      </c>
      <c r="B243" s="119" t="n">
        <v>46045</v>
      </c>
      <c r="C243" s="118" t="inlineStr">
        <is>
          <t>2026-01</t>
        </is>
      </c>
      <c r="D243" s="118" t="inlineStr">
        <is>
          <t>AP</t>
        </is>
      </c>
      <c r="E243" s="118" t="inlineStr">
        <is>
          <t>Pacific Office Supplies</t>
        </is>
      </c>
      <c r="F243" s="118" t="inlineStr">
        <is>
          <t>Vendor payment - Pacific Office Supplies</t>
        </is>
      </c>
      <c r="G243" s="118" t="inlineStr">
        <is>
          <t>REF-100240</t>
        </is>
      </c>
      <c r="H243" s="120" t="n">
        <v>0</v>
      </c>
      <c r="I243" s="120" t="n">
        <v>3847.94</v>
      </c>
      <c r="J243" s="120" t="n">
        <v>-3847.94</v>
      </c>
      <c r="K243" s="118" t="inlineStr">
        <is>
          <t>PAD</t>
        </is>
      </c>
      <c r="L243" s="118" t="inlineStr">
        <is>
          <t>200-Sales</t>
        </is>
      </c>
      <c r="M243" s="118" t="inlineStr">
        <is>
          <t>2000 AP</t>
        </is>
      </c>
    </row>
    <row r="244">
      <c r="A244" s="115" t="inlineStr">
        <is>
          <t>ERP-00241</t>
        </is>
      </c>
      <c r="B244" s="116" t="n">
        <v>46024</v>
      </c>
      <c r="C244" s="115" t="inlineStr">
        <is>
          <t>2026-01</t>
        </is>
      </c>
      <c r="D244" s="115" t="inlineStr">
        <is>
          <t>AP</t>
        </is>
      </c>
      <c r="E244" s="115" t="inlineStr">
        <is>
          <t>Metro Cleaning Ltd.</t>
        </is>
      </c>
      <c r="F244" s="115" t="inlineStr">
        <is>
          <t>Vendor payment - Metro Cleaning Ltd.</t>
        </is>
      </c>
      <c r="G244" s="115" t="inlineStr">
        <is>
          <t>REF-100241</t>
        </is>
      </c>
      <c r="H244" s="117" t="n">
        <v>0</v>
      </c>
      <c r="I244" s="117" t="n">
        <v>4470.23</v>
      </c>
      <c r="J244" s="117" t="n">
        <v>-4470.23</v>
      </c>
      <c r="K244" s="115" t="inlineStr">
        <is>
          <t>EFT</t>
        </is>
      </c>
      <c r="L244" s="115" t="inlineStr">
        <is>
          <t>200-Sales</t>
        </is>
      </c>
      <c r="M244" s="115" t="inlineStr">
        <is>
          <t>2000 AP</t>
        </is>
      </c>
    </row>
    <row r="245">
      <c r="A245" s="118" t="inlineStr">
        <is>
          <t>ERP-00242</t>
        </is>
      </c>
      <c r="B245" s="119" t="n">
        <v>46052</v>
      </c>
      <c r="C245" s="118" t="inlineStr">
        <is>
          <t>2026-01</t>
        </is>
      </c>
      <c r="D245" s="118" t="inlineStr">
        <is>
          <t>Payroll</t>
        </is>
      </c>
      <c r="E245" s="118" t="inlineStr">
        <is>
          <t>Payroll Batch</t>
        </is>
      </c>
      <c r="F245" s="118" t="inlineStr">
        <is>
          <t>Payroll payment</t>
        </is>
      </c>
      <c r="G245" s="118" t="inlineStr">
        <is>
          <t>REF-100242</t>
        </is>
      </c>
      <c r="H245" s="120" t="n">
        <v>0</v>
      </c>
      <c r="I245" s="120" t="n">
        <v>9397.639999999999</v>
      </c>
      <c r="J245" s="120" t="n">
        <v>-9397.639999999999</v>
      </c>
      <c r="K245" s="118" t="inlineStr">
        <is>
          <t>Cheque</t>
        </is>
      </c>
      <c r="L245" s="118" t="inlineStr">
        <is>
          <t>300-Ops</t>
        </is>
      </c>
      <c r="M245" s="118" t="inlineStr">
        <is>
          <t>5300 Payroll</t>
        </is>
      </c>
    </row>
    <row r="246">
      <c r="A246" s="115" t="inlineStr">
        <is>
          <t>ERP-00243</t>
        </is>
      </c>
      <c r="B246" s="116" t="n">
        <v>46025</v>
      </c>
      <c r="C246" s="115" t="inlineStr">
        <is>
          <t>2026-01</t>
        </is>
      </c>
      <c r="D246" s="115" t="inlineStr">
        <is>
          <t>AR</t>
        </is>
      </c>
      <c r="E246" s="115" t="inlineStr">
        <is>
          <t>Coastline Foods</t>
        </is>
      </c>
      <c r="F246" s="115" t="inlineStr">
        <is>
          <t>Customer payment - Coastline Foods</t>
        </is>
      </c>
      <c r="G246" s="115" t="inlineStr">
        <is>
          <t>REF-100243</t>
        </is>
      </c>
      <c r="H246" s="117" t="n">
        <v>4618.52</v>
      </c>
      <c r="I246" s="117" t="n">
        <v>0</v>
      </c>
      <c r="J246" s="117" t="n">
        <v>4618.52</v>
      </c>
      <c r="K246" s="115" t="inlineStr">
        <is>
          <t>EFT</t>
        </is>
      </c>
      <c r="L246" s="115" t="inlineStr">
        <is>
          <t>200-Sales</t>
        </is>
      </c>
      <c r="M246" s="115" t="inlineStr">
        <is>
          <t>1200 AR</t>
        </is>
      </c>
    </row>
    <row r="247">
      <c r="A247" s="118" t="inlineStr">
        <is>
          <t>ERP-00244</t>
        </is>
      </c>
      <c r="B247" s="119" t="n">
        <v>46024</v>
      </c>
      <c r="C247" s="118" t="inlineStr">
        <is>
          <t>2026-01</t>
        </is>
      </c>
      <c r="D247" s="118" t="inlineStr">
        <is>
          <t>Bank Fees</t>
        </is>
      </c>
      <c r="E247" s="118" t="inlineStr">
        <is>
          <t>Bank</t>
        </is>
      </c>
      <c r="F247" s="118" t="inlineStr">
        <is>
          <t>Monthly bank service charge</t>
        </is>
      </c>
      <c r="G247" s="118" t="inlineStr">
        <is>
          <t>REF-100244</t>
        </is>
      </c>
      <c r="H247" s="120" t="n">
        <v>0</v>
      </c>
      <c r="I247" s="120" t="n">
        <v>50.65</v>
      </c>
      <c r="J247" s="120" t="n">
        <v>-50.65</v>
      </c>
      <c r="K247" s="118" t="inlineStr">
        <is>
          <t>Wire</t>
        </is>
      </c>
      <c r="L247" s="118" t="inlineStr">
        <is>
          <t>200-Sales</t>
        </is>
      </c>
      <c r="M247" s="118" t="inlineStr">
        <is>
          <t>6100 Bank Fees</t>
        </is>
      </c>
    </row>
    <row r="248">
      <c r="A248" s="115" t="inlineStr">
        <is>
          <t>ERP-00245</t>
        </is>
      </c>
      <c r="B248" s="116" t="n">
        <v>46053</v>
      </c>
      <c r="C248" s="115" t="inlineStr">
        <is>
          <t>2026-01</t>
        </is>
      </c>
      <c r="D248" s="115" t="inlineStr">
        <is>
          <t>Payroll</t>
        </is>
      </c>
      <c r="E248" s="115" t="inlineStr">
        <is>
          <t>Payroll Batch</t>
        </is>
      </c>
      <c r="F248" s="115" t="inlineStr">
        <is>
          <t>Payroll payment</t>
        </is>
      </c>
      <c r="G248" s="115" t="inlineStr">
        <is>
          <t>REF-100245</t>
        </is>
      </c>
      <c r="H248" s="117" t="n">
        <v>0</v>
      </c>
      <c r="I248" s="117" t="n">
        <v>6697.27</v>
      </c>
      <c r="J248" s="117" t="n">
        <v>-6697.27</v>
      </c>
      <c r="K248" s="115" t="inlineStr">
        <is>
          <t>EFT</t>
        </is>
      </c>
      <c r="L248" s="115" t="inlineStr">
        <is>
          <t>100-Admin</t>
        </is>
      </c>
      <c r="M248" s="115" t="inlineStr">
        <is>
          <t>5300 Payroll</t>
        </is>
      </c>
    </row>
    <row r="249">
      <c r="A249" s="118" t="inlineStr">
        <is>
          <t>ERP-00246</t>
        </is>
      </c>
      <c r="B249" s="119" t="n">
        <v>46033</v>
      </c>
      <c r="C249" s="118" t="inlineStr">
        <is>
          <t>2026-01</t>
        </is>
      </c>
      <c r="D249" s="118" t="inlineStr">
        <is>
          <t>AP</t>
        </is>
      </c>
      <c r="E249" s="118" t="inlineStr">
        <is>
          <t>Staples Canada</t>
        </is>
      </c>
      <c r="F249" s="118" t="inlineStr">
        <is>
          <t>Vendor payment - Staples Canada</t>
        </is>
      </c>
      <c r="G249" s="118" t="inlineStr">
        <is>
          <t>REF-100246</t>
        </is>
      </c>
      <c r="H249" s="120" t="n">
        <v>0</v>
      </c>
      <c r="I249" s="120" t="n">
        <v>3405</v>
      </c>
      <c r="J249" s="120" t="n">
        <v>-3405</v>
      </c>
      <c r="K249" s="118" t="inlineStr">
        <is>
          <t>Wire</t>
        </is>
      </c>
      <c r="L249" s="118" t="inlineStr">
        <is>
          <t>200-Sales</t>
        </is>
      </c>
      <c r="M249" s="118" t="inlineStr">
        <is>
          <t>2000 AP</t>
        </is>
      </c>
    </row>
    <row r="250">
      <c r="A250" s="115" t="inlineStr">
        <is>
          <t>ERP-00247</t>
        </is>
      </c>
      <c r="B250" s="116" t="n">
        <v>46037</v>
      </c>
      <c r="C250" s="115" t="inlineStr">
        <is>
          <t>2026-01</t>
        </is>
      </c>
      <c r="D250" s="115" t="inlineStr">
        <is>
          <t>AP</t>
        </is>
      </c>
      <c r="E250" s="115" t="inlineStr">
        <is>
          <t>Vancouver Courier</t>
        </is>
      </c>
      <c r="F250" s="115" t="inlineStr">
        <is>
          <t>Vendor payment - Vancouver Courier</t>
        </is>
      </c>
      <c r="G250" s="115" t="inlineStr">
        <is>
          <t>REF-100247</t>
        </is>
      </c>
      <c r="H250" s="117" t="n">
        <v>0</v>
      </c>
      <c r="I250" s="117" t="n">
        <v>769.4</v>
      </c>
      <c r="J250" s="117" t="n">
        <v>-769.4</v>
      </c>
      <c r="K250" s="115" t="inlineStr">
        <is>
          <t>Cheque</t>
        </is>
      </c>
      <c r="L250" s="115" t="inlineStr">
        <is>
          <t>400-Finance</t>
        </is>
      </c>
      <c r="M250" s="115" t="inlineStr">
        <is>
          <t>2000 AP</t>
        </is>
      </c>
    </row>
    <row r="251">
      <c r="A251" s="118" t="inlineStr">
        <is>
          <t>ERP-00248</t>
        </is>
      </c>
      <c r="B251" s="119" t="n">
        <v>46048</v>
      </c>
      <c r="C251" s="118" t="inlineStr">
        <is>
          <t>2026-01</t>
        </is>
      </c>
      <c r="D251" s="118" t="inlineStr">
        <is>
          <t>AP</t>
        </is>
      </c>
      <c r="E251" s="118" t="inlineStr">
        <is>
          <t>Staples Canada</t>
        </is>
      </c>
      <c r="F251" s="118" t="inlineStr">
        <is>
          <t>Vendor payment - Staples Canada</t>
        </is>
      </c>
      <c r="G251" s="118" t="inlineStr">
        <is>
          <t>REF-100248</t>
        </is>
      </c>
      <c r="H251" s="120" t="n">
        <v>0</v>
      </c>
      <c r="I251" s="120" t="n">
        <v>4714.57</v>
      </c>
      <c r="J251" s="120" t="n">
        <v>-4714.57</v>
      </c>
      <c r="K251" s="118" t="inlineStr">
        <is>
          <t>Cheque</t>
        </is>
      </c>
      <c r="L251" s="118" t="inlineStr">
        <is>
          <t>500-IT</t>
        </is>
      </c>
      <c r="M251" s="118" t="inlineStr">
        <is>
          <t>2000 AP</t>
        </is>
      </c>
    </row>
    <row r="252">
      <c r="A252" s="115" t="inlineStr">
        <is>
          <t>ERP-00249</t>
        </is>
      </c>
      <c r="B252" s="116" t="n">
        <v>46051</v>
      </c>
      <c r="C252" s="115" t="inlineStr">
        <is>
          <t>2026-01</t>
        </is>
      </c>
      <c r="D252" s="115" t="inlineStr">
        <is>
          <t>AR</t>
        </is>
      </c>
      <c r="E252" s="115" t="inlineStr">
        <is>
          <t>Granville Medical</t>
        </is>
      </c>
      <c r="F252" s="115" t="inlineStr">
        <is>
          <t>Customer payment - Granville Medical</t>
        </is>
      </c>
      <c r="G252" s="115" t="inlineStr">
        <is>
          <t>REF-100249</t>
        </is>
      </c>
      <c r="H252" s="117" t="n">
        <v>4452.59</v>
      </c>
      <c r="I252" s="117" t="n">
        <v>0</v>
      </c>
      <c r="J252" s="117" t="n">
        <v>4452.59</v>
      </c>
      <c r="K252" s="115" t="inlineStr">
        <is>
          <t>EFT</t>
        </is>
      </c>
      <c r="L252" s="115" t="inlineStr">
        <is>
          <t>400-Finance</t>
        </is>
      </c>
      <c r="M252" s="115" t="inlineStr">
        <is>
          <t>1200 AR</t>
        </is>
      </c>
    </row>
    <row r="253">
      <c r="A253" s="118" t="inlineStr">
        <is>
          <t>ERP-00250</t>
        </is>
      </c>
      <c r="B253" s="119" t="n">
        <v>46038</v>
      </c>
      <c r="C253" s="118" t="inlineStr">
        <is>
          <t>2026-01</t>
        </is>
      </c>
      <c r="D253" s="118" t="inlineStr">
        <is>
          <t>AP</t>
        </is>
      </c>
      <c r="E253" s="118" t="inlineStr">
        <is>
          <t>North Shore Telecom</t>
        </is>
      </c>
      <c r="F253" s="118" t="inlineStr">
        <is>
          <t>Vendor payment - North Shore Telecom</t>
        </is>
      </c>
      <c r="G253" s="118" t="inlineStr">
        <is>
          <t>REF-100250</t>
        </is>
      </c>
      <c r="H253" s="120" t="n">
        <v>0</v>
      </c>
      <c r="I253" s="120" t="n">
        <v>121.8</v>
      </c>
      <c r="J253" s="120" t="n">
        <v>-121.8</v>
      </c>
      <c r="K253" s="118" t="inlineStr">
        <is>
          <t>Wire</t>
        </is>
      </c>
      <c r="L253" s="118" t="inlineStr">
        <is>
          <t>200-Sales</t>
        </is>
      </c>
      <c r="M253" s="118" t="inlineStr">
        <is>
          <t>2000 AP</t>
        </is>
      </c>
    </row>
    <row r="254">
      <c r="A254" s="115" t="inlineStr">
        <is>
          <t>ERP-00251</t>
        </is>
      </c>
      <c r="B254" s="116" t="n">
        <v>46032</v>
      </c>
      <c r="C254" s="115" t="inlineStr">
        <is>
          <t>2026-01</t>
        </is>
      </c>
      <c r="D254" s="115" t="inlineStr">
        <is>
          <t>AR</t>
        </is>
      </c>
      <c r="E254" s="115" t="inlineStr">
        <is>
          <t>West Van Fitness</t>
        </is>
      </c>
      <c r="F254" s="115" t="inlineStr">
        <is>
          <t>Customer payment - West Van Fitness</t>
        </is>
      </c>
      <c r="G254" s="115" t="inlineStr">
        <is>
          <t>REF-100251</t>
        </is>
      </c>
      <c r="H254" s="117" t="n">
        <v>245.49</v>
      </c>
      <c r="I254" s="117" t="n">
        <v>0</v>
      </c>
      <c r="J254" s="117" t="n">
        <v>245.49</v>
      </c>
      <c r="K254" s="115" t="inlineStr">
        <is>
          <t>Credit Card</t>
        </is>
      </c>
      <c r="L254" s="115" t="inlineStr">
        <is>
          <t>200-Sales</t>
        </is>
      </c>
      <c r="M254" s="115" t="inlineStr">
        <is>
          <t>1200 AR</t>
        </is>
      </c>
    </row>
    <row r="255">
      <c r="A255" s="118" t="inlineStr">
        <is>
          <t>ERP-00252</t>
        </is>
      </c>
      <c r="B255" s="119" t="n">
        <v>46028</v>
      </c>
      <c r="C255" s="118" t="inlineStr">
        <is>
          <t>2026-01</t>
        </is>
      </c>
      <c r="D255" s="118" t="inlineStr">
        <is>
          <t>AR</t>
        </is>
      </c>
      <c r="E255" s="118" t="inlineStr">
        <is>
          <t>West Van Fitness</t>
        </is>
      </c>
      <c r="F255" s="118" t="inlineStr">
        <is>
          <t>Customer payment - West Van Fitness</t>
        </is>
      </c>
      <c r="G255" s="118" t="inlineStr">
        <is>
          <t>REF-100252</t>
        </is>
      </c>
      <c r="H255" s="120" t="n">
        <v>7857.94</v>
      </c>
      <c r="I255" s="120" t="n">
        <v>0</v>
      </c>
      <c r="J255" s="120" t="n">
        <v>7857.94</v>
      </c>
      <c r="K255" s="118" t="inlineStr">
        <is>
          <t>Credit Card</t>
        </is>
      </c>
      <c r="L255" s="118" t="inlineStr">
        <is>
          <t>100-Admin</t>
        </is>
      </c>
      <c r="M255" s="118" t="inlineStr">
        <is>
          <t>1200 AR</t>
        </is>
      </c>
    </row>
    <row r="256">
      <c r="A256" s="115" t="inlineStr">
        <is>
          <t>ERP-00253</t>
        </is>
      </c>
      <c r="B256" s="116" t="n">
        <v>46030</v>
      </c>
      <c r="C256" s="115" t="inlineStr">
        <is>
          <t>2026-01</t>
        </is>
      </c>
      <c r="D256" s="115" t="inlineStr">
        <is>
          <t>AP</t>
        </is>
      </c>
      <c r="E256" s="115" t="inlineStr">
        <is>
          <t>North Shore Telecom</t>
        </is>
      </c>
      <c r="F256" s="115" t="inlineStr">
        <is>
          <t>Vendor payment - North Shore Telecom</t>
        </is>
      </c>
      <c r="G256" s="115" t="inlineStr">
        <is>
          <t>REF-100253</t>
        </is>
      </c>
      <c r="H256" s="117" t="n">
        <v>0</v>
      </c>
      <c r="I256" s="117" t="n">
        <v>3006.47</v>
      </c>
      <c r="J256" s="117" t="n">
        <v>-3006.47</v>
      </c>
      <c r="K256" s="115" t="inlineStr">
        <is>
          <t>Wire</t>
        </is>
      </c>
      <c r="L256" s="115" t="inlineStr">
        <is>
          <t>500-IT</t>
        </is>
      </c>
      <c r="M256" s="115" t="inlineStr">
        <is>
          <t>2000 AP</t>
        </is>
      </c>
    </row>
    <row r="257">
      <c r="A257" s="118" t="inlineStr">
        <is>
          <t>ERP-00254</t>
        </is>
      </c>
      <c r="B257" s="119" t="n">
        <v>46048</v>
      </c>
      <c r="C257" s="118" t="inlineStr">
        <is>
          <t>2026-01</t>
        </is>
      </c>
      <c r="D257" s="118" t="inlineStr">
        <is>
          <t>AR</t>
        </is>
      </c>
      <c r="E257" s="118" t="inlineStr">
        <is>
          <t>Coastline Foods</t>
        </is>
      </c>
      <c r="F257" s="118" t="inlineStr">
        <is>
          <t>Customer payment - Coastline Foods</t>
        </is>
      </c>
      <c r="G257" s="118" t="inlineStr">
        <is>
          <t>REF-100254</t>
        </is>
      </c>
      <c r="H257" s="120" t="n">
        <v>6511.53</v>
      </c>
      <c r="I257" s="120" t="n">
        <v>0</v>
      </c>
      <c r="J257" s="120" t="n">
        <v>6511.53</v>
      </c>
      <c r="K257" s="118" t="inlineStr">
        <is>
          <t>PAD</t>
        </is>
      </c>
      <c r="L257" s="118" t="inlineStr">
        <is>
          <t>100-Admin</t>
        </is>
      </c>
      <c r="M257" s="118" t="inlineStr">
        <is>
          <t>1200 AR</t>
        </is>
      </c>
    </row>
    <row r="258">
      <c r="A258" s="115" t="inlineStr">
        <is>
          <t>ERP-00255</t>
        </is>
      </c>
      <c r="B258" s="116" t="n">
        <v>46041</v>
      </c>
      <c r="C258" s="115" t="inlineStr">
        <is>
          <t>2026-01</t>
        </is>
      </c>
      <c r="D258" s="115" t="inlineStr">
        <is>
          <t>AP</t>
        </is>
      </c>
      <c r="E258" s="115" t="inlineStr">
        <is>
          <t>Vancouver Courier</t>
        </is>
      </c>
      <c r="F258" s="115" t="inlineStr">
        <is>
          <t>Vendor payment - Vancouver Courier</t>
        </is>
      </c>
      <c r="G258" s="115" t="inlineStr">
        <is>
          <t>REF-100255</t>
        </is>
      </c>
      <c r="H258" s="117" t="n">
        <v>0</v>
      </c>
      <c r="I258" s="117" t="n">
        <v>3431.61</v>
      </c>
      <c r="J258" s="117" t="n">
        <v>-3431.61</v>
      </c>
      <c r="K258" s="115" t="inlineStr">
        <is>
          <t>PAD</t>
        </is>
      </c>
      <c r="L258" s="115" t="inlineStr">
        <is>
          <t>200-Sales</t>
        </is>
      </c>
      <c r="M258" s="115" t="inlineStr">
        <is>
          <t>2000 AP</t>
        </is>
      </c>
    </row>
    <row r="259">
      <c r="A259" s="118" t="inlineStr">
        <is>
          <t>ERP-00256</t>
        </is>
      </c>
      <c r="B259" s="119" t="n">
        <v>46050</v>
      </c>
      <c r="C259" s="118" t="inlineStr">
        <is>
          <t>2026-01</t>
        </is>
      </c>
      <c r="D259" s="118" t="inlineStr">
        <is>
          <t>AR</t>
        </is>
      </c>
      <c r="E259" s="118" t="inlineStr">
        <is>
          <t>Maple Retail Group</t>
        </is>
      </c>
      <c r="F259" s="118" t="inlineStr">
        <is>
          <t>Customer payment - Maple Retail Group</t>
        </is>
      </c>
      <c r="G259" s="118" t="inlineStr">
        <is>
          <t>REF-100256</t>
        </is>
      </c>
      <c r="H259" s="120" t="n">
        <v>5830.47</v>
      </c>
      <c r="I259" s="120" t="n">
        <v>0</v>
      </c>
      <c r="J259" s="120" t="n">
        <v>5830.47</v>
      </c>
      <c r="K259" s="118" t="inlineStr">
        <is>
          <t>PAD</t>
        </is>
      </c>
      <c r="L259" s="118" t="inlineStr">
        <is>
          <t>400-Finance</t>
        </is>
      </c>
      <c r="M259" s="118" t="inlineStr">
        <is>
          <t>1200 AR</t>
        </is>
      </c>
    </row>
    <row r="260">
      <c r="A260" s="115" t="inlineStr">
        <is>
          <t>ERP-00257</t>
        </is>
      </c>
      <c r="B260" s="116" t="n">
        <v>46037</v>
      </c>
      <c r="C260" s="115" t="inlineStr">
        <is>
          <t>2026-01</t>
        </is>
      </c>
      <c r="D260" s="115" t="inlineStr">
        <is>
          <t>AP</t>
        </is>
      </c>
      <c r="E260" s="115" t="inlineStr">
        <is>
          <t>BC Hydro</t>
        </is>
      </c>
      <c r="F260" s="115" t="inlineStr">
        <is>
          <t>Vendor payment - BC Hydro</t>
        </is>
      </c>
      <c r="G260" s="115" t="inlineStr">
        <is>
          <t>REF-100257</t>
        </is>
      </c>
      <c r="H260" s="117" t="n">
        <v>0</v>
      </c>
      <c r="I260" s="117" t="n">
        <v>2875.61</v>
      </c>
      <c r="J260" s="117" t="n">
        <v>-2875.61</v>
      </c>
      <c r="K260" s="115" t="inlineStr">
        <is>
          <t>EFT</t>
        </is>
      </c>
      <c r="L260" s="115" t="inlineStr">
        <is>
          <t>500-IT</t>
        </is>
      </c>
      <c r="M260" s="115" t="inlineStr">
        <is>
          <t>2000 AP</t>
        </is>
      </c>
    </row>
    <row r="261">
      <c r="A261" s="118" t="inlineStr">
        <is>
          <t>ERP-00258</t>
        </is>
      </c>
      <c r="B261" s="119" t="n">
        <v>46035</v>
      </c>
      <c r="C261" s="118" t="inlineStr">
        <is>
          <t>2026-01</t>
        </is>
      </c>
      <c r="D261" s="118" t="inlineStr">
        <is>
          <t>AP</t>
        </is>
      </c>
      <c r="E261" s="118" t="inlineStr">
        <is>
          <t>Pacific Office Supplies</t>
        </is>
      </c>
      <c r="F261" s="118" t="inlineStr">
        <is>
          <t>Vendor payment - Pacific Office Supplies</t>
        </is>
      </c>
      <c r="G261" s="118" t="inlineStr">
        <is>
          <t>REF-100258</t>
        </is>
      </c>
      <c r="H261" s="120" t="n">
        <v>0</v>
      </c>
      <c r="I261" s="120" t="n">
        <v>4644.32</v>
      </c>
      <c r="J261" s="120" t="n">
        <v>-4644.32</v>
      </c>
      <c r="K261" s="118" t="inlineStr">
        <is>
          <t>PAD</t>
        </is>
      </c>
      <c r="L261" s="118" t="inlineStr">
        <is>
          <t>100-Admin</t>
        </is>
      </c>
      <c r="M261" s="118" t="inlineStr">
        <is>
          <t>2000 AP</t>
        </is>
      </c>
    </row>
    <row r="262">
      <c r="A262" s="115" t="inlineStr">
        <is>
          <t>ERP-00259</t>
        </is>
      </c>
      <c r="B262" s="116" t="n">
        <v>46040</v>
      </c>
      <c r="C262" s="115" t="inlineStr">
        <is>
          <t>2026-01</t>
        </is>
      </c>
      <c r="D262" s="115" t="inlineStr">
        <is>
          <t>Bank Fees</t>
        </is>
      </c>
      <c r="E262" s="115" t="inlineStr">
        <is>
          <t>Bank</t>
        </is>
      </c>
      <c r="F262" s="115" t="inlineStr">
        <is>
          <t>Monthly bank service charge</t>
        </is>
      </c>
      <c r="G262" s="115" t="inlineStr">
        <is>
          <t>REF-100259</t>
        </is>
      </c>
      <c r="H262" s="117" t="n">
        <v>0</v>
      </c>
      <c r="I262" s="117" t="n">
        <v>112.48</v>
      </c>
      <c r="J262" s="117" t="n">
        <v>-112.48</v>
      </c>
      <c r="K262" s="115" t="inlineStr">
        <is>
          <t>EFT</t>
        </is>
      </c>
      <c r="L262" s="115" t="inlineStr">
        <is>
          <t>400-Finance</t>
        </is>
      </c>
      <c r="M262" s="115" t="inlineStr">
        <is>
          <t>6100 Bank Fees</t>
        </is>
      </c>
    </row>
    <row r="263">
      <c r="A263" s="118" t="inlineStr">
        <is>
          <t>ERP-00260</t>
        </is>
      </c>
      <c r="B263" s="119" t="n">
        <v>46027</v>
      </c>
      <c r="C263" s="118" t="inlineStr">
        <is>
          <t>2026-01</t>
        </is>
      </c>
      <c r="D263" s="118" t="inlineStr">
        <is>
          <t>GL</t>
        </is>
      </c>
      <c r="E263" s="118" t="inlineStr">
        <is>
          <t>West Van Fitness</t>
        </is>
      </c>
      <c r="F263" s="118" t="inlineStr">
        <is>
          <t>Manual GL entry</t>
        </is>
      </c>
      <c r="G263" s="118" t="inlineStr">
        <is>
          <t>REF-100260</t>
        </is>
      </c>
      <c r="H263" s="120" t="n">
        <v>3247.11</v>
      </c>
      <c r="I263" s="120" t="n">
        <v>0</v>
      </c>
      <c r="J263" s="120" t="n">
        <v>3247.11</v>
      </c>
      <c r="K263" s="118" t="inlineStr">
        <is>
          <t>Wire</t>
        </is>
      </c>
      <c r="L263" s="118" t="inlineStr">
        <is>
          <t>400-Finance</t>
        </is>
      </c>
      <c r="M263" s="118" t="inlineStr">
        <is>
          <t>5300 Payroll</t>
        </is>
      </c>
    </row>
    <row r="264">
      <c r="A264" s="115" t="inlineStr">
        <is>
          <t>ERP-00261</t>
        </is>
      </c>
      <c r="B264" s="116" t="n">
        <v>46034</v>
      </c>
      <c r="C264" s="115" t="inlineStr">
        <is>
          <t>2026-01</t>
        </is>
      </c>
      <c r="D264" s="115" t="inlineStr">
        <is>
          <t>AP</t>
        </is>
      </c>
      <c r="E264" s="115" t="inlineStr">
        <is>
          <t>Amazon Business</t>
        </is>
      </c>
      <c r="F264" s="115" t="inlineStr">
        <is>
          <t>Vendor payment - Amazon Business</t>
        </is>
      </c>
      <c r="G264" s="115" t="inlineStr">
        <is>
          <t>REF-100261</t>
        </is>
      </c>
      <c r="H264" s="117" t="n">
        <v>0</v>
      </c>
      <c r="I264" s="117" t="n">
        <v>2485.52</v>
      </c>
      <c r="J264" s="117" t="n">
        <v>-2485.52</v>
      </c>
      <c r="K264" s="115" t="inlineStr">
        <is>
          <t>Cheque</t>
        </is>
      </c>
      <c r="L264" s="115" t="inlineStr">
        <is>
          <t>200-Sales</t>
        </is>
      </c>
      <c r="M264" s="115" t="inlineStr">
        <is>
          <t>2000 AP</t>
        </is>
      </c>
    </row>
    <row r="265">
      <c r="A265" s="118" t="inlineStr">
        <is>
          <t>ERP-00262</t>
        </is>
      </c>
      <c r="B265" s="119" t="n">
        <v>46047</v>
      </c>
      <c r="C265" s="118" t="inlineStr">
        <is>
          <t>2026-01</t>
        </is>
      </c>
      <c r="D265" s="118" t="inlineStr">
        <is>
          <t>AP</t>
        </is>
      </c>
      <c r="E265" s="118" t="inlineStr">
        <is>
          <t>Metro Cleaning Ltd.</t>
        </is>
      </c>
      <c r="F265" s="118" t="inlineStr">
        <is>
          <t>Vendor payment - Metro Cleaning Ltd.</t>
        </is>
      </c>
      <c r="G265" s="118" t="inlineStr">
        <is>
          <t>REF-100262</t>
        </is>
      </c>
      <c r="H265" s="120" t="n">
        <v>0</v>
      </c>
      <c r="I265" s="120" t="n">
        <v>2913.58</v>
      </c>
      <c r="J265" s="120" t="n">
        <v>-2913.58</v>
      </c>
      <c r="K265" s="118" t="inlineStr">
        <is>
          <t>PAD</t>
        </is>
      </c>
      <c r="L265" s="118" t="inlineStr">
        <is>
          <t>400-Finance</t>
        </is>
      </c>
      <c r="M265" s="118" t="inlineStr">
        <is>
          <t>2000 AP</t>
        </is>
      </c>
    </row>
    <row r="266">
      <c r="A266" s="115" t="inlineStr">
        <is>
          <t>ERP-00263</t>
        </is>
      </c>
      <c r="B266" s="116" t="n">
        <v>46034</v>
      </c>
      <c r="C266" s="115" t="inlineStr">
        <is>
          <t>2026-01</t>
        </is>
      </c>
      <c r="D266" s="115" t="inlineStr">
        <is>
          <t>AP</t>
        </is>
      </c>
      <c r="E266" s="115" t="inlineStr">
        <is>
          <t>North Shore Telecom</t>
        </is>
      </c>
      <c r="F266" s="115" t="inlineStr">
        <is>
          <t>Vendor payment - North Shore Telecom</t>
        </is>
      </c>
      <c r="G266" s="115" t="inlineStr">
        <is>
          <t>REF-100263</t>
        </is>
      </c>
      <c r="H266" s="117" t="n">
        <v>0</v>
      </c>
      <c r="I266" s="117" t="n">
        <v>5816.95</v>
      </c>
      <c r="J266" s="117" t="n">
        <v>-5816.95</v>
      </c>
      <c r="K266" s="115" t="inlineStr">
        <is>
          <t>EFT</t>
        </is>
      </c>
      <c r="L266" s="115" t="inlineStr">
        <is>
          <t>100-Admin</t>
        </is>
      </c>
      <c r="M266" s="115" t="inlineStr">
        <is>
          <t>2000 AP</t>
        </is>
      </c>
    </row>
    <row r="267">
      <c r="A267" s="118" t="inlineStr">
        <is>
          <t>ERP-00264</t>
        </is>
      </c>
      <c r="B267" s="119" t="n">
        <v>46052</v>
      </c>
      <c r="C267" s="118" t="inlineStr">
        <is>
          <t>2026-01</t>
        </is>
      </c>
      <c r="D267" s="118" t="inlineStr">
        <is>
          <t>Payroll</t>
        </is>
      </c>
      <c r="E267" s="118" t="inlineStr">
        <is>
          <t>Payroll Batch</t>
        </is>
      </c>
      <c r="F267" s="118" t="inlineStr">
        <is>
          <t>Payroll payment</t>
        </is>
      </c>
      <c r="G267" s="118" t="inlineStr">
        <is>
          <t>REF-100264</t>
        </is>
      </c>
      <c r="H267" s="120" t="n">
        <v>0</v>
      </c>
      <c r="I267" s="120" t="n">
        <v>2726.86</v>
      </c>
      <c r="J267" s="120" t="n">
        <v>-2726.86</v>
      </c>
      <c r="K267" s="118" t="inlineStr">
        <is>
          <t>Cheque</t>
        </is>
      </c>
      <c r="L267" s="118" t="inlineStr">
        <is>
          <t>100-Admin</t>
        </is>
      </c>
      <c r="M267" s="118" t="inlineStr">
        <is>
          <t>5300 Payroll</t>
        </is>
      </c>
    </row>
    <row r="268">
      <c r="A268" s="115" t="inlineStr">
        <is>
          <t>ERP-00265</t>
        </is>
      </c>
      <c r="B268" s="116" t="n">
        <v>46044</v>
      </c>
      <c r="C268" s="115" t="inlineStr">
        <is>
          <t>2026-01</t>
        </is>
      </c>
      <c r="D268" s="115" t="inlineStr">
        <is>
          <t>GL</t>
        </is>
      </c>
      <c r="E268" s="115" t="inlineStr">
        <is>
          <t>Pacific Office Supplies</t>
        </is>
      </c>
      <c r="F268" s="115" t="inlineStr">
        <is>
          <t>Manual GL entry</t>
        </is>
      </c>
      <c r="G268" s="115" t="inlineStr">
        <is>
          <t>REF-100265</t>
        </is>
      </c>
      <c r="H268" s="117" t="n">
        <v>1261.43</v>
      </c>
      <c r="I268" s="117" t="n">
        <v>0</v>
      </c>
      <c r="J268" s="117" t="n">
        <v>1261.43</v>
      </c>
      <c r="K268" s="115" t="inlineStr">
        <is>
          <t>Cheque</t>
        </is>
      </c>
      <c r="L268" s="115" t="inlineStr">
        <is>
          <t>500-IT</t>
        </is>
      </c>
      <c r="M268" s="115" t="inlineStr">
        <is>
          <t>6100 Bank Fees</t>
        </is>
      </c>
    </row>
    <row r="269">
      <c r="A269" s="118" t="inlineStr">
        <is>
          <t>ERP-00266</t>
        </is>
      </c>
      <c r="B269" s="119" t="n">
        <v>46032</v>
      </c>
      <c r="C269" s="118" t="inlineStr">
        <is>
          <t>2026-01</t>
        </is>
      </c>
      <c r="D269" s="118" t="inlineStr">
        <is>
          <t>AP</t>
        </is>
      </c>
      <c r="E269" s="118" t="inlineStr">
        <is>
          <t>Staples Canada</t>
        </is>
      </c>
      <c r="F269" s="118" t="inlineStr">
        <is>
          <t>Vendor payment - Staples Canada</t>
        </is>
      </c>
      <c r="G269" s="118" t="inlineStr">
        <is>
          <t>REF-100266</t>
        </is>
      </c>
      <c r="H269" s="120" t="n">
        <v>0</v>
      </c>
      <c r="I269" s="120" t="n">
        <v>3605.8</v>
      </c>
      <c r="J269" s="120" t="n">
        <v>-3605.8</v>
      </c>
      <c r="K269" s="118" t="inlineStr">
        <is>
          <t>PAD</t>
        </is>
      </c>
      <c r="L269" s="118" t="inlineStr">
        <is>
          <t>500-IT</t>
        </is>
      </c>
      <c r="M269" s="118" t="inlineStr">
        <is>
          <t>2000 AP</t>
        </is>
      </c>
    </row>
    <row r="270">
      <c r="A270" s="115" t="inlineStr">
        <is>
          <t>ERP-00267</t>
        </is>
      </c>
      <c r="B270" s="116" t="n">
        <v>46051</v>
      </c>
      <c r="C270" s="115" t="inlineStr">
        <is>
          <t>2026-01</t>
        </is>
      </c>
      <c r="D270" s="115" t="inlineStr">
        <is>
          <t>AP</t>
        </is>
      </c>
      <c r="E270" s="115" t="inlineStr">
        <is>
          <t>Staples Canada</t>
        </is>
      </c>
      <c r="F270" s="115" t="inlineStr">
        <is>
          <t>Vendor payment - Staples Canada</t>
        </is>
      </c>
      <c r="G270" s="115" t="inlineStr">
        <is>
          <t>REF-100267</t>
        </is>
      </c>
      <c r="H270" s="117" t="n">
        <v>0</v>
      </c>
      <c r="I270" s="117" t="n">
        <v>3270.06</v>
      </c>
      <c r="J270" s="117" t="n">
        <v>-3270.06</v>
      </c>
      <c r="K270" s="115" t="inlineStr">
        <is>
          <t>Wire</t>
        </is>
      </c>
      <c r="L270" s="115" t="inlineStr">
        <is>
          <t>300-Ops</t>
        </is>
      </c>
      <c r="M270" s="115" t="inlineStr">
        <is>
          <t>2000 AP</t>
        </is>
      </c>
    </row>
    <row r="271">
      <c r="A271" s="118" t="inlineStr">
        <is>
          <t>ERP-00268</t>
        </is>
      </c>
      <c r="B271" s="119" t="n">
        <v>46036</v>
      </c>
      <c r="C271" s="118" t="inlineStr">
        <is>
          <t>2026-01</t>
        </is>
      </c>
      <c r="D271" s="118" t="inlineStr">
        <is>
          <t>AR</t>
        </is>
      </c>
      <c r="E271" s="118" t="inlineStr">
        <is>
          <t>Maple Retail Group</t>
        </is>
      </c>
      <c r="F271" s="118" t="inlineStr">
        <is>
          <t>Customer payment - Maple Retail Group</t>
        </is>
      </c>
      <c r="G271" s="118" t="inlineStr">
        <is>
          <t>REF-100268</t>
        </is>
      </c>
      <c r="H271" s="120" t="n">
        <v>8268.620000000001</v>
      </c>
      <c r="I271" s="120" t="n">
        <v>0</v>
      </c>
      <c r="J271" s="120" t="n">
        <v>8268.620000000001</v>
      </c>
      <c r="K271" s="118" t="inlineStr">
        <is>
          <t>Wire</t>
        </is>
      </c>
      <c r="L271" s="118" t="inlineStr">
        <is>
          <t>500-IT</t>
        </is>
      </c>
      <c r="M271" s="118" t="inlineStr">
        <is>
          <t>1200 AR</t>
        </is>
      </c>
    </row>
    <row r="272">
      <c r="A272" s="115" t="inlineStr">
        <is>
          <t>ERP-00269</t>
        </is>
      </c>
      <c r="B272" s="116" t="n">
        <v>46032</v>
      </c>
      <c r="C272" s="115" t="inlineStr">
        <is>
          <t>2026-01</t>
        </is>
      </c>
      <c r="D272" s="115" t="inlineStr">
        <is>
          <t>AR</t>
        </is>
      </c>
      <c r="E272" s="115" t="inlineStr">
        <is>
          <t>West Van Fitness</t>
        </is>
      </c>
      <c r="F272" s="115" t="inlineStr">
        <is>
          <t>Customer payment - West Van Fitness</t>
        </is>
      </c>
      <c r="G272" s="115" t="inlineStr">
        <is>
          <t>REF-100269</t>
        </is>
      </c>
      <c r="H272" s="117" t="n">
        <v>4103.88</v>
      </c>
      <c r="I272" s="117" t="n">
        <v>0</v>
      </c>
      <c r="J272" s="117" t="n">
        <v>4103.88</v>
      </c>
      <c r="K272" s="115" t="inlineStr">
        <is>
          <t>Cheque</t>
        </is>
      </c>
      <c r="L272" s="115" t="inlineStr">
        <is>
          <t>300-Ops</t>
        </is>
      </c>
      <c r="M272" s="115" t="inlineStr">
        <is>
          <t>1200 AR</t>
        </is>
      </c>
    </row>
    <row r="273">
      <c r="A273" s="118" t="inlineStr">
        <is>
          <t>ERP-00270</t>
        </is>
      </c>
      <c r="B273" s="119" t="n">
        <v>46027</v>
      </c>
      <c r="C273" s="118" t="inlineStr">
        <is>
          <t>2026-01</t>
        </is>
      </c>
      <c r="D273" s="118" t="inlineStr">
        <is>
          <t>Payroll</t>
        </is>
      </c>
      <c r="E273" s="118" t="inlineStr">
        <is>
          <t>Payroll Batch</t>
        </is>
      </c>
      <c r="F273" s="118" t="inlineStr">
        <is>
          <t>Payroll payment</t>
        </is>
      </c>
      <c r="G273" s="118" t="inlineStr">
        <is>
          <t>REF-100270</t>
        </is>
      </c>
      <c r="H273" s="120" t="n">
        <v>0</v>
      </c>
      <c r="I273" s="120" t="n">
        <v>15763.75</v>
      </c>
      <c r="J273" s="120" t="n">
        <v>-15763.75</v>
      </c>
      <c r="K273" s="118" t="inlineStr">
        <is>
          <t>PAD</t>
        </is>
      </c>
      <c r="L273" s="118" t="inlineStr">
        <is>
          <t>400-Finance</t>
        </is>
      </c>
      <c r="M273" s="118" t="inlineStr">
        <is>
          <t>5300 Payroll</t>
        </is>
      </c>
    </row>
    <row r="274">
      <c r="A274" s="115" t="inlineStr">
        <is>
          <t>ERP-00271</t>
        </is>
      </c>
      <c r="B274" s="116" t="n">
        <v>46040</v>
      </c>
      <c r="C274" s="115" t="inlineStr">
        <is>
          <t>2026-01</t>
        </is>
      </c>
      <c r="D274" s="115" t="inlineStr">
        <is>
          <t>AR</t>
        </is>
      </c>
      <c r="E274" s="115" t="inlineStr">
        <is>
          <t>Granville Medical</t>
        </is>
      </c>
      <c r="F274" s="115" t="inlineStr">
        <is>
          <t>Customer payment - Granville Medical</t>
        </is>
      </c>
      <c r="G274" s="115" t="inlineStr">
        <is>
          <t>REF-100271</t>
        </is>
      </c>
      <c r="H274" s="117" t="n">
        <v>2177.87</v>
      </c>
      <c r="I274" s="117" t="n">
        <v>0</v>
      </c>
      <c r="J274" s="117" t="n">
        <v>2177.87</v>
      </c>
      <c r="K274" s="115" t="inlineStr">
        <is>
          <t>Cheque</t>
        </is>
      </c>
      <c r="L274" s="115" t="inlineStr">
        <is>
          <t>300-Ops</t>
        </is>
      </c>
      <c r="M274" s="115" t="inlineStr">
        <is>
          <t>1200 AR</t>
        </is>
      </c>
    </row>
    <row r="275">
      <c r="A275" s="118" t="inlineStr">
        <is>
          <t>ERP-00272</t>
        </is>
      </c>
      <c r="B275" s="119" t="n">
        <v>46025</v>
      </c>
      <c r="C275" s="118" t="inlineStr">
        <is>
          <t>2026-01</t>
        </is>
      </c>
      <c r="D275" s="118" t="inlineStr">
        <is>
          <t>AR</t>
        </is>
      </c>
      <c r="E275" s="118" t="inlineStr">
        <is>
          <t>Coastline Foods</t>
        </is>
      </c>
      <c r="F275" s="118" t="inlineStr">
        <is>
          <t>Customer payment - Coastline Foods</t>
        </is>
      </c>
      <c r="G275" s="118" t="inlineStr">
        <is>
          <t>REF-100272</t>
        </is>
      </c>
      <c r="H275" s="120" t="n">
        <v>580.33</v>
      </c>
      <c r="I275" s="120" t="n">
        <v>0</v>
      </c>
      <c r="J275" s="120" t="n">
        <v>580.33</v>
      </c>
      <c r="K275" s="118" t="inlineStr">
        <is>
          <t>Wire</t>
        </is>
      </c>
      <c r="L275" s="118" t="inlineStr">
        <is>
          <t>500-IT</t>
        </is>
      </c>
      <c r="M275" s="118" t="inlineStr">
        <is>
          <t>1200 AR</t>
        </is>
      </c>
    </row>
    <row r="276">
      <c r="A276" s="115" t="inlineStr">
        <is>
          <t>ERP-00273</t>
        </is>
      </c>
      <c r="B276" s="116" t="n">
        <v>46047</v>
      </c>
      <c r="C276" s="115" t="inlineStr">
        <is>
          <t>2026-01</t>
        </is>
      </c>
      <c r="D276" s="115" t="inlineStr">
        <is>
          <t>AR</t>
        </is>
      </c>
      <c r="E276" s="115" t="inlineStr">
        <is>
          <t>Harbour Design Co.</t>
        </is>
      </c>
      <c r="F276" s="115" t="inlineStr">
        <is>
          <t>Customer payment - Harbour Design Co.</t>
        </is>
      </c>
      <c r="G276" s="115" t="inlineStr">
        <is>
          <t>REF-100273</t>
        </is>
      </c>
      <c r="H276" s="117" t="n">
        <v>4816.4</v>
      </c>
      <c r="I276" s="117" t="n">
        <v>0</v>
      </c>
      <c r="J276" s="117" t="n">
        <v>4816.4</v>
      </c>
      <c r="K276" s="115" t="inlineStr">
        <is>
          <t>Wire</t>
        </is>
      </c>
      <c r="L276" s="115" t="inlineStr">
        <is>
          <t>200-Sales</t>
        </is>
      </c>
      <c r="M276" s="115" t="inlineStr">
        <is>
          <t>1200 AR</t>
        </is>
      </c>
    </row>
    <row r="277">
      <c r="A277" s="118" t="inlineStr">
        <is>
          <t>ERP-00274</t>
        </is>
      </c>
      <c r="B277" s="119" t="n">
        <v>46033</v>
      </c>
      <c r="C277" s="118" t="inlineStr">
        <is>
          <t>2026-01</t>
        </is>
      </c>
      <c r="D277" s="118" t="inlineStr">
        <is>
          <t>AP</t>
        </is>
      </c>
      <c r="E277" s="118" t="inlineStr">
        <is>
          <t>Pacific Office Supplies</t>
        </is>
      </c>
      <c r="F277" s="118" t="inlineStr">
        <is>
          <t>Vendor payment - Pacific Office Supplies</t>
        </is>
      </c>
      <c r="G277" s="118" t="inlineStr">
        <is>
          <t>REF-100274</t>
        </is>
      </c>
      <c r="H277" s="120" t="n">
        <v>0</v>
      </c>
      <c r="I277" s="120" t="n">
        <v>1376.26</v>
      </c>
      <c r="J277" s="120" t="n">
        <v>-1376.26</v>
      </c>
      <c r="K277" s="118" t="inlineStr">
        <is>
          <t>Cheque</t>
        </is>
      </c>
      <c r="L277" s="118" t="inlineStr">
        <is>
          <t>100-Admin</t>
        </is>
      </c>
      <c r="M277" s="118" t="inlineStr">
        <is>
          <t>2000 AP</t>
        </is>
      </c>
    </row>
    <row r="278">
      <c r="A278" s="115" t="inlineStr">
        <is>
          <t>ERP-00275</t>
        </is>
      </c>
      <c r="B278" s="116" t="n">
        <v>46045</v>
      </c>
      <c r="C278" s="115" t="inlineStr">
        <is>
          <t>2026-01</t>
        </is>
      </c>
      <c r="D278" s="115" t="inlineStr">
        <is>
          <t>AR</t>
        </is>
      </c>
      <c r="E278" s="115" t="inlineStr">
        <is>
          <t>Coastline Foods</t>
        </is>
      </c>
      <c r="F278" s="115" t="inlineStr">
        <is>
          <t>Customer payment - Coastline Foods</t>
        </is>
      </c>
      <c r="G278" s="115" t="inlineStr">
        <is>
          <t>REF-100275</t>
        </is>
      </c>
      <c r="H278" s="117" t="n">
        <v>3461.88</v>
      </c>
      <c r="I278" s="117" t="n">
        <v>0</v>
      </c>
      <c r="J278" s="117" t="n">
        <v>3461.88</v>
      </c>
      <c r="K278" s="115" t="inlineStr">
        <is>
          <t>Cheque</t>
        </is>
      </c>
      <c r="L278" s="115" t="inlineStr">
        <is>
          <t>500-IT</t>
        </is>
      </c>
      <c r="M278" s="115" t="inlineStr">
        <is>
          <t>1200 AR</t>
        </is>
      </c>
    </row>
    <row r="279">
      <c r="A279" s="118" t="inlineStr">
        <is>
          <t>ERP-00276</t>
        </is>
      </c>
      <c r="B279" s="119" t="n">
        <v>46040</v>
      </c>
      <c r="C279" s="118" t="inlineStr">
        <is>
          <t>2026-01</t>
        </is>
      </c>
      <c r="D279" s="118" t="inlineStr">
        <is>
          <t>AR</t>
        </is>
      </c>
      <c r="E279" s="118" t="inlineStr">
        <is>
          <t>Raincity Tech</t>
        </is>
      </c>
      <c r="F279" s="118" t="inlineStr">
        <is>
          <t>Customer payment - Raincity Tech</t>
        </is>
      </c>
      <c r="G279" s="118" t="inlineStr">
        <is>
          <t>REF-100276</t>
        </is>
      </c>
      <c r="H279" s="120" t="n">
        <v>2334.04</v>
      </c>
      <c r="I279" s="120" t="n">
        <v>0</v>
      </c>
      <c r="J279" s="120" t="n">
        <v>2334.04</v>
      </c>
      <c r="K279" s="118" t="inlineStr">
        <is>
          <t>PAD</t>
        </is>
      </c>
      <c r="L279" s="118" t="inlineStr">
        <is>
          <t>400-Finance</t>
        </is>
      </c>
      <c r="M279" s="118" t="inlineStr">
        <is>
          <t>1200 AR</t>
        </is>
      </c>
    </row>
    <row r="280">
      <c r="A280" s="115" t="inlineStr">
        <is>
          <t>ERP-00277</t>
        </is>
      </c>
      <c r="B280" s="116" t="n">
        <v>46033</v>
      </c>
      <c r="C280" s="115" t="inlineStr">
        <is>
          <t>2026-01</t>
        </is>
      </c>
      <c r="D280" s="115" t="inlineStr">
        <is>
          <t>Payroll</t>
        </is>
      </c>
      <c r="E280" s="115" t="inlineStr">
        <is>
          <t>Payroll Batch</t>
        </is>
      </c>
      <c r="F280" s="115" t="inlineStr">
        <is>
          <t>Payroll payment</t>
        </is>
      </c>
      <c r="G280" s="115" t="inlineStr">
        <is>
          <t>REF-100277</t>
        </is>
      </c>
      <c r="H280" s="117" t="n">
        <v>0</v>
      </c>
      <c r="I280" s="117" t="n">
        <v>7875.22</v>
      </c>
      <c r="J280" s="117" t="n">
        <v>-7875.22</v>
      </c>
      <c r="K280" s="115" t="inlineStr">
        <is>
          <t>Wire</t>
        </is>
      </c>
      <c r="L280" s="115" t="inlineStr">
        <is>
          <t>100-Admin</t>
        </is>
      </c>
      <c r="M280" s="115" t="inlineStr">
        <is>
          <t>5300 Payroll</t>
        </is>
      </c>
    </row>
    <row r="281">
      <c r="A281" s="118" t="inlineStr">
        <is>
          <t>ERP-00278</t>
        </is>
      </c>
      <c r="B281" s="119" t="n">
        <v>46023</v>
      </c>
      <c r="C281" s="118" t="inlineStr">
        <is>
          <t>2026-01</t>
        </is>
      </c>
      <c r="D281" s="118" t="inlineStr">
        <is>
          <t>AP</t>
        </is>
      </c>
      <c r="E281" s="118" t="inlineStr">
        <is>
          <t>Amazon Business</t>
        </is>
      </c>
      <c r="F281" s="118" t="inlineStr">
        <is>
          <t>Vendor payment - Amazon Business</t>
        </is>
      </c>
      <c r="G281" s="118" t="inlineStr">
        <is>
          <t>REF-100278</t>
        </is>
      </c>
      <c r="H281" s="120" t="n">
        <v>0</v>
      </c>
      <c r="I281" s="120" t="n">
        <v>3624.35</v>
      </c>
      <c r="J281" s="120" t="n">
        <v>-3624.35</v>
      </c>
      <c r="K281" s="118" t="inlineStr">
        <is>
          <t>Wire</t>
        </is>
      </c>
      <c r="L281" s="118" t="inlineStr">
        <is>
          <t>300-Ops</t>
        </is>
      </c>
      <c r="M281" s="118" t="inlineStr">
        <is>
          <t>2000 AP</t>
        </is>
      </c>
    </row>
    <row r="282">
      <c r="A282" s="115" t="inlineStr">
        <is>
          <t>ERP-00279</t>
        </is>
      </c>
      <c r="B282" s="116" t="n">
        <v>46041</v>
      </c>
      <c r="C282" s="115" t="inlineStr">
        <is>
          <t>2026-01</t>
        </is>
      </c>
      <c r="D282" s="115" t="inlineStr">
        <is>
          <t>Payroll</t>
        </is>
      </c>
      <c r="E282" s="115" t="inlineStr">
        <is>
          <t>Payroll Batch</t>
        </is>
      </c>
      <c r="F282" s="115" t="inlineStr">
        <is>
          <t>Payroll payment</t>
        </is>
      </c>
      <c r="G282" s="115" t="inlineStr">
        <is>
          <t>REF-100279</t>
        </is>
      </c>
      <c r="H282" s="117" t="n">
        <v>0</v>
      </c>
      <c r="I282" s="117" t="n">
        <v>9739.870000000001</v>
      </c>
      <c r="J282" s="117" t="n">
        <v>-9739.870000000001</v>
      </c>
      <c r="K282" s="115" t="inlineStr">
        <is>
          <t>Credit Card</t>
        </is>
      </c>
      <c r="L282" s="115" t="inlineStr">
        <is>
          <t>300-Ops</t>
        </is>
      </c>
      <c r="M282" s="115" t="inlineStr">
        <is>
          <t>5300 Payroll</t>
        </is>
      </c>
    </row>
    <row r="283">
      <c r="A283" s="118" t="inlineStr">
        <is>
          <t>ERP-00280</t>
        </is>
      </c>
      <c r="B283" s="119" t="n">
        <v>46043</v>
      </c>
      <c r="C283" s="118" t="inlineStr">
        <is>
          <t>2026-01</t>
        </is>
      </c>
      <c r="D283" s="118" t="inlineStr">
        <is>
          <t>GL</t>
        </is>
      </c>
      <c r="E283" s="118" t="inlineStr">
        <is>
          <t>Maple Retail Group</t>
        </is>
      </c>
      <c r="F283" s="118" t="inlineStr">
        <is>
          <t>Manual GL entry</t>
        </is>
      </c>
      <c r="G283" s="118" t="inlineStr">
        <is>
          <t>REF-100280</t>
        </is>
      </c>
      <c r="H283" s="120" t="n">
        <v>0</v>
      </c>
      <c r="I283" s="120" t="n">
        <v>882.76</v>
      </c>
      <c r="J283" s="120" t="n">
        <v>-882.76</v>
      </c>
      <c r="K283" s="118" t="inlineStr">
        <is>
          <t>Cheque</t>
        </is>
      </c>
      <c r="L283" s="118" t="inlineStr">
        <is>
          <t>500-IT</t>
        </is>
      </c>
      <c r="M283" s="118" t="inlineStr">
        <is>
          <t>2000 AP</t>
        </is>
      </c>
    </row>
    <row r="284">
      <c r="A284" s="115" t="inlineStr">
        <is>
          <t>ERP-00281</t>
        </is>
      </c>
      <c r="B284" s="116" t="n">
        <v>46049</v>
      </c>
      <c r="C284" s="115" t="inlineStr">
        <is>
          <t>2026-01</t>
        </is>
      </c>
      <c r="D284" s="115" t="inlineStr">
        <is>
          <t>Payroll</t>
        </is>
      </c>
      <c r="E284" s="115" t="inlineStr">
        <is>
          <t>Payroll Batch</t>
        </is>
      </c>
      <c r="F284" s="115" t="inlineStr">
        <is>
          <t>Payroll payment</t>
        </is>
      </c>
      <c r="G284" s="115" t="inlineStr">
        <is>
          <t>REF-100281</t>
        </is>
      </c>
      <c r="H284" s="117" t="n">
        <v>0</v>
      </c>
      <c r="I284" s="117" t="n">
        <v>16205.23</v>
      </c>
      <c r="J284" s="117" t="n">
        <v>-16205.23</v>
      </c>
      <c r="K284" s="115" t="inlineStr">
        <is>
          <t>EFT</t>
        </is>
      </c>
      <c r="L284" s="115" t="inlineStr">
        <is>
          <t>100-Admin</t>
        </is>
      </c>
      <c r="M284" s="115" t="inlineStr">
        <is>
          <t>5300 Payroll</t>
        </is>
      </c>
    </row>
    <row r="285">
      <c r="A285" s="118" t="inlineStr">
        <is>
          <t>ERP-00282</t>
        </is>
      </c>
      <c r="B285" s="119" t="n">
        <v>46027</v>
      </c>
      <c r="C285" s="118" t="inlineStr">
        <is>
          <t>2026-01</t>
        </is>
      </c>
      <c r="D285" s="118" t="inlineStr">
        <is>
          <t>AP</t>
        </is>
      </c>
      <c r="E285" s="118" t="inlineStr">
        <is>
          <t>Amazon Business</t>
        </is>
      </c>
      <c r="F285" s="118" t="inlineStr">
        <is>
          <t>Vendor payment - Amazon Business</t>
        </is>
      </c>
      <c r="G285" s="118" t="inlineStr">
        <is>
          <t>REF-100282</t>
        </is>
      </c>
      <c r="H285" s="120" t="n">
        <v>0</v>
      </c>
      <c r="I285" s="120" t="n">
        <v>2870.78</v>
      </c>
      <c r="J285" s="120" t="n">
        <v>-2870.78</v>
      </c>
      <c r="K285" s="118" t="inlineStr">
        <is>
          <t>EFT</t>
        </is>
      </c>
      <c r="L285" s="118" t="inlineStr">
        <is>
          <t>500-IT</t>
        </is>
      </c>
      <c r="M285" s="118" t="inlineStr">
        <is>
          <t>2000 AP</t>
        </is>
      </c>
    </row>
    <row r="286">
      <c r="A286" s="115" t="inlineStr">
        <is>
          <t>ERP-00283</t>
        </is>
      </c>
      <c r="B286" s="116" t="n">
        <v>46023</v>
      </c>
      <c r="C286" s="115" t="inlineStr">
        <is>
          <t>2026-01</t>
        </is>
      </c>
      <c r="D286" s="115" t="inlineStr">
        <is>
          <t>AP</t>
        </is>
      </c>
      <c r="E286" s="115" t="inlineStr">
        <is>
          <t>Amazon Business</t>
        </is>
      </c>
      <c r="F286" s="115" t="inlineStr">
        <is>
          <t>Vendor payment - Amazon Business</t>
        </is>
      </c>
      <c r="G286" s="115" t="inlineStr">
        <is>
          <t>REF-100283</t>
        </is>
      </c>
      <c r="H286" s="117" t="n">
        <v>0</v>
      </c>
      <c r="I286" s="117" t="n">
        <v>2597.39</v>
      </c>
      <c r="J286" s="117" t="n">
        <v>-2597.39</v>
      </c>
      <c r="K286" s="115" t="inlineStr">
        <is>
          <t>EFT</t>
        </is>
      </c>
      <c r="L286" s="115" t="inlineStr">
        <is>
          <t>500-IT</t>
        </is>
      </c>
      <c r="M286" s="115" t="inlineStr">
        <is>
          <t>2000 AP</t>
        </is>
      </c>
    </row>
    <row r="287">
      <c r="A287" s="118" t="inlineStr">
        <is>
          <t>ERP-00284</t>
        </is>
      </c>
      <c r="B287" s="119" t="n">
        <v>46048</v>
      </c>
      <c r="C287" s="118" t="inlineStr">
        <is>
          <t>2026-01</t>
        </is>
      </c>
      <c r="D287" s="118" t="inlineStr">
        <is>
          <t>Bank Fees</t>
        </is>
      </c>
      <c r="E287" s="118" t="inlineStr">
        <is>
          <t>Bank</t>
        </is>
      </c>
      <c r="F287" s="118" t="inlineStr">
        <is>
          <t>Monthly bank service charge</t>
        </is>
      </c>
      <c r="G287" s="118" t="inlineStr">
        <is>
          <t>REF-100284</t>
        </is>
      </c>
      <c r="H287" s="120" t="n">
        <v>0</v>
      </c>
      <c r="I287" s="120" t="n">
        <v>25.62</v>
      </c>
      <c r="J287" s="120" t="n">
        <v>-25.62</v>
      </c>
      <c r="K287" s="118" t="inlineStr">
        <is>
          <t>EFT</t>
        </is>
      </c>
      <c r="L287" s="118" t="inlineStr">
        <is>
          <t>500-IT</t>
        </is>
      </c>
      <c r="M287" s="118" t="inlineStr">
        <is>
          <t>6100 Bank Fees</t>
        </is>
      </c>
    </row>
    <row r="288">
      <c r="A288" s="115" t="inlineStr">
        <is>
          <t>ERP-00285</t>
        </is>
      </c>
      <c r="B288" s="116" t="n">
        <v>46031</v>
      </c>
      <c r="C288" s="115" t="inlineStr">
        <is>
          <t>2026-01</t>
        </is>
      </c>
      <c r="D288" s="115" t="inlineStr">
        <is>
          <t>Payroll</t>
        </is>
      </c>
      <c r="E288" s="115" t="inlineStr">
        <is>
          <t>Payroll Batch</t>
        </is>
      </c>
      <c r="F288" s="115" t="inlineStr">
        <is>
          <t>Payroll payment</t>
        </is>
      </c>
      <c r="G288" s="115" t="inlineStr">
        <is>
          <t>REF-100285</t>
        </is>
      </c>
      <c r="H288" s="117" t="n">
        <v>0</v>
      </c>
      <c r="I288" s="117" t="n">
        <v>6376.21</v>
      </c>
      <c r="J288" s="117" t="n">
        <v>-6376.21</v>
      </c>
      <c r="K288" s="115" t="inlineStr">
        <is>
          <t>Wire</t>
        </is>
      </c>
      <c r="L288" s="115" t="inlineStr">
        <is>
          <t>100-Admin</t>
        </is>
      </c>
      <c r="M288" s="115" t="inlineStr">
        <is>
          <t>5300 Payroll</t>
        </is>
      </c>
    </row>
    <row r="289">
      <c r="A289" s="118" t="inlineStr">
        <is>
          <t>ERP-00286</t>
        </is>
      </c>
      <c r="B289" s="119" t="n">
        <v>46030</v>
      </c>
      <c r="C289" s="118" t="inlineStr">
        <is>
          <t>2026-01</t>
        </is>
      </c>
      <c r="D289" s="118" t="inlineStr">
        <is>
          <t>Bank Fees</t>
        </is>
      </c>
      <c r="E289" s="118" t="inlineStr">
        <is>
          <t>Bank</t>
        </is>
      </c>
      <c r="F289" s="118" t="inlineStr">
        <is>
          <t>Monthly bank service charge</t>
        </is>
      </c>
      <c r="G289" s="118" t="inlineStr">
        <is>
          <t>REF-100286</t>
        </is>
      </c>
      <c r="H289" s="120" t="n">
        <v>0</v>
      </c>
      <c r="I289" s="120" t="n">
        <v>30.97</v>
      </c>
      <c r="J289" s="120" t="n">
        <v>-30.97</v>
      </c>
      <c r="K289" s="118" t="inlineStr">
        <is>
          <t>EFT</t>
        </is>
      </c>
      <c r="L289" s="118" t="inlineStr">
        <is>
          <t>100-Admin</t>
        </is>
      </c>
      <c r="M289" s="118" t="inlineStr">
        <is>
          <t>6100 Bank Fees</t>
        </is>
      </c>
    </row>
    <row r="290">
      <c r="A290" s="115" t="inlineStr">
        <is>
          <t>ERP-00287</t>
        </is>
      </c>
      <c r="B290" s="116" t="n">
        <v>46038</v>
      </c>
      <c r="C290" s="115" t="inlineStr">
        <is>
          <t>2026-01</t>
        </is>
      </c>
      <c r="D290" s="115" t="inlineStr">
        <is>
          <t>AP</t>
        </is>
      </c>
      <c r="E290" s="115" t="inlineStr">
        <is>
          <t>Pacific Office Supplies</t>
        </is>
      </c>
      <c r="F290" s="115" t="inlineStr">
        <is>
          <t>Vendor payment - Pacific Office Supplies</t>
        </is>
      </c>
      <c r="G290" s="115" t="inlineStr">
        <is>
          <t>REF-100287</t>
        </is>
      </c>
      <c r="H290" s="117" t="n">
        <v>0</v>
      </c>
      <c r="I290" s="117" t="n">
        <v>4381.41</v>
      </c>
      <c r="J290" s="117" t="n">
        <v>-4381.41</v>
      </c>
      <c r="K290" s="115" t="inlineStr">
        <is>
          <t>EFT</t>
        </is>
      </c>
      <c r="L290" s="115" t="inlineStr">
        <is>
          <t>400-Finance</t>
        </is>
      </c>
      <c r="M290" s="115" t="inlineStr">
        <is>
          <t>2000 AP</t>
        </is>
      </c>
    </row>
    <row r="291">
      <c r="A291" s="118" t="inlineStr">
        <is>
          <t>ERP-00288</t>
        </is>
      </c>
      <c r="B291" s="119" t="n">
        <v>46043</v>
      </c>
      <c r="C291" s="118" t="inlineStr">
        <is>
          <t>2026-01</t>
        </is>
      </c>
      <c r="D291" s="118" t="inlineStr">
        <is>
          <t>GL</t>
        </is>
      </c>
      <c r="E291" s="118" t="inlineStr">
        <is>
          <t>Raincity Tech</t>
        </is>
      </c>
      <c r="F291" s="118" t="inlineStr">
        <is>
          <t>Manual GL entry</t>
        </is>
      </c>
      <c r="G291" s="118" t="inlineStr">
        <is>
          <t>REF-100288</t>
        </is>
      </c>
      <c r="H291" s="120" t="n">
        <v>0</v>
      </c>
      <c r="I291" s="120" t="n">
        <v>4887.78</v>
      </c>
      <c r="J291" s="120" t="n">
        <v>-4887.78</v>
      </c>
      <c r="K291" s="118" t="inlineStr">
        <is>
          <t>Cheque</t>
        </is>
      </c>
      <c r="L291" s="118" t="inlineStr">
        <is>
          <t>200-Sales</t>
        </is>
      </c>
      <c r="M291" s="118" t="inlineStr">
        <is>
          <t>1010 Cash</t>
        </is>
      </c>
    </row>
    <row r="292">
      <c r="A292" s="115" t="inlineStr">
        <is>
          <t>ERP-00289</t>
        </is>
      </c>
      <c r="B292" s="116" t="n">
        <v>46045</v>
      </c>
      <c r="C292" s="115" t="inlineStr">
        <is>
          <t>2026-01</t>
        </is>
      </c>
      <c r="D292" s="115" t="inlineStr">
        <is>
          <t>Payroll</t>
        </is>
      </c>
      <c r="E292" s="115" t="inlineStr">
        <is>
          <t>Payroll Batch</t>
        </is>
      </c>
      <c r="F292" s="115" t="inlineStr">
        <is>
          <t>Payroll payment</t>
        </is>
      </c>
      <c r="G292" s="115" t="inlineStr">
        <is>
          <t>REF-100289</t>
        </is>
      </c>
      <c r="H292" s="117" t="n">
        <v>0</v>
      </c>
      <c r="I292" s="117" t="n">
        <v>9394.75</v>
      </c>
      <c r="J292" s="117" t="n">
        <v>-9394.75</v>
      </c>
      <c r="K292" s="115" t="inlineStr">
        <is>
          <t>EFT</t>
        </is>
      </c>
      <c r="L292" s="115" t="inlineStr">
        <is>
          <t>100-Admin</t>
        </is>
      </c>
      <c r="M292" s="115" t="inlineStr">
        <is>
          <t>5300 Payroll</t>
        </is>
      </c>
    </row>
    <row r="293">
      <c r="A293" s="118" t="inlineStr">
        <is>
          <t>ERP-00290</t>
        </is>
      </c>
      <c r="B293" s="119" t="n">
        <v>46041</v>
      </c>
      <c r="C293" s="118" t="inlineStr">
        <is>
          <t>2026-01</t>
        </is>
      </c>
      <c r="D293" s="118" t="inlineStr">
        <is>
          <t>AR</t>
        </is>
      </c>
      <c r="E293" s="118" t="inlineStr">
        <is>
          <t>Coastline Foods</t>
        </is>
      </c>
      <c r="F293" s="118" t="inlineStr">
        <is>
          <t>Customer payment - Coastline Foods</t>
        </is>
      </c>
      <c r="G293" s="118" t="inlineStr">
        <is>
          <t>REF-100290</t>
        </is>
      </c>
      <c r="H293" s="120" t="n">
        <v>7905.2</v>
      </c>
      <c r="I293" s="120" t="n">
        <v>0</v>
      </c>
      <c r="J293" s="120" t="n">
        <v>7905.2</v>
      </c>
      <c r="K293" s="118" t="inlineStr">
        <is>
          <t>Credit Card</t>
        </is>
      </c>
      <c r="L293" s="118" t="inlineStr">
        <is>
          <t>100-Admin</t>
        </is>
      </c>
      <c r="M293" s="118" t="inlineStr">
        <is>
          <t>1200 AR</t>
        </is>
      </c>
    </row>
    <row r="294">
      <c r="A294" s="115" t="inlineStr">
        <is>
          <t>ERP-00291</t>
        </is>
      </c>
      <c r="B294" s="116" t="n">
        <v>46041</v>
      </c>
      <c r="C294" s="115" t="inlineStr">
        <is>
          <t>2026-01</t>
        </is>
      </c>
      <c r="D294" s="115" t="inlineStr">
        <is>
          <t>AP</t>
        </is>
      </c>
      <c r="E294" s="115" t="inlineStr">
        <is>
          <t>Vancouver Courier</t>
        </is>
      </c>
      <c r="F294" s="115" t="inlineStr">
        <is>
          <t>Vendor payment - Vancouver Courier</t>
        </is>
      </c>
      <c r="G294" s="115" t="inlineStr">
        <is>
          <t>REF-100291</t>
        </is>
      </c>
      <c r="H294" s="117" t="n">
        <v>0</v>
      </c>
      <c r="I294" s="117" t="n">
        <v>4441.79</v>
      </c>
      <c r="J294" s="117" t="n">
        <v>-4441.79</v>
      </c>
      <c r="K294" s="115" t="inlineStr">
        <is>
          <t>Wire</t>
        </is>
      </c>
      <c r="L294" s="115" t="inlineStr">
        <is>
          <t>100-Admin</t>
        </is>
      </c>
      <c r="M294" s="115" t="inlineStr">
        <is>
          <t>2000 AP</t>
        </is>
      </c>
    </row>
    <row r="295">
      <c r="A295" s="118" t="inlineStr">
        <is>
          <t>ERP-00292</t>
        </is>
      </c>
      <c r="B295" s="119" t="n">
        <v>46050</v>
      </c>
      <c r="C295" s="118" t="inlineStr">
        <is>
          <t>2026-01</t>
        </is>
      </c>
      <c r="D295" s="118" t="inlineStr">
        <is>
          <t>AR</t>
        </is>
      </c>
      <c r="E295" s="118" t="inlineStr">
        <is>
          <t>West Van Fitness</t>
        </is>
      </c>
      <c r="F295" s="118" t="inlineStr">
        <is>
          <t>Customer payment - West Van Fitness</t>
        </is>
      </c>
      <c r="G295" s="118" t="inlineStr">
        <is>
          <t>REF-100292</t>
        </is>
      </c>
      <c r="H295" s="120" t="n">
        <v>2919.94</v>
      </c>
      <c r="I295" s="120" t="n">
        <v>0</v>
      </c>
      <c r="J295" s="120" t="n">
        <v>2919.94</v>
      </c>
      <c r="K295" s="118" t="inlineStr">
        <is>
          <t>Cheque</t>
        </is>
      </c>
      <c r="L295" s="118" t="inlineStr">
        <is>
          <t>100-Admin</t>
        </is>
      </c>
      <c r="M295" s="118" t="inlineStr">
        <is>
          <t>1200 AR</t>
        </is>
      </c>
    </row>
    <row r="296">
      <c r="A296" s="115" t="inlineStr">
        <is>
          <t>ERP-00293</t>
        </is>
      </c>
      <c r="B296" s="116" t="n">
        <v>46030</v>
      </c>
      <c r="C296" s="115" t="inlineStr">
        <is>
          <t>2026-01</t>
        </is>
      </c>
      <c r="D296" s="115" t="inlineStr">
        <is>
          <t>Payroll</t>
        </is>
      </c>
      <c r="E296" s="115" t="inlineStr">
        <is>
          <t>Payroll Batch</t>
        </is>
      </c>
      <c r="F296" s="115" t="inlineStr">
        <is>
          <t>Payroll payment</t>
        </is>
      </c>
      <c r="G296" s="115" t="inlineStr">
        <is>
          <t>REF-100293</t>
        </is>
      </c>
      <c r="H296" s="117" t="n">
        <v>0</v>
      </c>
      <c r="I296" s="117" t="n">
        <v>7438.59</v>
      </c>
      <c r="J296" s="117" t="n">
        <v>-7438.59</v>
      </c>
      <c r="K296" s="115" t="inlineStr">
        <is>
          <t>PAD</t>
        </is>
      </c>
      <c r="L296" s="115" t="inlineStr">
        <is>
          <t>500-IT</t>
        </is>
      </c>
      <c r="M296" s="115" t="inlineStr">
        <is>
          <t>5300 Payroll</t>
        </is>
      </c>
    </row>
    <row r="297">
      <c r="A297" s="118" t="inlineStr">
        <is>
          <t>ERP-00294</t>
        </is>
      </c>
      <c r="B297" s="119" t="n">
        <v>46048</v>
      </c>
      <c r="C297" s="118" t="inlineStr">
        <is>
          <t>2026-01</t>
        </is>
      </c>
      <c r="D297" s="118" t="inlineStr">
        <is>
          <t>Bank Fees</t>
        </is>
      </c>
      <c r="E297" s="118" t="inlineStr">
        <is>
          <t>Bank</t>
        </is>
      </c>
      <c r="F297" s="118" t="inlineStr">
        <is>
          <t>Monthly bank service charge</t>
        </is>
      </c>
      <c r="G297" s="118" t="inlineStr">
        <is>
          <t>REF-100294</t>
        </is>
      </c>
      <c r="H297" s="120" t="n">
        <v>0</v>
      </c>
      <c r="I297" s="120" t="n">
        <v>61.42</v>
      </c>
      <c r="J297" s="120" t="n">
        <v>-61.42</v>
      </c>
      <c r="K297" s="118" t="inlineStr">
        <is>
          <t>Credit Card</t>
        </is>
      </c>
      <c r="L297" s="118" t="inlineStr">
        <is>
          <t>500-IT</t>
        </is>
      </c>
      <c r="M297" s="118" t="inlineStr">
        <is>
          <t>6100 Bank Fees</t>
        </is>
      </c>
    </row>
    <row r="298">
      <c r="A298" s="115" t="inlineStr">
        <is>
          <t>ERP-00295</t>
        </is>
      </c>
      <c r="B298" s="116" t="n">
        <v>46036</v>
      </c>
      <c r="C298" s="115" t="inlineStr">
        <is>
          <t>2026-01</t>
        </is>
      </c>
      <c r="D298" s="115" t="inlineStr">
        <is>
          <t>AP</t>
        </is>
      </c>
      <c r="E298" s="115" t="inlineStr">
        <is>
          <t>Amazon Business</t>
        </is>
      </c>
      <c r="F298" s="115" t="inlineStr">
        <is>
          <t>Vendor payment - Amazon Business</t>
        </is>
      </c>
      <c r="G298" s="115" t="inlineStr">
        <is>
          <t>REF-100295</t>
        </is>
      </c>
      <c r="H298" s="117" t="n">
        <v>0</v>
      </c>
      <c r="I298" s="117" t="n">
        <v>4123.31</v>
      </c>
      <c r="J298" s="117" t="n">
        <v>-4123.31</v>
      </c>
      <c r="K298" s="115" t="inlineStr">
        <is>
          <t>EFT</t>
        </is>
      </c>
      <c r="L298" s="115" t="inlineStr">
        <is>
          <t>500-IT</t>
        </is>
      </c>
      <c r="M298" s="115" t="inlineStr">
        <is>
          <t>2000 AP</t>
        </is>
      </c>
    </row>
    <row r="299">
      <c r="A299" s="118" t="inlineStr">
        <is>
          <t>ERP-00296</t>
        </is>
      </c>
      <c r="B299" s="119" t="n">
        <v>46025</v>
      </c>
      <c r="C299" s="118" t="inlineStr">
        <is>
          <t>2026-01</t>
        </is>
      </c>
      <c r="D299" s="118" t="inlineStr">
        <is>
          <t>AP</t>
        </is>
      </c>
      <c r="E299" s="118" t="inlineStr">
        <is>
          <t>BC Hydro</t>
        </is>
      </c>
      <c r="F299" s="118" t="inlineStr">
        <is>
          <t>Vendor payment - BC Hydro</t>
        </is>
      </c>
      <c r="G299" s="118" t="inlineStr">
        <is>
          <t>REF-100296</t>
        </is>
      </c>
      <c r="H299" s="120" t="n">
        <v>0</v>
      </c>
      <c r="I299" s="120" t="n">
        <v>4435.46</v>
      </c>
      <c r="J299" s="120" t="n">
        <v>-4435.46</v>
      </c>
      <c r="K299" s="118" t="inlineStr">
        <is>
          <t>Cheque</t>
        </is>
      </c>
      <c r="L299" s="118" t="inlineStr">
        <is>
          <t>400-Finance</t>
        </is>
      </c>
      <c r="M299" s="118" t="inlineStr">
        <is>
          <t>2000 AP</t>
        </is>
      </c>
    </row>
    <row r="300">
      <c r="A300" s="115" t="inlineStr">
        <is>
          <t>ERP-00297</t>
        </is>
      </c>
      <c r="B300" s="116" t="n">
        <v>46053</v>
      </c>
      <c r="C300" s="115" t="inlineStr">
        <is>
          <t>2026-01</t>
        </is>
      </c>
      <c r="D300" s="115" t="inlineStr">
        <is>
          <t>AP</t>
        </is>
      </c>
      <c r="E300" s="115" t="inlineStr">
        <is>
          <t>Metro Cleaning Ltd.</t>
        </is>
      </c>
      <c r="F300" s="115" t="inlineStr">
        <is>
          <t>Vendor payment - Metro Cleaning Ltd.</t>
        </is>
      </c>
      <c r="G300" s="115" t="inlineStr">
        <is>
          <t>REF-100297</t>
        </is>
      </c>
      <c r="H300" s="117" t="n">
        <v>0</v>
      </c>
      <c r="I300" s="117" t="n">
        <v>4739.44</v>
      </c>
      <c r="J300" s="117" t="n">
        <v>-4739.44</v>
      </c>
      <c r="K300" s="115" t="inlineStr">
        <is>
          <t>EFT</t>
        </is>
      </c>
      <c r="L300" s="115" t="inlineStr">
        <is>
          <t>200-Sales</t>
        </is>
      </c>
      <c r="M300" s="115" t="inlineStr">
        <is>
          <t>2000 AP</t>
        </is>
      </c>
    </row>
    <row r="301">
      <c r="A301" s="118" t="inlineStr">
        <is>
          <t>ERP-00298</t>
        </is>
      </c>
      <c r="B301" s="119" t="n">
        <v>46040</v>
      </c>
      <c r="C301" s="118" t="inlineStr">
        <is>
          <t>2026-01</t>
        </is>
      </c>
      <c r="D301" s="118" t="inlineStr">
        <is>
          <t>AR</t>
        </is>
      </c>
      <c r="E301" s="118" t="inlineStr">
        <is>
          <t>Maple Retail Group</t>
        </is>
      </c>
      <c r="F301" s="118" t="inlineStr">
        <is>
          <t>Customer payment - Maple Retail Group</t>
        </is>
      </c>
      <c r="G301" s="118" t="inlineStr">
        <is>
          <t>REF-100298</t>
        </is>
      </c>
      <c r="H301" s="120" t="n">
        <v>369.29</v>
      </c>
      <c r="I301" s="120" t="n">
        <v>0</v>
      </c>
      <c r="J301" s="120" t="n">
        <v>369.29</v>
      </c>
      <c r="K301" s="118" t="inlineStr">
        <is>
          <t>Credit Card</t>
        </is>
      </c>
      <c r="L301" s="118" t="inlineStr">
        <is>
          <t>500-IT</t>
        </is>
      </c>
      <c r="M301" s="118" t="inlineStr">
        <is>
          <t>1200 AR</t>
        </is>
      </c>
    </row>
    <row r="302">
      <c r="A302" s="115" t="inlineStr">
        <is>
          <t>ERP-00299</t>
        </is>
      </c>
      <c r="B302" s="116" t="n">
        <v>46023</v>
      </c>
      <c r="C302" s="115" t="inlineStr">
        <is>
          <t>2026-01</t>
        </is>
      </c>
      <c r="D302" s="115" t="inlineStr">
        <is>
          <t>AP</t>
        </is>
      </c>
      <c r="E302" s="115" t="inlineStr">
        <is>
          <t>BC Hydro</t>
        </is>
      </c>
      <c r="F302" s="115" t="inlineStr">
        <is>
          <t>Vendor payment - BC Hydro</t>
        </is>
      </c>
      <c r="G302" s="115" t="inlineStr">
        <is>
          <t>REF-100299</t>
        </is>
      </c>
      <c r="H302" s="117" t="n">
        <v>0</v>
      </c>
      <c r="I302" s="117" t="n">
        <v>4848.51</v>
      </c>
      <c r="J302" s="117" t="n">
        <v>-4848.51</v>
      </c>
      <c r="K302" s="115" t="inlineStr">
        <is>
          <t>PAD</t>
        </is>
      </c>
      <c r="L302" s="115" t="inlineStr">
        <is>
          <t>200-Sales</t>
        </is>
      </c>
      <c r="M302" s="115" t="inlineStr">
        <is>
          <t>2000 AP</t>
        </is>
      </c>
    </row>
    <row r="303">
      <c r="A303" s="118" t="inlineStr">
        <is>
          <t>ERP-00300</t>
        </is>
      </c>
      <c r="B303" s="119" t="n">
        <v>46028</v>
      </c>
      <c r="C303" s="118" t="inlineStr">
        <is>
          <t>2026-01</t>
        </is>
      </c>
      <c r="D303" s="118" t="inlineStr">
        <is>
          <t>AP</t>
        </is>
      </c>
      <c r="E303" s="118" t="inlineStr">
        <is>
          <t>Metro Cleaning Ltd.</t>
        </is>
      </c>
      <c r="F303" s="118" t="inlineStr">
        <is>
          <t>Vendor payment - Metro Cleaning Ltd.</t>
        </is>
      </c>
      <c r="G303" s="118" t="inlineStr">
        <is>
          <t>REF-100300</t>
        </is>
      </c>
      <c r="H303" s="120" t="n">
        <v>0</v>
      </c>
      <c r="I303" s="120" t="n">
        <v>1722.65</v>
      </c>
      <c r="J303" s="120" t="n">
        <v>-1722.65</v>
      </c>
      <c r="K303" s="118" t="inlineStr">
        <is>
          <t>Cheque</t>
        </is>
      </c>
      <c r="L303" s="118" t="inlineStr">
        <is>
          <t>100-Admin</t>
        </is>
      </c>
      <c r="M303" s="118" t="inlineStr">
        <is>
          <t>2000 AP</t>
        </is>
      </c>
    </row>
    <row r="304">
      <c r="A304" s="115" t="inlineStr">
        <is>
          <t>ERP-00301</t>
        </is>
      </c>
      <c r="B304" s="116" t="n">
        <v>46038</v>
      </c>
      <c r="C304" s="115" t="inlineStr">
        <is>
          <t>2026-01</t>
        </is>
      </c>
      <c r="D304" s="115" t="inlineStr">
        <is>
          <t>GL</t>
        </is>
      </c>
      <c r="E304" s="115" t="inlineStr">
        <is>
          <t>Staples Canada</t>
        </is>
      </c>
      <c r="F304" s="115" t="inlineStr">
        <is>
          <t>Manual GL entry</t>
        </is>
      </c>
      <c r="G304" s="115" t="inlineStr">
        <is>
          <t>REF-100301</t>
        </is>
      </c>
      <c r="H304" s="117" t="n">
        <v>1295.91</v>
      </c>
      <c r="I304" s="117" t="n">
        <v>0</v>
      </c>
      <c r="J304" s="117" t="n">
        <v>1295.91</v>
      </c>
      <c r="K304" s="115" t="inlineStr">
        <is>
          <t>PAD</t>
        </is>
      </c>
      <c r="L304" s="115" t="inlineStr">
        <is>
          <t>500-IT</t>
        </is>
      </c>
      <c r="M304" s="115" t="inlineStr">
        <is>
          <t>6100 Bank Fees</t>
        </is>
      </c>
    </row>
    <row r="305">
      <c r="A305" s="118" t="inlineStr">
        <is>
          <t>ERP-00302</t>
        </is>
      </c>
      <c r="B305" s="119" t="n">
        <v>46023</v>
      </c>
      <c r="C305" s="118" t="inlineStr">
        <is>
          <t>2026-01</t>
        </is>
      </c>
      <c r="D305" s="118" t="inlineStr">
        <is>
          <t>Bank Fees</t>
        </is>
      </c>
      <c r="E305" s="118" t="inlineStr">
        <is>
          <t>Bank</t>
        </is>
      </c>
      <c r="F305" s="118" t="inlineStr">
        <is>
          <t>Monthly bank service charge</t>
        </is>
      </c>
      <c r="G305" s="118" t="inlineStr">
        <is>
          <t>REF-100302</t>
        </is>
      </c>
      <c r="H305" s="120" t="n">
        <v>0</v>
      </c>
      <c r="I305" s="120" t="n">
        <v>43.2</v>
      </c>
      <c r="J305" s="120" t="n">
        <v>-43.2</v>
      </c>
      <c r="K305" s="118" t="inlineStr">
        <is>
          <t>PAD</t>
        </is>
      </c>
      <c r="L305" s="118" t="inlineStr">
        <is>
          <t>400-Finance</t>
        </is>
      </c>
      <c r="M305" s="118" t="inlineStr">
        <is>
          <t>6100 Bank Fees</t>
        </is>
      </c>
    </row>
    <row r="306">
      <c r="A306" s="115" t="inlineStr">
        <is>
          <t>ERP-00303</t>
        </is>
      </c>
      <c r="B306" s="116" t="n">
        <v>46036</v>
      </c>
      <c r="C306" s="115" t="inlineStr">
        <is>
          <t>2026-01</t>
        </is>
      </c>
      <c r="D306" s="115" t="inlineStr">
        <is>
          <t>Payroll</t>
        </is>
      </c>
      <c r="E306" s="115" t="inlineStr">
        <is>
          <t>Payroll Batch</t>
        </is>
      </c>
      <c r="F306" s="115" t="inlineStr">
        <is>
          <t>Payroll payment</t>
        </is>
      </c>
      <c r="G306" s="115" t="inlineStr">
        <is>
          <t>REF-100303</t>
        </is>
      </c>
      <c r="H306" s="117" t="n">
        <v>0</v>
      </c>
      <c r="I306" s="117" t="n">
        <v>14962.87</v>
      </c>
      <c r="J306" s="117" t="n">
        <v>-14962.87</v>
      </c>
      <c r="K306" s="115" t="inlineStr">
        <is>
          <t>PAD</t>
        </is>
      </c>
      <c r="L306" s="115" t="inlineStr">
        <is>
          <t>200-Sales</t>
        </is>
      </c>
      <c r="M306" s="115" t="inlineStr">
        <is>
          <t>5300 Payroll</t>
        </is>
      </c>
    </row>
    <row r="307">
      <c r="A307" s="118" t="inlineStr">
        <is>
          <t>ERP-00304</t>
        </is>
      </c>
      <c r="B307" s="119" t="n">
        <v>46028</v>
      </c>
      <c r="C307" s="118" t="inlineStr">
        <is>
          <t>2026-01</t>
        </is>
      </c>
      <c r="D307" s="118" t="inlineStr">
        <is>
          <t>Bank Fees</t>
        </is>
      </c>
      <c r="E307" s="118" t="inlineStr">
        <is>
          <t>Bank</t>
        </is>
      </c>
      <c r="F307" s="118" t="inlineStr">
        <is>
          <t>Monthly bank service charge</t>
        </is>
      </c>
      <c r="G307" s="118" t="inlineStr">
        <is>
          <t>REF-100304</t>
        </is>
      </c>
      <c r="H307" s="120" t="n">
        <v>0</v>
      </c>
      <c r="I307" s="120" t="n">
        <v>116.4</v>
      </c>
      <c r="J307" s="120" t="n">
        <v>-116.4</v>
      </c>
      <c r="K307" s="118" t="inlineStr">
        <is>
          <t>Credit Card</t>
        </is>
      </c>
      <c r="L307" s="118" t="inlineStr">
        <is>
          <t>400-Finance</t>
        </is>
      </c>
      <c r="M307" s="118" t="inlineStr">
        <is>
          <t>6100 Bank Fees</t>
        </is>
      </c>
    </row>
    <row r="308">
      <c r="A308" s="115" t="inlineStr">
        <is>
          <t>ERP-00305</t>
        </is>
      </c>
      <c r="B308" s="116" t="n">
        <v>46048</v>
      </c>
      <c r="C308" s="115" t="inlineStr">
        <is>
          <t>2026-01</t>
        </is>
      </c>
      <c r="D308" s="115" t="inlineStr">
        <is>
          <t>AP</t>
        </is>
      </c>
      <c r="E308" s="115" t="inlineStr">
        <is>
          <t>BC Hydro</t>
        </is>
      </c>
      <c r="F308" s="115" t="inlineStr">
        <is>
          <t>Vendor payment - BC Hydro</t>
        </is>
      </c>
      <c r="G308" s="115" t="inlineStr">
        <is>
          <t>REF-100305</t>
        </is>
      </c>
      <c r="H308" s="117" t="n">
        <v>0</v>
      </c>
      <c r="I308" s="117" t="n">
        <v>1795.44</v>
      </c>
      <c r="J308" s="117" t="n">
        <v>-1795.44</v>
      </c>
      <c r="K308" s="115" t="inlineStr">
        <is>
          <t>Wire</t>
        </is>
      </c>
      <c r="L308" s="115" t="inlineStr">
        <is>
          <t>300-Ops</t>
        </is>
      </c>
      <c r="M308" s="115" t="inlineStr">
        <is>
          <t>2000 AP</t>
        </is>
      </c>
    </row>
    <row r="309">
      <c r="A309" s="118" t="inlineStr">
        <is>
          <t>ERP-00306</t>
        </is>
      </c>
      <c r="B309" s="119" t="n">
        <v>46040</v>
      </c>
      <c r="C309" s="118" t="inlineStr">
        <is>
          <t>2026-01</t>
        </is>
      </c>
      <c r="D309" s="118" t="inlineStr">
        <is>
          <t>AP</t>
        </is>
      </c>
      <c r="E309" s="118" t="inlineStr">
        <is>
          <t>Vancouver Courier</t>
        </is>
      </c>
      <c r="F309" s="118" t="inlineStr">
        <is>
          <t>Vendor payment - Vancouver Courier</t>
        </is>
      </c>
      <c r="G309" s="118" t="inlineStr">
        <is>
          <t>REF-100306</t>
        </is>
      </c>
      <c r="H309" s="120" t="n">
        <v>0</v>
      </c>
      <c r="I309" s="120" t="n">
        <v>3446.61</v>
      </c>
      <c r="J309" s="120" t="n">
        <v>-3446.61</v>
      </c>
      <c r="K309" s="118" t="inlineStr">
        <is>
          <t>Wire</t>
        </is>
      </c>
      <c r="L309" s="118" t="inlineStr">
        <is>
          <t>200-Sales</t>
        </is>
      </c>
      <c r="M309" s="118" t="inlineStr">
        <is>
          <t>2000 AP</t>
        </is>
      </c>
    </row>
    <row r="310">
      <c r="A310" s="115" t="inlineStr">
        <is>
          <t>ERP-00307</t>
        </is>
      </c>
      <c r="B310" s="116" t="n">
        <v>46025</v>
      </c>
      <c r="C310" s="115" t="inlineStr">
        <is>
          <t>2026-01</t>
        </is>
      </c>
      <c r="D310" s="115" t="inlineStr">
        <is>
          <t>Payroll</t>
        </is>
      </c>
      <c r="E310" s="115" t="inlineStr">
        <is>
          <t>Payroll Batch</t>
        </is>
      </c>
      <c r="F310" s="115" t="inlineStr">
        <is>
          <t>Payroll payment</t>
        </is>
      </c>
      <c r="G310" s="115" t="inlineStr">
        <is>
          <t>REF-100307</t>
        </is>
      </c>
      <c r="H310" s="117" t="n">
        <v>0</v>
      </c>
      <c r="I310" s="117" t="n">
        <v>14037.02</v>
      </c>
      <c r="J310" s="117" t="n">
        <v>-14037.02</v>
      </c>
      <c r="K310" s="115" t="inlineStr">
        <is>
          <t>Wire</t>
        </is>
      </c>
      <c r="L310" s="115" t="inlineStr">
        <is>
          <t>400-Finance</t>
        </is>
      </c>
      <c r="M310" s="115" t="inlineStr">
        <is>
          <t>5300 Payroll</t>
        </is>
      </c>
    </row>
    <row r="311">
      <c r="A311" s="118" t="inlineStr">
        <is>
          <t>ERP-00308</t>
        </is>
      </c>
      <c r="B311" s="119" t="n">
        <v>46044</v>
      </c>
      <c r="C311" s="118" t="inlineStr">
        <is>
          <t>2026-01</t>
        </is>
      </c>
      <c r="D311" s="118" t="inlineStr">
        <is>
          <t>AP</t>
        </is>
      </c>
      <c r="E311" s="118" t="inlineStr">
        <is>
          <t>BC Hydro</t>
        </is>
      </c>
      <c r="F311" s="118" t="inlineStr">
        <is>
          <t>Vendor payment - BC Hydro</t>
        </is>
      </c>
      <c r="G311" s="118" t="inlineStr">
        <is>
          <t>REF-100308</t>
        </is>
      </c>
      <c r="H311" s="120" t="n">
        <v>0</v>
      </c>
      <c r="I311" s="120" t="n">
        <v>4909.15</v>
      </c>
      <c r="J311" s="120" t="n">
        <v>-4909.15</v>
      </c>
      <c r="K311" s="118" t="inlineStr">
        <is>
          <t>EFT</t>
        </is>
      </c>
      <c r="L311" s="118" t="inlineStr">
        <is>
          <t>400-Finance</t>
        </is>
      </c>
      <c r="M311" s="118" t="inlineStr">
        <is>
          <t>2000 AP</t>
        </is>
      </c>
    </row>
    <row r="312">
      <c r="A312" s="115" t="inlineStr">
        <is>
          <t>ERP-00309</t>
        </is>
      </c>
      <c r="B312" s="116" t="n">
        <v>46038</v>
      </c>
      <c r="C312" s="115" t="inlineStr">
        <is>
          <t>2026-01</t>
        </is>
      </c>
      <c r="D312" s="115" t="inlineStr">
        <is>
          <t>AR</t>
        </is>
      </c>
      <c r="E312" s="115" t="inlineStr">
        <is>
          <t>West Van Fitness</t>
        </is>
      </c>
      <c r="F312" s="115" t="inlineStr">
        <is>
          <t>Customer payment - West Van Fitness</t>
        </is>
      </c>
      <c r="G312" s="115" t="inlineStr">
        <is>
          <t>REF-100309</t>
        </is>
      </c>
      <c r="H312" s="117" t="n">
        <v>4380.22</v>
      </c>
      <c r="I312" s="117" t="n">
        <v>0</v>
      </c>
      <c r="J312" s="117" t="n">
        <v>4380.22</v>
      </c>
      <c r="K312" s="115" t="inlineStr">
        <is>
          <t>Wire</t>
        </is>
      </c>
      <c r="L312" s="115" t="inlineStr">
        <is>
          <t>500-IT</t>
        </is>
      </c>
      <c r="M312" s="115" t="inlineStr">
        <is>
          <t>1200 AR</t>
        </is>
      </c>
    </row>
    <row r="313">
      <c r="A313" s="118" t="inlineStr">
        <is>
          <t>ERP-00310</t>
        </is>
      </c>
      <c r="B313" s="119" t="n">
        <v>46048</v>
      </c>
      <c r="C313" s="118" t="inlineStr">
        <is>
          <t>2026-01</t>
        </is>
      </c>
      <c r="D313" s="118" t="inlineStr">
        <is>
          <t>AR</t>
        </is>
      </c>
      <c r="E313" s="118" t="inlineStr">
        <is>
          <t>Harbour Design Co.</t>
        </is>
      </c>
      <c r="F313" s="118" t="inlineStr">
        <is>
          <t>Customer payment - Harbour Design Co.</t>
        </is>
      </c>
      <c r="G313" s="118" t="inlineStr">
        <is>
          <t>REF-100310</t>
        </is>
      </c>
      <c r="H313" s="120" t="n">
        <v>7785.25</v>
      </c>
      <c r="I313" s="120" t="n">
        <v>0</v>
      </c>
      <c r="J313" s="120" t="n">
        <v>7785.25</v>
      </c>
      <c r="K313" s="118" t="inlineStr">
        <is>
          <t>EFT</t>
        </is>
      </c>
      <c r="L313" s="118" t="inlineStr">
        <is>
          <t>200-Sales</t>
        </is>
      </c>
      <c r="M313" s="118" t="inlineStr">
        <is>
          <t>1200 AR</t>
        </is>
      </c>
    </row>
    <row r="314">
      <c r="A314" s="115" t="inlineStr">
        <is>
          <t>ERP-00311</t>
        </is>
      </c>
      <c r="B314" s="116" t="n">
        <v>46042</v>
      </c>
      <c r="C314" s="115" t="inlineStr">
        <is>
          <t>2026-01</t>
        </is>
      </c>
      <c r="D314" s="115" t="inlineStr">
        <is>
          <t>AP</t>
        </is>
      </c>
      <c r="E314" s="115" t="inlineStr">
        <is>
          <t>Staples Canada</t>
        </is>
      </c>
      <c r="F314" s="115" t="inlineStr">
        <is>
          <t>Vendor payment - Staples Canada</t>
        </is>
      </c>
      <c r="G314" s="115" t="inlineStr">
        <is>
          <t>REF-100311</t>
        </is>
      </c>
      <c r="H314" s="117" t="n">
        <v>0</v>
      </c>
      <c r="I314" s="117" t="n">
        <v>4226.13</v>
      </c>
      <c r="J314" s="117" t="n">
        <v>-4226.13</v>
      </c>
      <c r="K314" s="115" t="inlineStr">
        <is>
          <t>Wire</t>
        </is>
      </c>
      <c r="L314" s="115" t="inlineStr">
        <is>
          <t>300-Ops</t>
        </is>
      </c>
      <c r="M314" s="115" t="inlineStr">
        <is>
          <t>2000 AP</t>
        </is>
      </c>
    </row>
    <row r="315">
      <c r="A315" s="118" t="inlineStr">
        <is>
          <t>ERP-00312</t>
        </is>
      </c>
      <c r="B315" s="119" t="n">
        <v>46036</v>
      </c>
      <c r="C315" s="118" t="inlineStr">
        <is>
          <t>2026-01</t>
        </is>
      </c>
      <c r="D315" s="118" t="inlineStr">
        <is>
          <t>AP</t>
        </is>
      </c>
      <c r="E315" s="118" t="inlineStr">
        <is>
          <t>Pacific Office Supplies</t>
        </is>
      </c>
      <c r="F315" s="118" t="inlineStr">
        <is>
          <t>Vendor payment - Pacific Office Supplies</t>
        </is>
      </c>
      <c r="G315" s="118" t="inlineStr">
        <is>
          <t>REF-100312</t>
        </is>
      </c>
      <c r="H315" s="120" t="n">
        <v>0</v>
      </c>
      <c r="I315" s="120" t="n">
        <v>1663.48</v>
      </c>
      <c r="J315" s="120" t="n">
        <v>-1663.48</v>
      </c>
      <c r="K315" s="118" t="inlineStr">
        <is>
          <t>PAD</t>
        </is>
      </c>
      <c r="L315" s="118" t="inlineStr">
        <is>
          <t>500-IT</t>
        </is>
      </c>
      <c r="M315" s="118" t="inlineStr">
        <is>
          <t>2000 AP</t>
        </is>
      </c>
    </row>
    <row r="316">
      <c r="A316" s="115" t="inlineStr">
        <is>
          <t>ERP-00313</t>
        </is>
      </c>
      <c r="B316" s="116" t="n">
        <v>46035</v>
      </c>
      <c r="C316" s="115" t="inlineStr">
        <is>
          <t>2026-01</t>
        </is>
      </c>
      <c r="D316" s="115" t="inlineStr">
        <is>
          <t>AR</t>
        </is>
      </c>
      <c r="E316" s="115" t="inlineStr">
        <is>
          <t>Harbour Design Co.</t>
        </is>
      </c>
      <c r="F316" s="115" t="inlineStr">
        <is>
          <t>Customer payment - Harbour Design Co.</t>
        </is>
      </c>
      <c r="G316" s="115" t="inlineStr">
        <is>
          <t>REF-100313</t>
        </is>
      </c>
      <c r="H316" s="117" t="n">
        <v>5064.73</v>
      </c>
      <c r="I316" s="117" t="n">
        <v>0</v>
      </c>
      <c r="J316" s="117" t="n">
        <v>5064.73</v>
      </c>
      <c r="K316" s="115" t="inlineStr">
        <is>
          <t>PAD</t>
        </is>
      </c>
      <c r="L316" s="115" t="inlineStr">
        <is>
          <t>200-Sales</t>
        </is>
      </c>
      <c r="M316" s="115" t="inlineStr">
        <is>
          <t>1200 AR</t>
        </is>
      </c>
    </row>
    <row r="317">
      <c r="A317" s="118" t="inlineStr">
        <is>
          <t>ERP-00314</t>
        </is>
      </c>
      <c r="B317" s="119" t="n">
        <v>46032</v>
      </c>
      <c r="C317" s="118" t="inlineStr">
        <is>
          <t>2026-01</t>
        </is>
      </c>
      <c r="D317" s="118" t="inlineStr">
        <is>
          <t>AR</t>
        </is>
      </c>
      <c r="E317" s="118" t="inlineStr">
        <is>
          <t>Maple Retail Group</t>
        </is>
      </c>
      <c r="F317" s="118" t="inlineStr">
        <is>
          <t>Customer payment - Maple Retail Group</t>
        </is>
      </c>
      <c r="G317" s="118" t="inlineStr">
        <is>
          <t>REF-100314</t>
        </is>
      </c>
      <c r="H317" s="120" t="n">
        <v>1119.18</v>
      </c>
      <c r="I317" s="120" t="n">
        <v>0</v>
      </c>
      <c r="J317" s="120" t="n">
        <v>1119.18</v>
      </c>
      <c r="K317" s="118" t="inlineStr">
        <is>
          <t>Cheque</t>
        </is>
      </c>
      <c r="L317" s="118" t="inlineStr">
        <is>
          <t>300-Ops</t>
        </is>
      </c>
      <c r="M317" s="118" t="inlineStr">
        <is>
          <t>1200 AR</t>
        </is>
      </c>
    </row>
    <row r="318">
      <c r="A318" s="115" t="inlineStr">
        <is>
          <t>ERP-00315</t>
        </is>
      </c>
      <c r="B318" s="116" t="n">
        <v>46039</v>
      </c>
      <c r="C318" s="115" t="inlineStr">
        <is>
          <t>2026-01</t>
        </is>
      </c>
      <c r="D318" s="115" t="inlineStr">
        <is>
          <t>AR</t>
        </is>
      </c>
      <c r="E318" s="115" t="inlineStr">
        <is>
          <t>Granville Medical</t>
        </is>
      </c>
      <c r="F318" s="115" t="inlineStr">
        <is>
          <t>Customer payment - Granville Medical</t>
        </is>
      </c>
      <c r="G318" s="115" t="inlineStr">
        <is>
          <t>REF-100315</t>
        </is>
      </c>
      <c r="H318" s="117" t="n">
        <v>965.15</v>
      </c>
      <c r="I318" s="117" t="n">
        <v>0</v>
      </c>
      <c r="J318" s="117" t="n">
        <v>965.15</v>
      </c>
      <c r="K318" s="115" t="inlineStr">
        <is>
          <t>Wire</t>
        </is>
      </c>
      <c r="L318" s="115" t="inlineStr">
        <is>
          <t>300-Ops</t>
        </is>
      </c>
      <c r="M318" s="115" t="inlineStr">
        <is>
          <t>1200 AR</t>
        </is>
      </c>
    </row>
    <row r="319">
      <c r="A319" s="118" t="inlineStr">
        <is>
          <t>ERP-00316</t>
        </is>
      </c>
      <c r="B319" s="119" t="n">
        <v>46026</v>
      </c>
      <c r="C319" s="118" t="inlineStr">
        <is>
          <t>2026-01</t>
        </is>
      </c>
      <c r="D319" s="118" t="inlineStr">
        <is>
          <t>AP</t>
        </is>
      </c>
      <c r="E319" s="118" t="inlineStr">
        <is>
          <t>Metro Cleaning Ltd.</t>
        </is>
      </c>
      <c r="F319" s="118" t="inlineStr">
        <is>
          <t>Vendor payment - Metro Cleaning Ltd.</t>
        </is>
      </c>
      <c r="G319" s="118" t="inlineStr">
        <is>
          <t>REF-100316</t>
        </is>
      </c>
      <c r="H319" s="120" t="n">
        <v>0</v>
      </c>
      <c r="I319" s="120" t="n">
        <v>4045.58</v>
      </c>
      <c r="J319" s="120" t="n">
        <v>-4045.58</v>
      </c>
      <c r="K319" s="118" t="inlineStr">
        <is>
          <t>Cheque</t>
        </is>
      </c>
      <c r="L319" s="118" t="inlineStr">
        <is>
          <t>200-Sales</t>
        </is>
      </c>
      <c r="M319" s="118" t="inlineStr">
        <is>
          <t>2000 AP</t>
        </is>
      </c>
    </row>
    <row r="320">
      <c r="A320" s="115" t="inlineStr">
        <is>
          <t>ERP-00317</t>
        </is>
      </c>
      <c r="B320" s="116" t="n">
        <v>46036</v>
      </c>
      <c r="C320" s="115" t="inlineStr">
        <is>
          <t>2026-01</t>
        </is>
      </c>
      <c r="D320" s="115" t="inlineStr">
        <is>
          <t>Bank Fees</t>
        </is>
      </c>
      <c r="E320" s="115" t="inlineStr">
        <is>
          <t>Bank</t>
        </is>
      </c>
      <c r="F320" s="115" t="inlineStr">
        <is>
          <t>Monthly bank service charge</t>
        </is>
      </c>
      <c r="G320" s="115" t="inlineStr">
        <is>
          <t>REF-100317</t>
        </is>
      </c>
      <c r="H320" s="117" t="n">
        <v>0</v>
      </c>
      <c r="I320" s="117" t="n">
        <v>31.66</v>
      </c>
      <c r="J320" s="117" t="n">
        <v>-31.66</v>
      </c>
      <c r="K320" s="115" t="inlineStr">
        <is>
          <t>Wire</t>
        </is>
      </c>
      <c r="L320" s="115" t="inlineStr">
        <is>
          <t>200-Sales</t>
        </is>
      </c>
      <c r="M320" s="115" t="inlineStr">
        <is>
          <t>6100 Bank Fees</t>
        </is>
      </c>
    </row>
    <row r="321">
      <c r="A321" s="118" t="inlineStr">
        <is>
          <t>ERP-00318</t>
        </is>
      </c>
      <c r="B321" s="119" t="n">
        <v>46046</v>
      </c>
      <c r="C321" s="118" t="inlineStr">
        <is>
          <t>2026-01</t>
        </is>
      </c>
      <c r="D321" s="118" t="inlineStr">
        <is>
          <t>AR</t>
        </is>
      </c>
      <c r="E321" s="118" t="inlineStr">
        <is>
          <t>Coastline Foods</t>
        </is>
      </c>
      <c r="F321" s="118" t="inlineStr">
        <is>
          <t>Customer payment - Coastline Foods</t>
        </is>
      </c>
      <c r="G321" s="118" t="inlineStr">
        <is>
          <t>REF-100318</t>
        </is>
      </c>
      <c r="H321" s="120" t="n">
        <v>3903.95</v>
      </c>
      <c r="I321" s="120" t="n">
        <v>0</v>
      </c>
      <c r="J321" s="120" t="n">
        <v>3903.95</v>
      </c>
      <c r="K321" s="118" t="inlineStr">
        <is>
          <t>Wire</t>
        </is>
      </c>
      <c r="L321" s="118" t="inlineStr">
        <is>
          <t>400-Finance</t>
        </is>
      </c>
      <c r="M321" s="118" t="inlineStr">
        <is>
          <t>1200 AR</t>
        </is>
      </c>
    </row>
    <row r="322">
      <c r="A322" s="115" t="inlineStr">
        <is>
          <t>ERP-00319</t>
        </is>
      </c>
      <c r="B322" s="116" t="n">
        <v>46047</v>
      </c>
      <c r="C322" s="115" t="inlineStr">
        <is>
          <t>2026-01</t>
        </is>
      </c>
      <c r="D322" s="115" t="inlineStr">
        <is>
          <t>GL</t>
        </is>
      </c>
      <c r="E322" s="115" t="inlineStr">
        <is>
          <t>Harbour Design Co.</t>
        </is>
      </c>
      <c r="F322" s="115" t="inlineStr">
        <is>
          <t>Manual GL entry</t>
        </is>
      </c>
      <c r="G322" s="115" t="inlineStr">
        <is>
          <t>REF-100319</t>
        </is>
      </c>
      <c r="H322" s="117" t="n">
        <v>359.69</v>
      </c>
      <c r="I322" s="117" t="n">
        <v>0</v>
      </c>
      <c r="J322" s="117" t="n">
        <v>359.69</v>
      </c>
      <c r="K322" s="115" t="inlineStr">
        <is>
          <t>Credit Card</t>
        </is>
      </c>
      <c r="L322" s="115" t="inlineStr">
        <is>
          <t>300-Ops</t>
        </is>
      </c>
      <c r="M322" s="115" t="inlineStr">
        <is>
          <t>2000 AP</t>
        </is>
      </c>
    </row>
    <row r="323">
      <c r="A323" s="118" t="inlineStr">
        <is>
          <t>ERP-00320</t>
        </is>
      </c>
      <c r="B323" s="119" t="n">
        <v>46050</v>
      </c>
      <c r="C323" s="118" t="inlineStr">
        <is>
          <t>2026-01</t>
        </is>
      </c>
      <c r="D323" s="118" t="inlineStr">
        <is>
          <t>AR</t>
        </is>
      </c>
      <c r="E323" s="118" t="inlineStr">
        <is>
          <t>Harbour Design Co.</t>
        </is>
      </c>
      <c r="F323" s="118" t="inlineStr">
        <is>
          <t>Customer payment - Harbour Design Co.</t>
        </is>
      </c>
      <c r="G323" s="118" t="inlineStr">
        <is>
          <t>REF-100320</t>
        </is>
      </c>
      <c r="H323" s="120" t="n">
        <v>2766.92</v>
      </c>
      <c r="I323" s="120" t="n">
        <v>0</v>
      </c>
      <c r="J323" s="120" t="n">
        <v>2766.92</v>
      </c>
      <c r="K323" s="118" t="inlineStr">
        <is>
          <t>Wire</t>
        </is>
      </c>
      <c r="L323" s="118" t="inlineStr">
        <is>
          <t>500-IT</t>
        </is>
      </c>
      <c r="M323" s="118" t="inlineStr">
        <is>
          <t>1200 AR</t>
        </is>
      </c>
    </row>
    <row r="324">
      <c r="A324" s="115" t="inlineStr">
        <is>
          <t>ERP-00321</t>
        </is>
      </c>
      <c r="B324" s="116" t="n">
        <v>46050</v>
      </c>
      <c r="C324" s="115" t="inlineStr">
        <is>
          <t>2026-01</t>
        </is>
      </c>
      <c r="D324" s="115" t="inlineStr">
        <is>
          <t>AR</t>
        </is>
      </c>
      <c r="E324" s="115" t="inlineStr">
        <is>
          <t>Coastline Foods</t>
        </is>
      </c>
      <c r="F324" s="115" t="inlineStr">
        <is>
          <t>Customer payment - Coastline Foods</t>
        </is>
      </c>
      <c r="G324" s="115" t="inlineStr">
        <is>
          <t>REF-100321</t>
        </is>
      </c>
      <c r="H324" s="117" t="n">
        <v>6944.71</v>
      </c>
      <c r="I324" s="117" t="n">
        <v>0</v>
      </c>
      <c r="J324" s="117" t="n">
        <v>6944.71</v>
      </c>
      <c r="K324" s="115" t="inlineStr">
        <is>
          <t>Credit Card</t>
        </is>
      </c>
      <c r="L324" s="115" t="inlineStr">
        <is>
          <t>500-IT</t>
        </is>
      </c>
      <c r="M324" s="115" t="inlineStr">
        <is>
          <t>1200 AR</t>
        </is>
      </c>
    </row>
    <row r="325">
      <c r="A325" s="118" t="inlineStr">
        <is>
          <t>ERP-00322</t>
        </is>
      </c>
      <c r="B325" s="119" t="n">
        <v>46030</v>
      </c>
      <c r="C325" s="118" t="inlineStr">
        <is>
          <t>2026-01</t>
        </is>
      </c>
      <c r="D325" s="118" t="inlineStr">
        <is>
          <t>AP</t>
        </is>
      </c>
      <c r="E325" s="118" t="inlineStr">
        <is>
          <t>North Shore Telecom</t>
        </is>
      </c>
      <c r="F325" s="118" t="inlineStr">
        <is>
          <t>Vendor payment - North Shore Telecom</t>
        </is>
      </c>
      <c r="G325" s="118" t="inlineStr">
        <is>
          <t>REF-100322</t>
        </is>
      </c>
      <c r="H325" s="120" t="n">
        <v>0</v>
      </c>
      <c r="I325" s="120" t="n">
        <v>2364.63</v>
      </c>
      <c r="J325" s="120" t="n">
        <v>-2364.63</v>
      </c>
      <c r="K325" s="118" t="inlineStr">
        <is>
          <t>Cheque</t>
        </is>
      </c>
      <c r="L325" s="118" t="inlineStr">
        <is>
          <t>500-IT</t>
        </is>
      </c>
      <c r="M325" s="118" t="inlineStr">
        <is>
          <t>2000 AP</t>
        </is>
      </c>
    </row>
    <row r="326">
      <c r="A326" s="115" t="inlineStr">
        <is>
          <t>ERP-00323</t>
        </is>
      </c>
      <c r="B326" s="116" t="n">
        <v>46036</v>
      </c>
      <c r="C326" s="115" t="inlineStr">
        <is>
          <t>2026-01</t>
        </is>
      </c>
      <c r="D326" s="115" t="inlineStr">
        <is>
          <t>AP</t>
        </is>
      </c>
      <c r="E326" s="115" t="inlineStr">
        <is>
          <t>Staples Canada</t>
        </is>
      </c>
      <c r="F326" s="115" t="inlineStr">
        <is>
          <t>Vendor payment - Staples Canada</t>
        </is>
      </c>
      <c r="G326" s="115" t="inlineStr">
        <is>
          <t>REF-100323</t>
        </is>
      </c>
      <c r="H326" s="117" t="n">
        <v>0</v>
      </c>
      <c r="I326" s="117" t="n">
        <v>3368.76</v>
      </c>
      <c r="J326" s="117" t="n">
        <v>-3368.76</v>
      </c>
      <c r="K326" s="115" t="inlineStr">
        <is>
          <t>Cheque</t>
        </is>
      </c>
      <c r="L326" s="115" t="inlineStr">
        <is>
          <t>500-IT</t>
        </is>
      </c>
      <c r="M326" s="115" t="inlineStr">
        <is>
          <t>2000 AP</t>
        </is>
      </c>
    </row>
    <row r="327">
      <c r="A327" s="118" t="inlineStr">
        <is>
          <t>ERP-00324</t>
        </is>
      </c>
      <c r="B327" s="119" t="n">
        <v>46033</v>
      </c>
      <c r="C327" s="118" t="inlineStr">
        <is>
          <t>2026-01</t>
        </is>
      </c>
      <c r="D327" s="118" t="inlineStr">
        <is>
          <t>Payroll</t>
        </is>
      </c>
      <c r="E327" s="118" t="inlineStr">
        <is>
          <t>Payroll Batch</t>
        </is>
      </c>
      <c r="F327" s="118" t="inlineStr">
        <is>
          <t>Payroll payment</t>
        </is>
      </c>
      <c r="G327" s="118" t="inlineStr">
        <is>
          <t>REF-100324</t>
        </is>
      </c>
      <c r="H327" s="120" t="n">
        <v>0</v>
      </c>
      <c r="I327" s="120" t="n">
        <v>11481.44</v>
      </c>
      <c r="J327" s="120" t="n">
        <v>-11481.44</v>
      </c>
      <c r="K327" s="118" t="inlineStr">
        <is>
          <t>Credit Card</t>
        </is>
      </c>
      <c r="L327" s="118" t="inlineStr">
        <is>
          <t>100-Admin</t>
        </is>
      </c>
      <c r="M327" s="118" t="inlineStr">
        <is>
          <t>5300 Payroll</t>
        </is>
      </c>
    </row>
    <row r="328">
      <c r="A328" s="115" t="inlineStr">
        <is>
          <t>ERP-00325</t>
        </is>
      </c>
      <c r="B328" s="116" t="n">
        <v>46053</v>
      </c>
      <c r="C328" s="115" t="inlineStr">
        <is>
          <t>2026-01</t>
        </is>
      </c>
      <c r="D328" s="115" t="inlineStr">
        <is>
          <t>AR</t>
        </is>
      </c>
      <c r="E328" s="115" t="inlineStr">
        <is>
          <t>Harbour Design Co.</t>
        </is>
      </c>
      <c r="F328" s="115" t="inlineStr">
        <is>
          <t>Customer payment - Harbour Design Co.</t>
        </is>
      </c>
      <c r="G328" s="115" t="inlineStr">
        <is>
          <t>REF-100325</t>
        </is>
      </c>
      <c r="H328" s="117" t="n">
        <v>4283</v>
      </c>
      <c r="I328" s="117" t="n">
        <v>0</v>
      </c>
      <c r="J328" s="117" t="n">
        <v>4283</v>
      </c>
      <c r="K328" s="115" t="inlineStr">
        <is>
          <t>Wire</t>
        </is>
      </c>
      <c r="L328" s="115" t="inlineStr">
        <is>
          <t>400-Finance</t>
        </is>
      </c>
      <c r="M328" s="115" t="inlineStr">
        <is>
          <t>1200 AR</t>
        </is>
      </c>
    </row>
    <row r="329">
      <c r="A329" s="118" t="inlineStr">
        <is>
          <t>ERP-00326</t>
        </is>
      </c>
      <c r="B329" s="119" t="n">
        <v>46025</v>
      </c>
      <c r="C329" s="118" t="inlineStr">
        <is>
          <t>2026-01</t>
        </is>
      </c>
      <c r="D329" s="118" t="inlineStr">
        <is>
          <t>AR</t>
        </is>
      </c>
      <c r="E329" s="118" t="inlineStr">
        <is>
          <t>Coastline Foods</t>
        </is>
      </c>
      <c r="F329" s="118" t="inlineStr">
        <is>
          <t>Customer payment - Coastline Foods</t>
        </is>
      </c>
      <c r="G329" s="118" t="inlineStr">
        <is>
          <t>REF-100326</t>
        </is>
      </c>
      <c r="H329" s="120" t="n">
        <v>2588.95</v>
      </c>
      <c r="I329" s="120" t="n">
        <v>0</v>
      </c>
      <c r="J329" s="120" t="n">
        <v>2588.95</v>
      </c>
      <c r="K329" s="118" t="inlineStr">
        <is>
          <t>Credit Card</t>
        </is>
      </c>
      <c r="L329" s="118" t="inlineStr">
        <is>
          <t>200-Sales</t>
        </is>
      </c>
      <c r="M329" s="118" t="inlineStr">
        <is>
          <t>1200 AR</t>
        </is>
      </c>
    </row>
    <row r="330">
      <c r="A330" s="115" t="inlineStr">
        <is>
          <t>ERP-00327</t>
        </is>
      </c>
      <c r="B330" s="116" t="n">
        <v>46041</v>
      </c>
      <c r="C330" s="115" t="inlineStr">
        <is>
          <t>2026-01</t>
        </is>
      </c>
      <c r="D330" s="115" t="inlineStr">
        <is>
          <t>GL</t>
        </is>
      </c>
      <c r="E330" s="115" t="inlineStr">
        <is>
          <t>Harbour Design Co.</t>
        </is>
      </c>
      <c r="F330" s="115" t="inlineStr">
        <is>
          <t>Manual GL entry</t>
        </is>
      </c>
      <c r="G330" s="115" t="inlineStr">
        <is>
          <t>REF-100327</t>
        </is>
      </c>
      <c r="H330" s="117" t="n">
        <v>0</v>
      </c>
      <c r="I330" s="117" t="n">
        <v>2501.8</v>
      </c>
      <c r="J330" s="117" t="n">
        <v>-2501.8</v>
      </c>
      <c r="K330" s="115" t="inlineStr">
        <is>
          <t>Credit Card</t>
        </is>
      </c>
      <c r="L330" s="115" t="inlineStr">
        <is>
          <t>500-IT</t>
        </is>
      </c>
      <c r="M330" s="115" t="inlineStr">
        <is>
          <t>1200 AR</t>
        </is>
      </c>
    </row>
    <row r="331">
      <c r="A331" s="118" t="inlineStr">
        <is>
          <t>ERP-00328</t>
        </is>
      </c>
      <c r="B331" s="119" t="n">
        <v>46034</v>
      </c>
      <c r="C331" s="118" t="inlineStr">
        <is>
          <t>2026-01</t>
        </is>
      </c>
      <c r="D331" s="118" t="inlineStr">
        <is>
          <t>AR</t>
        </is>
      </c>
      <c r="E331" s="118" t="inlineStr">
        <is>
          <t>Maple Retail Group</t>
        </is>
      </c>
      <c r="F331" s="118" t="inlineStr">
        <is>
          <t>Customer payment - Maple Retail Group</t>
        </is>
      </c>
      <c r="G331" s="118" t="inlineStr">
        <is>
          <t>REF-100328</t>
        </is>
      </c>
      <c r="H331" s="120" t="n">
        <v>6496.03</v>
      </c>
      <c r="I331" s="120" t="n">
        <v>0</v>
      </c>
      <c r="J331" s="120" t="n">
        <v>6496.03</v>
      </c>
      <c r="K331" s="118" t="inlineStr">
        <is>
          <t>Wire</t>
        </is>
      </c>
      <c r="L331" s="118" t="inlineStr">
        <is>
          <t>500-IT</t>
        </is>
      </c>
      <c r="M331" s="118" t="inlineStr">
        <is>
          <t>1200 AR</t>
        </is>
      </c>
    </row>
    <row r="332">
      <c r="A332" s="115" t="inlineStr">
        <is>
          <t>ERP-00329</t>
        </is>
      </c>
      <c r="B332" s="116" t="n">
        <v>46049</v>
      </c>
      <c r="C332" s="115" t="inlineStr">
        <is>
          <t>2026-01</t>
        </is>
      </c>
      <c r="D332" s="115" t="inlineStr">
        <is>
          <t>AR</t>
        </is>
      </c>
      <c r="E332" s="115" t="inlineStr">
        <is>
          <t>Coastline Foods</t>
        </is>
      </c>
      <c r="F332" s="115" t="inlineStr">
        <is>
          <t>Customer payment - Coastline Foods</t>
        </is>
      </c>
      <c r="G332" s="115" t="inlineStr">
        <is>
          <t>REF-100329</t>
        </is>
      </c>
      <c r="H332" s="117" t="n">
        <v>2635.87</v>
      </c>
      <c r="I332" s="117" t="n">
        <v>0</v>
      </c>
      <c r="J332" s="117" t="n">
        <v>2635.87</v>
      </c>
      <c r="K332" s="115" t="inlineStr">
        <is>
          <t>EFT</t>
        </is>
      </c>
      <c r="L332" s="115" t="inlineStr">
        <is>
          <t>400-Finance</t>
        </is>
      </c>
      <c r="M332" s="115" t="inlineStr">
        <is>
          <t>1200 AR</t>
        </is>
      </c>
    </row>
    <row r="333">
      <c r="A333" s="118" t="inlineStr">
        <is>
          <t>ERP-00330</t>
        </is>
      </c>
      <c r="B333" s="119" t="n">
        <v>46026</v>
      </c>
      <c r="C333" s="118" t="inlineStr">
        <is>
          <t>2026-01</t>
        </is>
      </c>
      <c r="D333" s="118" t="inlineStr">
        <is>
          <t>GL</t>
        </is>
      </c>
      <c r="E333" s="118" t="inlineStr">
        <is>
          <t>BC Hydro</t>
        </is>
      </c>
      <c r="F333" s="118" t="inlineStr">
        <is>
          <t>Manual GL entry</t>
        </is>
      </c>
      <c r="G333" s="118" t="inlineStr">
        <is>
          <t>REF-100330</t>
        </is>
      </c>
      <c r="H333" s="120" t="n">
        <v>0</v>
      </c>
      <c r="I333" s="120" t="n">
        <v>1088.9</v>
      </c>
      <c r="J333" s="120" t="n">
        <v>-1088.9</v>
      </c>
      <c r="K333" s="118" t="inlineStr">
        <is>
          <t>PAD</t>
        </is>
      </c>
      <c r="L333" s="118" t="inlineStr">
        <is>
          <t>400-Finance</t>
        </is>
      </c>
      <c r="M333" s="118" t="inlineStr">
        <is>
          <t>5200 Software</t>
        </is>
      </c>
    </row>
    <row r="334">
      <c r="A334" s="115" t="inlineStr">
        <is>
          <t>ERP-00331</t>
        </is>
      </c>
      <c r="B334" s="116" t="n">
        <v>46049</v>
      </c>
      <c r="C334" s="115" t="inlineStr">
        <is>
          <t>2026-01</t>
        </is>
      </c>
      <c r="D334" s="115" t="inlineStr">
        <is>
          <t>AP</t>
        </is>
      </c>
      <c r="E334" s="115" t="inlineStr">
        <is>
          <t>Pacific Office Supplies</t>
        </is>
      </c>
      <c r="F334" s="115" t="inlineStr">
        <is>
          <t>Vendor payment - Pacific Office Supplies</t>
        </is>
      </c>
      <c r="G334" s="115" t="inlineStr">
        <is>
          <t>REF-100331</t>
        </is>
      </c>
      <c r="H334" s="117" t="n">
        <v>0</v>
      </c>
      <c r="I334" s="117" t="n">
        <v>3568.85</v>
      </c>
      <c r="J334" s="117" t="n">
        <v>-3568.85</v>
      </c>
      <c r="K334" s="115" t="inlineStr">
        <is>
          <t>PAD</t>
        </is>
      </c>
      <c r="L334" s="115" t="inlineStr">
        <is>
          <t>300-Ops</t>
        </is>
      </c>
      <c r="M334" s="115" t="inlineStr">
        <is>
          <t>2000 AP</t>
        </is>
      </c>
    </row>
    <row r="335">
      <c r="A335" s="118" t="inlineStr">
        <is>
          <t>ERP-00332</t>
        </is>
      </c>
      <c r="B335" s="119" t="n">
        <v>46045</v>
      </c>
      <c r="C335" s="118" t="inlineStr">
        <is>
          <t>2026-01</t>
        </is>
      </c>
      <c r="D335" s="118" t="inlineStr">
        <is>
          <t>AP</t>
        </is>
      </c>
      <c r="E335" s="118" t="inlineStr">
        <is>
          <t>Amazon Business</t>
        </is>
      </c>
      <c r="F335" s="118" t="inlineStr">
        <is>
          <t>Vendor payment - Amazon Business</t>
        </is>
      </c>
      <c r="G335" s="118" t="inlineStr">
        <is>
          <t>REF-100332</t>
        </is>
      </c>
      <c r="H335" s="120" t="n">
        <v>0</v>
      </c>
      <c r="I335" s="120" t="n">
        <v>1716.14</v>
      </c>
      <c r="J335" s="120" t="n">
        <v>-1716.14</v>
      </c>
      <c r="K335" s="118" t="inlineStr">
        <is>
          <t>PAD</t>
        </is>
      </c>
      <c r="L335" s="118" t="inlineStr">
        <is>
          <t>100-Admin</t>
        </is>
      </c>
      <c r="M335" s="118" t="inlineStr">
        <is>
          <t>2000 AP</t>
        </is>
      </c>
    </row>
    <row r="336">
      <c r="A336" s="115" t="inlineStr">
        <is>
          <t>ERP-00333</t>
        </is>
      </c>
      <c r="B336" s="116" t="n">
        <v>46031</v>
      </c>
      <c r="C336" s="115" t="inlineStr">
        <is>
          <t>2026-01</t>
        </is>
      </c>
      <c r="D336" s="115" t="inlineStr">
        <is>
          <t>Payroll</t>
        </is>
      </c>
      <c r="E336" s="115" t="inlineStr">
        <is>
          <t>Payroll Batch</t>
        </is>
      </c>
      <c r="F336" s="115" t="inlineStr">
        <is>
          <t>Payroll payment</t>
        </is>
      </c>
      <c r="G336" s="115" t="inlineStr">
        <is>
          <t>REF-100333</t>
        </is>
      </c>
      <c r="H336" s="117" t="n">
        <v>0</v>
      </c>
      <c r="I336" s="117" t="n">
        <v>4339.88</v>
      </c>
      <c r="J336" s="117" t="n">
        <v>-4339.88</v>
      </c>
      <c r="K336" s="115" t="inlineStr">
        <is>
          <t>Cheque</t>
        </is>
      </c>
      <c r="L336" s="115" t="inlineStr">
        <is>
          <t>200-Sales</t>
        </is>
      </c>
      <c r="M336" s="115" t="inlineStr">
        <is>
          <t>5300 Payroll</t>
        </is>
      </c>
    </row>
    <row r="337">
      <c r="A337" s="118" t="inlineStr">
        <is>
          <t>ERP-00334</t>
        </is>
      </c>
      <c r="B337" s="119" t="n">
        <v>46047</v>
      </c>
      <c r="C337" s="118" t="inlineStr">
        <is>
          <t>2026-01</t>
        </is>
      </c>
      <c r="D337" s="118" t="inlineStr">
        <is>
          <t>Payroll</t>
        </is>
      </c>
      <c r="E337" s="118" t="inlineStr">
        <is>
          <t>Payroll Batch</t>
        </is>
      </c>
      <c r="F337" s="118" t="inlineStr">
        <is>
          <t>Payroll payment</t>
        </is>
      </c>
      <c r="G337" s="118" t="inlineStr">
        <is>
          <t>REF-100334</t>
        </is>
      </c>
      <c r="H337" s="120" t="n">
        <v>0</v>
      </c>
      <c r="I337" s="120" t="n">
        <v>8194.16</v>
      </c>
      <c r="J337" s="120" t="n">
        <v>-8194.16</v>
      </c>
      <c r="K337" s="118" t="inlineStr">
        <is>
          <t>Cheque</t>
        </is>
      </c>
      <c r="L337" s="118" t="inlineStr">
        <is>
          <t>500-IT</t>
        </is>
      </c>
      <c r="M337" s="118" t="inlineStr">
        <is>
          <t>5300 Payroll</t>
        </is>
      </c>
    </row>
    <row r="338">
      <c r="A338" s="115" t="inlineStr">
        <is>
          <t>ERP-00335</t>
        </is>
      </c>
      <c r="B338" s="116" t="n">
        <v>46025</v>
      </c>
      <c r="C338" s="115" t="inlineStr">
        <is>
          <t>2026-01</t>
        </is>
      </c>
      <c r="D338" s="115" t="inlineStr">
        <is>
          <t>AR</t>
        </is>
      </c>
      <c r="E338" s="115" t="inlineStr">
        <is>
          <t>Maple Retail Group</t>
        </is>
      </c>
      <c r="F338" s="115" t="inlineStr">
        <is>
          <t>Customer payment - Maple Retail Group</t>
        </is>
      </c>
      <c r="G338" s="115" t="inlineStr">
        <is>
          <t>REF-100335</t>
        </is>
      </c>
      <c r="H338" s="117" t="n">
        <v>3513.8</v>
      </c>
      <c r="I338" s="117" t="n">
        <v>0</v>
      </c>
      <c r="J338" s="117" t="n">
        <v>3513.8</v>
      </c>
      <c r="K338" s="115" t="inlineStr">
        <is>
          <t>Credit Card</t>
        </is>
      </c>
      <c r="L338" s="115" t="inlineStr">
        <is>
          <t>300-Ops</t>
        </is>
      </c>
      <c r="M338" s="115" t="inlineStr">
        <is>
          <t>1200 AR</t>
        </is>
      </c>
    </row>
    <row r="339">
      <c r="A339" s="118" t="inlineStr">
        <is>
          <t>ERP-00336</t>
        </is>
      </c>
      <c r="B339" s="119" t="n">
        <v>46023</v>
      </c>
      <c r="C339" s="118" t="inlineStr">
        <is>
          <t>2026-01</t>
        </is>
      </c>
      <c r="D339" s="118" t="inlineStr">
        <is>
          <t>Payroll</t>
        </is>
      </c>
      <c r="E339" s="118" t="inlineStr">
        <is>
          <t>Payroll Batch</t>
        </is>
      </c>
      <c r="F339" s="118" t="inlineStr">
        <is>
          <t>Payroll payment</t>
        </is>
      </c>
      <c r="G339" s="118" t="inlineStr">
        <is>
          <t>REF-100336</t>
        </is>
      </c>
      <c r="H339" s="120" t="n">
        <v>0</v>
      </c>
      <c r="I339" s="120" t="n">
        <v>14783.93</v>
      </c>
      <c r="J339" s="120" t="n">
        <v>-14783.93</v>
      </c>
      <c r="K339" s="118" t="inlineStr">
        <is>
          <t>EFT</t>
        </is>
      </c>
      <c r="L339" s="118" t="inlineStr">
        <is>
          <t>400-Finance</t>
        </is>
      </c>
      <c r="M339" s="118" t="inlineStr">
        <is>
          <t>5300 Payroll</t>
        </is>
      </c>
    </row>
    <row r="340">
      <c r="A340" s="115" t="inlineStr">
        <is>
          <t>ERP-00337</t>
        </is>
      </c>
      <c r="B340" s="116" t="n">
        <v>46048</v>
      </c>
      <c r="C340" s="115" t="inlineStr">
        <is>
          <t>2026-01</t>
        </is>
      </c>
      <c r="D340" s="115" t="inlineStr">
        <is>
          <t>AR</t>
        </is>
      </c>
      <c r="E340" s="115" t="inlineStr">
        <is>
          <t>Coastline Foods</t>
        </is>
      </c>
      <c r="F340" s="115" t="inlineStr">
        <is>
          <t>Customer payment - Coastline Foods</t>
        </is>
      </c>
      <c r="G340" s="115" t="inlineStr">
        <is>
          <t>REF-100337</t>
        </is>
      </c>
      <c r="H340" s="117" t="n">
        <v>8233.870000000001</v>
      </c>
      <c r="I340" s="117" t="n">
        <v>0</v>
      </c>
      <c r="J340" s="117" t="n">
        <v>8233.870000000001</v>
      </c>
      <c r="K340" s="115" t="inlineStr">
        <is>
          <t>Cheque</t>
        </is>
      </c>
      <c r="L340" s="115" t="inlineStr">
        <is>
          <t>400-Finance</t>
        </is>
      </c>
      <c r="M340" s="115" t="inlineStr">
        <is>
          <t>1200 AR</t>
        </is>
      </c>
    </row>
    <row r="341">
      <c r="A341" s="118" t="inlineStr">
        <is>
          <t>ERP-00338</t>
        </is>
      </c>
      <c r="B341" s="119" t="n">
        <v>46041</v>
      </c>
      <c r="C341" s="118" t="inlineStr">
        <is>
          <t>2026-01</t>
        </is>
      </c>
      <c r="D341" s="118" t="inlineStr">
        <is>
          <t>AP</t>
        </is>
      </c>
      <c r="E341" s="118" t="inlineStr">
        <is>
          <t>Vancouver Courier</t>
        </is>
      </c>
      <c r="F341" s="118" t="inlineStr">
        <is>
          <t>Vendor payment - Vancouver Courier</t>
        </is>
      </c>
      <c r="G341" s="118" t="inlineStr">
        <is>
          <t>REF-100338</t>
        </is>
      </c>
      <c r="H341" s="120" t="n">
        <v>0</v>
      </c>
      <c r="I341" s="120" t="n">
        <v>3050.27</v>
      </c>
      <c r="J341" s="120" t="n">
        <v>-3050.27</v>
      </c>
      <c r="K341" s="118" t="inlineStr">
        <is>
          <t>Credit Card</t>
        </is>
      </c>
      <c r="L341" s="118" t="inlineStr">
        <is>
          <t>100-Admin</t>
        </is>
      </c>
      <c r="M341" s="118" t="inlineStr">
        <is>
          <t>2000 AP</t>
        </is>
      </c>
    </row>
    <row r="342">
      <c r="A342" s="115" t="inlineStr">
        <is>
          <t>ERP-00339</t>
        </is>
      </c>
      <c r="B342" s="116" t="n">
        <v>46037</v>
      </c>
      <c r="C342" s="115" t="inlineStr">
        <is>
          <t>2026-01</t>
        </is>
      </c>
      <c r="D342" s="115" t="inlineStr">
        <is>
          <t>AR</t>
        </is>
      </c>
      <c r="E342" s="115" t="inlineStr">
        <is>
          <t>Granville Medical</t>
        </is>
      </c>
      <c r="F342" s="115" t="inlineStr">
        <is>
          <t>Customer payment - Granville Medical</t>
        </is>
      </c>
      <c r="G342" s="115" t="inlineStr">
        <is>
          <t>REF-100339</t>
        </is>
      </c>
      <c r="H342" s="117" t="n">
        <v>1839.36</v>
      </c>
      <c r="I342" s="117" t="n">
        <v>0</v>
      </c>
      <c r="J342" s="117" t="n">
        <v>1839.36</v>
      </c>
      <c r="K342" s="115" t="inlineStr">
        <is>
          <t>Cheque</t>
        </is>
      </c>
      <c r="L342" s="115" t="inlineStr">
        <is>
          <t>300-Ops</t>
        </is>
      </c>
      <c r="M342" s="115" t="inlineStr">
        <is>
          <t>1200 AR</t>
        </is>
      </c>
    </row>
    <row r="343">
      <c r="A343" s="118" t="inlineStr">
        <is>
          <t>ERP-00340</t>
        </is>
      </c>
      <c r="B343" s="119" t="n">
        <v>46034</v>
      </c>
      <c r="C343" s="118" t="inlineStr">
        <is>
          <t>2026-01</t>
        </is>
      </c>
      <c r="D343" s="118" t="inlineStr">
        <is>
          <t>AP</t>
        </is>
      </c>
      <c r="E343" s="118" t="inlineStr">
        <is>
          <t>Metro Cleaning Ltd.</t>
        </is>
      </c>
      <c r="F343" s="118" t="inlineStr">
        <is>
          <t>Vendor payment - Metro Cleaning Ltd.</t>
        </is>
      </c>
      <c r="G343" s="118" t="inlineStr">
        <is>
          <t>REF-100340</t>
        </is>
      </c>
      <c r="H343" s="120" t="n">
        <v>0</v>
      </c>
      <c r="I343" s="120" t="n">
        <v>4146.79</v>
      </c>
      <c r="J343" s="120" t="n">
        <v>-4146.79</v>
      </c>
      <c r="K343" s="118" t="inlineStr">
        <is>
          <t>Cheque</t>
        </is>
      </c>
      <c r="L343" s="118" t="inlineStr">
        <is>
          <t>100-Admin</t>
        </is>
      </c>
      <c r="M343" s="118" t="inlineStr">
        <is>
          <t>2000 AP</t>
        </is>
      </c>
    </row>
    <row r="344">
      <c r="A344" s="115" t="inlineStr">
        <is>
          <t>ERP-00341</t>
        </is>
      </c>
      <c r="B344" s="116" t="n">
        <v>46047</v>
      </c>
      <c r="C344" s="115" t="inlineStr">
        <is>
          <t>2026-01</t>
        </is>
      </c>
      <c r="D344" s="115" t="inlineStr">
        <is>
          <t>AP</t>
        </is>
      </c>
      <c r="E344" s="115" t="inlineStr">
        <is>
          <t>Staples Canada</t>
        </is>
      </c>
      <c r="F344" s="115" t="inlineStr">
        <is>
          <t>Vendor payment - Staples Canada</t>
        </is>
      </c>
      <c r="G344" s="115" t="inlineStr">
        <is>
          <t>REF-100341</t>
        </is>
      </c>
      <c r="H344" s="117" t="n">
        <v>0</v>
      </c>
      <c r="I344" s="117" t="n">
        <v>638.14</v>
      </c>
      <c r="J344" s="117" t="n">
        <v>-638.14</v>
      </c>
      <c r="K344" s="115" t="inlineStr">
        <is>
          <t>EFT</t>
        </is>
      </c>
      <c r="L344" s="115" t="inlineStr">
        <is>
          <t>100-Admin</t>
        </is>
      </c>
      <c r="M344" s="115" t="inlineStr">
        <is>
          <t>2000 AP</t>
        </is>
      </c>
    </row>
    <row r="345">
      <c r="A345" s="118" t="inlineStr">
        <is>
          <t>ERP-00342</t>
        </is>
      </c>
      <c r="B345" s="119" t="n">
        <v>46030</v>
      </c>
      <c r="C345" s="118" t="inlineStr">
        <is>
          <t>2026-01</t>
        </is>
      </c>
      <c r="D345" s="118" t="inlineStr">
        <is>
          <t>AR</t>
        </is>
      </c>
      <c r="E345" s="118" t="inlineStr">
        <is>
          <t>Granville Medical</t>
        </is>
      </c>
      <c r="F345" s="118" t="inlineStr">
        <is>
          <t>Customer payment - Granville Medical</t>
        </is>
      </c>
      <c r="G345" s="118" t="inlineStr">
        <is>
          <t>REF-100342</t>
        </is>
      </c>
      <c r="H345" s="120" t="n">
        <v>227.55</v>
      </c>
      <c r="I345" s="120" t="n">
        <v>0</v>
      </c>
      <c r="J345" s="120" t="n">
        <v>227.55</v>
      </c>
      <c r="K345" s="118" t="inlineStr">
        <is>
          <t>Credit Card</t>
        </is>
      </c>
      <c r="L345" s="118" t="inlineStr">
        <is>
          <t>100-Admin</t>
        </is>
      </c>
      <c r="M345" s="118" t="inlineStr">
        <is>
          <t>1200 AR</t>
        </is>
      </c>
    </row>
    <row r="346">
      <c r="A346" s="115" t="inlineStr">
        <is>
          <t>ERP-00343</t>
        </is>
      </c>
      <c r="B346" s="116" t="n">
        <v>46036</v>
      </c>
      <c r="C346" s="115" t="inlineStr">
        <is>
          <t>2026-01</t>
        </is>
      </c>
      <c r="D346" s="115" t="inlineStr">
        <is>
          <t>GL</t>
        </is>
      </c>
      <c r="E346" s="115" t="inlineStr">
        <is>
          <t>Maple Retail Group</t>
        </is>
      </c>
      <c r="F346" s="115" t="inlineStr">
        <is>
          <t>Manual GL entry</t>
        </is>
      </c>
      <c r="G346" s="115" t="inlineStr">
        <is>
          <t>REF-100343</t>
        </is>
      </c>
      <c r="H346" s="117" t="n">
        <v>400.6</v>
      </c>
      <c r="I346" s="117" t="n">
        <v>0</v>
      </c>
      <c r="J346" s="117" t="n">
        <v>400.6</v>
      </c>
      <c r="K346" s="115" t="inlineStr">
        <is>
          <t>EFT</t>
        </is>
      </c>
      <c r="L346" s="115" t="inlineStr">
        <is>
          <t>300-Ops</t>
        </is>
      </c>
      <c r="M346" s="115" t="inlineStr">
        <is>
          <t>1200 AR</t>
        </is>
      </c>
    </row>
    <row r="347">
      <c r="A347" s="118" t="inlineStr">
        <is>
          <t>ERP-00344</t>
        </is>
      </c>
      <c r="B347" s="119" t="n">
        <v>46047</v>
      </c>
      <c r="C347" s="118" t="inlineStr">
        <is>
          <t>2026-01</t>
        </is>
      </c>
      <c r="D347" s="118" t="inlineStr">
        <is>
          <t>Payroll</t>
        </is>
      </c>
      <c r="E347" s="118" t="inlineStr">
        <is>
          <t>Payroll Batch</t>
        </is>
      </c>
      <c r="F347" s="118" t="inlineStr">
        <is>
          <t>Payroll payment</t>
        </is>
      </c>
      <c r="G347" s="118" t="inlineStr">
        <is>
          <t>REF-100344</t>
        </is>
      </c>
      <c r="H347" s="120" t="n">
        <v>0</v>
      </c>
      <c r="I347" s="120" t="n">
        <v>15180.21</v>
      </c>
      <c r="J347" s="120" t="n">
        <v>-15180.21</v>
      </c>
      <c r="K347" s="118" t="inlineStr">
        <is>
          <t>Cheque</t>
        </is>
      </c>
      <c r="L347" s="118" t="inlineStr">
        <is>
          <t>100-Admin</t>
        </is>
      </c>
      <c r="M347" s="118" t="inlineStr">
        <is>
          <t>5300 Payroll</t>
        </is>
      </c>
    </row>
    <row r="348">
      <c r="A348" s="115" t="inlineStr">
        <is>
          <t>ERP-00345</t>
        </is>
      </c>
      <c r="B348" s="116" t="n">
        <v>46028</v>
      </c>
      <c r="C348" s="115" t="inlineStr">
        <is>
          <t>2026-01</t>
        </is>
      </c>
      <c r="D348" s="115" t="inlineStr">
        <is>
          <t>AR</t>
        </is>
      </c>
      <c r="E348" s="115" t="inlineStr">
        <is>
          <t>Harbour Design Co.</t>
        </is>
      </c>
      <c r="F348" s="115" t="inlineStr">
        <is>
          <t>Customer payment - Harbour Design Co.</t>
        </is>
      </c>
      <c r="G348" s="115" t="inlineStr">
        <is>
          <t>REF-100345</t>
        </is>
      </c>
      <c r="H348" s="117" t="n">
        <v>1929.01</v>
      </c>
      <c r="I348" s="117" t="n">
        <v>0</v>
      </c>
      <c r="J348" s="117" t="n">
        <v>1929.01</v>
      </c>
      <c r="K348" s="115" t="inlineStr">
        <is>
          <t>Cheque</t>
        </is>
      </c>
      <c r="L348" s="115" t="inlineStr">
        <is>
          <t>400-Finance</t>
        </is>
      </c>
      <c r="M348" s="115" t="inlineStr">
        <is>
          <t>1200 AR</t>
        </is>
      </c>
    </row>
    <row r="349">
      <c r="A349" s="118" t="inlineStr">
        <is>
          <t>ERP-00346</t>
        </is>
      </c>
      <c r="B349" s="119" t="n">
        <v>46025</v>
      </c>
      <c r="C349" s="118" t="inlineStr">
        <is>
          <t>2026-01</t>
        </is>
      </c>
      <c r="D349" s="118" t="inlineStr">
        <is>
          <t>Payroll</t>
        </is>
      </c>
      <c r="E349" s="118" t="inlineStr">
        <is>
          <t>Payroll Batch</t>
        </is>
      </c>
      <c r="F349" s="118" t="inlineStr">
        <is>
          <t>Payroll payment</t>
        </is>
      </c>
      <c r="G349" s="118" t="inlineStr">
        <is>
          <t>REF-100346</t>
        </is>
      </c>
      <c r="H349" s="120" t="n">
        <v>0</v>
      </c>
      <c r="I349" s="120" t="n">
        <v>4530.19</v>
      </c>
      <c r="J349" s="120" t="n">
        <v>-4530.19</v>
      </c>
      <c r="K349" s="118" t="inlineStr">
        <is>
          <t>EFT</t>
        </is>
      </c>
      <c r="L349" s="118" t="inlineStr">
        <is>
          <t>500-IT</t>
        </is>
      </c>
      <c r="M349" s="118" t="inlineStr">
        <is>
          <t>5300 Payroll</t>
        </is>
      </c>
    </row>
    <row r="350">
      <c r="A350" s="115" t="inlineStr">
        <is>
          <t>ERP-00347</t>
        </is>
      </c>
      <c r="B350" s="116" t="n">
        <v>46033</v>
      </c>
      <c r="C350" s="115" t="inlineStr">
        <is>
          <t>2026-01</t>
        </is>
      </c>
      <c r="D350" s="115" t="inlineStr">
        <is>
          <t>GL</t>
        </is>
      </c>
      <c r="E350" s="115" t="inlineStr">
        <is>
          <t>BC Hydro</t>
        </is>
      </c>
      <c r="F350" s="115" t="inlineStr">
        <is>
          <t>Manual GL entry</t>
        </is>
      </c>
      <c r="G350" s="115" t="inlineStr">
        <is>
          <t>REF-100347</t>
        </is>
      </c>
      <c r="H350" s="117" t="n">
        <v>1420.99</v>
      </c>
      <c r="I350" s="117" t="n">
        <v>0</v>
      </c>
      <c r="J350" s="117" t="n">
        <v>1420.99</v>
      </c>
      <c r="K350" s="115" t="inlineStr">
        <is>
          <t>EFT</t>
        </is>
      </c>
      <c r="L350" s="115" t="inlineStr">
        <is>
          <t>300-Ops</t>
        </is>
      </c>
      <c r="M350" s="115" t="inlineStr">
        <is>
          <t>5100 Utilities</t>
        </is>
      </c>
    </row>
    <row r="351">
      <c r="A351" s="118" t="inlineStr">
        <is>
          <t>ERP-00348</t>
        </is>
      </c>
      <c r="B351" s="119" t="n">
        <v>46032</v>
      </c>
      <c r="C351" s="118" t="inlineStr">
        <is>
          <t>2026-01</t>
        </is>
      </c>
      <c r="D351" s="118" t="inlineStr">
        <is>
          <t>AR</t>
        </is>
      </c>
      <c r="E351" s="118" t="inlineStr">
        <is>
          <t>Coastline Foods</t>
        </is>
      </c>
      <c r="F351" s="118" t="inlineStr">
        <is>
          <t>Customer payment - Coastline Foods</t>
        </is>
      </c>
      <c r="G351" s="118" t="inlineStr">
        <is>
          <t>REF-100348</t>
        </is>
      </c>
      <c r="H351" s="120" t="n">
        <v>4282.31</v>
      </c>
      <c r="I351" s="120" t="n">
        <v>0</v>
      </c>
      <c r="J351" s="120" t="n">
        <v>4282.31</v>
      </c>
      <c r="K351" s="118" t="inlineStr">
        <is>
          <t>EFT</t>
        </is>
      </c>
      <c r="L351" s="118" t="inlineStr">
        <is>
          <t>200-Sales</t>
        </is>
      </c>
      <c r="M351" s="118" t="inlineStr">
        <is>
          <t>1200 AR</t>
        </is>
      </c>
    </row>
    <row r="352">
      <c r="A352" s="115" t="inlineStr">
        <is>
          <t>ERP-00349</t>
        </is>
      </c>
      <c r="B352" s="116" t="n">
        <v>46023</v>
      </c>
      <c r="C352" s="115" t="inlineStr">
        <is>
          <t>2026-01</t>
        </is>
      </c>
      <c r="D352" s="115" t="inlineStr">
        <is>
          <t>Bank Fees</t>
        </is>
      </c>
      <c r="E352" s="115" t="inlineStr">
        <is>
          <t>Bank</t>
        </is>
      </c>
      <c r="F352" s="115" t="inlineStr">
        <is>
          <t>Monthly bank service charge</t>
        </is>
      </c>
      <c r="G352" s="115" t="inlineStr">
        <is>
          <t>REF-100349</t>
        </is>
      </c>
      <c r="H352" s="117" t="n">
        <v>0</v>
      </c>
      <c r="I352" s="117" t="n">
        <v>112.4</v>
      </c>
      <c r="J352" s="117" t="n">
        <v>-112.4</v>
      </c>
      <c r="K352" s="115" t="inlineStr">
        <is>
          <t>Cheque</t>
        </is>
      </c>
      <c r="L352" s="115" t="inlineStr">
        <is>
          <t>400-Finance</t>
        </is>
      </c>
      <c r="M352" s="115" t="inlineStr">
        <is>
          <t>6100 Bank Fees</t>
        </is>
      </c>
    </row>
    <row r="353">
      <c r="A353" s="118" t="inlineStr">
        <is>
          <t>ERP-00350</t>
        </is>
      </c>
      <c r="B353" s="119" t="n">
        <v>46041</v>
      </c>
      <c r="C353" s="118" t="inlineStr">
        <is>
          <t>2026-01</t>
        </is>
      </c>
      <c r="D353" s="118" t="inlineStr">
        <is>
          <t>AR</t>
        </is>
      </c>
      <c r="E353" s="118" t="inlineStr">
        <is>
          <t>West Van Fitness</t>
        </is>
      </c>
      <c r="F353" s="118" t="inlineStr">
        <is>
          <t>Customer payment - West Van Fitness</t>
        </is>
      </c>
      <c r="G353" s="118" t="inlineStr">
        <is>
          <t>REF-100350</t>
        </is>
      </c>
      <c r="H353" s="120" t="n">
        <v>5852.57</v>
      </c>
      <c r="I353" s="120" t="n">
        <v>0</v>
      </c>
      <c r="J353" s="120" t="n">
        <v>5852.57</v>
      </c>
      <c r="K353" s="118" t="inlineStr">
        <is>
          <t>Wire</t>
        </is>
      </c>
      <c r="L353" s="118" t="inlineStr">
        <is>
          <t>100-Admin</t>
        </is>
      </c>
      <c r="M353" s="118" t="inlineStr">
        <is>
          <t>1200 AR</t>
        </is>
      </c>
    </row>
    <row r="354">
      <c r="A354" s="115" t="inlineStr">
        <is>
          <t>ERP-00351</t>
        </is>
      </c>
      <c r="B354" s="116" t="n">
        <v>46024</v>
      </c>
      <c r="C354" s="115" t="inlineStr">
        <is>
          <t>2026-01</t>
        </is>
      </c>
      <c r="D354" s="115" t="inlineStr">
        <is>
          <t>Bank Fees</t>
        </is>
      </c>
      <c r="E354" s="115" t="inlineStr">
        <is>
          <t>Bank</t>
        </is>
      </c>
      <c r="F354" s="115" t="inlineStr">
        <is>
          <t>Monthly bank service charge</t>
        </is>
      </c>
      <c r="G354" s="115" t="inlineStr">
        <is>
          <t>REF-100351</t>
        </is>
      </c>
      <c r="H354" s="117" t="n">
        <v>0</v>
      </c>
      <c r="I354" s="117" t="n">
        <v>114.1</v>
      </c>
      <c r="J354" s="117" t="n">
        <v>-114.1</v>
      </c>
      <c r="K354" s="115" t="inlineStr">
        <is>
          <t>Wire</t>
        </is>
      </c>
      <c r="L354" s="115" t="inlineStr">
        <is>
          <t>500-IT</t>
        </is>
      </c>
      <c r="M354" s="115" t="inlineStr">
        <is>
          <t>6100 Bank Fees</t>
        </is>
      </c>
    </row>
    <row r="355">
      <c r="A355" s="118" t="inlineStr">
        <is>
          <t>ERP-00352</t>
        </is>
      </c>
      <c r="B355" s="119" t="n">
        <v>46035</v>
      </c>
      <c r="C355" s="118" t="inlineStr">
        <is>
          <t>2026-01</t>
        </is>
      </c>
      <c r="D355" s="118" t="inlineStr">
        <is>
          <t>AP</t>
        </is>
      </c>
      <c r="E355" s="118" t="inlineStr">
        <is>
          <t>Amazon Business</t>
        </is>
      </c>
      <c r="F355" s="118" t="inlineStr">
        <is>
          <t>Vendor payment - Amazon Business</t>
        </is>
      </c>
      <c r="G355" s="118" t="inlineStr">
        <is>
          <t>REF-100352</t>
        </is>
      </c>
      <c r="H355" s="120" t="n">
        <v>0</v>
      </c>
      <c r="I355" s="120" t="n">
        <v>3370.45</v>
      </c>
      <c r="J355" s="120" t="n">
        <v>-3370.45</v>
      </c>
      <c r="K355" s="118" t="inlineStr">
        <is>
          <t>Cheque</t>
        </is>
      </c>
      <c r="L355" s="118" t="inlineStr">
        <is>
          <t>300-Ops</t>
        </is>
      </c>
      <c r="M355" s="118" t="inlineStr">
        <is>
          <t>2000 AP</t>
        </is>
      </c>
    </row>
    <row r="356">
      <c r="A356" s="115" t="inlineStr">
        <is>
          <t>ERP-00353</t>
        </is>
      </c>
      <c r="B356" s="116" t="n">
        <v>46029</v>
      </c>
      <c r="C356" s="115" t="inlineStr">
        <is>
          <t>2026-01</t>
        </is>
      </c>
      <c r="D356" s="115" t="inlineStr">
        <is>
          <t>Bank Fees</t>
        </is>
      </c>
      <c r="E356" s="115" t="inlineStr">
        <is>
          <t>Bank</t>
        </is>
      </c>
      <c r="F356" s="115" t="inlineStr">
        <is>
          <t>Monthly bank service charge</t>
        </is>
      </c>
      <c r="G356" s="115" t="inlineStr">
        <is>
          <t>REF-100353</t>
        </is>
      </c>
      <c r="H356" s="117" t="n">
        <v>0</v>
      </c>
      <c r="I356" s="117" t="n">
        <v>22.87</v>
      </c>
      <c r="J356" s="117" t="n">
        <v>-22.87</v>
      </c>
      <c r="K356" s="115" t="inlineStr">
        <is>
          <t>Credit Card</t>
        </is>
      </c>
      <c r="L356" s="115" t="inlineStr">
        <is>
          <t>400-Finance</t>
        </is>
      </c>
      <c r="M356" s="115" t="inlineStr">
        <is>
          <t>6100 Bank Fees</t>
        </is>
      </c>
    </row>
    <row r="357">
      <c r="A357" s="118" t="inlineStr">
        <is>
          <t>ERP-00354</t>
        </is>
      </c>
      <c r="B357" s="119" t="n">
        <v>46036</v>
      </c>
      <c r="C357" s="118" t="inlineStr">
        <is>
          <t>2026-01</t>
        </is>
      </c>
      <c r="D357" s="118" t="inlineStr">
        <is>
          <t>GL</t>
        </is>
      </c>
      <c r="E357" s="118" t="inlineStr">
        <is>
          <t>BC Hydro</t>
        </is>
      </c>
      <c r="F357" s="118" t="inlineStr">
        <is>
          <t>Manual GL entry</t>
        </is>
      </c>
      <c r="G357" s="118" t="inlineStr">
        <is>
          <t>REF-100354</t>
        </is>
      </c>
      <c r="H357" s="120" t="n">
        <v>336.63</v>
      </c>
      <c r="I357" s="120" t="n">
        <v>0</v>
      </c>
      <c r="J357" s="120" t="n">
        <v>336.63</v>
      </c>
      <c r="K357" s="118" t="inlineStr">
        <is>
          <t>EFT</t>
        </is>
      </c>
      <c r="L357" s="118" t="inlineStr">
        <is>
          <t>400-Finance</t>
        </is>
      </c>
      <c r="M357" s="118" t="inlineStr">
        <is>
          <t>5300 Payroll</t>
        </is>
      </c>
    </row>
    <row r="358">
      <c r="A358" s="115" t="inlineStr">
        <is>
          <t>ERP-00355</t>
        </is>
      </c>
      <c r="B358" s="116" t="n">
        <v>46046</v>
      </c>
      <c r="C358" s="115" t="inlineStr">
        <is>
          <t>2026-01</t>
        </is>
      </c>
      <c r="D358" s="115" t="inlineStr">
        <is>
          <t>AR</t>
        </is>
      </c>
      <c r="E358" s="115" t="inlineStr">
        <is>
          <t>Coastline Foods</t>
        </is>
      </c>
      <c r="F358" s="115" t="inlineStr">
        <is>
          <t>Customer payment - Coastline Foods</t>
        </is>
      </c>
      <c r="G358" s="115" t="inlineStr">
        <is>
          <t>REF-100355</t>
        </is>
      </c>
      <c r="H358" s="117" t="n">
        <v>1147.35</v>
      </c>
      <c r="I358" s="117" t="n">
        <v>0</v>
      </c>
      <c r="J358" s="117" t="n">
        <v>1147.35</v>
      </c>
      <c r="K358" s="115" t="inlineStr">
        <is>
          <t>Cheque</t>
        </is>
      </c>
      <c r="L358" s="115" t="inlineStr">
        <is>
          <t>100-Admin</t>
        </is>
      </c>
      <c r="M358" s="115" t="inlineStr">
        <is>
          <t>1200 AR</t>
        </is>
      </c>
    </row>
    <row r="359">
      <c r="A359" s="118" t="inlineStr">
        <is>
          <t>ERP-00356</t>
        </is>
      </c>
      <c r="B359" s="119" t="n">
        <v>46048</v>
      </c>
      <c r="C359" s="118" t="inlineStr">
        <is>
          <t>2026-01</t>
        </is>
      </c>
      <c r="D359" s="118" t="inlineStr">
        <is>
          <t>Payroll</t>
        </is>
      </c>
      <c r="E359" s="118" t="inlineStr">
        <is>
          <t>Payroll Batch</t>
        </is>
      </c>
      <c r="F359" s="118" t="inlineStr">
        <is>
          <t>Payroll payment</t>
        </is>
      </c>
      <c r="G359" s="118" t="inlineStr">
        <is>
          <t>REF-100356</t>
        </is>
      </c>
      <c r="H359" s="120" t="n">
        <v>0</v>
      </c>
      <c r="I359" s="120" t="n">
        <v>6259.08</v>
      </c>
      <c r="J359" s="120" t="n">
        <v>-6259.08</v>
      </c>
      <c r="K359" s="118" t="inlineStr">
        <is>
          <t>Credit Card</t>
        </is>
      </c>
      <c r="L359" s="118" t="inlineStr">
        <is>
          <t>200-Sales</t>
        </is>
      </c>
      <c r="M359" s="118" t="inlineStr">
        <is>
          <t>5300 Payroll</t>
        </is>
      </c>
    </row>
    <row r="360">
      <c r="A360" s="115" t="inlineStr">
        <is>
          <t>ERP-00357</t>
        </is>
      </c>
      <c r="B360" s="116" t="n">
        <v>46026</v>
      </c>
      <c r="C360" s="115" t="inlineStr">
        <is>
          <t>2026-01</t>
        </is>
      </c>
      <c r="D360" s="115" t="inlineStr">
        <is>
          <t>GL</t>
        </is>
      </c>
      <c r="E360" s="115" t="inlineStr">
        <is>
          <t>Pacific Office Supplies</t>
        </is>
      </c>
      <c r="F360" s="115" t="inlineStr">
        <is>
          <t>Manual GL entry</t>
        </is>
      </c>
      <c r="G360" s="115" t="inlineStr">
        <is>
          <t>REF-100357</t>
        </is>
      </c>
      <c r="H360" s="117" t="n">
        <v>1708.3</v>
      </c>
      <c r="I360" s="117" t="n">
        <v>0</v>
      </c>
      <c r="J360" s="117" t="n">
        <v>1708.3</v>
      </c>
      <c r="K360" s="115" t="inlineStr">
        <is>
          <t>Credit Card</t>
        </is>
      </c>
      <c r="L360" s="115" t="inlineStr">
        <is>
          <t>500-IT</t>
        </is>
      </c>
      <c r="M360" s="115" t="inlineStr">
        <is>
          <t>1200 AR</t>
        </is>
      </c>
    </row>
    <row r="361">
      <c r="A361" s="118" t="inlineStr">
        <is>
          <t>ERP-00358</t>
        </is>
      </c>
      <c r="B361" s="119" t="n">
        <v>46034</v>
      </c>
      <c r="C361" s="118" t="inlineStr">
        <is>
          <t>2026-01</t>
        </is>
      </c>
      <c r="D361" s="118" t="inlineStr">
        <is>
          <t>AP</t>
        </is>
      </c>
      <c r="E361" s="118" t="inlineStr">
        <is>
          <t>Vancouver Courier</t>
        </is>
      </c>
      <c r="F361" s="118" t="inlineStr">
        <is>
          <t>Vendor payment - Vancouver Courier</t>
        </is>
      </c>
      <c r="G361" s="118" t="inlineStr">
        <is>
          <t>REF-100358</t>
        </is>
      </c>
      <c r="H361" s="120" t="n">
        <v>0</v>
      </c>
      <c r="I361" s="120" t="n">
        <v>3549.34</v>
      </c>
      <c r="J361" s="120" t="n">
        <v>-3549.34</v>
      </c>
      <c r="K361" s="118" t="inlineStr">
        <is>
          <t>Credit Card</t>
        </is>
      </c>
      <c r="L361" s="118" t="inlineStr">
        <is>
          <t>200-Sales</t>
        </is>
      </c>
      <c r="M361" s="118" t="inlineStr">
        <is>
          <t>2000 AP</t>
        </is>
      </c>
    </row>
    <row r="362">
      <c r="A362" s="115" t="inlineStr">
        <is>
          <t>ERP-00359</t>
        </is>
      </c>
      <c r="B362" s="116" t="n">
        <v>46044</v>
      </c>
      <c r="C362" s="115" t="inlineStr">
        <is>
          <t>2026-01</t>
        </is>
      </c>
      <c r="D362" s="115" t="inlineStr">
        <is>
          <t>GL</t>
        </is>
      </c>
      <c r="E362" s="115" t="inlineStr">
        <is>
          <t>BC Hydro</t>
        </is>
      </c>
      <c r="F362" s="115" t="inlineStr">
        <is>
          <t>Manual GL entry</t>
        </is>
      </c>
      <c r="G362" s="115" t="inlineStr">
        <is>
          <t>REF-100359</t>
        </is>
      </c>
      <c r="H362" s="117" t="n">
        <v>3716.86</v>
      </c>
      <c r="I362" s="117" t="n">
        <v>0</v>
      </c>
      <c r="J362" s="117" t="n">
        <v>3716.86</v>
      </c>
      <c r="K362" s="115" t="inlineStr">
        <is>
          <t>Cheque</t>
        </is>
      </c>
      <c r="L362" s="115" t="inlineStr">
        <is>
          <t>100-Admin</t>
        </is>
      </c>
      <c r="M362" s="115" t="inlineStr">
        <is>
          <t>1010 Cash</t>
        </is>
      </c>
    </row>
    <row r="363">
      <c r="A363" s="118" t="inlineStr">
        <is>
          <t>ERP-00360</t>
        </is>
      </c>
      <c r="B363" s="119" t="n">
        <v>46028</v>
      </c>
      <c r="C363" s="118" t="inlineStr">
        <is>
          <t>2026-01</t>
        </is>
      </c>
      <c r="D363" s="118" t="inlineStr">
        <is>
          <t>Bank Fees</t>
        </is>
      </c>
      <c r="E363" s="118" t="inlineStr">
        <is>
          <t>Bank</t>
        </is>
      </c>
      <c r="F363" s="118" t="inlineStr">
        <is>
          <t>Monthly bank service charge</t>
        </is>
      </c>
      <c r="G363" s="118" t="inlineStr">
        <is>
          <t>REF-100360</t>
        </is>
      </c>
      <c r="H363" s="120" t="n">
        <v>0</v>
      </c>
      <c r="I363" s="120" t="n">
        <v>103.61</v>
      </c>
      <c r="J363" s="120" t="n">
        <v>-103.61</v>
      </c>
      <c r="K363" s="118" t="inlineStr">
        <is>
          <t>PAD</t>
        </is>
      </c>
      <c r="L363" s="118" t="inlineStr">
        <is>
          <t>400-Finance</t>
        </is>
      </c>
      <c r="M363" s="118" t="inlineStr">
        <is>
          <t>6100 Bank Fees</t>
        </is>
      </c>
    </row>
    <row r="364">
      <c r="A364" s="115" t="inlineStr">
        <is>
          <t>ERP-00361</t>
        </is>
      </c>
      <c r="B364" s="116" t="n">
        <v>46046</v>
      </c>
      <c r="C364" s="115" t="inlineStr">
        <is>
          <t>2026-01</t>
        </is>
      </c>
      <c r="D364" s="115" t="inlineStr">
        <is>
          <t>AP</t>
        </is>
      </c>
      <c r="E364" s="115" t="inlineStr">
        <is>
          <t>Vancouver Courier</t>
        </is>
      </c>
      <c r="F364" s="115" t="inlineStr">
        <is>
          <t>Vendor payment - Vancouver Courier</t>
        </is>
      </c>
      <c r="G364" s="115" t="inlineStr">
        <is>
          <t>REF-100361</t>
        </is>
      </c>
      <c r="H364" s="117" t="n">
        <v>0</v>
      </c>
      <c r="I364" s="117" t="n">
        <v>556.67</v>
      </c>
      <c r="J364" s="117" t="n">
        <v>-556.67</v>
      </c>
      <c r="K364" s="115" t="inlineStr">
        <is>
          <t>Credit Card</t>
        </is>
      </c>
      <c r="L364" s="115" t="inlineStr">
        <is>
          <t>100-Admin</t>
        </is>
      </c>
      <c r="M364" s="115" t="inlineStr">
        <is>
          <t>2000 AP</t>
        </is>
      </c>
    </row>
    <row r="365">
      <c r="A365" s="118" t="inlineStr">
        <is>
          <t>ERP-00362</t>
        </is>
      </c>
      <c r="B365" s="119" t="n">
        <v>46048</v>
      </c>
      <c r="C365" s="118" t="inlineStr">
        <is>
          <t>2026-01</t>
        </is>
      </c>
      <c r="D365" s="118" t="inlineStr">
        <is>
          <t>AR</t>
        </is>
      </c>
      <c r="E365" s="118" t="inlineStr">
        <is>
          <t>Maple Retail Group</t>
        </is>
      </c>
      <c r="F365" s="118" t="inlineStr">
        <is>
          <t>Customer payment - Maple Retail Group</t>
        </is>
      </c>
      <c r="G365" s="118" t="inlineStr">
        <is>
          <t>REF-100362</t>
        </is>
      </c>
      <c r="H365" s="120" t="n">
        <v>8116.56</v>
      </c>
      <c r="I365" s="120" t="n">
        <v>0</v>
      </c>
      <c r="J365" s="120" t="n">
        <v>8116.56</v>
      </c>
      <c r="K365" s="118" t="inlineStr">
        <is>
          <t>EFT</t>
        </is>
      </c>
      <c r="L365" s="118" t="inlineStr">
        <is>
          <t>400-Finance</t>
        </is>
      </c>
      <c r="M365" s="118" t="inlineStr">
        <is>
          <t>1200 AR</t>
        </is>
      </c>
    </row>
    <row r="366">
      <c r="A366" s="115" t="inlineStr">
        <is>
          <t>ERP-00363</t>
        </is>
      </c>
      <c r="B366" s="116" t="n">
        <v>46047</v>
      </c>
      <c r="C366" s="115" t="inlineStr">
        <is>
          <t>2026-01</t>
        </is>
      </c>
      <c r="D366" s="115" t="inlineStr">
        <is>
          <t>Payroll</t>
        </is>
      </c>
      <c r="E366" s="115" t="inlineStr">
        <is>
          <t>Payroll Batch</t>
        </is>
      </c>
      <c r="F366" s="115" t="inlineStr">
        <is>
          <t>Payroll payment</t>
        </is>
      </c>
      <c r="G366" s="115" t="inlineStr">
        <is>
          <t>REF-100363</t>
        </is>
      </c>
      <c r="H366" s="117" t="n">
        <v>0</v>
      </c>
      <c r="I366" s="117" t="n">
        <v>7245.86</v>
      </c>
      <c r="J366" s="117" t="n">
        <v>-7245.86</v>
      </c>
      <c r="K366" s="115" t="inlineStr">
        <is>
          <t>PAD</t>
        </is>
      </c>
      <c r="L366" s="115" t="inlineStr">
        <is>
          <t>400-Finance</t>
        </is>
      </c>
      <c r="M366" s="115" t="inlineStr">
        <is>
          <t>5300 Payroll</t>
        </is>
      </c>
    </row>
    <row r="367">
      <c r="A367" s="118" t="inlineStr">
        <is>
          <t>ERP-00364</t>
        </is>
      </c>
      <c r="B367" s="119" t="n">
        <v>46048</v>
      </c>
      <c r="C367" s="118" t="inlineStr">
        <is>
          <t>2026-01</t>
        </is>
      </c>
      <c r="D367" s="118" t="inlineStr">
        <is>
          <t>AP</t>
        </is>
      </c>
      <c r="E367" s="118" t="inlineStr">
        <is>
          <t>Amazon Business</t>
        </is>
      </c>
      <c r="F367" s="118" t="inlineStr">
        <is>
          <t>Vendor payment - Amazon Business</t>
        </is>
      </c>
      <c r="G367" s="118" t="inlineStr">
        <is>
          <t>REF-100364</t>
        </is>
      </c>
      <c r="H367" s="120" t="n">
        <v>0</v>
      </c>
      <c r="I367" s="120" t="n">
        <v>1564.61</v>
      </c>
      <c r="J367" s="120" t="n">
        <v>-1564.61</v>
      </c>
      <c r="K367" s="118" t="inlineStr">
        <is>
          <t>Credit Card</t>
        </is>
      </c>
      <c r="L367" s="118" t="inlineStr">
        <is>
          <t>500-IT</t>
        </is>
      </c>
      <c r="M367" s="118" t="inlineStr">
        <is>
          <t>2000 AP</t>
        </is>
      </c>
    </row>
    <row r="368">
      <c r="A368" s="115" t="inlineStr">
        <is>
          <t>ERP-00365</t>
        </is>
      </c>
      <c r="B368" s="116" t="n">
        <v>46047</v>
      </c>
      <c r="C368" s="115" t="inlineStr">
        <is>
          <t>2026-01</t>
        </is>
      </c>
      <c r="D368" s="115" t="inlineStr">
        <is>
          <t>GL</t>
        </is>
      </c>
      <c r="E368" s="115" t="inlineStr">
        <is>
          <t>West Van Fitness</t>
        </is>
      </c>
      <c r="F368" s="115" t="inlineStr">
        <is>
          <t>Manual GL entry</t>
        </is>
      </c>
      <c r="G368" s="115" t="inlineStr">
        <is>
          <t>REF-100365</t>
        </is>
      </c>
      <c r="H368" s="117" t="n">
        <v>0</v>
      </c>
      <c r="I368" s="117" t="n">
        <v>4507.19</v>
      </c>
      <c r="J368" s="117" t="n">
        <v>-4507.19</v>
      </c>
      <c r="K368" s="115" t="inlineStr">
        <is>
          <t>Cheque</t>
        </is>
      </c>
      <c r="L368" s="115" t="inlineStr">
        <is>
          <t>100-Admin</t>
        </is>
      </c>
      <c r="M368" s="115" t="inlineStr">
        <is>
          <t>5000 Office Expense</t>
        </is>
      </c>
    </row>
    <row r="369">
      <c r="A369" s="118" t="inlineStr">
        <is>
          <t>ERP-00366</t>
        </is>
      </c>
      <c r="B369" s="119" t="n">
        <v>46023</v>
      </c>
      <c r="C369" s="118" t="inlineStr">
        <is>
          <t>2026-01</t>
        </is>
      </c>
      <c r="D369" s="118" t="inlineStr">
        <is>
          <t>AP</t>
        </is>
      </c>
      <c r="E369" s="118" t="inlineStr">
        <is>
          <t>Metro Cleaning Ltd.</t>
        </is>
      </c>
      <c r="F369" s="118" t="inlineStr">
        <is>
          <t>Vendor payment - Metro Cleaning Ltd.</t>
        </is>
      </c>
      <c r="G369" s="118" t="inlineStr">
        <is>
          <t>REF-100366</t>
        </is>
      </c>
      <c r="H369" s="120" t="n">
        <v>0</v>
      </c>
      <c r="I369" s="120" t="n">
        <v>3971.96</v>
      </c>
      <c r="J369" s="120" t="n">
        <v>-3971.96</v>
      </c>
      <c r="K369" s="118" t="inlineStr">
        <is>
          <t>EFT</t>
        </is>
      </c>
      <c r="L369" s="118" t="inlineStr">
        <is>
          <t>300-Ops</t>
        </is>
      </c>
      <c r="M369" s="118" t="inlineStr">
        <is>
          <t>2000 AP</t>
        </is>
      </c>
    </row>
    <row r="370">
      <c r="A370" s="115" t="inlineStr">
        <is>
          <t>ERP-00367</t>
        </is>
      </c>
      <c r="B370" s="116" t="n">
        <v>46046</v>
      </c>
      <c r="C370" s="115" t="inlineStr">
        <is>
          <t>2026-01</t>
        </is>
      </c>
      <c r="D370" s="115" t="inlineStr">
        <is>
          <t>AP</t>
        </is>
      </c>
      <c r="E370" s="115" t="inlineStr">
        <is>
          <t>North Shore Telecom</t>
        </is>
      </c>
      <c r="F370" s="115" t="inlineStr">
        <is>
          <t>Vendor payment - North Shore Telecom</t>
        </is>
      </c>
      <c r="G370" s="115" t="inlineStr">
        <is>
          <t>REF-100367</t>
        </is>
      </c>
      <c r="H370" s="117" t="n">
        <v>0</v>
      </c>
      <c r="I370" s="117" t="n">
        <v>3322.46</v>
      </c>
      <c r="J370" s="117" t="n">
        <v>-3322.46</v>
      </c>
      <c r="K370" s="115" t="inlineStr">
        <is>
          <t>Cheque</t>
        </is>
      </c>
      <c r="L370" s="115" t="inlineStr">
        <is>
          <t>400-Finance</t>
        </is>
      </c>
      <c r="M370" s="115" t="inlineStr">
        <is>
          <t>2000 AP</t>
        </is>
      </c>
    </row>
    <row r="371">
      <c r="A371" s="118" t="inlineStr">
        <is>
          <t>ERP-00368</t>
        </is>
      </c>
      <c r="B371" s="119" t="n">
        <v>46027</v>
      </c>
      <c r="C371" s="118" t="inlineStr">
        <is>
          <t>2026-01</t>
        </is>
      </c>
      <c r="D371" s="118" t="inlineStr">
        <is>
          <t>GL</t>
        </is>
      </c>
      <c r="E371" s="118" t="inlineStr">
        <is>
          <t>North Shore Telecom</t>
        </is>
      </c>
      <c r="F371" s="118" t="inlineStr">
        <is>
          <t>Manual GL entry</t>
        </is>
      </c>
      <c r="G371" s="118" t="inlineStr">
        <is>
          <t>REF-100368</t>
        </is>
      </c>
      <c r="H371" s="120" t="n">
        <v>267.31</v>
      </c>
      <c r="I371" s="120" t="n">
        <v>0</v>
      </c>
      <c r="J371" s="120" t="n">
        <v>267.31</v>
      </c>
      <c r="K371" s="118" t="inlineStr">
        <is>
          <t>Credit Card</t>
        </is>
      </c>
      <c r="L371" s="118" t="inlineStr">
        <is>
          <t>400-Finance</t>
        </is>
      </c>
      <c r="M371" s="118" t="inlineStr">
        <is>
          <t>5300 Payroll</t>
        </is>
      </c>
    </row>
    <row r="372">
      <c r="A372" s="115" t="inlineStr">
        <is>
          <t>ERP-00369</t>
        </is>
      </c>
      <c r="B372" s="116" t="n">
        <v>46025</v>
      </c>
      <c r="C372" s="115" t="inlineStr">
        <is>
          <t>2026-01</t>
        </is>
      </c>
      <c r="D372" s="115" t="inlineStr">
        <is>
          <t>AR</t>
        </is>
      </c>
      <c r="E372" s="115" t="inlineStr">
        <is>
          <t>West Van Fitness</t>
        </is>
      </c>
      <c r="F372" s="115" t="inlineStr">
        <is>
          <t>Customer payment - West Van Fitness</t>
        </is>
      </c>
      <c r="G372" s="115" t="inlineStr">
        <is>
          <t>REF-100369</t>
        </is>
      </c>
      <c r="H372" s="117" t="n">
        <v>1264.84</v>
      </c>
      <c r="I372" s="117" t="n">
        <v>0</v>
      </c>
      <c r="J372" s="117" t="n">
        <v>1264.84</v>
      </c>
      <c r="K372" s="115" t="inlineStr">
        <is>
          <t>Wire</t>
        </is>
      </c>
      <c r="L372" s="115" t="inlineStr">
        <is>
          <t>100-Admin</t>
        </is>
      </c>
      <c r="M372" s="115" t="inlineStr">
        <is>
          <t>1200 AR</t>
        </is>
      </c>
    </row>
    <row r="373">
      <c r="A373" s="118" t="inlineStr">
        <is>
          <t>ERP-00370</t>
        </is>
      </c>
      <c r="B373" s="119" t="n">
        <v>46053</v>
      </c>
      <c r="C373" s="118" t="inlineStr">
        <is>
          <t>2026-01</t>
        </is>
      </c>
      <c r="D373" s="118" t="inlineStr">
        <is>
          <t>AP</t>
        </is>
      </c>
      <c r="E373" s="118" t="inlineStr">
        <is>
          <t>Metro Cleaning Ltd.</t>
        </is>
      </c>
      <c r="F373" s="118" t="inlineStr">
        <is>
          <t>Vendor payment - Metro Cleaning Ltd.</t>
        </is>
      </c>
      <c r="G373" s="118" t="inlineStr">
        <is>
          <t>REF-100370</t>
        </is>
      </c>
      <c r="H373" s="120" t="n">
        <v>0</v>
      </c>
      <c r="I373" s="120" t="n">
        <v>1677.26</v>
      </c>
      <c r="J373" s="120" t="n">
        <v>-1677.26</v>
      </c>
      <c r="K373" s="118" t="inlineStr">
        <is>
          <t>Credit Card</t>
        </is>
      </c>
      <c r="L373" s="118" t="inlineStr">
        <is>
          <t>400-Finance</t>
        </is>
      </c>
      <c r="M373" s="118" t="inlineStr">
        <is>
          <t>2000 AP</t>
        </is>
      </c>
    </row>
    <row r="374">
      <c r="A374" s="115" t="inlineStr">
        <is>
          <t>ERP-00371</t>
        </is>
      </c>
      <c r="B374" s="116" t="n">
        <v>46031</v>
      </c>
      <c r="C374" s="115" t="inlineStr">
        <is>
          <t>2026-01</t>
        </is>
      </c>
      <c r="D374" s="115" t="inlineStr">
        <is>
          <t>AP</t>
        </is>
      </c>
      <c r="E374" s="115" t="inlineStr">
        <is>
          <t>North Shore Telecom</t>
        </is>
      </c>
      <c r="F374" s="115" t="inlineStr">
        <is>
          <t>Vendor payment - North Shore Telecom</t>
        </is>
      </c>
      <c r="G374" s="115" t="inlineStr">
        <is>
          <t>REF-100371</t>
        </is>
      </c>
      <c r="H374" s="117" t="n">
        <v>0</v>
      </c>
      <c r="I374" s="117" t="n">
        <v>913</v>
      </c>
      <c r="J374" s="117" t="n">
        <v>-913</v>
      </c>
      <c r="K374" s="115" t="inlineStr">
        <is>
          <t>PAD</t>
        </is>
      </c>
      <c r="L374" s="115" t="inlineStr">
        <is>
          <t>100-Admin</t>
        </is>
      </c>
      <c r="M374" s="115" t="inlineStr">
        <is>
          <t>2000 AP</t>
        </is>
      </c>
    </row>
    <row r="375">
      <c r="A375" s="118" t="inlineStr">
        <is>
          <t>ERP-00372</t>
        </is>
      </c>
      <c r="B375" s="119" t="n">
        <v>46033</v>
      </c>
      <c r="C375" s="118" t="inlineStr">
        <is>
          <t>2026-01</t>
        </is>
      </c>
      <c r="D375" s="118" t="inlineStr">
        <is>
          <t>AR</t>
        </is>
      </c>
      <c r="E375" s="118" t="inlineStr">
        <is>
          <t>West Van Fitness</t>
        </is>
      </c>
      <c r="F375" s="118" t="inlineStr">
        <is>
          <t>Customer payment - West Van Fitness</t>
        </is>
      </c>
      <c r="G375" s="118" t="inlineStr">
        <is>
          <t>REF-100372</t>
        </is>
      </c>
      <c r="H375" s="120" t="n">
        <v>3141.7</v>
      </c>
      <c r="I375" s="120" t="n">
        <v>0</v>
      </c>
      <c r="J375" s="120" t="n">
        <v>3141.7</v>
      </c>
      <c r="K375" s="118" t="inlineStr">
        <is>
          <t>Cheque</t>
        </is>
      </c>
      <c r="L375" s="118" t="inlineStr">
        <is>
          <t>400-Finance</t>
        </is>
      </c>
      <c r="M375" s="118" t="inlineStr">
        <is>
          <t>1200 AR</t>
        </is>
      </c>
    </row>
    <row r="376">
      <c r="A376" s="115" t="inlineStr">
        <is>
          <t>ERP-00373</t>
        </is>
      </c>
      <c r="B376" s="116" t="n">
        <v>46025</v>
      </c>
      <c r="C376" s="115" t="inlineStr">
        <is>
          <t>2026-01</t>
        </is>
      </c>
      <c r="D376" s="115" t="inlineStr">
        <is>
          <t>AP</t>
        </is>
      </c>
      <c r="E376" s="115" t="inlineStr">
        <is>
          <t>Staples Canada</t>
        </is>
      </c>
      <c r="F376" s="115" t="inlineStr">
        <is>
          <t>Vendor payment - Staples Canada</t>
        </is>
      </c>
      <c r="G376" s="115" t="inlineStr">
        <is>
          <t>REF-100373</t>
        </is>
      </c>
      <c r="H376" s="117" t="n">
        <v>0</v>
      </c>
      <c r="I376" s="117" t="n">
        <v>1941.8</v>
      </c>
      <c r="J376" s="117" t="n">
        <v>-1941.8</v>
      </c>
      <c r="K376" s="115" t="inlineStr">
        <is>
          <t>PAD</t>
        </is>
      </c>
      <c r="L376" s="115" t="inlineStr">
        <is>
          <t>100-Admin</t>
        </is>
      </c>
      <c r="M376" s="115" t="inlineStr">
        <is>
          <t>2000 AP</t>
        </is>
      </c>
    </row>
    <row r="377">
      <c r="A377" s="118" t="inlineStr">
        <is>
          <t>ERP-00374</t>
        </is>
      </c>
      <c r="B377" s="119" t="n">
        <v>46045</v>
      </c>
      <c r="C377" s="118" t="inlineStr">
        <is>
          <t>2026-01</t>
        </is>
      </c>
      <c r="D377" s="118" t="inlineStr">
        <is>
          <t>AP</t>
        </is>
      </c>
      <c r="E377" s="118" t="inlineStr">
        <is>
          <t>Metro Cleaning Ltd.</t>
        </is>
      </c>
      <c r="F377" s="118" t="inlineStr">
        <is>
          <t>Vendor payment - Metro Cleaning Ltd.</t>
        </is>
      </c>
      <c r="G377" s="118" t="inlineStr">
        <is>
          <t>REF-100374</t>
        </is>
      </c>
      <c r="H377" s="120" t="n">
        <v>0</v>
      </c>
      <c r="I377" s="120" t="n">
        <v>2505.02</v>
      </c>
      <c r="J377" s="120" t="n">
        <v>-2505.02</v>
      </c>
      <c r="K377" s="118" t="inlineStr">
        <is>
          <t>EFT</t>
        </is>
      </c>
      <c r="L377" s="118" t="inlineStr">
        <is>
          <t>300-Ops</t>
        </is>
      </c>
      <c r="M377" s="118" t="inlineStr">
        <is>
          <t>2000 AP</t>
        </is>
      </c>
    </row>
    <row r="378">
      <c r="A378" s="115" t="inlineStr">
        <is>
          <t>ERP-00375</t>
        </is>
      </c>
      <c r="B378" s="116" t="n">
        <v>46050</v>
      </c>
      <c r="C378" s="115" t="inlineStr">
        <is>
          <t>2026-01</t>
        </is>
      </c>
      <c r="D378" s="115" t="inlineStr">
        <is>
          <t>AR</t>
        </is>
      </c>
      <c r="E378" s="115" t="inlineStr">
        <is>
          <t>Harbour Design Co.</t>
        </is>
      </c>
      <c r="F378" s="115" t="inlineStr">
        <is>
          <t>Customer payment - Harbour Design Co.</t>
        </is>
      </c>
      <c r="G378" s="115" t="inlineStr">
        <is>
          <t>REF-100375</t>
        </is>
      </c>
      <c r="H378" s="117" t="n">
        <v>4743.51</v>
      </c>
      <c r="I378" s="117" t="n">
        <v>0</v>
      </c>
      <c r="J378" s="117" t="n">
        <v>4743.51</v>
      </c>
      <c r="K378" s="115" t="inlineStr">
        <is>
          <t>EFT</t>
        </is>
      </c>
      <c r="L378" s="115" t="inlineStr">
        <is>
          <t>400-Finance</t>
        </is>
      </c>
      <c r="M378" s="115" t="inlineStr">
        <is>
          <t>1200 AR</t>
        </is>
      </c>
    </row>
    <row r="379">
      <c r="A379" s="118" t="inlineStr">
        <is>
          <t>ERP-00376</t>
        </is>
      </c>
      <c r="B379" s="119" t="n">
        <v>46024</v>
      </c>
      <c r="C379" s="118" t="inlineStr">
        <is>
          <t>2026-01</t>
        </is>
      </c>
      <c r="D379" s="118" t="inlineStr">
        <is>
          <t>Payroll</t>
        </is>
      </c>
      <c r="E379" s="118" t="inlineStr">
        <is>
          <t>Payroll Batch</t>
        </is>
      </c>
      <c r="F379" s="118" t="inlineStr">
        <is>
          <t>Payroll payment</t>
        </is>
      </c>
      <c r="G379" s="118" t="inlineStr">
        <is>
          <t>REF-100376</t>
        </is>
      </c>
      <c r="H379" s="120" t="n">
        <v>0</v>
      </c>
      <c r="I379" s="120" t="n">
        <v>16747.22</v>
      </c>
      <c r="J379" s="120" t="n">
        <v>-16747.22</v>
      </c>
      <c r="K379" s="118" t="inlineStr">
        <is>
          <t>Cheque</t>
        </is>
      </c>
      <c r="L379" s="118" t="inlineStr">
        <is>
          <t>200-Sales</t>
        </is>
      </c>
      <c r="M379" s="118" t="inlineStr">
        <is>
          <t>5300 Payroll</t>
        </is>
      </c>
    </row>
    <row r="380">
      <c r="A380" s="115" t="inlineStr">
        <is>
          <t>ERP-00377</t>
        </is>
      </c>
      <c r="B380" s="116" t="n">
        <v>46034</v>
      </c>
      <c r="C380" s="115" t="inlineStr">
        <is>
          <t>2026-01</t>
        </is>
      </c>
      <c r="D380" s="115" t="inlineStr">
        <is>
          <t>GL</t>
        </is>
      </c>
      <c r="E380" s="115" t="inlineStr">
        <is>
          <t>Granville Medical</t>
        </is>
      </c>
      <c r="F380" s="115" t="inlineStr">
        <is>
          <t>Manual GL entry</t>
        </is>
      </c>
      <c r="G380" s="115" t="inlineStr">
        <is>
          <t>REF-100377</t>
        </is>
      </c>
      <c r="H380" s="117" t="n">
        <v>0</v>
      </c>
      <c r="I380" s="117" t="n">
        <v>466</v>
      </c>
      <c r="J380" s="117" t="n">
        <v>-466</v>
      </c>
      <c r="K380" s="115" t="inlineStr">
        <is>
          <t>EFT</t>
        </is>
      </c>
      <c r="L380" s="115" t="inlineStr">
        <is>
          <t>100-Admin</t>
        </is>
      </c>
      <c r="M380" s="115" t="inlineStr">
        <is>
          <t>1200 AR</t>
        </is>
      </c>
    </row>
    <row r="381">
      <c r="A381" s="118" t="inlineStr">
        <is>
          <t>ERP-00378</t>
        </is>
      </c>
      <c r="B381" s="119" t="n">
        <v>46025</v>
      </c>
      <c r="C381" s="118" t="inlineStr">
        <is>
          <t>2026-01</t>
        </is>
      </c>
      <c r="D381" s="118" t="inlineStr">
        <is>
          <t>Payroll</t>
        </is>
      </c>
      <c r="E381" s="118" t="inlineStr">
        <is>
          <t>Payroll Batch</t>
        </is>
      </c>
      <c r="F381" s="118" t="inlineStr">
        <is>
          <t>Payroll payment</t>
        </is>
      </c>
      <c r="G381" s="118" t="inlineStr">
        <is>
          <t>REF-100378</t>
        </is>
      </c>
      <c r="H381" s="120" t="n">
        <v>0</v>
      </c>
      <c r="I381" s="120" t="n">
        <v>14525.66</v>
      </c>
      <c r="J381" s="120" t="n">
        <v>-14525.66</v>
      </c>
      <c r="K381" s="118" t="inlineStr">
        <is>
          <t>Credit Card</t>
        </is>
      </c>
      <c r="L381" s="118" t="inlineStr">
        <is>
          <t>100-Admin</t>
        </is>
      </c>
      <c r="M381" s="118" t="inlineStr">
        <is>
          <t>5300 Payroll</t>
        </is>
      </c>
    </row>
    <row r="382">
      <c r="A382" s="115" t="inlineStr">
        <is>
          <t>ERP-00379</t>
        </is>
      </c>
      <c r="B382" s="116" t="n">
        <v>46036</v>
      </c>
      <c r="C382" s="115" t="inlineStr">
        <is>
          <t>2026-01</t>
        </is>
      </c>
      <c r="D382" s="115" t="inlineStr">
        <is>
          <t>Payroll</t>
        </is>
      </c>
      <c r="E382" s="115" t="inlineStr">
        <is>
          <t>Payroll Batch</t>
        </is>
      </c>
      <c r="F382" s="115" t="inlineStr">
        <is>
          <t>Payroll payment</t>
        </is>
      </c>
      <c r="G382" s="115" t="inlineStr">
        <is>
          <t>REF-100379</t>
        </is>
      </c>
      <c r="H382" s="117" t="n">
        <v>0</v>
      </c>
      <c r="I382" s="117" t="n">
        <v>8227.48</v>
      </c>
      <c r="J382" s="117" t="n">
        <v>-8227.48</v>
      </c>
      <c r="K382" s="115" t="inlineStr">
        <is>
          <t>EFT</t>
        </is>
      </c>
      <c r="L382" s="115" t="inlineStr">
        <is>
          <t>400-Finance</t>
        </is>
      </c>
      <c r="M382" s="115" t="inlineStr">
        <is>
          <t>5300 Payroll</t>
        </is>
      </c>
    </row>
    <row r="383">
      <c r="A383" s="118" t="inlineStr">
        <is>
          <t>ERP-00380</t>
        </is>
      </c>
      <c r="B383" s="119" t="n">
        <v>46052</v>
      </c>
      <c r="C383" s="118" t="inlineStr">
        <is>
          <t>2026-01</t>
        </is>
      </c>
      <c r="D383" s="118" t="inlineStr">
        <is>
          <t>AP</t>
        </is>
      </c>
      <c r="E383" s="118" t="inlineStr">
        <is>
          <t>Metro Cleaning Ltd.</t>
        </is>
      </c>
      <c r="F383" s="118" t="inlineStr">
        <is>
          <t>Vendor payment - Metro Cleaning Ltd.</t>
        </is>
      </c>
      <c r="G383" s="118" t="inlineStr">
        <is>
          <t>REF-100380</t>
        </is>
      </c>
      <c r="H383" s="120" t="n">
        <v>0</v>
      </c>
      <c r="I383" s="120" t="n">
        <v>2809.59</v>
      </c>
      <c r="J383" s="120" t="n">
        <v>-2809.59</v>
      </c>
      <c r="K383" s="118" t="inlineStr">
        <is>
          <t>Cheque</t>
        </is>
      </c>
      <c r="L383" s="118" t="inlineStr">
        <is>
          <t>100-Admin</t>
        </is>
      </c>
      <c r="M383" s="118" t="inlineStr">
        <is>
          <t>2000 AP</t>
        </is>
      </c>
    </row>
    <row r="384">
      <c r="A384" s="115" t="inlineStr">
        <is>
          <t>ERP-00381</t>
        </is>
      </c>
      <c r="B384" s="116" t="n">
        <v>46038</v>
      </c>
      <c r="C384" s="115" t="inlineStr">
        <is>
          <t>2026-01</t>
        </is>
      </c>
      <c r="D384" s="115" t="inlineStr">
        <is>
          <t>AR</t>
        </is>
      </c>
      <c r="E384" s="115" t="inlineStr">
        <is>
          <t>West Van Fitness</t>
        </is>
      </c>
      <c r="F384" s="115" t="inlineStr">
        <is>
          <t>Customer payment - West Van Fitness</t>
        </is>
      </c>
      <c r="G384" s="115" t="inlineStr">
        <is>
          <t>REF-100381</t>
        </is>
      </c>
      <c r="H384" s="117" t="n">
        <v>4149.91</v>
      </c>
      <c r="I384" s="117" t="n">
        <v>0</v>
      </c>
      <c r="J384" s="117" t="n">
        <v>4149.91</v>
      </c>
      <c r="K384" s="115" t="inlineStr">
        <is>
          <t>EFT</t>
        </is>
      </c>
      <c r="L384" s="115" t="inlineStr">
        <is>
          <t>300-Ops</t>
        </is>
      </c>
      <c r="M384" s="115" t="inlineStr">
        <is>
          <t>1200 AR</t>
        </is>
      </c>
    </row>
    <row r="385">
      <c r="A385" s="118" t="inlineStr">
        <is>
          <t>ERP-00382</t>
        </is>
      </c>
      <c r="B385" s="119" t="n">
        <v>46051</v>
      </c>
      <c r="C385" s="118" t="inlineStr">
        <is>
          <t>2026-01</t>
        </is>
      </c>
      <c r="D385" s="118" t="inlineStr">
        <is>
          <t>GL</t>
        </is>
      </c>
      <c r="E385" s="118" t="inlineStr">
        <is>
          <t>BC Hydro</t>
        </is>
      </c>
      <c r="F385" s="118" t="inlineStr">
        <is>
          <t>Manual GL entry</t>
        </is>
      </c>
      <c r="G385" s="118" t="inlineStr">
        <is>
          <t>REF-100382</t>
        </is>
      </c>
      <c r="H385" s="120" t="n">
        <v>0</v>
      </c>
      <c r="I385" s="120" t="n">
        <v>3172.23</v>
      </c>
      <c r="J385" s="120" t="n">
        <v>-3172.23</v>
      </c>
      <c r="K385" s="118" t="inlineStr">
        <is>
          <t>Wire</t>
        </is>
      </c>
      <c r="L385" s="118" t="inlineStr">
        <is>
          <t>300-Ops</t>
        </is>
      </c>
      <c r="M385" s="118" t="inlineStr">
        <is>
          <t>1010 Cash</t>
        </is>
      </c>
    </row>
    <row r="386">
      <c r="A386" s="115" t="inlineStr">
        <is>
          <t>ERP-00383</t>
        </is>
      </c>
      <c r="B386" s="116" t="n">
        <v>46041</v>
      </c>
      <c r="C386" s="115" t="inlineStr">
        <is>
          <t>2026-01</t>
        </is>
      </c>
      <c r="D386" s="115" t="inlineStr">
        <is>
          <t>AR</t>
        </is>
      </c>
      <c r="E386" s="115" t="inlineStr">
        <is>
          <t>Granville Medical</t>
        </is>
      </c>
      <c r="F386" s="115" t="inlineStr">
        <is>
          <t>Customer payment - Granville Medical</t>
        </is>
      </c>
      <c r="G386" s="115" t="inlineStr">
        <is>
          <t>REF-100383</t>
        </is>
      </c>
      <c r="H386" s="117" t="n">
        <v>2408.14</v>
      </c>
      <c r="I386" s="117" t="n">
        <v>0</v>
      </c>
      <c r="J386" s="117" t="n">
        <v>2408.14</v>
      </c>
      <c r="K386" s="115" t="inlineStr">
        <is>
          <t>EFT</t>
        </is>
      </c>
      <c r="L386" s="115" t="inlineStr">
        <is>
          <t>300-Ops</t>
        </is>
      </c>
      <c r="M386" s="115" t="inlineStr">
        <is>
          <t>1200 AR</t>
        </is>
      </c>
    </row>
    <row r="387">
      <c r="A387" s="118" t="inlineStr">
        <is>
          <t>ERP-00384</t>
        </is>
      </c>
      <c r="B387" s="119" t="n">
        <v>46047</v>
      </c>
      <c r="C387" s="118" t="inlineStr">
        <is>
          <t>2026-01</t>
        </is>
      </c>
      <c r="D387" s="118" t="inlineStr">
        <is>
          <t>AP</t>
        </is>
      </c>
      <c r="E387" s="118" t="inlineStr">
        <is>
          <t>Vancouver Courier</t>
        </is>
      </c>
      <c r="F387" s="118" t="inlineStr">
        <is>
          <t>Vendor payment - Vancouver Courier</t>
        </is>
      </c>
      <c r="G387" s="118" t="inlineStr">
        <is>
          <t>REF-100384</t>
        </is>
      </c>
      <c r="H387" s="120" t="n">
        <v>0</v>
      </c>
      <c r="I387" s="120" t="n">
        <v>6148.17</v>
      </c>
      <c r="J387" s="120" t="n">
        <v>-6148.17</v>
      </c>
      <c r="K387" s="118" t="inlineStr">
        <is>
          <t>PAD</t>
        </is>
      </c>
      <c r="L387" s="118" t="inlineStr">
        <is>
          <t>300-Ops</t>
        </is>
      </c>
      <c r="M387" s="118" t="inlineStr">
        <is>
          <t>2000 AP</t>
        </is>
      </c>
    </row>
    <row r="388">
      <c r="A388" s="115" t="inlineStr">
        <is>
          <t>ERP-00385</t>
        </is>
      </c>
      <c r="B388" s="116" t="n">
        <v>46026</v>
      </c>
      <c r="C388" s="115" t="inlineStr">
        <is>
          <t>2026-01</t>
        </is>
      </c>
      <c r="D388" s="115" t="inlineStr">
        <is>
          <t>AP</t>
        </is>
      </c>
      <c r="E388" s="115" t="inlineStr">
        <is>
          <t>North Shore Telecom</t>
        </is>
      </c>
      <c r="F388" s="115" t="inlineStr">
        <is>
          <t>Vendor payment - North Shore Telecom</t>
        </is>
      </c>
      <c r="G388" s="115" t="inlineStr">
        <is>
          <t>REF-100385</t>
        </is>
      </c>
      <c r="H388" s="117" t="n">
        <v>0</v>
      </c>
      <c r="I388" s="117" t="n">
        <v>1711.15</v>
      </c>
      <c r="J388" s="117" t="n">
        <v>-1711.15</v>
      </c>
      <c r="K388" s="115" t="inlineStr">
        <is>
          <t>EFT</t>
        </is>
      </c>
      <c r="L388" s="115" t="inlineStr">
        <is>
          <t>200-Sales</t>
        </is>
      </c>
      <c r="M388" s="115" t="inlineStr">
        <is>
          <t>2000 AP</t>
        </is>
      </c>
    </row>
    <row r="389">
      <c r="A389" s="118" t="inlineStr">
        <is>
          <t>ERP-00386</t>
        </is>
      </c>
      <c r="B389" s="119" t="n">
        <v>46049</v>
      </c>
      <c r="C389" s="118" t="inlineStr">
        <is>
          <t>2026-01</t>
        </is>
      </c>
      <c r="D389" s="118" t="inlineStr">
        <is>
          <t>Bank Fees</t>
        </is>
      </c>
      <c r="E389" s="118" t="inlineStr">
        <is>
          <t>Bank</t>
        </is>
      </c>
      <c r="F389" s="118" t="inlineStr">
        <is>
          <t>Monthly bank service charge</t>
        </is>
      </c>
      <c r="G389" s="118" t="inlineStr">
        <is>
          <t>REF-100386</t>
        </is>
      </c>
      <c r="H389" s="120" t="n">
        <v>0</v>
      </c>
      <c r="I389" s="120" t="n">
        <v>24.98</v>
      </c>
      <c r="J389" s="120" t="n">
        <v>-24.98</v>
      </c>
      <c r="K389" s="118" t="inlineStr">
        <is>
          <t>Cheque</t>
        </is>
      </c>
      <c r="L389" s="118" t="inlineStr">
        <is>
          <t>500-IT</t>
        </is>
      </c>
      <c r="M389" s="118" t="inlineStr">
        <is>
          <t>6100 Bank Fees</t>
        </is>
      </c>
    </row>
    <row r="390">
      <c r="A390" s="115" t="inlineStr">
        <is>
          <t>ERP-00387</t>
        </is>
      </c>
      <c r="B390" s="116" t="n">
        <v>46023</v>
      </c>
      <c r="C390" s="115" t="inlineStr">
        <is>
          <t>2026-01</t>
        </is>
      </c>
      <c r="D390" s="115" t="inlineStr">
        <is>
          <t>GL</t>
        </is>
      </c>
      <c r="E390" s="115" t="inlineStr">
        <is>
          <t>Staples Canada</t>
        </is>
      </c>
      <c r="F390" s="115" t="inlineStr">
        <is>
          <t>Manual GL entry</t>
        </is>
      </c>
      <c r="G390" s="115" t="inlineStr">
        <is>
          <t>REF-100387</t>
        </is>
      </c>
      <c r="H390" s="117" t="n">
        <v>0</v>
      </c>
      <c r="I390" s="117" t="n">
        <v>4740.42</v>
      </c>
      <c r="J390" s="117" t="n">
        <v>-4740.42</v>
      </c>
      <c r="K390" s="115" t="inlineStr">
        <is>
          <t>Wire</t>
        </is>
      </c>
      <c r="L390" s="115" t="inlineStr">
        <is>
          <t>500-IT</t>
        </is>
      </c>
      <c r="M390" s="115" t="inlineStr">
        <is>
          <t>5000 Office Expense</t>
        </is>
      </c>
    </row>
    <row r="391">
      <c r="A391" s="118" t="inlineStr">
        <is>
          <t>ERP-00388</t>
        </is>
      </c>
      <c r="B391" s="119" t="n">
        <v>46030</v>
      </c>
      <c r="C391" s="118" t="inlineStr">
        <is>
          <t>2026-01</t>
        </is>
      </c>
      <c r="D391" s="118" t="inlineStr">
        <is>
          <t>AR</t>
        </is>
      </c>
      <c r="E391" s="118" t="inlineStr">
        <is>
          <t>Maple Retail Group</t>
        </is>
      </c>
      <c r="F391" s="118" t="inlineStr">
        <is>
          <t>Customer payment - Maple Retail Group</t>
        </is>
      </c>
      <c r="G391" s="118" t="inlineStr">
        <is>
          <t>REF-100388</t>
        </is>
      </c>
      <c r="H391" s="120" t="n">
        <v>4545.85</v>
      </c>
      <c r="I391" s="120" t="n">
        <v>0</v>
      </c>
      <c r="J391" s="120" t="n">
        <v>4545.85</v>
      </c>
      <c r="K391" s="118" t="inlineStr">
        <is>
          <t>EFT</t>
        </is>
      </c>
      <c r="L391" s="118" t="inlineStr">
        <is>
          <t>300-Ops</t>
        </is>
      </c>
      <c r="M391" s="118" t="inlineStr">
        <is>
          <t>1200 AR</t>
        </is>
      </c>
    </row>
    <row r="392">
      <c r="A392" s="115" t="inlineStr">
        <is>
          <t>ERP-00389</t>
        </is>
      </c>
      <c r="B392" s="116" t="n">
        <v>46029</v>
      </c>
      <c r="C392" s="115" t="inlineStr">
        <is>
          <t>2026-01</t>
        </is>
      </c>
      <c r="D392" s="115" t="inlineStr">
        <is>
          <t>Payroll</t>
        </is>
      </c>
      <c r="E392" s="115" t="inlineStr">
        <is>
          <t>Payroll Batch</t>
        </is>
      </c>
      <c r="F392" s="115" t="inlineStr">
        <is>
          <t>Payroll payment</t>
        </is>
      </c>
      <c r="G392" s="115" t="inlineStr">
        <is>
          <t>REF-100389</t>
        </is>
      </c>
      <c r="H392" s="117" t="n">
        <v>0</v>
      </c>
      <c r="I392" s="117" t="n">
        <v>7441.01</v>
      </c>
      <c r="J392" s="117" t="n">
        <v>-7441.01</v>
      </c>
      <c r="K392" s="115" t="inlineStr">
        <is>
          <t>Cheque</t>
        </is>
      </c>
      <c r="L392" s="115" t="inlineStr">
        <is>
          <t>300-Ops</t>
        </is>
      </c>
      <c r="M392" s="115" t="inlineStr">
        <is>
          <t>5300 Payroll</t>
        </is>
      </c>
    </row>
    <row r="393">
      <c r="A393" s="118" t="inlineStr">
        <is>
          <t>ERP-00390</t>
        </is>
      </c>
      <c r="B393" s="119" t="n">
        <v>46052</v>
      </c>
      <c r="C393" s="118" t="inlineStr">
        <is>
          <t>2026-01</t>
        </is>
      </c>
      <c r="D393" s="118" t="inlineStr">
        <is>
          <t>AP</t>
        </is>
      </c>
      <c r="E393" s="118" t="inlineStr">
        <is>
          <t>Pacific Office Supplies</t>
        </is>
      </c>
      <c r="F393" s="118" t="inlineStr">
        <is>
          <t>Vendor payment - Pacific Office Supplies</t>
        </is>
      </c>
      <c r="G393" s="118" t="inlineStr">
        <is>
          <t>REF-100390</t>
        </is>
      </c>
      <c r="H393" s="120" t="n">
        <v>0</v>
      </c>
      <c r="I393" s="120" t="n">
        <v>5260.46</v>
      </c>
      <c r="J393" s="120" t="n">
        <v>-5260.46</v>
      </c>
      <c r="K393" s="118" t="inlineStr">
        <is>
          <t>Credit Card</t>
        </is>
      </c>
      <c r="L393" s="118" t="inlineStr">
        <is>
          <t>100-Admin</t>
        </is>
      </c>
      <c r="M393" s="118" t="inlineStr">
        <is>
          <t>2000 AP</t>
        </is>
      </c>
    </row>
    <row r="394">
      <c r="A394" s="115" t="inlineStr">
        <is>
          <t>ERP-00391</t>
        </is>
      </c>
      <c r="B394" s="116" t="n">
        <v>46033</v>
      </c>
      <c r="C394" s="115" t="inlineStr">
        <is>
          <t>2026-01</t>
        </is>
      </c>
      <c r="D394" s="115" t="inlineStr">
        <is>
          <t>AP</t>
        </is>
      </c>
      <c r="E394" s="115" t="inlineStr">
        <is>
          <t>North Shore Telecom</t>
        </is>
      </c>
      <c r="F394" s="115" t="inlineStr">
        <is>
          <t>Vendor payment - North Shore Telecom</t>
        </is>
      </c>
      <c r="G394" s="115" t="inlineStr">
        <is>
          <t>REF-100391</t>
        </is>
      </c>
      <c r="H394" s="117" t="n">
        <v>0</v>
      </c>
      <c r="I394" s="117" t="n">
        <v>6052.27</v>
      </c>
      <c r="J394" s="117" t="n">
        <v>-6052.27</v>
      </c>
      <c r="K394" s="115" t="inlineStr">
        <is>
          <t>Wire</t>
        </is>
      </c>
      <c r="L394" s="115" t="inlineStr">
        <is>
          <t>400-Finance</t>
        </is>
      </c>
      <c r="M394" s="115" t="inlineStr">
        <is>
          <t>2000 AP</t>
        </is>
      </c>
    </row>
    <row r="395">
      <c r="A395" s="118" t="inlineStr">
        <is>
          <t>ERP-00392</t>
        </is>
      </c>
      <c r="B395" s="119" t="n">
        <v>46040</v>
      </c>
      <c r="C395" s="118" t="inlineStr">
        <is>
          <t>2026-01</t>
        </is>
      </c>
      <c r="D395" s="118" t="inlineStr">
        <is>
          <t>GL</t>
        </is>
      </c>
      <c r="E395" s="118" t="inlineStr">
        <is>
          <t>Raincity Tech</t>
        </is>
      </c>
      <c r="F395" s="118" t="inlineStr">
        <is>
          <t>Manual GL entry</t>
        </is>
      </c>
      <c r="G395" s="118" t="inlineStr">
        <is>
          <t>REF-100392</t>
        </is>
      </c>
      <c r="H395" s="120" t="n">
        <v>3945.61</v>
      </c>
      <c r="I395" s="120" t="n">
        <v>0</v>
      </c>
      <c r="J395" s="120" t="n">
        <v>3945.61</v>
      </c>
      <c r="K395" s="118" t="inlineStr">
        <is>
          <t>Wire</t>
        </is>
      </c>
      <c r="L395" s="118" t="inlineStr">
        <is>
          <t>300-Ops</t>
        </is>
      </c>
      <c r="M395" s="118" t="inlineStr">
        <is>
          <t>2000 AP</t>
        </is>
      </c>
    </row>
    <row r="396">
      <c r="A396" s="115" t="inlineStr">
        <is>
          <t>ERP-00393</t>
        </is>
      </c>
      <c r="B396" s="116" t="n">
        <v>46046</v>
      </c>
      <c r="C396" s="115" t="inlineStr">
        <is>
          <t>2026-01</t>
        </is>
      </c>
      <c r="D396" s="115" t="inlineStr">
        <is>
          <t>AP</t>
        </is>
      </c>
      <c r="E396" s="115" t="inlineStr">
        <is>
          <t>Staples Canada</t>
        </is>
      </c>
      <c r="F396" s="115" t="inlineStr">
        <is>
          <t>Vendor payment - Staples Canada</t>
        </is>
      </c>
      <c r="G396" s="115" t="inlineStr">
        <is>
          <t>REF-100393</t>
        </is>
      </c>
      <c r="H396" s="117" t="n">
        <v>0</v>
      </c>
      <c r="I396" s="117" t="n">
        <v>5886.03</v>
      </c>
      <c r="J396" s="117" t="n">
        <v>-5886.03</v>
      </c>
      <c r="K396" s="115" t="inlineStr">
        <is>
          <t>Wire</t>
        </is>
      </c>
      <c r="L396" s="115" t="inlineStr">
        <is>
          <t>500-IT</t>
        </is>
      </c>
      <c r="M396" s="115" t="inlineStr">
        <is>
          <t>2000 AP</t>
        </is>
      </c>
    </row>
    <row r="397">
      <c r="A397" s="118" t="inlineStr">
        <is>
          <t>ERP-00394</t>
        </is>
      </c>
      <c r="B397" s="119" t="n">
        <v>46053</v>
      </c>
      <c r="C397" s="118" t="inlineStr">
        <is>
          <t>2026-01</t>
        </is>
      </c>
      <c r="D397" s="118" t="inlineStr">
        <is>
          <t>AR</t>
        </is>
      </c>
      <c r="E397" s="118" t="inlineStr">
        <is>
          <t>Harbour Design Co.</t>
        </is>
      </c>
      <c r="F397" s="118" t="inlineStr">
        <is>
          <t>Customer payment - Harbour Design Co.</t>
        </is>
      </c>
      <c r="G397" s="118" t="inlineStr">
        <is>
          <t>REF-100394</t>
        </is>
      </c>
      <c r="H397" s="120" t="n">
        <v>4872.34</v>
      </c>
      <c r="I397" s="120" t="n">
        <v>0</v>
      </c>
      <c r="J397" s="120" t="n">
        <v>4872.34</v>
      </c>
      <c r="K397" s="118" t="inlineStr">
        <is>
          <t>Wire</t>
        </is>
      </c>
      <c r="L397" s="118" t="inlineStr">
        <is>
          <t>200-Sales</t>
        </is>
      </c>
      <c r="M397" s="118" t="inlineStr">
        <is>
          <t>1200 AR</t>
        </is>
      </c>
    </row>
    <row r="398">
      <c r="A398" s="115" t="inlineStr">
        <is>
          <t>ERP-00395</t>
        </is>
      </c>
      <c r="B398" s="116" t="n">
        <v>46033</v>
      </c>
      <c r="C398" s="115" t="inlineStr">
        <is>
          <t>2026-01</t>
        </is>
      </c>
      <c r="D398" s="115" t="inlineStr">
        <is>
          <t>AP</t>
        </is>
      </c>
      <c r="E398" s="115" t="inlineStr">
        <is>
          <t>Pacific Office Supplies</t>
        </is>
      </c>
      <c r="F398" s="115" t="inlineStr">
        <is>
          <t>Vendor payment - Pacific Office Supplies</t>
        </is>
      </c>
      <c r="G398" s="115" t="inlineStr">
        <is>
          <t>REF-100395</t>
        </is>
      </c>
      <c r="H398" s="117" t="n">
        <v>0</v>
      </c>
      <c r="I398" s="117" t="n">
        <v>5108.57</v>
      </c>
      <c r="J398" s="117" t="n">
        <v>-5108.57</v>
      </c>
      <c r="K398" s="115" t="inlineStr">
        <is>
          <t>Credit Card</t>
        </is>
      </c>
      <c r="L398" s="115" t="inlineStr">
        <is>
          <t>400-Finance</t>
        </is>
      </c>
      <c r="M398" s="115" t="inlineStr">
        <is>
          <t>2000 AP</t>
        </is>
      </c>
    </row>
    <row r="399">
      <c r="A399" s="118" t="inlineStr">
        <is>
          <t>ERP-00396</t>
        </is>
      </c>
      <c r="B399" s="119" t="n">
        <v>46025</v>
      </c>
      <c r="C399" s="118" t="inlineStr">
        <is>
          <t>2026-01</t>
        </is>
      </c>
      <c r="D399" s="118" t="inlineStr">
        <is>
          <t>AR</t>
        </is>
      </c>
      <c r="E399" s="118" t="inlineStr">
        <is>
          <t>Maple Retail Group</t>
        </is>
      </c>
      <c r="F399" s="118" t="inlineStr">
        <is>
          <t>Customer payment - Maple Retail Group</t>
        </is>
      </c>
      <c r="G399" s="118" t="inlineStr">
        <is>
          <t>REF-100396</t>
        </is>
      </c>
      <c r="H399" s="120" t="n">
        <v>6165.45</v>
      </c>
      <c r="I399" s="120" t="n">
        <v>0</v>
      </c>
      <c r="J399" s="120" t="n">
        <v>6165.45</v>
      </c>
      <c r="K399" s="118" t="inlineStr">
        <is>
          <t>EFT</t>
        </is>
      </c>
      <c r="L399" s="118" t="inlineStr">
        <is>
          <t>400-Finance</t>
        </is>
      </c>
      <c r="M399" s="118" t="inlineStr">
        <is>
          <t>1200 AR</t>
        </is>
      </c>
    </row>
    <row r="400">
      <c r="A400" s="115" t="inlineStr">
        <is>
          <t>ERP-00397</t>
        </is>
      </c>
      <c r="B400" s="116" t="n">
        <v>46051</v>
      </c>
      <c r="C400" s="115" t="inlineStr">
        <is>
          <t>2026-01</t>
        </is>
      </c>
      <c r="D400" s="115" t="inlineStr">
        <is>
          <t>AR</t>
        </is>
      </c>
      <c r="E400" s="115" t="inlineStr">
        <is>
          <t>Granville Medical</t>
        </is>
      </c>
      <c r="F400" s="115" t="inlineStr">
        <is>
          <t>Customer payment - Granville Medical</t>
        </is>
      </c>
      <c r="G400" s="115" t="inlineStr">
        <is>
          <t>REF-100397</t>
        </is>
      </c>
      <c r="H400" s="117" t="n">
        <v>3082.78</v>
      </c>
      <c r="I400" s="117" t="n">
        <v>0</v>
      </c>
      <c r="J400" s="117" t="n">
        <v>3082.78</v>
      </c>
      <c r="K400" s="115" t="inlineStr">
        <is>
          <t>Wire</t>
        </is>
      </c>
      <c r="L400" s="115" t="inlineStr">
        <is>
          <t>100-Admin</t>
        </is>
      </c>
      <c r="M400" s="115" t="inlineStr">
        <is>
          <t>1200 AR</t>
        </is>
      </c>
    </row>
    <row r="401">
      <c r="A401" s="118" t="inlineStr">
        <is>
          <t>ERP-00398</t>
        </is>
      </c>
      <c r="B401" s="119" t="n">
        <v>46048</v>
      </c>
      <c r="C401" s="118" t="inlineStr">
        <is>
          <t>2026-01</t>
        </is>
      </c>
      <c r="D401" s="118" t="inlineStr">
        <is>
          <t>Payroll</t>
        </is>
      </c>
      <c r="E401" s="118" t="inlineStr">
        <is>
          <t>Payroll Batch</t>
        </is>
      </c>
      <c r="F401" s="118" t="inlineStr">
        <is>
          <t>Payroll payment</t>
        </is>
      </c>
      <c r="G401" s="118" t="inlineStr">
        <is>
          <t>REF-100398</t>
        </is>
      </c>
      <c r="H401" s="120" t="n">
        <v>0</v>
      </c>
      <c r="I401" s="120" t="n">
        <v>11939.06</v>
      </c>
      <c r="J401" s="120" t="n">
        <v>-11939.06</v>
      </c>
      <c r="K401" s="118" t="inlineStr">
        <is>
          <t>Cheque</t>
        </is>
      </c>
      <c r="L401" s="118" t="inlineStr">
        <is>
          <t>200-Sales</t>
        </is>
      </c>
      <c r="M401" s="118" t="inlineStr">
        <is>
          <t>5300 Payroll</t>
        </is>
      </c>
    </row>
    <row r="402">
      <c r="A402" s="115" t="inlineStr">
        <is>
          <t>ERP-00399</t>
        </is>
      </c>
      <c r="B402" s="116" t="n">
        <v>46033</v>
      </c>
      <c r="C402" s="115" t="inlineStr">
        <is>
          <t>2026-01</t>
        </is>
      </c>
      <c r="D402" s="115" t="inlineStr">
        <is>
          <t>AP</t>
        </is>
      </c>
      <c r="E402" s="115" t="inlineStr">
        <is>
          <t>Pacific Office Supplies</t>
        </is>
      </c>
      <c r="F402" s="115" t="inlineStr">
        <is>
          <t>Vendor payment - Pacific Office Supplies</t>
        </is>
      </c>
      <c r="G402" s="115" t="inlineStr">
        <is>
          <t>REF-100399</t>
        </is>
      </c>
      <c r="H402" s="117" t="n">
        <v>0</v>
      </c>
      <c r="I402" s="117" t="n">
        <v>534.11</v>
      </c>
      <c r="J402" s="117" t="n">
        <v>-534.11</v>
      </c>
      <c r="K402" s="115" t="inlineStr">
        <is>
          <t>Cheque</t>
        </is>
      </c>
      <c r="L402" s="115" t="inlineStr">
        <is>
          <t>400-Finance</t>
        </is>
      </c>
      <c r="M402" s="115" t="inlineStr">
        <is>
          <t>2000 AP</t>
        </is>
      </c>
    </row>
    <row r="403">
      <c r="A403" s="118" t="inlineStr">
        <is>
          <t>ERP-00400</t>
        </is>
      </c>
      <c r="B403" s="119" t="n">
        <v>46051</v>
      </c>
      <c r="C403" s="118" t="inlineStr">
        <is>
          <t>2026-01</t>
        </is>
      </c>
      <c r="D403" s="118" t="inlineStr">
        <is>
          <t>Bank Fees</t>
        </is>
      </c>
      <c r="E403" s="118" t="inlineStr">
        <is>
          <t>Bank</t>
        </is>
      </c>
      <c r="F403" s="118" t="inlineStr">
        <is>
          <t>Monthly bank service charge</t>
        </is>
      </c>
      <c r="G403" s="118" t="inlineStr">
        <is>
          <t>REF-100400</t>
        </is>
      </c>
      <c r="H403" s="120" t="n">
        <v>0</v>
      </c>
      <c r="I403" s="120" t="n">
        <v>43.86</v>
      </c>
      <c r="J403" s="120" t="n">
        <v>-43.86</v>
      </c>
      <c r="K403" s="118" t="inlineStr">
        <is>
          <t>PAD</t>
        </is>
      </c>
      <c r="L403" s="118" t="inlineStr">
        <is>
          <t>400-Finance</t>
        </is>
      </c>
      <c r="M403" s="118" t="inlineStr">
        <is>
          <t>6100 Bank Fees</t>
        </is>
      </c>
    </row>
    <row r="404">
      <c r="A404" s="115" t="inlineStr">
        <is>
          <t>ERP-00401</t>
        </is>
      </c>
      <c r="B404" s="116" t="n">
        <v>46028</v>
      </c>
      <c r="C404" s="115" t="inlineStr">
        <is>
          <t>2026-01</t>
        </is>
      </c>
      <c r="D404" s="115" t="inlineStr">
        <is>
          <t>AR</t>
        </is>
      </c>
      <c r="E404" s="115" t="inlineStr">
        <is>
          <t>Granville Medical</t>
        </is>
      </c>
      <c r="F404" s="115" t="inlineStr">
        <is>
          <t>Customer payment - Granville Medical</t>
        </is>
      </c>
      <c r="G404" s="115" t="inlineStr">
        <is>
          <t>REF-100401</t>
        </is>
      </c>
      <c r="H404" s="117" t="n">
        <v>1461.82</v>
      </c>
      <c r="I404" s="117" t="n">
        <v>0</v>
      </c>
      <c r="J404" s="117" t="n">
        <v>1461.82</v>
      </c>
      <c r="K404" s="115" t="inlineStr">
        <is>
          <t>EFT</t>
        </is>
      </c>
      <c r="L404" s="115" t="inlineStr">
        <is>
          <t>300-Ops</t>
        </is>
      </c>
      <c r="M404" s="115" t="inlineStr">
        <is>
          <t>1200 AR</t>
        </is>
      </c>
    </row>
    <row r="405">
      <c r="A405" s="118" t="inlineStr">
        <is>
          <t>ERP-00402</t>
        </is>
      </c>
      <c r="B405" s="119" t="n">
        <v>46040</v>
      </c>
      <c r="C405" s="118" t="inlineStr">
        <is>
          <t>2026-01</t>
        </is>
      </c>
      <c r="D405" s="118" t="inlineStr">
        <is>
          <t>GL</t>
        </is>
      </c>
      <c r="E405" s="118" t="inlineStr">
        <is>
          <t>West Van Fitness</t>
        </is>
      </c>
      <c r="F405" s="118" t="inlineStr">
        <is>
          <t>Manual GL entry</t>
        </is>
      </c>
      <c r="G405" s="118" t="inlineStr">
        <is>
          <t>REF-100402</t>
        </is>
      </c>
      <c r="H405" s="120" t="n">
        <v>0</v>
      </c>
      <c r="I405" s="120" t="n">
        <v>2723.62</v>
      </c>
      <c r="J405" s="120" t="n">
        <v>-2723.62</v>
      </c>
      <c r="K405" s="118" t="inlineStr">
        <is>
          <t>Cheque</t>
        </is>
      </c>
      <c r="L405" s="118" t="inlineStr">
        <is>
          <t>100-Admin</t>
        </is>
      </c>
      <c r="M405" s="118" t="inlineStr">
        <is>
          <t>5100 Utilities</t>
        </is>
      </c>
    </row>
    <row r="406">
      <c r="A406" s="115" t="inlineStr">
        <is>
          <t>ERP-00403</t>
        </is>
      </c>
      <c r="B406" s="116" t="n">
        <v>46034</v>
      </c>
      <c r="C406" s="115" t="inlineStr">
        <is>
          <t>2026-01</t>
        </is>
      </c>
      <c r="D406" s="115" t="inlineStr">
        <is>
          <t>AP</t>
        </is>
      </c>
      <c r="E406" s="115" t="inlineStr">
        <is>
          <t>Pacific Office Supplies</t>
        </is>
      </c>
      <c r="F406" s="115" t="inlineStr">
        <is>
          <t>Vendor payment - Pacific Office Supplies</t>
        </is>
      </c>
      <c r="G406" s="115" t="inlineStr">
        <is>
          <t>REF-100403</t>
        </is>
      </c>
      <c r="H406" s="117" t="n">
        <v>0</v>
      </c>
      <c r="I406" s="117" t="n">
        <v>1882.64</v>
      </c>
      <c r="J406" s="117" t="n">
        <v>-1882.64</v>
      </c>
      <c r="K406" s="115" t="inlineStr">
        <is>
          <t>PAD</t>
        </is>
      </c>
      <c r="L406" s="115" t="inlineStr">
        <is>
          <t>400-Finance</t>
        </is>
      </c>
      <c r="M406" s="115" t="inlineStr">
        <is>
          <t>2000 AP</t>
        </is>
      </c>
    </row>
    <row r="407">
      <c r="A407" s="118" t="inlineStr">
        <is>
          <t>ERP-00404</t>
        </is>
      </c>
      <c r="B407" s="119" t="n">
        <v>46043</v>
      </c>
      <c r="C407" s="118" t="inlineStr">
        <is>
          <t>2026-01</t>
        </is>
      </c>
      <c r="D407" s="118" t="inlineStr">
        <is>
          <t>AP</t>
        </is>
      </c>
      <c r="E407" s="118" t="inlineStr">
        <is>
          <t>Pacific Office Supplies</t>
        </is>
      </c>
      <c r="F407" s="118" t="inlineStr">
        <is>
          <t>Vendor payment - Pacific Office Supplies</t>
        </is>
      </c>
      <c r="G407" s="118" t="inlineStr">
        <is>
          <t>REF-100404</t>
        </is>
      </c>
      <c r="H407" s="120" t="n">
        <v>0</v>
      </c>
      <c r="I407" s="120" t="n">
        <v>2978.25</v>
      </c>
      <c r="J407" s="120" t="n">
        <v>-2978.25</v>
      </c>
      <c r="K407" s="118" t="inlineStr">
        <is>
          <t>EFT</t>
        </is>
      </c>
      <c r="L407" s="118" t="inlineStr">
        <is>
          <t>300-Ops</t>
        </is>
      </c>
      <c r="M407" s="118" t="inlineStr">
        <is>
          <t>2000 AP</t>
        </is>
      </c>
    </row>
    <row r="408">
      <c r="A408" s="115" t="inlineStr">
        <is>
          <t>ERP-00405</t>
        </is>
      </c>
      <c r="B408" s="116" t="n">
        <v>46044</v>
      </c>
      <c r="C408" s="115" t="inlineStr">
        <is>
          <t>2026-01</t>
        </is>
      </c>
      <c r="D408" s="115" t="inlineStr">
        <is>
          <t>AP</t>
        </is>
      </c>
      <c r="E408" s="115" t="inlineStr">
        <is>
          <t>Staples Canada</t>
        </is>
      </c>
      <c r="F408" s="115" t="inlineStr">
        <is>
          <t>Vendor payment - Staples Canada</t>
        </is>
      </c>
      <c r="G408" s="115" t="inlineStr">
        <is>
          <t>REF-100405</t>
        </is>
      </c>
      <c r="H408" s="117" t="n">
        <v>0</v>
      </c>
      <c r="I408" s="117" t="n">
        <v>3410.05</v>
      </c>
      <c r="J408" s="117" t="n">
        <v>-3410.05</v>
      </c>
      <c r="K408" s="115" t="inlineStr">
        <is>
          <t>Cheque</t>
        </is>
      </c>
      <c r="L408" s="115" t="inlineStr">
        <is>
          <t>300-Ops</t>
        </is>
      </c>
      <c r="M408" s="115" t="inlineStr">
        <is>
          <t>2000 AP</t>
        </is>
      </c>
    </row>
    <row r="409">
      <c r="A409" s="118" t="inlineStr">
        <is>
          <t>ERP-00406</t>
        </is>
      </c>
      <c r="B409" s="119" t="n">
        <v>46034</v>
      </c>
      <c r="C409" s="118" t="inlineStr">
        <is>
          <t>2026-01</t>
        </is>
      </c>
      <c r="D409" s="118" t="inlineStr">
        <is>
          <t>AP</t>
        </is>
      </c>
      <c r="E409" s="118" t="inlineStr">
        <is>
          <t>Pacific Office Supplies</t>
        </is>
      </c>
      <c r="F409" s="118" t="inlineStr">
        <is>
          <t>Vendor payment - Pacific Office Supplies</t>
        </is>
      </c>
      <c r="G409" s="118" t="inlineStr">
        <is>
          <t>REF-100406</t>
        </is>
      </c>
      <c r="H409" s="120" t="n">
        <v>0</v>
      </c>
      <c r="I409" s="120" t="n">
        <v>1691.37</v>
      </c>
      <c r="J409" s="120" t="n">
        <v>-1691.37</v>
      </c>
      <c r="K409" s="118" t="inlineStr">
        <is>
          <t>Wire</t>
        </is>
      </c>
      <c r="L409" s="118" t="inlineStr">
        <is>
          <t>300-Ops</t>
        </is>
      </c>
      <c r="M409" s="118" t="inlineStr">
        <is>
          <t>2000 AP</t>
        </is>
      </c>
    </row>
    <row r="410">
      <c r="A410" s="115" t="inlineStr">
        <is>
          <t>ERP-00407</t>
        </is>
      </c>
      <c r="B410" s="116" t="n">
        <v>46027</v>
      </c>
      <c r="C410" s="115" t="inlineStr">
        <is>
          <t>2026-01</t>
        </is>
      </c>
      <c r="D410" s="115" t="inlineStr">
        <is>
          <t>GL</t>
        </is>
      </c>
      <c r="E410" s="115" t="inlineStr">
        <is>
          <t>Granville Medical</t>
        </is>
      </c>
      <c r="F410" s="115" t="inlineStr">
        <is>
          <t>Manual GL entry</t>
        </is>
      </c>
      <c r="G410" s="115" t="inlineStr">
        <is>
          <t>REF-100407</t>
        </is>
      </c>
      <c r="H410" s="117" t="n">
        <v>0</v>
      </c>
      <c r="I410" s="117" t="n">
        <v>528.6799999999999</v>
      </c>
      <c r="J410" s="117" t="n">
        <v>-528.6799999999999</v>
      </c>
      <c r="K410" s="115" t="inlineStr">
        <is>
          <t>PAD</t>
        </is>
      </c>
      <c r="L410" s="115" t="inlineStr">
        <is>
          <t>200-Sales</t>
        </is>
      </c>
      <c r="M410" s="115" t="inlineStr">
        <is>
          <t>5300 Payroll</t>
        </is>
      </c>
    </row>
    <row r="411">
      <c r="A411" s="118" t="inlineStr">
        <is>
          <t>ERP-00408</t>
        </is>
      </c>
      <c r="B411" s="119" t="n">
        <v>46036</v>
      </c>
      <c r="C411" s="118" t="inlineStr">
        <is>
          <t>2026-01</t>
        </is>
      </c>
      <c r="D411" s="118" t="inlineStr">
        <is>
          <t>Bank Fees</t>
        </is>
      </c>
      <c r="E411" s="118" t="inlineStr">
        <is>
          <t>Bank</t>
        </is>
      </c>
      <c r="F411" s="118" t="inlineStr">
        <is>
          <t>Monthly bank service charge</t>
        </is>
      </c>
      <c r="G411" s="118" t="inlineStr">
        <is>
          <t>REF-100408</t>
        </is>
      </c>
      <c r="H411" s="120" t="n">
        <v>0</v>
      </c>
      <c r="I411" s="120" t="n">
        <v>84.01000000000001</v>
      </c>
      <c r="J411" s="120" t="n">
        <v>-84.01000000000001</v>
      </c>
      <c r="K411" s="118" t="inlineStr">
        <is>
          <t>Wire</t>
        </is>
      </c>
      <c r="L411" s="118" t="inlineStr">
        <is>
          <t>500-IT</t>
        </is>
      </c>
      <c r="M411" s="118" t="inlineStr">
        <is>
          <t>6100 Bank Fees</t>
        </is>
      </c>
    </row>
    <row r="412">
      <c r="A412" s="115" t="inlineStr">
        <is>
          <t>ERP-00409</t>
        </is>
      </c>
      <c r="B412" s="116" t="n">
        <v>46038</v>
      </c>
      <c r="C412" s="115" t="inlineStr">
        <is>
          <t>2026-01</t>
        </is>
      </c>
      <c r="D412" s="115" t="inlineStr">
        <is>
          <t>AP</t>
        </is>
      </c>
      <c r="E412" s="115" t="inlineStr">
        <is>
          <t>BC Hydro</t>
        </is>
      </c>
      <c r="F412" s="115" t="inlineStr">
        <is>
          <t>Vendor payment - BC Hydro</t>
        </is>
      </c>
      <c r="G412" s="115" t="inlineStr">
        <is>
          <t>REF-100409</t>
        </is>
      </c>
      <c r="H412" s="117" t="n">
        <v>0</v>
      </c>
      <c r="I412" s="117" t="n">
        <v>5605</v>
      </c>
      <c r="J412" s="117" t="n">
        <v>-5605</v>
      </c>
      <c r="K412" s="115" t="inlineStr">
        <is>
          <t>EFT</t>
        </is>
      </c>
      <c r="L412" s="115" t="inlineStr">
        <is>
          <t>500-IT</t>
        </is>
      </c>
      <c r="M412" s="115" t="inlineStr">
        <is>
          <t>2000 AP</t>
        </is>
      </c>
    </row>
    <row r="413">
      <c r="A413" s="118" t="inlineStr">
        <is>
          <t>ERP-00410</t>
        </is>
      </c>
      <c r="B413" s="119" t="n">
        <v>46047</v>
      </c>
      <c r="C413" s="118" t="inlineStr">
        <is>
          <t>2026-01</t>
        </is>
      </c>
      <c r="D413" s="118" t="inlineStr">
        <is>
          <t>AR</t>
        </is>
      </c>
      <c r="E413" s="118" t="inlineStr">
        <is>
          <t>Coastline Foods</t>
        </is>
      </c>
      <c r="F413" s="118" t="inlineStr">
        <is>
          <t>Customer payment - Coastline Foods</t>
        </is>
      </c>
      <c r="G413" s="118" t="inlineStr">
        <is>
          <t>REF-100410</t>
        </is>
      </c>
      <c r="H413" s="120" t="n">
        <v>8267.58</v>
      </c>
      <c r="I413" s="120" t="n">
        <v>0</v>
      </c>
      <c r="J413" s="120" t="n">
        <v>8267.58</v>
      </c>
      <c r="K413" s="118" t="inlineStr">
        <is>
          <t>Cheque</t>
        </is>
      </c>
      <c r="L413" s="118" t="inlineStr">
        <is>
          <t>200-Sales</t>
        </is>
      </c>
      <c r="M413" s="118" t="inlineStr">
        <is>
          <t>1200 AR</t>
        </is>
      </c>
    </row>
    <row r="414">
      <c r="A414" s="115" t="inlineStr">
        <is>
          <t>ERP-00411</t>
        </is>
      </c>
      <c r="B414" s="116" t="n">
        <v>46036</v>
      </c>
      <c r="C414" s="115" t="inlineStr">
        <is>
          <t>2026-01</t>
        </is>
      </c>
      <c r="D414" s="115" t="inlineStr">
        <is>
          <t>AP</t>
        </is>
      </c>
      <c r="E414" s="115" t="inlineStr">
        <is>
          <t>Vancouver Courier</t>
        </is>
      </c>
      <c r="F414" s="115" t="inlineStr">
        <is>
          <t>Vendor payment - Vancouver Courier</t>
        </is>
      </c>
      <c r="G414" s="115" t="inlineStr">
        <is>
          <t>REF-100411</t>
        </is>
      </c>
      <c r="H414" s="117" t="n">
        <v>0</v>
      </c>
      <c r="I414" s="117" t="n">
        <v>3918.62</v>
      </c>
      <c r="J414" s="117" t="n">
        <v>-3918.62</v>
      </c>
      <c r="K414" s="115" t="inlineStr">
        <is>
          <t>PAD</t>
        </is>
      </c>
      <c r="L414" s="115" t="inlineStr">
        <is>
          <t>300-Ops</t>
        </is>
      </c>
      <c r="M414" s="115" t="inlineStr">
        <is>
          <t>2000 AP</t>
        </is>
      </c>
    </row>
    <row r="415">
      <c r="A415" s="118" t="inlineStr">
        <is>
          <t>ERP-00412</t>
        </is>
      </c>
      <c r="B415" s="119" t="n">
        <v>46040</v>
      </c>
      <c r="C415" s="118" t="inlineStr">
        <is>
          <t>2026-01</t>
        </is>
      </c>
      <c r="D415" s="118" t="inlineStr">
        <is>
          <t>AR</t>
        </is>
      </c>
      <c r="E415" s="118" t="inlineStr">
        <is>
          <t>Raincity Tech</t>
        </is>
      </c>
      <c r="F415" s="118" t="inlineStr">
        <is>
          <t>Customer payment - Raincity Tech</t>
        </is>
      </c>
      <c r="G415" s="118" t="inlineStr">
        <is>
          <t>REF-100412</t>
        </is>
      </c>
      <c r="H415" s="120" t="n">
        <v>7302.81</v>
      </c>
      <c r="I415" s="120" t="n">
        <v>0</v>
      </c>
      <c r="J415" s="120" t="n">
        <v>7302.81</v>
      </c>
      <c r="K415" s="118" t="inlineStr">
        <is>
          <t>PAD</t>
        </is>
      </c>
      <c r="L415" s="118" t="inlineStr">
        <is>
          <t>400-Finance</t>
        </is>
      </c>
      <c r="M415" s="118" t="inlineStr">
        <is>
          <t>1200 AR</t>
        </is>
      </c>
    </row>
    <row r="416">
      <c r="A416" s="115" t="inlineStr">
        <is>
          <t>ERP-00413</t>
        </is>
      </c>
      <c r="B416" s="116" t="n">
        <v>46023</v>
      </c>
      <c r="C416" s="115" t="inlineStr">
        <is>
          <t>2026-01</t>
        </is>
      </c>
      <c r="D416" s="115" t="inlineStr">
        <is>
          <t>GL</t>
        </is>
      </c>
      <c r="E416" s="115" t="inlineStr">
        <is>
          <t>Raincity Tech</t>
        </is>
      </c>
      <c r="F416" s="115" t="inlineStr">
        <is>
          <t>Manual GL entry</t>
        </is>
      </c>
      <c r="G416" s="115" t="inlineStr">
        <is>
          <t>REF-100413</t>
        </is>
      </c>
      <c r="H416" s="117" t="n">
        <v>0</v>
      </c>
      <c r="I416" s="117" t="n">
        <v>2958.5</v>
      </c>
      <c r="J416" s="117" t="n">
        <v>-2958.5</v>
      </c>
      <c r="K416" s="115" t="inlineStr">
        <is>
          <t>Wire</t>
        </is>
      </c>
      <c r="L416" s="115" t="inlineStr">
        <is>
          <t>200-Sales</t>
        </is>
      </c>
      <c r="M416" s="115" t="inlineStr">
        <is>
          <t>1200 AR</t>
        </is>
      </c>
    </row>
    <row r="417">
      <c r="A417" s="118" t="inlineStr">
        <is>
          <t>ERP-00414</t>
        </is>
      </c>
      <c r="B417" s="119" t="n">
        <v>46041</v>
      </c>
      <c r="C417" s="118" t="inlineStr">
        <is>
          <t>2026-01</t>
        </is>
      </c>
      <c r="D417" s="118" t="inlineStr">
        <is>
          <t>GL</t>
        </is>
      </c>
      <c r="E417" s="118" t="inlineStr">
        <is>
          <t>Harbour Design Co.</t>
        </is>
      </c>
      <c r="F417" s="118" t="inlineStr">
        <is>
          <t>Manual GL entry</t>
        </is>
      </c>
      <c r="G417" s="118" t="inlineStr">
        <is>
          <t>REF-100414</t>
        </is>
      </c>
      <c r="H417" s="120" t="n">
        <v>0</v>
      </c>
      <c r="I417" s="120" t="n">
        <v>1466.16</v>
      </c>
      <c r="J417" s="120" t="n">
        <v>-1466.16</v>
      </c>
      <c r="K417" s="118" t="inlineStr">
        <is>
          <t>Wire</t>
        </is>
      </c>
      <c r="L417" s="118" t="inlineStr">
        <is>
          <t>300-Ops</t>
        </is>
      </c>
      <c r="M417" s="118" t="inlineStr">
        <is>
          <t>5200 Software</t>
        </is>
      </c>
    </row>
    <row r="418">
      <c r="A418" s="115" t="inlineStr">
        <is>
          <t>ERP-00415</t>
        </is>
      </c>
      <c r="B418" s="116" t="n">
        <v>46038</v>
      </c>
      <c r="C418" s="115" t="inlineStr">
        <is>
          <t>2026-01</t>
        </is>
      </c>
      <c r="D418" s="115" t="inlineStr">
        <is>
          <t>AP</t>
        </is>
      </c>
      <c r="E418" s="115" t="inlineStr">
        <is>
          <t>Metro Cleaning Ltd.</t>
        </is>
      </c>
      <c r="F418" s="115" t="inlineStr">
        <is>
          <t>Vendor payment - Metro Cleaning Ltd.</t>
        </is>
      </c>
      <c r="G418" s="115" t="inlineStr">
        <is>
          <t>REF-100415</t>
        </is>
      </c>
      <c r="H418" s="117" t="n">
        <v>0</v>
      </c>
      <c r="I418" s="117" t="n">
        <v>2546.2</v>
      </c>
      <c r="J418" s="117" t="n">
        <v>-2546.2</v>
      </c>
      <c r="K418" s="115" t="inlineStr">
        <is>
          <t>PAD</t>
        </is>
      </c>
      <c r="L418" s="115" t="inlineStr">
        <is>
          <t>500-IT</t>
        </is>
      </c>
      <c r="M418" s="115" t="inlineStr">
        <is>
          <t>2000 AP</t>
        </is>
      </c>
    </row>
    <row r="419">
      <c r="A419" s="118" t="inlineStr">
        <is>
          <t>ERP-00416</t>
        </is>
      </c>
      <c r="B419" s="119" t="n">
        <v>46045</v>
      </c>
      <c r="C419" s="118" t="inlineStr">
        <is>
          <t>2026-01</t>
        </is>
      </c>
      <c r="D419" s="118" t="inlineStr">
        <is>
          <t>AP</t>
        </is>
      </c>
      <c r="E419" s="118" t="inlineStr">
        <is>
          <t>Staples Canada</t>
        </is>
      </c>
      <c r="F419" s="118" t="inlineStr">
        <is>
          <t>Vendor payment - Staples Canada</t>
        </is>
      </c>
      <c r="G419" s="118" t="inlineStr">
        <is>
          <t>REF-100416</t>
        </is>
      </c>
      <c r="H419" s="120" t="n">
        <v>0</v>
      </c>
      <c r="I419" s="120" t="n">
        <v>2988.34</v>
      </c>
      <c r="J419" s="120" t="n">
        <v>-2988.34</v>
      </c>
      <c r="K419" s="118" t="inlineStr">
        <is>
          <t>Credit Card</t>
        </is>
      </c>
      <c r="L419" s="118" t="inlineStr">
        <is>
          <t>300-Ops</t>
        </is>
      </c>
      <c r="M419" s="118" t="inlineStr">
        <is>
          <t>2000 AP</t>
        </is>
      </c>
    </row>
    <row r="420">
      <c r="A420" s="115" t="inlineStr">
        <is>
          <t>ERP-00417</t>
        </is>
      </c>
      <c r="B420" s="116" t="n">
        <v>46049</v>
      </c>
      <c r="C420" s="115" t="inlineStr">
        <is>
          <t>2026-01</t>
        </is>
      </c>
      <c r="D420" s="115" t="inlineStr">
        <is>
          <t>AR</t>
        </is>
      </c>
      <c r="E420" s="115" t="inlineStr">
        <is>
          <t>Harbour Design Co.</t>
        </is>
      </c>
      <c r="F420" s="115" t="inlineStr">
        <is>
          <t>Customer payment - Harbour Design Co.</t>
        </is>
      </c>
      <c r="G420" s="115" t="inlineStr">
        <is>
          <t>REF-100417</t>
        </is>
      </c>
      <c r="H420" s="117" t="n">
        <v>5868.51</v>
      </c>
      <c r="I420" s="117" t="n">
        <v>0</v>
      </c>
      <c r="J420" s="117" t="n">
        <v>5868.51</v>
      </c>
      <c r="K420" s="115" t="inlineStr">
        <is>
          <t>Cheque</t>
        </is>
      </c>
      <c r="L420" s="115" t="inlineStr">
        <is>
          <t>200-Sales</t>
        </is>
      </c>
      <c r="M420" s="115" t="inlineStr">
        <is>
          <t>1200 AR</t>
        </is>
      </c>
    </row>
    <row r="421">
      <c r="A421" s="118" t="inlineStr">
        <is>
          <t>ERP-00418</t>
        </is>
      </c>
      <c r="B421" s="119" t="n">
        <v>46033</v>
      </c>
      <c r="C421" s="118" t="inlineStr">
        <is>
          <t>2026-01</t>
        </is>
      </c>
      <c r="D421" s="118" t="inlineStr">
        <is>
          <t>AP</t>
        </is>
      </c>
      <c r="E421" s="118" t="inlineStr">
        <is>
          <t>BC Hydro</t>
        </is>
      </c>
      <c r="F421" s="118" t="inlineStr">
        <is>
          <t>Vendor payment - BC Hydro</t>
        </is>
      </c>
      <c r="G421" s="118" t="inlineStr">
        <is>
          <t>REF-100418</t>
        </is>
      </c>
      <c r="H421" s="120" t="n">
        <v>0</v>
      </c>
      <c r="I421" s="120" t="n">
        <v>3782.47</v>
      </c>
      <c r="J421" s="120" t="n">
        <v>-3782.47</v>
      </c>
      <c r="K421" s="118" t="inlineStr">
        <is>
          <t>EFT</t>
        </is>
      </c>
      <c r="L421" s="118" t="inlineStr">
        <is>
          <t>200-Sales</t>
        </is>
      </c>
      <c r="M421" s="118" t="inlineStr">
        <is>
          <t>2000 AP</t>
        </is>
      </c>
    </row>
    <row r="422">
      <c r="A422" s="115" t="inlineStr">
        <is>
          <t>ERP-00419</t>
        </is>
      </c>
      <c r="B422" s="116" t="n">
        <v>46047</v>
      </c>
      <c r="C422" s="115" t="inlineStr">
        <is>
          <t>2026-01</t>
        </is>
      </c>
      <c r="D422" s="115" t="inlineStr">
        <is>
          <t>AR</t>
        </is>
      </c>
      <c r="E422" s="115" t="inlineStr">
        <is>
          <t>Raincity Tech</t>
        </is>
      </c>
      <c r="F422" s="115" t="inlineStr">
        <is>
          <t>Customer payment - Raincity Tech</t>
        </is>
      </c>
      <c r="G422" s="115" t="inlineStr">
        <is>
          <t>REF-100419</t>
        </is>
      </c>
      <c r="H422" s="117" t="n">
        <v>7005.5</v>
      </c>
      <c r="I422" s="117" t="n">
        <v>0</v>
      </c>
      <c r="J422" s="117" t="n">
        <v>7005.5</v>
      </c>
      <c r="K422" s="115" t="inlineStr">
        <is>
          <t>PAD</t>
        </is>
      </c>
      <c r="L422" s="115" t="inlineStr">
        <is>
          <t>200-Sales</t>
        </is>
      </c>
      <c r="M422" s="115" t="inlineStr">
        <is>
          <t>1200 AR</t>
        </is>
      </c>
    </row>
    <row r="423">
      <c r="A423" s="118" t="inlineStr">
        <is>
          <t>ERP-00420</t>
        </is>
      </c>
      <c r="B423" s="119" t="n">
        <v>46050</v>
      </c>
      <c r="C423" s="118" t="inlineStr">
        <is>
          <t>2026-01</t>
        </is>
      </c>
      <c r="D423" s="118" t="inlineStr">
        <is>
          <t>AR</t>
        </is>
      </c>
      <c r="E423" s="118" t="inlineStr">
        <is>
          <t>West Van Fitness</t>
        </is>
      </c>
      <c r="F423" s="118" t="inlineStr">
        <is>
          <t>Customer payment - West Van Fitness</t>
        </is>
      </c>
      <c r="G423" s="118" t="inlineStr">
        <is>
          <t>REF-100420</t>
        </is>
      </c>
      <c r="H423" s="120" t="n">
        <v>391.72</v>
      </c>
      <c r="I423" s="120" t="n">
        <v>0</v>
      </c>
      <c r="J423" s="120" t="n">
        <v>391.72</v>
      </c>
      <c r="K423" s="118" t="inlineStr">
        <is>
          <t>Cheque</t>
        </is>
      </c>
      <c r="L423" s="118" t="inlineStr">
        <is>
          <t>200-Sales</t>
        </is>
      </c>
      <c r="M423" s="118" t="inlineStr">
        <is>
          <t>1200 AR</t>
        </is>
      </c>
    </row>
    <row r="424">
      <c r="A424" s="115" t="inlineStr">
        <is>
          <t>ERP-00421</t>
        </is>
      </c>
      <c r="B424" s="116" t="n">
        <v>46030</v>
      </c>
      <c r="C424" s="115" t="inlineStr">
        <is>
          <t>2026-01</t>
        </is>
      </c>
      <c r="D424" s="115" t="inlineStr">
        <is>
          <t>AP</t>
        </is>
      </c>
      <c r="E424" s="115" t="inlineStr">
        <is>
          <t>Pacific Office Supplies</t>
        </is>
      </c>
      <c r="F424" s="115" t="inlineStr">
        <is>
          <t>Vendor payment - Pacific Office Supplies</t>
        </is>
      </c>
      <c r="G424" s="115" t="inlineStr">
        <is>
          <t>REF-100421</t>
        </is>
      </c>
      <c r="H424" s="117" t="n">
        <v>0</v>
      </c>
      <c r="I424" s="117" t="n">
        <v>5698.35</v>
      </c>
      <c r="J424" s="117" t="n">
        <v>-5698.35</v>
      </c>
      <c r="K424" s="115" t="inlineStr">
        <is>
          <t>Cheque</t>
        </is>
      </c>
      <c r="L424" s="115" t="inlineStr">
        <is>
          <t>300-Ops</t>
        </is>
      </c>
      <c r="M424" s="115" t="inlineStr">
        <is>
          <t>2000 AP</t>
        </is>
      </c>
    </row>
    <row r="425">
      <c r="A425" s="118" t="inlineStr">
        <is>
          <t>ERP-00422</t>
        </is>
      </c>
      <c r="B425" s="119" t="n">
        <v>46043</v>
      </c>
      <c r="C425" s="118" t="inlineStr">
        <is>
          <t>2026-01</t>
        </is>
      </c>
      <c r="D425" s="118" t="inlineStr">
        <is>
          <t>Bank Fees</t>
        </is>
      </c>
      <c r="E425" s="118" t="inlineStr">
        <is>
          <t>Bank</t>
        </is>
      </c>
      <c r="F425" s="118" t="inlineStr">
        <is>
          <t>Monthly bank service charge</t>
        </is>
      </c>
      <c r="G425" s="118" t="inlineStr">
        <is>
          <t>REF-100422</t>
        </is>
      </c>
      <c r="H425" s="120" t="n">
        <v>0</v>
      </c>
      <c r="I425" s="120" t="n">
        <v>83.34</v>
      </c>
      <c r="J425" s="120" t="n">
        <v>-83.34</v>
      </c>
      <c r="K425" s="118" t="inlineStr">
        <is>
          <t>Cheque</t>
        </is>
      </c>
      <c r="L425" s="118" t="inlineStr">
        <is>
          <t>300-Ops</t>
        </is>
      </c>
      <c r="M425" s="118" t="inlineStr">
        <is>
          <t>6100 Bank Fees</t>
        </is>
      </c>
    </row>
    <row r="426">
      <c r="A426" s="115" t="inlineStr">
        <is>
          <t>ERP-00423</t>
        </is>
      </c>
      <c r="B426" s="116" t="n">
        <v>46050</v>
      </c>
      <c r="C426" s="115" t="inlineStr">
        <is>
          <t>2026-01</t>
        </is>
      </c>
      <c r="D426" s="115" t="inlineStr">
        <is>
          <t>AR</t>
        </is>
      </c>
      <c r="E426" s="115" t="inlineStr">
        <is>
          <t>West Van Fitness</t>
        </is>
      </c>
      <c r="F426" s="115" t="inlineStr">
        <is>
          <t>Customer payment - West Van Fitness</t>
        </is>
      </c>
      <c r="G426" s="115" t="inlineStr">
        <is>
          <t>REF-100423</t>
        </is>
      </c>
      <c r="H426" s="117" t="n">
        <v>3070.5</v>
      </c>
      <c r="I426" s="117" t="n">
        <v>0</v>
      </c>
      <c r="J426" s="117" t="n">
        <v>3070.5</v>
      </c>
      <c r="K426" s="115" t="inlineStr">
        <is>
          <t>Cheque</t>
        </is>
      </c>
      <c r="L426" s="115" t="inlineStr">
        <is>
          <t>300-Ops</t>
        </is>
      </c>
      <c r="M426" s="115" t="inlineStr">
        <is>
          <t>1200 AR</t>
        </is>
      </c>
    </row>
    <row r="427">
      <c r="A427" s="118" t="inlineStr">
        <is>
          <t>ERP-00424</t>
        </is>
      </c>
      <c r="B427" s="119" t="n">
        <v>46035</v>
      </c>
      <c r="C427" s="118" t="inlineStr">
        <is>
          <t>2026-01</t>
        </is>
      </c>
      <c r="D427" s="118" t="inlineStr">
        <is>
          <t>AP</t>
        </is>
      </c>
      <c r="E427" s="118" t="inlineStr">
        <is>
          <t>Vancouver Courier</t>
        </is>
      </c>
      <c r="F427" s="118" t="inlineStr">
        <is>
          <t>Vendor payment - Vancouver Courier</t>
        </is>
      </c>
      <c r="G427" s="118" t="inlineStr">
        <is>
          <t>REF-100424</t>
        </is>
      </c>
      <c r="H427" s="120" t="n">
        <v>0</v>
      </c>
      <c r="I427" s="120" t="n">
        <v>3582.22</v>
      </c>
      <c r="J427" s="120" t="n">
        <v>-3582.22</v>
      </c>
      <c r="K427" s="118" t="inlineStr">
        <is>
          <t>Cheque</t>
        </is>
      </c>
      <c r="L427" s="118" t="inlineStr">
        <is>
          <t>200-Sales</t>
        </is>
      </c>
      <c r="M427" s="118" t="inlineStr">
        <is>
          <t>2000 AP</t>
        </is>
      </c>
    </row>
    <row r="428">
      <c r="A428" s="115" t="inlineStr">
        <is>
          <t>ERP-00425</t>
        </is>
      </c>
      <c r="B428" s="116" t="n">
        <v>46036</v>
      </c>
      <c r="C428" s="115" t="inlineStr">
        <is>
          <t>2026-01</t>
        </is>
      </c>
      <c r="D428" s="115" t="inlineStr">
        <is>
          <t>AR</t>
        </is>
      </c>
      <c r="E428" s="115" t="inlineStr">
        <is>
          <t>Harbour Design Co.</t>
        </is>
      </c>
      <c r="F428" s="115" t="inlineStr">
        <is>
          <t>Customer payment - Harbour Design Co.</t>
        </is>
      </c>
      <c r="G428" s="115" t="inlineStr">
        <is>
          <t>REF-100425</t>
        </is>
      </c>
      <c r="H428" s="117" t="n">
        <v>224.3</v>
      </c>
      <c r="I428" s="117" t="n">
        <v>0</v>
      </c>
      <c r="J428" s="117" t="n">
        <v>224.3</v>
      </c>
      <c r="K428" s="115" t="inlineStr">
        <is>
          <t>Cheque</t>
        </is>
      </c>
      <c r="L428" s="115" t="inlineStr">
        <is>
          <t>200-Sales</t>
        </is>
      </c>
      <c r="M428" s="115" t="inlineStr">
        <is>
          <t>1200 AR</t>
        </is>
      </c>
    </row>
    <row r="429">
      <c r="A429" s="118" t="inlineStr">
        <is>
          <t>ERP-00426</t>
        </is>
      </c>
      <c r="B429" s="119" t="n">
        <v>46042</v>
      </c>
      <c r="C429" s="118" t="inlineStr">
        <is>
          <t>2026-01</t>
        </is>
      </c>
      <c r="D429" s="118" t="inlineStr">
        <is>
          <t>Payroll</t>
        </is>
      </c>
      <c r="E429" s="118" t="inlineStr">
        <is>
          <t>Payroll Batch</t>
        </is>
      </c>
      <c r="F429" s="118" t="inlineStr">
        <is>
          <t>Payroll payment</t>
        </is>
      </c>
      <c r="G429" s="118" t="inlineStr">
        <is>
          <t>REF-100426</t>
        </is>
      </c>
      <c r="H429" s="120" t="n">
        <v>0</v>
      </c>
      <c r="I429" s="120" t="n">
        <v>6929.17</v>
      </c>
      <c r="J429" s="120" t="n">
        <v>-6929.17</v>
      </c>
      <c r="K429" s="118" t="inlineStr">
        <is>
          <t>Credit Card</t>
        </is>
      </c>
      <c r="L429" s="118" t="inlineStr">
        <is>
          <t>400-Finance</t>
        </is>
      </c>
      <c r="M429" s="118" t="inlineStr">
        <is>
          <t>5300 Payroll</t>
        </is>
      </c>
    </row>
    <row r="430">
      <c r="A430" s="115" t="inlineStr">
        <is>
          <t>ERP-00427</t>
        </is>
      </c>
      <c r="B430" s="116" t="n">
        <v>46050</v>
      </c>
      <c r="C430" s="115" t="inlineStr">
        <is>
          <t>2026-01</t>
        </is>
      </c>
      <c r="D430" s="115" t="inlineStr">
        <is>
          <t>AP</t>
        </is>
      </c>
      <c r="E430" s="115" t="inlineStr">
        <is>
          <t>Metro Cleaning Ltd.</t>
        </is>
      </c>
      <c r="F430" s="115" t="inlineStr">
        <is>
          <t>Vendor payment - Metro Cleaning Ltd.</t>
        </is>
      </c>
      <c r="G430" s="115" t="inlineStr">
        <is>
          <t>REF-100427</t>
        </is>
      </c>
      <c r="H430" s="117" t="n">
        <v>0</v>
      </c>
      <c r="I430" s="117" t="n">
        <v>1415.44</v>
      </c>
      <c r="J430" s="117" t="n">
        <v>-1415.44</v>
      </c>
      <c r="K430" s="115" t="inlineStr">
        <is>
          <t>Credit Card</t>
        </is>
      </c>
      <c r="L430" s="115" t="inlineStr">
        <is>
          <t>500-IT</t>
        </is>
      </c>
      <c r="M430" s="115" t="inlineStr">
        <is>
          <t>2000 AP</t>
        </is>
      </c>
    </row>
    <row r="431">
      <c r="A431" s="118" t="inlineStr">
        <is>
          <t>ERP-00428</t>
        </is>
      </c>
      <c r="B431" s="119" t="n">
        <v>46035</v>
      </c>
      <c r="C431" s="118" t="inlineStr">
        <is>
          <t>2026-01</t>
        </is>
      </c>
      <c r="D431" s="118" t="inlineStr">
        <is>
          <t>AR</t>
        </is>
      </c>
      <c r="E431" s="118" t="inlineStr">
        <is>
          <t>Maple Retail Group</t>
        </is>
      </c>
      <c r="F431" s="118" t="inlineStr">
        <is>
          <t>Customer payment - Maple Retail Group</t>
        </is>
      </c>
      <c r="G431" s="118" t="inlineStr">
        <is>
          <t>REF-100428</t>
        </is>
      </c>
      <c r="H431" s="120" t="n">
        <v>4421.14</v>
      </c>
      <c r="I431" s="120" t="n">
        <v>0</v>
      </c>
      <c r="J431" s="120" t="n">
        <v>4421.14</v>
      </c>
      <c r="K431" s="118" t="inlineStr">
        <is>
          <t>Credit Card</t>
        </is>
      </c>
      <c r="L431" s="118" t="inlineStr">
        <is>
          <t>500-IT</t>
        </is>
      </c>
      <c r="M431" s="118" t="inlineStr">
        <is>
          <t>1200 AR</t>
        </is>
      </c>
    </row>
    <row r="432">
      <c r="A432" s="115" t="inlineStr">
        <is>
          <t>ERP-00429</t>
        </is>
      </c>
      <c r="B432" s="116" t="n">
        <v>46026</v>
      </c>
      <c r="C432" s="115" t="inlineStr">
        <is>
          <t>2026-01</t>
        </is>
      </c>
      <c r="D432" s="115" t="inlineStr">
        <is>
          <t>AR</t>
        </is>
      </c>
      <c r="E432" s="115" t="inlineStr">
        <is>
          <t>Raincity Tech</t>
        </is>
      </c>
      <c r="F432" s="115" t="inlineStr">
        <is>
          <t>Customer payment - Raincity Tech</t>
        </is>
      </c>
      <c r="G432" s="115" t="inlineStr">
        <is>
          <t>REF-100429</t>
        </is>
      </c>
      <c r="H432" s="117" t="n">
        <v>8402.809999999999</v>
      </c>
      <c r="I432" s="117" t="n">
        <v>0</v>
      </c>
      <c r="J432" s="117" t="n">
        <v>8402.809999999999</v>
      </c>
      <c r="K432" s="115" t="inlineStr">
        <is>
          <t>Credit Card</t>
        </is>
      </c>
      <c r="L432" s="115" t="inlineStr">
        <is>
          <t>300-Ops</t>
        </is>
      </c>
      <c r="M432" s="115" t="inlineStr">
        <is>
          <t>1200 AR</t>
        </is>
      </c>
    </row>
    <row r="433">
      <c r="A433" s="118" t="inlineStr">
        <is>
          <t>ERP-00430</t>
        </is>
      </c>
      <c r="B433" s="119" t="n">
        <v>46039</v>
      </c>
      <c r="C433" s="118" t="inlineStr">
        <is>
          <t>2026-01</t>
        </is>
      </c>
      <c r="D433" s="118" t="inlineStr">
        <is>
          <t>GL</t>
        </is>
      </c>
      <c r="E433" s="118" t="inlineStr">
        <is>
          <t>Pacific Office Supplies</t>
        </is>
      </c>
      <c r="F433" s="118" t="inlineStr">
        <is>
          <t>Manual GL entry</t>
        </is>
      </c>
      <c r="G433" s="118" t="inlineStr">
        <is>
          <t>REF-100430</t>
        </is>
      </c>
      <c r="H433" s="120" t="n">
        <v>0</v>
      </c>
      <c r="I433" s="120" t="n">
        <v>4036.88</v>
      </c>
      <c r="J433" s="120" t="n">
        <v>-4036.88</v>
      </c>
      <c r="K433" s="118" t="inlineStr">
        <is>
          <t>Credit Card</t>
        </is>
      </c>
      <c r="L433" s="118" t="inlineStr">
        <is>
          <t>200-Sales</t>
        </is>
      </c>
      <c r="M433" s="118" t="inlineStr">
        <is>
          <t>5300 Payroll</t>
        </is>
      </c>
    </row>
    <row r="434">
      <c r="A434" s="115" t="inlineStr">
        <is>
          <t>ERP-00431</t>
        </is>
      </c>
      <c r="B434" s="116" t="n">
        <v>46031</v>
      </c>
      <c r="C434" s="115" t="inlineStr">
        <is>
          <t>2026-01</t>
        </is>
      </c>
      <c r="D434" s="115" t="inlineStr">
        <is>
          <t>Payroll</t>
        </is>
      </c>
      <c r="E434" s="115" t="inlineStr">
        <is>
          <t>Payroll Batch</t>
        </is>
      </c>
      <c r="F434" s="115" t="inlineStr">
        <is>
          <t>Payroll payment</t>
        </is>
      </c>
      <c r="G434" s="115" t="inlineStr">
        <is>
          <t>REF-100431</t>
        </is>
      </c>
      <c r="H434" s="117" t="n">
        <v>0</v>
      </c>
      <c r="I434" s="117" t="n">
        <v>8366.68</v>
      </c>
      <c r="J434" s="117" t="n">
        <v>-8366.68</v>
      </c>
      <c r="K434" s="115" t="inlineStr">
        <is>
          <t>EFT</t>
        </is>
      </c>
      <c r="L434" s="115" t="inlineStr">
        <is>
          <t>500-IT</t>
        </is>
      </c>
      <c r="M434" s="115" t="inlineStr">
        <is>
          <t>5300 Payroll</t>
        </is>
      </c>
    </row>
    <row r="435">
      <c r="A435" s="118" t="inlineStr">
        <is>
          <t>ERP-00432</t>
        </is>
      </c>
      <c r="B435" s="119" t="n">
        <v>46045</v>
      </c>
      <c r="C435" s="118" t="inlineStr">
        <is>
          <t>2026-01</t>
        </is>
      </c>
      <c r="D435" s="118" t="inlineStr">
        <is>
          <t>AP</t>
        </is>
      </c>
      <c r="E435" s="118" t="inlineStr">
        <is>
          <t>Amazon Business</t>
        </is>
      </c>
      <c r="F435" s="118" t="inlineStr">
        <is>
          <t>Vendor payment - Amazon Business</t>
        </is>
      </c>
      <c r="G435" s="118" t="inlineStr">
        <is>
          <t>REF-100432</t>
        </is>
      </c>
      <c r="H435" s="120" t="n">
        <v>0</v>
      </c>
      <c r="I435" s="120" t="n">
        <v>3986.48</v>
      </c>
      <c r="J435" s="120" t="n">
        <v>-3986.48</v>
      </c>
      <c r="K435" s="118" t="inlineStr">
        <is>
          <t>Wire</t>
        </is>
      </c>
      <c r="L435" s="118" t="inlineStr">
        <is>
          <t>300-Ops</t>
        </is>
      </c>
      <c r="M435" s="118" t="inlineStr">
        <is>
          <t>2000 AP</t>
        </is>
      </c>
    </row>
    <row r="436">
      <c r="A436" s="115" t="inlineStr">
        <is>
          <t>ERP-00433</t>
        </is>
      </c>
      <c r="B436" s="116" t="n">
        <v>46051</v>
      </c>
      <c r="C436" s="115" t="inlineStr">
        <is>
          <t>2026-01</t>
        </is>
      </c>
      <c r="D436" s="115" t="inlineStr">
        <is>
          <t>AR</t>
        </is>
      </c>
      <c r="E436" s="115" t="inlineStr">
        <is>
          <t>Raincity Tech</t>
        </is>
      </c>
      <c r="F436" s="115" t="inlineStr">
        <is>
          <t>Customer payment - Raincity Tech</t>
        </is>
      </c>
      <c r="G436" s="115" t="inlineStr">
        <is>
          <t>REF-100433</t>
        </is>
      </c>
      <c r="H436" s="117" t="n">
        <v>964.99</v>
      </c>
      <c r="I436" s="117" t="n">
        <v>0</v>
      </c>
      <c r="J436" s="117" t="n">
        <v>964.99</v>
      </c>
      <c r="K436" s="115" t="inlineStr">
        <is>
          <t>Cheque</t>
        </is>
      </c>
      <c r="L436" s="115" t="inlineStr">
        <is>
          <t>300-Ops</t>
        </is>
      </c>
      <c r="M436" s="115" t="inlineStr">
        <is>
          <t>1200 AR</t>
        </is>
      </c>
    </row>
    <row r="437">
      <c r="A437" s="118" t="inlineStr">
        <is>
          <t>ERP-00434</t>
        </is>
      </c>
      <c r="B437" s="119" t="n">
        <v>46051</v>
      </c>
      <c r="C437" s="118" t="inlineStr">
        <is>
          <t>2026-01</t>
        </is>
      </c>
      <c r="D437" s="118" t="inlineStr">
        <is>
          <t>AP</t>
        </is>
      </c>
      <c r="E437" s="118" t="inlineStr">
        <is>
          <t>Pacific Office Supplies</t>
        </is>
      </c>
      <c r="F437" s="118" t="inlineStr">
        <is>
          <t>Vendor payment - Pacific Office Supplies</t>
        </is>
      </c>
      <c r="G437" s="118" t="inlineStr">
        <is>
          <t>REF-100434</t>
        </is>
      </c>
      <c r="H437" s="120" t="n">
        <v>0</v>
      </c>
      <c r="I437" s="120" t="n">
        <v>1440.19</v>
      </c>
      <c r="J437" s="120" t="n">
        <v>-1440.19</v>
      </c>
      <c r="K437" s="118" t="inlineStr">
        <is>
          <t>Cheque</t>
        </is>
      </c>
      <c r="L437" s="118" t="inlineStr">
        <is>
          <t>300-Ops</t>
        </is>
      </c>
      <c r="M437" s="118" t="inlineStr">
        <is>
          <t>2000 AP</t>
        </is>
      </c>
    </row>
    <row r="438">
      <c r="A438" s="115" t="inlineStr">
        <is>
          <t>ERP-00435</t>
        </is>
      </c>
      <c r="B438" s="116" t="n">
        <v>46041</v>
      </c>
      <c r="C438" s="115" t="inlineStr">
        <is>
          <t>2026-01</t>
        </is>
      </c>
      <c r="D438" s="115" t="inlineStr">
        <is>
          <t>AP</t>
        </is>
      </c>
      <c r="E438" s="115" t="inlineStr">
        <is>
          <t>Vancouver Courier</t>
        </is>
      </c>
      <c r="F438" s="115" t="inlineStr">
        <is>
          <t>Vendor payment - Vancouver Courier</t>
        </is>
      </c>
      <c r="G438" s="115" t="inlineStr">
        <is>
          <t>REF-100435</t>
        </is>
      </c>
      <c r="H438" s="117" t="n">
        <v>0</v>
      </c>
      <c r="I438" s="117" t="n">
        <v>800.8200000000001</v>
      </c>
      <c r="J438" s="117" t="n">
        <v>-800.8200000000001</v>
      </c>
      <c r="K438" s="115" t="inlineStr">
        <is>
          <t>EFT</t>
        </is>
      </c>
      <c r="L438" s="115" t="inlineStr">
        <is>
          <t>500-IT</t>
        </is>
      </c>
      <c r="M438" s="115" t="inlineStr">
        <is>
          <t>2000 AP</t>
        </is>
      </c>
    </row>
    <row r="439">
      <c r="A439" s="118" t="inlineStr">
        <is>
          <t>ERP-00436</t>
        </is>
      </c>
      <c r="B439" s="119" t="n">
        <v>46029</v>
      </c>
      <c r="C439" s="118" t="inlineStr">
        <is>
          <t>2026-01</t>
        </is>
      </c>
      <c r="D439" s="118" t="inlineStr">
        <is>
          <t>AR</t>
        </is>
      </c>
      <c r="E439" s="118" t="inlineStr">
        <is>
          <t>Harbour Design Co.</t>
        </is>
      </c>
      <c r="F439" s="118" t="inlineStr">
        <is>
          <t>Customer payment - Harbour Design Co.</t>
        </is>
      </c>
      <c r="G439" s="118" t="inlineStr">
        <is>
          <t>REF-100436</t>
        </is>
      </c>
      <c r="H439" s="120" t="n">
        <v>3336.94</v>
      </c>
      <c r="I439" s="120" t="n">
        <v>0</v>
      </c>
      <c r="J439" s="120" t="n">
        <v>3336.94</v>
      </c>
      <c r="K439" s="118" t="inlineStr">
        <is>
          <t>Credit Card</t>
        </is>
      </c>
      <c r="L439" s="118" t="inlineStr">
        <is>
          <t>400-Finance</t>
        </is>
      </c>
      <c r="M439" s="118" t="inlineStr">
        <is>
          <t>1200 AR</t>
        </is>
      </c>
    </row>
    <row r="440">
      <c r="A440" s="115" t="inlineStr">
        <is>
          <t>ERP-00437</t>
        </is>
      </c>
      <c r="B440" s="116" t="n">
        <v>46029</v>
      </c>
      <c r="C440" s="115" t="inlineStr">
        <is>
          <t>2026-01</t>
        </is>
      </c>
      <c r="D440" s="115" t="inlineStr">
        <is>
          <t>AP</t>
        </is>
      </c>
      <c r="E440" s="115" t="inlineStr">
        <is>
          <t>Amazon Business</t>
        </is>
      </c>
      <c r="F440" s="115" t="inlineStr">
        <is>
          <t>Vendor payment - Amazon Business</t>
        </is>
      </c>
      <c r="G440" s="115" t="inlineStr">
        <is>
          <t>REF-100437</t>
        </is>
      </c>
      <c r="H440" s="117" t="n">
        <v>0</v>
      </c>
      <c r="I440" s="117" t="n">
        <v>5544.21</v>
      </c>
      <c r="J440" s="117" t="n">
        <v>-5544.21</v>
      </c>
      <c r="K440" s="115" t="inlineStr">
        <is>
          <t>Wire</t>
        </is>
      </c>
      <c r="L440" s="115" t="inlineStr">
        <is>
          <t>200-Sales</t>
        </is>
      </c>
      <c r="M440" s="115" t="inlineStr">
        <is>
          <t>2000 AP</t>
        </is>
      </c>
    </row>
    <row r="441">
      <c r="A441" s="118" t="inlineStr">
        <is>
          <t>ERP-00438</t>
        </is>
      </c>
      <c r="B441" s="119" t="n">
        <v>46038</v>
      </c>
      <c r="C441" s="118" t="inlineStr">
        <is>
          <t>2026-01</t>
        </is>
      </c>
      <c r="D441" s="118" t="inlineStr">
        <is>
          <t>AP</t>
        </is>
      </c>
      <c r="E441" s="118" t="inlineStr">
        <is>
          <t>North Shore Telecom</t>
        </is>
      </c>
      <c r="F441" s="118" t="inlineStr">
        <is>
          <t>Vendor payment - North Shore Telecom</t>
        </is>
      </c>
      <c r="G441" s="118" t="inlineStr">
        <is>
          <t>REF-100438</t>
        </is>
      </c>
      <c r="H441" s="120" t="n">
        <v>0</v>
      </c>
      <c r="I441" s="120" t="n">
        <v>1998.09</v>
      </c>
      <c r="J441" s="120" t="n">
        <v>-1998.09</v>
      </c>
      <c r="K441" s="118" t="inlineStr">
        <is>
          <t>EFT</t>
        </is>
      </c>
      <c r="L441" s="118" t="inlineStr">
        <is>
          <t>100-Admin</t>
        </is>
      </c>
      <c r="M441" s="118" t="inlineStr">
        <is>
          <t>2000 AP</t>
        </is>
      </c>
    </row>
    <row r="442">
      <c r="A442" s="115" t="inlineStr">
        <is>
          <t>ERP-00439</t>
        </is>
      </c>
      <c r="B442" s="116" t="n">
        <v>46028</v>
      </c>
      <c r="C442" s="115" t="inlineStr">
        <is>
          <t>2026-01</t>
        </is>
      </c>
      <c r="D442" s="115" t="inlineStr">
        <is>
          <t>AR</t>
        </is>
      </c>
      <c r="E442" s="115" t="inlineStr">
        <is>
          <t>Coastline Foods</t>
        </is>
      </c>
      <c r="F442" s="115" t="inlineStr">
        <is>
          <t>Customer payment - Coastline Foods</t>
        </is>
      </c>
      <c r="G442" s="115" t="inlineStr">
        <is>
          <t>REF-100439</t>
        </is>
      </c>
      <c r="H442" s="117" t="n">
        <v>4237.97</v>
      </c>
      <c r="I442" s="117" t="n">
        <v>0</v>
      </c>
      <c r="J442" s="117" t="n">
        <v>4237.97</v>
      </c>
      <c r="K442" s="115" t="inlineStr">
        <is>
          <t>EFT</t>
        </is>
      </c>
      <c r="L442" s="115" t="inlineStr">
        <is>
          <t>200-Sales</t>
        </is>
      </c>
      <c r="M442" s="115" t="inlineStr">
        <is>
          <t>1200 AR</t>
        </is>
      </c>
    </row>
    <row r="443">
      <c r="A443" s="118" t="inlineStr">
        <is>
          <t>ERP-00440</t>
        </is>
      </c>
      <c r="B443" s="119" t="n">
        <v>46053</v>
      </c>
      <c r="C443" s="118" t="inlineStr">
        <is>
          <t>2026-01</t>
        </is>
      </c>
      <c r="D443" s="118" t="inlineStr">
        <is>
          <t>AR</t>
        </is>
      </c>
      <c r="E443" s="118" t="inlineStr">
        <is>
          <t>Maple Retail Group</t>
        </is>
      </c>
      <c r="F443" s="118" t="inlineStr">
        <is>
          <t>Customer payment - Maple Retail Group</t>
        </is>
      </c>
      <c r="G443" s="118" t="inlineStr">
        <is>
          <t>REF-100440</t>
        </is>
      </c>
      <c r="H443" s="120" t="n">
        <v>465.01</v>
      </c>
      <c r="I443" s="120" t="n">
        <v>0</v>
      </c>
      <c r="J443" s="120" t="n">
        <v>465.01</v>
      </c>
      <c r="K443" s="118" t="inlineStr">
        <is>
          <t>Cheque</t>
        </is>
      </c>
      <c r="L443" s="118" t="inlineStr">
        <is>
          <t>300-Ops</t>
        </is>
      </c>
      <c r="M443" s="118" t="inlineStr">
        <is>
          <t>1200 AR</t>
        </is>
      </c>
    </row>
    <row r="444">
      <c r="A444" s="115" t="inlineStr">
        <is>
          <t>ERP-00441</t>
        </is>
      </c>
      <c r="B444" s="116" t="n">
        <v>46051</v>
      </c>
      <c r="C444" s="115" t="inlineStr">
        <is>
          <t>2026-01</t>
        </is>
      </c>
      <c r="D444" s="115" t="inlineStr">
        <is>
          <t>AP</t>
        </is>
      </c>
      <c r="E444" s="115" t="inlineStr">
        <is>
          <t>Vancouver Courier</t>
        </is>
      </c>
      <c r="F444" s="115" t="inlineStr">
        <is>
          <t>Vendor payment - Vancouver Courier</t>
        </is>
      </c>
      <c r="G444" s="115" t="inlineStr">
        <is>
          <t>REF-100441</t>
        </is>
      </c>
      <c r="H444" s="117" t="n">
        <v>0</v>
      </c>
      <c r="I444" s="117" t="n">
        <v>3329.93</v>
      </c>
      <c r="J444" s="117" t="n">
        <v>-3329.93</v>
      </c>
      <c r="K444" s="115" t="inlineStr">
        <is>
          <t>EFT</t>
        </is>
      </c>
      <c r="L444" s="115" t="inlineStr">
        <is>
          <t>100-Admin</t>
        </is>
      </c>
      <c r="M444" s="115" t="inlineStr">
        <is>
          <t>2000 AP</t>
        </is>
      </c>
    </row>
    <row r="445">
      <c r="A445" s="118" t="inlineStr">
        <is>
          <t>ERP-00442</t>
        </is>
      </c>
      <c r="B445" s="119" t="n">
        <v>46051</v>
      </c>
      <c r="C445" s="118" t="inlineStr">
        <is>
          <t>2026-01</t>
        </is>
      </c>
      <c r="D445" s="118" t="inlineStr">
        <is>
          <t>AP</t>
        </is>
      </c>
      <c r="E445" s="118" t="inlineStr">
        <is>
          <t>North Shore Telecom</t>
        </is>
      </c>
      <c r="F445" s="118" t="inlineStr">
        <is>
          <t>Vendor payment - North Shore Telecom</t>
        </is>
      </c>
      <c r="G445" s="118" t="inlineStr">
        <is>
          <t>REF-100442</t>
        </is>
      </c>
      <c r="H445" s="120" t="n">
        <v>0</v>
      </c>
      <c r="I445" s="120" t="n">
        <v>708.5700000000001</v>
      </c>
      <c r="J445" s="120" t="n">
        <v>-708.5700000000001</v>
      </c>
      <c r="K445" s="118" t="inlineStr">
        <is>
          <t>PAD</t>
        </is>
      </c>
      <c r="L445" s="118" t="inlineStr">
        <is>
          <t>500-IT</t>
        </is>
      </c>
      <c r="M445" s="118" t="inlineStr">
        <is>
          <t>2000 AP</t>
        </is>
      </c>
    </row>
    <row r="446">
      <c r="A446" s="115" t="inlineStr">
        <is>
          <t>ERP-00443</t>
        </is>
      </c>
      <c r="B446" s="116" t="n">
        <v>46032</v>
      </c>
      <c r="C446" s="115" t="inlineStr">
        <is>
          <t>2026-01</t>
        </is>
      </c>
      <c r="D446" s="115" t="inlineStr">
        <is>
          <t>Bank Fees</t>
        </is>
      </c>
      <c r="E446" s="115" t="inlineStr">
        <is>
          <t>Bank</t>
        </is>
      </c>
      <c r="F446" s="115" t="inlineStr">
        <is>
          <t>Monthly bank service charge</t>
        </is>
      </c>
      <c r="G446" s="115" t="inlineStr">
        <is>
          <t>REF-100443</t>
        </is>
      </c>
      <c r="H446" s="117" t="n">
        <v>0</v>
      </c>
      <c r="I446" s="117" t="n">
        <v>57.43</v>
      </c>
      <c r="J446" s="117" t="n">
        <v>-57.43</v>
      </c>
      <c r="K446" s="115" t="inlineStr">
        <is>
          <t>PAD</t>
        </is>
      </c>
      <c r="L446" s="115" t="inlineStr">
        <is>
          <t>500-IT</t>
        </is>
      </c>
      <c r="M446" s="115" t="inlineStr">
        <is>
          <t>6100 Bank Fees</t>
        </is>
      </c>
    </row>
    <row r="447">
      <c r="A447" s="118" t="inlineStr">
        <is>
          <t>ERP-00444</t>
        </is>
      </c>
      <c r="B447" s="119" t="n">
        <v>46027</v>
      </c>
      <c r="C447" s="118" t="inlineStr">
        <is>
          <t>2026-01</t>
        </is>
      </c>
      <c r="D447" s="118" t="inlineStr">
        <is>
          <t>AP</t>
        </is>
      </c>
      <c r="E447" s="118" t="inlineStr">
        <is>
          <t>BC Hydro</t>
        </is>
      </c>
      <c r="F447" s="118" t="inlineStr">
        <is>
          <t>Vendor payment - BC Hydro</t>
        </is>
      </c>
      <c r="G447" s="118" t="inlineStr">
        <is>
          <t>REF-100444</t>
        </is>
      </c>
      <c r="H447" s="120" t="n">
        <v>0</v>
      </c>
      <c r="I447" s="120" t="n">
        <v>2278.62</v>
      </c>
      <c r="J447" s="120" t="n">
        <v>-2278.62</v>
      </c>
      <c r="K447" s="118" t="inlineStr">
        <is>
          <t>Cheque</t>
        </is>
      </c>
      <c r="L447" s="118" t="inlineStr">
        <is>
          <t>200-Sales</t>
        </is>
      </c>
      <c r="M447" s="118" t="inlineStr">
        <is>
          <t>2000 AP</t>
        </is>
      </c>
    </row>
    <row r="448">
      <c r="A448" s="115" t="inlineStr">
        <is>
          <t>ERP-00445</t>
        </is>
      </c>
      <c r="B448" s="116" t="n">
        <v>46052</v>
      </c>
      <c r="C448" s="115" t="inlineStr">
        <is>
          <t>2026-01</t>
        </is>
      </c>
      <c r="D448" s="115" t="inlineStr">
        <is>
          <t>Payroll</t>
        </is>
      </c>
      <c r="E448" s="115" t="inlineStr">
        <is>
          <t>Payroll Batch</t>
        </is>
      </c>
      <c r="F448" s="115" t="inlineStr">
        <is>
          <t>Payroll payment</t>
        </is>
      </c>
      <c r="G448" s="115" t="inlineStr">
        <is>
          <t>REF-100445</t>
        </is>
      </c>
      <c r="H448" s="117" t="n">
        <v>0</v>
      </c>
      <c r="I448" s="117" t="n">
        <v>2777.31</v>
      </c>
      <c r="J448" s="117" t="n">
        <v>-2777.31</v>
      </c>
      <c r="K448" s="115" t="inlineStr">
        <is>
          <t>Cheque</t>
        </is>
      </c>
      <c r="L448" s="115" t="inlineStr">
        <is>
          <t>200-Sales</t>
        </is>
      </c>
      <c r="M448" s="115" t="inlineStr">
        <is>
          <t>5300 Payroll</t>
        </is>
      </c>
    </row>
    <row r="449">
      <c r="A449" s="118" t="inlineStr">
        <is>
          <t>ERP-00446</t>
        </is>
      </c>
      <c r="B449" s="119" t="n">
        <v>46028</v>
      </c>
      <c r="C449" s="118" t="inlineStr">
        <is>
          <t>2026-01</t>
        </is>
      </c>
      <c r="D449" s="118" t="inlineStr">
        <is>
          <t>AP</t>
        </is>
      </c>
      <c r="E449" s="118" t="inlineStr">
        <is>
          <t>Staples Canada</t>
        </is>
      </c>
      <c r="F449" s="118" t="inlineStr">
        <is>
          <t>Vendor payment - Staples Canada</t>
        </is>
      </c>
      <c r="G449" s="118" t="inlineStr">
        <is>
          <t>REF-100446</t>
        </is>
      </c>
      <c r="H449" s="120" t="n">
        <v>0</v>
      </c>
      <c r="I449" s="120" t="n">
        <v>4061.31</v>
      </c>
      <c r="J449" s="120" t="n">
        <v>-4061.31</v>
      </c>
      <c r="K449" s="118" t="inlineStr">
        <is>
          <t>EFT</t>
        </is>
      </c>
      <c r="L449" s="118" t="inlineStr">
        <is>
          <t>400-Finance</t>
        </is>
      </c>
      <c r="M449" s="118" t="inlineStr">
        <is>
          <t>2000 AP</t>
        </is>
      </c>
    </row>
    <row r="450">
      <c r="A450" s="115" t="inlineStr">
        <is>
          <t>ERP-00447</t>
        </is>
      </c>
      <c r="B450" s="116" t="n">
        <v>46031</v>
      </c>
      <c r="C450" s="115" t="inlineStr">
        <is>
          <t>2026-01</t>
        </is>
      </c>
      <c r="D450" s="115" t="inlineStr">
        <is>
          <t>GL</t>
        </is>
      </c>
      <c r="E450" s="115" t="inlineStr">
        <is>
          <t>Raincity Tech</t>
        </is>
      </c>
      <c r="F450" s="115" t="inlineStr">
        <is>
          <t>Manual GL entry</t>
        </is>
      </c>
      <c r="G450" s="115" t="inlineStr">
        <is>
          <t>REF-100447</t>
        </is>
      </c>
      <c r="H450" s="117" t="n">
        <v>0</v>
      </c>
      <c r="I450" s="117" t="n">
        <v>290.51</v>
      </c>
      <c r="J450" s="117" t="n">
        <v>-290.51</v>
      </c>
      <c r="K450" s="115" t="inlineStr">
        <is>
          <t>EFT</t>
        </is>
      </c>
      <c r="L450" s="115" t="inlineStr">
        <is>
          <t>100-Admin</t>
        </is>
      </c>
      <c r="M450" s="115" t="inlineStr">
        <is>
          <t>1200 AR</t>
        </is>
      </c>
    </row>
    <row r="451">
      <c r="A451" s="118" t="inlineStr">
        <is>
          <t>ERP-00448</t>
        </is>
      </c>
      <c r="B451" s="119" t="n">
        <v>46026</v>
      </c>
      <c r="C451" s="118" t="inlineStr">
        <is>
          <t>2026-01</t>
        </is>
      </c>
      <c r="D451" s="118" t="inlineStr">
        <is>
          <t>AR</t>
        </is>
      </c>
      <c r="E451" s="118" t="inlineStr">
        <is>
          <t>Granville Medical</t>
        </is>
      </c>
      <c r="F451" s="118" t="inlineStr">
        <is>
          <t>Customer payment - Granville Medical</t>
        </is>
      </c>
      <c r="G451" s="118" t="inlineStr">
        <is>
          <t>REF-100448</t>
        </is>
      </c>
      <c r="H451" s="120" t="n">
        <v>6010.6</v>
      </c>
      <c r="I451" s="120" t="n">
        <v>0</v>
      </c>
      <c r="J451" s="120" t="n">
        <v>6010.6</v>
      </c>
      <c r="K451" s="118" t="inlineStr">
        <is>
          <t>Cheque</t>
        </is>
      </c>
      <c r="L451" s="118" t="inlineStr">
        <is>
          <t>100-Admin</t>
        </is>
      </c>
      <c r="M451" s="118" t="inlineStr">
        <is>
          <t>1200 AR</t>
        </is>
      </c>
    </row>
    <row r="452">
      <c r="A452" s="115" t="inlineStr">
        <is>
          <t>ERP-00449</t>
        </is>
      </c>
      <c r="B452" s="116" t="n">
        <v>46031</v>
      </c>
      <c r="C452" s="115" t="inlineStr">
        <is>
          <t>2026-01</t>
        </is>
      </c>
      <c r="D452" s="115" t="inlineStr">
        <is>
          <t>AR</t>
        </is>
      </c>
      <c r="E452" s="115" t="inlineStr">
        <is>
          <t>Harbour Design Co.</t>
        </is>
      </c>
      <c r="F452" s="115" t="inlineStr">
        <is>
          <t>Customer payment - Harbour Design Co.</t>
        </is>
      </c>
      <c r="G452" s="115" t="inlineStr">
        <is>
          <t>REF-100449</t>
        </is>
      </c>
      <c r="H452" s="117" t="n">
        <v>1295.32</v>
      </c>
      <c r="I452" s="117" t="n">
        <v>0</v>
      </c>
      <c r="J452" s="117" t="n">
        <v>1295.32</v>
      </c>
      <c r="K452" s="115" t="inlineStr">
        <is>
          <t>EFT</t>
        </is>
      </c>
      <c r="L452" s="115" t="inlineStr">
        <is>
          <t>500-IT</t>
        </is>
      </c>
      <c r="M452" s="115" t="inlineStr">
        <is>
          <t>1200 AR</t>
        </is>
      </c>
    </row>
    <row r="453">
      <c r="A453" s="118" t="inlineStr">
        <is>
          <t>ERP-00450</t>
        </is>
      </c>
      <c r="B453" s="119" t="n">
        <v>46048</v>
      </c>
      <c r="C453" s="118" t="inlineStr">
        <is>
          <t>2026-01</t>
        </is>
      </c>
      <c r="D453" s="118" t="inlineStr">
        <is>
          <t>AP</t>
        </is>
      </c>
      <c r="E453" s="118" t="inlineStr">
        <is>
          <t>North Shore Telecom</t>
        </is>
      </c>
      <c r="F453" s="118" t="inlineStr">
        <is>
          <t>Vendor payment - North Shore Telecom</t>
        </is>
      </c>
      <c r="G453" s="118" t="inlineStr">
        <is>
          <t>REF-100450</t>
        </is>
      </c>
      <c r="H453" s="120" t="n">
        <v>0</v>
      </c>
      <c r="I453" s="120" t="n">
        <v>3807.09</v>
      </c>
      <c r="J453" s="120" t="n">
        <v>-3807.09</v>
      </c>
      <c r="K453" s="118" t="inlineStr">
        <is>
          <t>Credit Card</t>
        </is>
      </c>
      <c r="L453" s="118" t="inlineStr">
        <is>
          <t>500-IT</t>
        </is>
      </c>
      <c r="M453" s="118" t="inlineStr">
        <is>
          <t>2000 AP</t>
        </is>
      </c>
    </row>
    <row r="454">
      <c r="A454" s="115" t="inlineStr">
        <is>
          <t>ERP-00451</t>
        </is>
      </c>
      <c r="B454" s="116" t="n">
        <v>46034</v>
      </c>
      <c r="C454" s="115" t="inlineStr">
        <is>
          <t>2026-01</t>
        </is>
      </c>
      <c r="D454" s="115" t="inlineStr">
        <is>
          <t>GL</t>
        </is>
      </c>
      <c r="E454" s="115" t="inlineStr">
        <is>
          <t>Amazon Business</t>
        </is>
      </c>
      <c r="F454" s="115" t="inlineStr">
        <is>
          <t>Manual GL entry</t>
        </is>
      </c>
      <c r="G454" s="115" t="inlineStr">
        <is>
          <t>REF-100451</t>
        </is>
      </c>
      <c r="H454" s="117" t="n">
        <v>0</v>
      </c>
      <c r="I454" s="117" t="n">
        <v>843.85</v>
      </c>
      <c r="J454" s="117" t="n">
        <v>-843.85</v>
      </c>
      <c r="K454" s="115" t="inlineStr">
        <is>
          <t>Wire</t>
        </is>
      </c>
      <c r="L454" s="115" t="inlineStr">
        <is>
          <t>300-Ops</t>
        </is>
      </c>
      <c r="M454" s="115" t="inlineStr">
        <is>
          <t>5000 Office Expense</t>
        </is>
      </c>
    </row>
    <row r="455">
      <c r="A455" s="118" t="inlineStr">
        <is>
          <t>ERP-00452</t>
        </is>
      </c>
      <c r="B455" s="119" t="n">
        <v>46052</v>
      </c>
      <c r="C455" s="118" t="inlineStr">
        <is>
          <t>2026-01</t>
        </is>
      </c>
      <c r="D455" s="118" t="inlineStr">
        <is>
          <t>AP</t>
        </is>
      </c>
      <c r="E455" s="118" t="inlineStr">
        <is>
          <t>Amazon Business</t>
        </is>
      </c>
      <c r="F455" s="118" t="inlineStr">
        <is>
          <t>Vendor payment - Amazon Business</t>
        </is>
      </c>
      <c r="G455" s="118" t="inlineStr">
        <is>
          <t>REF-100452</t>
        </is>
      </c>
      <c r="H455" s="120" t="n">
        <v>0</v>
      </c>
      <c r="I455" s="120" t="n">
        <v>4174.41</v>
      </c>
      <c r="J455" s="120" t="n">
        <v>-4174.41</v>
      </c>
      <c r="K455" s="118" t="inlineStr">
        <is>
          <t>Cheque</t>
        </is>
      </c>
      <c r="L455" s="118" t="inlineStr">
        <is>
          <t>100-Admin</t>
        </is>
      </c>
      <c r="M455" s="118" t="inlineStr">
        <is>
          <t>2000 AP</t>
        </is>
      </c>
    </row>
    <row r="456">
      <c r="A456" s="115" t="inlineStr">
        <is>
          <t>ERP-00453</t>
        </is>
      </c>
      <c r="B456" s="116" t="n">
        <v>46026</v>
      </c>
      <c r="C456" s="115" t="inlineStr">
        <is>
          <t>2026-01</t>
        </is>
      </c>
      <c r="D456" s="115" t="inlineStr">
        <is>
          <t>Payroll</t>
        </is>
      </c>
      <c r="E456" s="115" t="inlineStr">
        <is>
          <t>Payroll Batch</t>
        </is>
      </c>
      <c r="F456" s="115" t="inlineStr">
        <is>
          <t>Payroll payment</t>
        </is>
      </c>
      <c r="G456" s="115" t="inlineStr">
        <is>
          <t>REF-100453</t>
        </is>
      </c>
      <c r="H456" s="117" t="n">
        <v>0</v>
      </c>
      <c r="I456" s="117" t="n">
        <v>11842.88</v>
      </c>
      <c r="J456" s="117" t="n">
        <v>-11842.88</v>
      </c>
      <c r="K456" s="115" t="inlineStr">
        <is>
          <t>Wire</t>
        </is>
      </c>
      <c r="L456" s="115" t="inlineStr">
        <is>
          <t>300-Ops</t>
        </is>
      </c>
      <c r="M456" s="115" t="inlineStr">
        <is>
          <t>5300 Payroll</t>
        </is>
      </c>
    </row>
    <row r="457">
      <c r="A457" s="118" t="inlineStr">
        <is>
          <t>ERP-00454</t>
        </is>
      </c>
      <c r="B457" s="119" t="n">
        <v>46028</v>
      </c>
      <c r="C457" s="118" t="inlineStr">
        <is>
          <t>2026-01</t>
        </is>
      </c>
      <c r="D457" s="118" t="inlineStr">
        <is>
          <t>Payroll</t>
        </is>
      </c>
      <c r="E457" s="118" t="inlineStr">
        <is>
          <t>Payroll Batch</t>
        </is>
      </c>
      <c r="F457" s="118" t="inlineStr">
        <is>
          <t>Payroll payment</t>
        </is>
      </c>
      <c r="G457" s="118" t="inlineStr">
        <is>
          <t>REF-100454</t>
        </is>
      </c>
      <c r="H457" s="120" t="n">
        <v>0</v>
      </c>
      <c r="I457" s="120" t="n">
        <v>14857.61</v>
      </c>
      <c r="J457" s="120" t="n">
        <v>-14857.61</v>
      </c>
      <c r="K457" s="118" t="inlineStr">
        <is>
          <t>Credit Card</t>
        </is>
      </c>
      <c r="L457" s="118" t="inlineStr">
        <is>
          <t>300-Ops</t>
        </is>
      </c>
      <c r="M457" s="118" t="inlineStr">
        <is>
          <t>5300 Payroll</t>
        </is>
      </c>
    </row>
    <row r="458">
      <c r="A458" s="115" t="inlineStr">
        <is>
          <t>ERP-00455</t>
        </is>
      </c>
      <c r="B458" s="116" t="n">
        <v>46047</v>
      </c>
      <c r="C458" s="115" t="inlineStr">
        <is>
          <t>2026-01</t>
        </is>
      </c>
      <c r="D458" s="115" t="inlineStr">
        <is>
          <t>Payroll</t>
        </is>
      </c>
      <c r="E458" s="115" t="inlineStr">
        <is>
          <t>Payroll Batch</t>
        </is>
      </c>
      <c r="F458" s="115" t="inlineStr">
        <is>
          <t>Payroll payment</t>
        </is>
      </c>
      <c r="G458" s="115" t="inlineStr">
        <is>
          <t>REF-100455</t>
        </is>
      </c>
      <c r="H458" s="117" t="n">
        <v>0</v>
      </c>
      <c r="I458" s="117" t="n">
        <v>2640.25</v>
      </c>
      <c r="J458" s="117" t="n">
        <v>-2640.25</v>
      </c>
      <c r="K458" s="115" t="inlineStr">
        <is>
          <t>Cheque</t>
        </is>
      </c>
      <c r="L458" s="115" t="inlineStr">
        <is>
          <t>200-Sales</t>
        </is>
      </c>
      <c r="M458" s="115" t="inlineStr">
        <is>
          <t>5300 Payroll</t>
        </is>
      </c>
    </row>
    <row r="459">
      <c r="A459" s="118" t="inlineStr">
        <is>
          <t>ERP-00456</t>
        </is>
      </c>
      <c r="B459" s="119" t="n">
        <v>46031</v>
      </c>
      <c r="C459" s="118" t="inlineStr">
        <is>
          <t>2026-01</t>
        </is>
      </c>
      <c r="D459" s="118" t="inlineStr">
        <is>
          <t>Payroll</t>
        </is>
      </c>
      <c r="E459" s="118" t="inlineStr">
        <is>
          <t>Payroll Batch</t>
        </is>
      </c>
      <c r="F459" s="118" t="inlineStr">
        <is>
          <t>Payroll payment</t>
        </is>
      </c>
      <c r="G459" s="118" t="inlineStr">
        <is>
          <t>REF-100456</t>
        </is>
      </c>
      <c r="H459" s="120" t="n">
        <v>0</v>
      </c>
      <c r="I459" s="120" t="n">
        <v>3847.79</v>
      </c>
      <c r="J459" s="120" t="n">
        <v>-3847.79</v>
      </c>
      <c r="K459" s="118" t="inlineStr">
        <is>
          <t>Credit Card</t>
        </is>
      </c>
      <c r="L459" s="118" t="inlineStr">
        <is>
          <t>200-Sales</t>
        </is>
      </c>
      <c r="M459" s="118" t="inlineStr">
        <is>
          <t>5300 Payroll</t>
        </is>
      </c>
    </row>
    <row r="460">
      <c r="A460" s="115" t="inlineStr">
        <is>
          <t>ERP-00457</t>
        </is>
      </c>
      <c r="B460" s="116" t="n">
        <v>46031</v>
      </c>
      <c r="C460" s="115" t="inlineStr">
        <is>
          <t>2026-01</t>
        </is>
      </c>
      <c r="D460" s="115" t="inlineStr">
        <is>
          <t>Payroll</t>
        </is>
      </c>
      <c r="E460" s="115" t="inlineStr">
        <is>
          <t>Payroll Batch</t>
        </is>
      </c>
      <c r="F460" s="115" t="inlineStr">
        <is>
          <t>Payroll payment</t>
        </is>
      </c>
      <c r="G460" s="115" t="inlineStr">
        <is>
          <t>REF-100457</t>
        </is>
      </c>
      <c r="H460" s="117" t="n">
        <v>0</v>
      </c>
      <c r="I460" s="117" t="n">
        <v>12503.59</v>
      </c>
      <c r="J460" s="117" t="n">
        <v>-12503.59</v>
      </c>
      <c r="K460" s="115" t="inlineStr">
        <is>
          <t>Wire</t>
        </is>
      </c>
      <c r="L460" s="115" t="inlineStr">
        <is>
          <t>400-Finance</t>
        </is>
      </c>
      <c r="M460" s="115" t="inlineStr">
        <is>
          <t>5300 Payroll</t>
        </is>
      </c>
    </row>
    <row r="461">
      <c r="A461" s="118" t="inlineStr">
        <is>
          <t>ERP-00458</t>
        </is>
      </c>
      <c r="B461" s="119" t="n">
        <v>46045</v>
      </c>
      <c r="C461" s="118" t="inlineStr">
        <is>
          <t>2026-01</t>
        </is>
      </c>
      <c r="D461" s="118" t="inlineStr">
        <is>
          <t>GL</t>
        </is>
      </c>
      <c r="E461" s="118" t="inlineStr">
        <is>
          <t>Metro Cleaning Ltd.</t>
        </is>
      </c>
      <c r="F461" s="118" t="inlineStr">
        <is>
          <t>Manual GL entry</t>
        </is>
      </c>
      <c r="G461" s="118" t="inlineStr">
        <is>
          <t>REF-100458</t>
        </is>
      </c>
      <c r="H461" s="120" t="n">
        <v>0</v>
      </c>
      <c r="I461" s="120" t="n">
        <v>563.38</v>
      </c>
      <c r="J461" s="120" t="n">
        <v>-563.38</v>
      </c>
      <c r="K461" s="118" t="inlineStr">
        <is>
          <t>PAD</t>
        </is>
      </c>
      <c r="L461" s="118" t="inlineStr">
        <is>
          <t>400-Finance</t>
        </is>
      </c>
      <c r="M461" s="118" t="inlineStr">
        <is>
          <t>6100 Bank Fees</t>
        </is>
      </c>
    </row>
    <row r="462">
      <c r="A462" s="115" t="inlineStr">
        <is>
          <t>ERP-00459</t>
        </is>
      </c>
      <c r="B462" s="116" t="n">
        <v>46042</v>
      </c>
      <c r="C462" s="115" t="inlineStr">
        <is>
          <t>2026-01</t>
        </is>
      </c>
      <c r="D462" s="115" t="inlineStr">
        <is>
          <t>AP</t>
        </is>
      </c>
      <c r="E462" s="115" t="inlineStr">
        <is>
          <t>Staples Canada</t>
        </is>
      </c>
      <c r="F462" s="115" t="inlineStr">
        <is>
          <t>Vendor payment - Staples Canada</t>
        </is>
      </c>
      <c r="G462" s="115" t="inlineStr">
        <is>
          <t>REF-100459</t>
        </is>
      </c>
      <c r="H462" s="117" t="n">
        <v>0</v>
      </c>
      <c r="I462" s="117" t="n">
        <v>5465.3</v>
      </c>
      <c r="J462" s="117" t="n">
        <v>-5465.3</v>
      </c>
      <c r="K462" s="115" t="inlineStr">
        <is>
          <t>Cheque</t>
        </is>
      </c>
      <c r="L462" s="115" t="inlineStr">
        <is>
          <t>400-Finance</t>
        </is>
      </c>
      <c r="M462" s="115" t="inlineStr">
        <is>
          <t>2000 AP</t>
        </is>
      </c>
    </row>
    <row r="463">
      <c r="A463" s="118" t="inlineStr">
        <is>
          <t>ERP-00460</t>
        </is>
      </c>
      <c r="B463" s="119" t="n">
        <v>46026</v>
      </c>
      <c r="C463" s="118" t="inlineStr">
        <is>
          <t>2026-01</t>
        </is>
      </c>
      <c r="D463" s="118" t="inlineStr">
        <is>
          <t>Payroll</t>
        </is>
      </c>
      <c r="E463" s="118" t="inlineStr">
        <is>
          <t>Payroll Batch</t>
        </is>
      </c>
      <c r="F463" s="118" t="inlineStr">
        <is>
          <t>Payroll payment</t>
        </is>
      </c>
      <c r="G463" s="118" t="inlineStr">
        <is>
          <t>REF-100460</t>
        </is>
      </c>
      <c r="H463" s="120" t="n">
        <v>0</v>
      </c>
      <c r="I463" s="120" t="n">
        <v>8889.969999999999</v>
      </c>
      <c r="J463" s="120" t="n">
        <v>-8889.969999999999</v>
      </c>
      <c r="K463" s="118" t="inlineStr">
        <is>
          <t>EFT</t>
        </is>
      </c>
      <c r="L463" s="118" t="inlineStr">
        <is>
          <t>300-Ops</t>
        </is>
      </c>
      <c r="M463" s="118" t="inlineStr">
        <is>
          <t>5300 Payroll</t>
        </is>
      </c>
    </row>
    <row r="464">
      <c r="A464" s="115" t="inlineStr">
        <is>
          <t>ERP-00461</t>
        </is>
      </c>
      <c r="B464" s="116" t="n">
        <v>46044</v>
      </c>
      <c r="C464" s="115" t="inlineStr">
        <is>
          <t>2026-01</t>
        </is>
      </c>
      <c r="D464" s="115" t="inlineStr">
        <is>
          <t>AR</t>
        </is>
      </c>
      <c r="E464" s="115" t="inlineStr">
        <is>
          <t>Harbour Design Co.</t>
        </is>
      </c>
      <c r="F464" s="115" t="inlineStr">
        <is>
          <t>Customer payment - Harbour Design Co.</t>
        </is>
      </c>
      <c r="G464" s="115" t="inlineStr">
        <is>
          <t>REF-100461</t>
        </is>
      </c>
      <c r="H464" s="117" t="n">
        <v>4965.02</v>
      </c>
      <c r="I464" s="117" t="n">
        <v>0</v>
      </c>
      <c r="J464" s="117" t="n">
        <v>4965.02</v>
      </c>
      <c r="K464" s="115" t="inlineStr">
        <is>
          <t>PAD</t>
        </is>
      </c>
      <c r="L464" s="115" t="inlineStr">
        <is>
          <t>200-Sales</t>
        </is>
      </c>
      <c r="M464" s="115" t="inlineStr">
        <is>
          <t>1200 AR</t>
        </is>
      </c>
    </row>
    <row r="465">
      <c r="A465" s="118" t="inlineStr">
        <is>
          <t>ERP-00462</t>
        </is>
      </c>
      <c r="B465" s="119" t="n">
        <v>46044</v>
      </c>
      <c r="C465" s="118" t="inlineStr">
        <is>
          <t>2026-01</t>
        </is>
      </c>
      <c r="D465" s="118" t="inlineStr">
        <is>
          <t>Payroll</t>
        </is>
      </c>
      <c r="E465" s="118" t="inlineStr">
        <is>
          <t>Payroll Batch</t>
        </is>
      </c>
      <c r="F465" s="118" t="inlineStr">
        <is>
          <t>Payroll payment</t>
        </is>
      </c>
      <c r="G465" s="118" t="inlineStr">
        <is>
          <t>REF-100462</t>
        </is>
      </c>
      <c r="H465" s="120" t="n">
        <v>0</v>
      </c>
      <c r="I465" s="120" t="n">
        <v>10026.95</v>
      </c>
      <c r="J465" s="120" t="n">
        <v>-10026.95</v>
      </c>
      <c r="K465" s="118" t="inlineStr">
        <is>
          <t>PAD</t>
        </is>
      </c>
      <c r="L465" s="118" t="inlineStr">
        <is>
          <t>100-Admin</t>
        </is>
      </c>
      <c r="M465" s="118" t="inlineStr">
        <is>
          <t>5300 Payroll</t>
        </is>
      </c>
    </row>
    <row r="466">
      <c r="A466" s="115" t="inlineStr">
        <is>
          <t>ERP-00463</t>
        </is>
      </c>
      <c r="B466" s="116" t="n">
        <v>46044</v>
      </c>
      <c r="C466" s="115" t="inlineStr">
        <is>
          <t>2026-01</t>
        </is>
      </c>
      <c r="D466" s="115" t="inlineStr">
        <is>
          <t>GL</t>
        </is>
      </c>
      <c r="E466" s="115" t="inlineStr">
        <is>
          <t>Vancouver Courier</t>
        </is>
      </c>
      <c r="F466" s="115" t="inlineStr">
        <is>
          <t>Manual GL entry</t>
        </is>
      </c>
      <c r="G466" s="115" t="inlineStr">
        <is>
          <t>REF-100463</t>
        </is>
      </c>
      <c r="H466" s="117" t="n">
        <v>0</v>
      </c>
      <c r="I466" s="117" t="n">
        <v>785.84</v>
      </c>
      <c r="J466" s="117" t="n">
        <v>-785.84</v>
      </c>
      <c r="K466" s="115" t="inlineStr">
        <is>
          <t>EFT</t>
        </is>
      </c>
      <c r="L466" s="115" t="inlineStr">
        <is>
          <t>200-Sales</t>
        </is>
      </c>
      <c r="M466" s="115" t="inlineStr">
        <is>
          <t>1010 Cash</t>
        </is>
      </c>
    </row>
    <row r="467">
      <c r="A467" s="118" t="inlineStr">
        <is>
          <t>ERP-00464</t>
        </is>
      </c>
      <c r="B467" s="119" t="n">
        <v>46050</v>
      </c>
      <c r="C467" s="118" t="inlineStr">
        <is>
          <t>2026-01</t>
        </is>
      </c>
      <c r="D467" s="118" t="inlineStr">
        <is>
          <t>AP</t>
        </is>
      </c>
      <c r="E467" s="118" t="inlineStr">
        <is>
          <t>Vancouver Courier</t>
        </is>
      </c>
      <c r="F467" s="118" t="inlineStr">
        <is>
          <t>Vendor payment - Vancouver Courier</t>
        </is>
      </c>
      <c r="G467" s="118" t="inlineStr">
        <is>
          <t>REF-100464</t>
        </is>
      </c>
      <c r="H467" s="120" t="n">
        <v>0</v>
      </c>
      <c r="I467" s="120" t="n">
        <v>3088.89</v>
      </c>
      <c r="J467" s="120" t="n">
        <v>-3088.89</v>
      </c>
      <c r="K467" s="118" t="inlineStr">
        <is>
          <t>Cheque</t>
        </is>
      </c>
      <c r="L467" s="118" t="inlineStr">
        <is>
          <t>300-Ops</t>
        </is>
      </c>
      <c r="M467" s="118" t="inlineStr">
        <is>
          <t>2000 AP</t>
        </is>
      </c>
    </row>
    <row r="468">
      <c r="A468" s="115" t="inlineStr">
        <is>
          <t>ERP-00465</t>
        </is>
      </c>
      <c r="B468" s="116" t="n">
        <v>46024</v>
      </c>
      <c r="C468" s="115" t="inlineStr">
        <is>
          <t>2026-01</t>
        </is>
      </c>
      <c r="D468" s="115" t="inlineStr">
        <is>
          <t>AR</t>
        </is>
      </c>
      <c r="E468" s="115" t="inlineStr">
        <is>
          <t>West Van Fitness</t>
        </is>
      </c>
      <c r="F468" s="115" t="inlineStr">
        <is>
          <t>Customer payment - West Van Fitness</t>
        </is>
      </c>
      <c r="G468" s="115" t="inlineStr">
        <is>
          <t>REF-100465</t>
        </is>
      </c>
      <c r="H468" s="117" t="n">
        <v>5521.7</v>
      </c>
      <c r="I468" s="117" t="n">
        <v>0</v>
      </c>
      <c r="J468" s="117" t="n">
        <v>5521.7</v>
      </c>
      <c r="K468" s="115" t="inlineStr">
        <is>
          <t>Wire</t>
        </is>
      </c>
      <c r="L468" s="115" t="inlineStr">
        <is>
          <t>200-Sales</t>
        </is>
      </c>
      <c r="M468" s="115" t="inlineStr">
        <is>
          <t>1200 AR</t>
        </is>
      </c>
    </row>
    <row r="469">
      <c r="A469" s="118" t="inlineStr">
        <is>
          <t>ERP-00466</t>
        </is>
      </c>
      <c r="B469" s="119" t="n">
        <v>46037</v>
      </c>
      <c r="C469" s="118" t="inlineStr">
        <is>
          <t>2026-01</t>
        </is>
      </c>
      <c r="D469" s="118" t="inlineStr">
        <is>
          <t>AP</t>
        </is>
      </c>
      <c r="E469" s="118" t="inlineStr">
        <is>
          <t>BC Hydro</t>
        </is>
      </c>
      <c r="F469" s="118" t="inlineStr">
        <is>
          <t>Vendor payment - BC Hydro</t>
        </is>
      </c>
      <c r="G469" s="118" t="inlineStr">
        <is>
          <t>REF-100466</t>
        </is>
      </c>
      <c r="H469" s="120" t="n">
        <v>0</v>
      </c>
      <c r="I469" s="120" t="n">
        <v>2816.06</v>
      </c>
      <c r="J469" s="120" t="n">
        <v>-2816.06</v>
      </c>
      <c r="K469" s="118" t="inlineStr">
        <is>
          <t>EFT</t>
        </is>
      </c>
      <c r="L469" s="118" t="inlineStr">
        <is>
          <t>400-Finance</t>
        </is>
      </c>
      <c r="M469" s="118" t="inlineStr">
        <is>
          <t>2000 AP</t>
        </is>
      </c>
    </row>
    <row r="470">
      <c r="A470" s="115" t="inlineStr">
        <is>
          <t>ERP-00467</t>
        </is>
      </c>
      <c r="B470" s="116" t="n">
        <v>46036</v>
      </c>
      <c r="C470" s="115" t="inlineStr">
        <is>
          <t>2026-01</t>
        </is>
      </c>
      <c r="D470" s="115" t="inlineStr">
        <is>
          <t>AP</t>
        </is>
      </c>
      <c r="E470" s="115" t="inlineStr">
        <is>
          <t>Amazon Business</t>
        </is>
      </c>
      <c r="F470" s="115" t="inlineStr">
        <is>
          <t>Vendor payment - Amazon Business</t>
        </is>
      </c>
      <c r="G470" s="115" t="inlineStr">
        <is>
          <t>REF-100467</t>
        </is>
      </c>
      <c r="H470" s="117" t="n">
        <v>0</v>
      </c>
      <c r="I470" s="117" t="n">
        <v>81.04000000000001</v>
      </c>
      <c r="J470" s="117" t="n">
        <v>-81.04000000000001</v>
      </c>
      <c r="K470" s="115" t="inlineStr">
        <is>
          <t>EFT</t>
        </is>
      </c>
      <c r="L470" s="115" t="inlineStr">
        <is>
          <t>500-IT</t>
        </is>
      </c>
      <c r="M470" s="115" t="inlineStr">
        <is>
          <t>2000 AP</t>
        </is>
      </c>
    </row>
    <row r="471">
      <c r="A471" s="118" t="inlineStr">
        <is>
          <t>ERP-00468</t>
        </is>
      </c>
      <c r="B471" s="119" t="n">
        <v>46043</v>
      </c>
      <c r="C471" s="118" t="inlineStr">
        <is>
          <t>2026-01</t>
        </is>
      </c>
      <c r="D471" s="118" t="inlineStr">
        <is>
          <t>AP</t>
        </is>
      </c>
      <c r="E471" s="118" t="inlineStr">
        <is>
          <t>Amazon Business</t>
        </is>
      </c>
      <c r="F471" s="118" t="inlineStr">
        <is>
          <t>Vendor payment - Amazon Business</t>
        </is>
      </c>
      <c r="G471" s="118" t="inlineStr">
        <is>
          <t>REF-100468</t>
        </is>
      </c>
      <c r="H471" s="120" t="n">
        <v>0</v>
      </c>
      <c r="I471" s="120" t="n">
        <v>3521.48</v>
      </c>
      <c r="J471" s="120" t="n">
        <v>-3521.48</v>
      </c>
      <c r="K471" s="118" t="inlineStr">
        <is>
          <t>Wire</t>
        </is>
      </c>
      <c r="L471" s="118" t="inlineStr">
        <is>
          <t>300-Ops</t>
        </is>
      </c>
      <c r="M471" s="118" t="inlineStr">
        <is>
          <t>2000 AP</t>
        </is>
      </c>
    </row>
    <row r="472">
      <c r="A472" s="115" t="inlineStr">
        <is>
          <t>ERP-00469</t>
        </is>
      </c>
      <c r="B472" s="116" t="n">
        <v>46050</v>
      </c>
      <c r="C472" s="115" t="inlineStr">
        <is>
          <t>2026-01</t>
        </is>
      </c>
      <c r="D472" s="115" t="inlineStr">
        <is>
          <t>AR</t>
        </is>
      </c>
      <c r="E472" s="115" t="inlineStr">
        <is>
          <t>West Van Fitness</t>
        </is>
      </c>
      <c r="F472" s="115" t="inlineStr">
        <is>
          <t>Customer payment - West Van Fitness</t>
        </is>
      </c>
      <c r="G472" s="115" t="inlineStr">
        <is>
          <t>REF-100469</t>
        </is>
      </c>
      <c r="H472" s="117" t="n">
        <v>6557.93</v>
      </c>
      <c r="I472" s="117" t="n">
        <v>0</v>
      </c>
      <c r="J472" s="117" t="n">
        <v>6557.93</v>
      </c>
      <c r="K472" s="115" t="inlineStr">
        <is>
          <t>PAD</t>
        </is>
      </c>
      <c r="L472" s="115" t="inlineStr">
        <is>
          <t>400-Finance</t>
        </is>
      </c>
      <c r="M472" s="115" t="inlineStr">
        <is>
          <t>1200 AR</t>
        </is>
      </c>
    </row>
    <row r="473">
      <c r="A473" s="118" t="inlineStr">
        <is>
          <t>ERP-00470</t>
        </is>
      </c>
      <c r="B473" s="119" t="n">
        <v>46026</v>
      </c>
      <c r="C473" s="118" t="inlineStr">
        <is>
          <t>2026-01</t>
        </is>
      </c>
      <c r="D473" s="118" t="inlineStr">
        <is>
          <t>AP</t>
        </is>
      </c>
      <c r="E473" s="118" t="inlineStr">
        <is>
          <t>Staples Canada</t>
        </is>
      </c>
      <c r="F473" s="118" t="inlineStr">
        <is>
          <t>Vendor payment - Staples Canada</t>
        </is>
      </c>
      <c r="G473" s="118" t="inlineStr">
        <is>
          <t>REF-100470</t>
        </is>
      </c>
      <c r="H473" s="120" t="n">
        <v>0</v>
      </c>
      <c r="I473" s="120" t="n">
        <v>1437.09</v>
      </c>
      <c r="J473" s="120" t="n">
        <v>-1437.09</v>
      </c>
      <c r="K473" s="118" t="inlineStr">
        <is>
          <t>Credit Card</t>
        </is>
      </c>
      <c r="L473" s="118" t="inlineStr">
        <is>
          <t>300-Ops</t>
        </is>
      </c>
      <c r="M473" s="118" t="inlineStr">
        <is>
          <t>2000 AP</t>
        </is>
      </c>
    </row>
    <row r="474">
      <c r="A474" s="115" t="inlineStr">
        <is>
          <t>ERP-00471</t>
        </is>
      </c>
      <c r="B474" s="116" t="n">
        <v>46053</v>
      </c>
      <c r="C474" s="115" t="inlineStr">
        <is>
          <t>2026-01</t>
        </is>
      </c>
      <c r="D474" s="115" t="inlineStr">
        <is>
          <t>GL</t>
        </is>
      </c>
      <c r="E474" s="115" t="inlineStr">
        <is>
          <t>Coastline Foods</t>
        </is>
      </c>
      <c r="F474" s="115" t="inlineStr">
        <is>
          <t>Manual GL entry</t>
        </is>
      </c>
      <c r="G474" s="115" t="inlineStr">
        <is>
          <t>REF-100471</t>
        </is>
      </c>
      <c r="H474" s="117" t="n">
        <v>0</v>
      </c>
      <c r="I474" s="117" t="n">
        <v>2633.83</v>
      </c>
      <c r="J474" s="117" t="n">
        <v>-2633.83</v>
      </c>
      <c r="K474" s="115" t="inlineStr">
        <is>
          <t>Cheque</t>
        </is>
      </c>
      <c r="L474" s="115" t="inlineStr">
        <is>
          <t>400-Finance</t>
        </is>
      </c>
      <c r="M474" s="115" t="inlineStr">
        <is>
          <t>1010 Cash</t>
        </is>
      </c>
    </row>
    <row r="475">
      <c r="A475" s="118" t="inlineStr">
        <is>
          <t>ERP-00472</t>
        </is>
      </c>
      <c r="B475" s="119" t="n">
        <v>46042</v>
      </c>
      <c r="C475" s="118" t="inlineStr">
        <is>
          <t>2026-01</t>
        </is>
      </c>
      <c r="D475" s="118" t="inlineStr">
        <is>
          <t>AP</t>
        </is>
      </c>
      <c r="E475" s="118" t="inlineStr">
        <is>
          <t>Pacific Office Supplies</t>
        </is>
      </c>
      <c r="F475" s="118" t="inlineStr">
        <is>
          <t>Vendor payment - Pacific Office Supplies</t>
        </is>
      </c>
      <c r="G475" s="118" t="inlineStr">
        <is>
          <t>REF-100472</t>
        </is>
      </c>
      <c r="H475" s="120" t="n">
        <v>0</v>
      </c>
      <c r="I475" s="120" t="n">
        <v>5772.92</v>
      </c>
      <c r="J475" s="120" t="n">
        <v>-5772.92</v>
      </c>
      <c r="K475" s="118" t="inlineStr">
        <is>
          <t>Wire</t>
        </is>
      </c>
      <c r="L475" s="118" t="inlineStr">
        <is>
          <t>200-Sales</t>
        </is>
      </c>
      <c r="M475" s="118" t="inlineStr">
        <is>
          <t>2000 AP</t>
        </is>
      </c>
    </row>
    <row r="476">
      <c r="A476" s="115" t="inlineStr">
        <is>
          <t>ERP-00473</t>
        </is>
      </c>
      <c r="B476" s="116" t="n">
        <v>46026</v>
      </c>
      <c r="C476" s="115" t="inlineStr">
        <is>
          <t>2026-01</t>
        </is>
      </c>
      <c r="D476" s="115" t="inlineStr">
        <is>
          <t>GL</t>
        </is>
      </c>
      <c r="E476" s="115" t="inlineStr">
        <is>
          <t>Pacific Office Supplies</t>
        </is>
      </c>
      <c r="F476" s="115" t="inlineStr">
        <is>
          <t>Manual GL entry</t>
        </is>
      </c>
      <c r="G476" s="115" t="inlineStr">
        <is>
          <t>REF-100473</t>
        </is>
      </c>
      <c r="H476" s="117" t="n">
        <v>0</v>
      </c>
      <c r="I476" s="117" t="n">
        <v>4636.8</v>
      </c>
      <c r="J476" s="117" t="n">
        <v>-4636.8</v>
      </c>
      <c r="K476" s="115" t="inlineStr">
        <is>
          <t>Wire</t>
        </is>
      </c>
      <c r="L476" s="115" t="inlineStr">
        <is>
          <t>400-Finance</t>
        </is>
      </c>
      <c r="M476" s="115" t="inlineStr">
        <is>
          <t>1200 AR</t>
        </is>
      </c>
    </row>
    <row r="477">
      <c r="A477" s="118" t="inlineStr">
        <is>
          <t>ERP-00474</t>
        </is>
      </c>
      <c r="B477" s="119" t="n">
        <v>46023</v>
      </c>
      <c r="C477" s="118" t="inlineStr">
        <is>
          <t>2026-01</t>
        </is>
      </c>
      <c r="D477" s="118" t="inlineStr">
        <is>
          <t>AR</t>
        </is>
      </c>
      <c r="E477" s="118" t="inlineStr">
        <is>
          <t>Maple Retail Group</t>
        </is>
      </c>
      <c r="F477" s="118" t="inlineStr">
        <is>
          <t>Customer payment - Maple Retail Group</t>
        </is>
      </c>
      <c r="G477" s="118" t="inlineStr">
        <is>
          <t>REF-100474</t>
        </is>
      </c>
      <c r="H477" s="120" t="n">
        <v>4769.44</v>
      </c>
      <c r="I477" s="120" t="n">
        <v>0</v>
      </c>
      <c r="J477" s="120" t="n">
        <v>4769.44</v>
      </c>
      <c r="K477" s="118" t="inlineStr">
        <is>
          <t>Wire</t>
        </is>
      </c>
      <c r="L477" s="118" t="inlineStr">
        <is>
          <t>500-IT</t>
        </is>
      </c>
      <c r="M477" s="118" t="inlineStr">
        <is>
          <t>1200 AR</t>
        </is>
      </c>
    </row>
    <row r="478">
      <c r="A478" s="115" t="inlineStr">
        <is>
          <t>ERP-00475</t>
        </is>
      </c>
      <c r="B478" s="116" t="n">
        <v>46028</v>
      </c>
      <c r="C478" s="115" t="inlineStr">
        <is>
          <t>2026-01</t>
        </is>
      </c>
      <c r="D478" s="115" t="inlineStr">
        <is>
          <t>GL</t>
        </is>
      </c>
      <c r="E478" s="115" t="inlineStr">
        <is>
          <t>Metro Cleaning Ltd.</t>
        </is>
      </c>
      <c r="F478" s="115" t="inlineStr">
        <is>
          <t>Manual GL entry</t>
        </is>
      </c>
      <c r="G478" s="115" t="inlineStr">
        <is>
          <t>REF-100475</t>
        </is>
      </c>
      <c r="H478" s="117" t="n">
        <v>0</v>
      </c>
      <c r="I478" s="117" t="n">
        <v>562.59</v>
      </c>
      <c r="J478" s="117" t="n">
        <v>-562.59</v>
      </c>
      <c r="K478" s="115" t="inlineStr">
        <is>
          <t>PAD</t>
        </is>
      </c>
      <c r="L478" s="115" t="inlineStr">
        <is>
          <t>400-Finance</t>
        </is>
      </c>
      <c r="M478" s="115" t="inlineStr">
        <is>
          <t>5200 Software</t>
        </is>
      </c>
    </row>
    <row r="479">
      <c r="A479" s="118" t="inlineStr">
        <is>
          <t>ERP-00476</t>
        </is>
      </c>
      <c r="B479" s="119" t="n">
        <v>46053</v>
      </c>
      <c r="C479" s="118" t="inlineStr">
        <is>
          <t>2026-01</t>
        </is>
      </c>
      <c r="D479" s="118" t="inlineStr">
        <is>
          <t>AP</t>
        </is>
      </c>
      <c r="E479" s="118" t="inlineStr">
        <is>
          <t>Metro Cleaning Ltd.</t>
        </is>
      </c>
      <c r="F479" s="118" t="inlineStr">
        <is>
          <t>Vendor payment - Metro Cleaning Ltd.</t>
        </is>
      </c>
      <c r="G479" s="118" t="inlineStr">
        <is>
          <t>REF-100476</t>
        </is>
      </c>
      <c r="H479" s="120" t="n">
        <v>0</v>
      </c>
      <c r="I479" s="120" t="n">
        <v>2851.42</v>
      </c>
      <c r="J479" s="120" t="n">
        <v>-2851.42</v>
      </c>
      <c r="K479" s="118" t="inlineStr">
        <is>
          <t>Cheque</t>
        </is>
      </c>
      <c r="L479" s="118" t="inlineStr">
        <is>
          <t>200-Sales</t>
        </is>
      </c>
      <c r="M479" s="118" t="inlineStr">
        <is>
          <t>2000 AP</t>
        </is>
      </c>
    </row>
    <row r="480">
      <c r="A480" s="115" t="inlineStr">
        <is>
          <t>ERP-00477</t>
        </is>
      </c>
      <c r="B480" s="116" t="n">
        <v>46040</v>
      </c>
      <c r="C480" s="115" t="inlineStr">
        <is>
          <t>2026-01</t>
        </is>
      </c>
      <c r="D480" s="115" t="inlineStr">
        <is>
          <t>Payroll</t>
        </is>
      </c>
      <c r="E480" s="115" t="inlineStr">
        <is>
          <t>Payroll Batch</t>
        </is>
      </c>
      <c r="F480" s="115" t="inlineStr">
        <is>
          <t>Payroll payment</t>
        </is>
      </c>
      <c r="G480" s="115" t="inlineStr">
        <is>
          <t>REF-100477</t>
        </is>
      </c>
      <c r="H480" s="117" t="n">
        <v>0</v>
      </c>
      <c r="I480" s="117" t="n">
        <v>12822.18</v>
      </c>
      <c r="J480" s="117" t="n">
        <v>-12822.18</v>
      </c>
      <c r="K480" s="115" t="inlineStr">
        <is>
          <t>PAD</t>
        </is>
      </c>
      <c r="L480" s="115" t="inlineStr">
        <is>
          <t>200-Sales</t>
        </is>
      </c>
      <c r="M480" s="115" t="inlineStr">
        <is>
          <t>5300 Payroll</t>
        </is>
      </c>
    </row>
    <row r="481">
      <c r="A481" s="118" t="inlineStr">
        <is>
          <t>ERP-00478</t>
        </is>
      </c>
      <c r="B481" s="119" t="n">
        <v>46052</v>
      </c>
      <c r="C481" s="118" t="inlineStr">
        <is>
          <t>2026-01</t>
        </is>
      </c>
      <c r="D481" s="118" t="inlineStr">
        <is>
          <t>GL</t>
        </is>
      </c>
      <c r="E481" s="118" t="inlineStr">
        <is>
          <t>West Van Fitness</t>
        </is>
      </c>
      <c r="F481" s="118" t="inlineStr">
        <is>
          <t>Manual GL entry</t>
        </is>
      </c>
      <c r="G481" s="118" t="inlineStr">
        <is>
          <t>REF-100478</t>
        </is>
      </c>
      <c r="H481" s="120" t="n">
        <v>0</v>
      </c>
      <c r="I481" s="120" t="n">
        <v>3267.93</v>
      </c>
      <c r="J481" s="120" t="n">
        <v>-3267.93</v>
      </c>
      <c r="K481" s="118" t="inlineStr">
        <is>
          <t>EFT</t>
        </is>
      </c>
      <c r="L481" s="118" t="inlineStr">
        <is>
          <t>300-Ops</t>
        </is>
      </c>
      <c r="M481" s="118" t="inlineStr">
        <is>
          <t>5200 Software</t>
        </is>
      </c>
    </row>
    <row r="482">
      <c r="A482" s="115" t="inlineStr">
        <is>
          <t>ERP-00479</t>
        </is>
      </c>
      <c r="B482" s="116" t="n">
        <v>46051</v>
      </c>
      <c r="C482" s="115" t="inlineStr">
        <is>
          <t>2026-01</t>
        </is>
      </c>
      <c r="D482" s="115" t="inlineStr">
        <is>
          <t>Payroll</t>
        </is>
      </c>
      <c r="E482" s="115" t="inlineStr">
        <is>
          <t>Payroll Batch</t>
        </is>
      </c>
      <c r="F482" s="115" t="inlineStr">
        <is>
          <t>Payroll payment</t>
        </is>
      </c>
      <c r="G482" s="115" t="inlineStr">
        <is>
          <t>REF-100479</t>
        </is>
      </c>
      <c r="H482" s="117" t="n">
        <v>0</v>
      </c>
      <c r="I482" s="117" t="n">
        <v>6645.96</v>
      </c>
      <c r="J482" s="117" t="n">
        <v>-6645.96</v>
      </c>
      <c r="K482" s="115" t="inlineStr">
        <is>
          <t>Wire</t>
        </is>
      </c>
      <c r="L482" s="115" t="inlineStr">
        <is>
          <t>100-Admin</t>
        </is>
      </c>
      <c r="M482" s="115" t="inlineStr">
        <is>
          <t>5300 Payroll</t>
        </is>
      </c>
    </row>
    <row r="483">
      <c r="A483" s="118" t="inlineStr">
        <is>
          <t>ERP-00480</t>
        </is>
      </c>
      <c r="B483" s="119" t="n">
        <v>46024</v>
      </c>
      <c r="C483" s="118" t="inlineStr">
        <is>
          <t>2026-01</t>
        </is>
      </c>
      <c r="D483" s="118" t="inlineStr">
        <is>
          <t>GL</t>
        </is>
      </c>
      <c r="E483" s="118" t="inlineStr">
        <is>
          <t>BC Hydro</t>
        </is>
      </c>
      <c r="F483" s="118" t="inlineStr">
        <is>
          <t>Manual GL entry</t>
        </is>
      </c>
      <c r="G483" s="118" t="inlineStr">
        <is>
          <t>REF-100480</t>
        </is>
      </c>
      <c r="H483" s="120" t="n">
        <v>0</v>
      </c>
      <c r="I483" s="120" t="n">
        <v>1371.54</v>
      </c>
      <c r="J483" s="120" t="n">
        <v>-1371.54</v>
      </c>
      <c r="K483" s="118" t="inlineStr">
        <is>
          <t>Credit Card</t>
        </is>
      </c>
      <c r="L483" s="118" t="inlineStr">
        <is>
          <t>200-Sales</t>
        </is>
      </c>
      <c r="M483" s="118" t="inlineStr">
        <is>
          <t>5100 Utilities</t>
        </is>
      </c>
    </row>
    <row r="484">
      <c r="A484" s="115" t="inlineStr">
        <is>
          <t>ERP-00481</t>
        </is>
      </c>
      <c r="B484" s="116" t="n">
        <v>46045</v>
      </c>
      <c r="C484" s="115" t="inlineStr">
        <is>
          <t>2026-01</t>
        </is>
      </c>
      <c r="D484" s="115" t="inlineStr">
        <is>
          <t>GL</t>
        </is>
      </c>
      <c r="E484" s="115" t="inlineStr">
        <is>
          <t>BC Hydro</t>
        </is>
      </c>
      <c r="F484" s="115" t="inlineStr">
        <is>
          <t>Manual GL entry</t>
        </is>
      </c>
      <c r="G484" s="115" t="inlineStr">
        <is>
          <t>REF-100481</t>
        </is>
      </c>
      <c r="H484" s="117" t="n">
        <v>3780.29</v>
      </c>
      <c r="I484" s="117" t="n">
        <v>0</v>
      </c>
      <c r="J484" s="117" t="n">
        <v>3780.29</v>
      </c>
      <c r="K484" s="115" t="inlineStr">
        <is>
          <t>EFT</t>
        </is>
      </c>
      <c r="L484" s="115" t="inlineStr">
        <is>
          <t>500-IT</t>
        </is>
      </c>
      <c r="M484" s="115" t="inlineStr">
        <is>
          <t>6100 Bank Fees</t>
        </is>
      </c>
    </row>
    <row r="485">
      <c r="A485" s="118" t="inlineStr">
        <is>
          <t>ERP-00482</t>
        </is>
      </c>
      <c r="B485" s="119" t="n">
        <v>46046</v>
      </c>
      <c r="C485" s="118" t="inlineStr">
        <is>
          <t>2026-01</t>
        </is>
      </c>
      <c r="D485" s="118" t="inlineStr">
        <is>
          <t>AR</t>
        </is>
      </c>
      <c r="E485" s="118" t="inlineStr">
        <is>
          <t>Coastline Foods</t>
        </is>
      </c>
      <c r="F485" s="118" t="inlineStr">
        <is>
          <t>Customer payment - Coastline Foods</t>
        </is>
      </c>
      <c r="G485" s="118" t="inlineStr">
        <is>
          <t>REF-100482</t>
        </is>
      </c>
      <c r="H485" s="120" t="n">
        <v>6349.15</v>
      </c>
      <c r="I485" s="120" t="n">
        <v>0</v>
      </c>
      <c r="J485" s="120" t="n">
        <v>6349.15</v>
      </c>
      <c r="K485" s="118" t="inlineStr">
        <is>
          <t>PAD</t>
        </is>
      </c>
      <c r="L485" s="118" t="inlineStr">
        <is>
          <t>400-Finance</t>
        </is>
      </c>
      <c r="M485" s="118" t="inlineStr">
        <is>
          <t>1200 AR</t>
        </is>
      </c>
    </row>
    <row r="486">
      <c r="A486" s="115" t="inlineStr">
        <is>
          <t>ERP-00483</t>
        </is>
      </c>
      <c r="B486" s="116" t="n">
        <v>46024</v>
      </c>
      <c r="C486" s="115" t="inlineStr">
        <is>
          <t>2026-01</t>
        </is>
      </c>
      <c r="D486" s="115" t="inlineStr">
        <is>
          <t>Bank Fees</t>
        </is>
      </c>
      <c r="E486" s="115" t="inlineStr">
        <is>
          <t>Bank</t>
        </is>
      </c>
      <c r="F486" s="115" t="inlineStr">
        <is>
          <t>Monthly bank service charge</t>
        </is>
      </c>
      <c r="G486" s="115" t="inlineStr">
        <is>
          <t>REF-100483</t>
        </is>
      </c>
      <c r="H486" s="117" t="n">
        <v>0</v>
      </c>
      <c r="I486" s="117" t="n">
        <v>49.57</v>
      </c>
      <c r="J486" s="117" t="n">
        <v>-49.57</v>
      </c>
      <c r="K486" s="115" t="inlineStr">
        <is>
          <t>Credit Card</t>
        </is>
      </c>
      <c r="L486" s="115" t="inlineStr">
        <is>
          <t>500-IT</t>
        </is>
      </c>
      <c r="M486" s="115" t="inlineStr">
        <is>
          <t>6100 Bank Fees</t>
        </is>
      </c>
    </row>
    <row r="487">
      <c r="A487" s="118" t="inlineStr">
        <is>
          <t>ERP-00484</t>
        </is>
      </c>
      <c r="B487" s="119" t="n">
        <v>46050</v>
      </c>
      <c r="C487" s="118" t="inlineStr">
        <is>
          <t>2026-01</t>
        </is>
      </c>
      <c r="D487" s="118" t="inlineStr">
        <is>
          <t>GL</t>
        </is>
      </c>
      <c r="E487" s="118" t="inlineStr">
        <is>
          <t>Maple Retail Group</t>
        </is>
      </c>
      <c r="F487" s="118" t="inlineStr">
        <is>
          <t>Manual GL entry</t>
        </is>
      </c>
      <c r="G487" s="118" t="inlineStr">
        <is>
          <t>REF-100484</t>
        </is>
      </c>
      <c r="H487" s="120" t="n">
        <v>0</v>
      </c>
      <c r="I487" s="120" t="n">
        <v>4158.42</v>
      </c>
      <c r="J487" s="120" t="n">
        <v>-4158.42</v>
      </c>
      <c r="K487" s="118" t="inlineStr">
        <is>
          <t>PAD</t>
        </is>
      </c>
      <c r="L487" s="118" t="inlineStr">
        <is>
          <t>500-IT</t>
        </is>
      </c>
      <c r="M487" s="118" t="inlineStr">
        <is>
          <t>5200 Software</t>
        </is>
      </c>
    </row>
    <row r="488">
      <c r="A488" s="115" t="inlineStr">
        <is>
          <t>ERP-00485</t>
        </is>
      </c>
      <c r="B488" s="116" t="n">
        <v>46053</v>
      </c>
      <c r="C488" s="115" t="inlineStr">
        <is>
          <t>2026-01</t>
        </is>
      </c>
      <c r="D488" s="115" t="inlineStr">
        <is>
          <t>AP</t>
        </is>
      </c>
      <c r="E488" s="115" t="inlineStr">
        <is>
          <t>BC Hydro</t>
        </is>
      </c>
      <c r="F488" s="115" t="inlineStr">
        <is>
          <t>Vendor payment - BC Hydro</t>
        </is>
      </c>
      <c r="G488" s="115" t="inlineStr">
        <is>
          <t>REF-100485</t>
        </is>
      </c>
      <c r="H488" s="117" t="n">
        <v>0</v>
      </c>
      <c r="I488" s="117" t="n">
        <v>1165.85</v>
      </c>
      <c r="J488" s="117" t="n">
        <v>-1165.85</v>
      </c>
      <c r="K488" s="115" t="inlineStr">
        <is>
          <t>EFT</t>
        </is>
      </c>
      <c r="L488" s="115" t="inlineStr">
        <is>
          <t>200-Sales</t>
        </is>
      </c>
      <c r="M488" s="115" t="inlineStr">
        <is>
          <t>2000 AP</t>
        </is>
      </c>
    </row>
    <row r="489">
      <c r="A489" s="118" t="inlineStr">
        <is>
          <t>ERP-00486</t>
        </is>
      </c>
      <c r="B489" s="119" t="n">
        <v>46046</v>
      </c>
      <c r="C489" s="118" t="inlineStr">
        <is>
          <t>2026-01</t>
        </is>
      </c>
      <c r="D489" s="118" t="inlineStr">
        <is>
          <t>AR</t>
        </is>
      </c>
      <c r="E489" s="118" t="inlineStr">
        <is>
          <t>Granville Medical</t>
        </is>
      </c>
      <c r="F489" s="118" t="inlineStr">
        <is>
          <t>Customer payment - Granville Medical</t>
        </is>
      </c>
      <c r="G489" s="118" t="inlineStr">
        <is>
          <t>REF-100486</t>
        </is>
      </c>
      <c r="H489" s="120" t="n">
        <v>489.3</v>
      </c>
      <c r="I489" s="120" t="n">
        <v>0</v>
      </c>
      <c r="J489" s="120" t="n">
        <v>489.3</v>
      </c>
      <c r="K489" s="118" t="inlineStr">
        <is>
          <t>Credit Card</t>
        </is>
      </c>
      <c r="L489" s="118" t="inlineStr">
        <is>
          <t>500-IT</t>
        </is>
      </c>
      <c r="M489" s="118" t="inlineStr">
        <is>
          <t>1200 AR</t>
        </is>
      </c>
    </row>
    <row r="490">
      <c r="A490" s="115" t="inlineStr">
        <is>
          <t>ERP-00487</t>
        </is>
      </c>
      <c r="B490" s="116" t="n">
        <v>46031</v>
      </c>
      <c r="C490" s="115" t="inlineStr">
        <is>
          <t>2026-01</t>
        </is>
      </c>
      <c r="D490" s="115" t="inlineStr">
        <is>
          <t>AP</t>
        </is>
      </c>
      <c r="E490" s="115" t="inlineStr">
        <is>
          <t>BC Hydro</t>
        </is>
      </c>
      <c r="F490" s="115" t="inlineStr">
        <is>
          <t>Vendor payment - BC Hydro</t>
        </is>
      </c>
      <c r="G490" s="115" t="inlineStr">
        <is>
          <t>REF-100487</t>
        </is>
      </c>
      <c r="H490" s="117" t="n">
        <v>0</v>
      </c>
      <c r="I490" s="117" t="n">
        <v>4423.3</v>
      </c>
      <c r="J490" s="117" t="n">
        <v>-4423.3</v>
      </c>
      <c r="K490" s="115" t="inlineStr">
        <is>
          <t>Cheque</t>
        </is>
      </c>
      <c r="L490" s="115" t="inlineStr">
        <is>
          <t>100-Admin</t>
        </is>
      </c>
      <c r="M490" s="115" t="inlineStr">
        <is>
          <t>2000 AP</t>
        </is>
      </c>
    </row>
    <row r="491">
      <c r="A491" s="118" t="inlineStr">
        <is>
          <t>ERP-00488</t>
        </is>
      </c>
      <c r="B491" s="119" t="n">
        <v>46047</v>
      </c>
      <c r="C491" s="118" t="inlineStr">
        <is>
          <t>2026-01</t>
        </is>
      </c>
      <c r="D491" s="118" t="inlineStr">
        <is>
          <t>Bank Fees</t>
        </is>
      </c>
      <c r="E491" s="118" t="inlineStr">
        <is>
          <t>Bank</t>
        </is>
      </c>
      <c r="F491" s="118" t="inlineStr">
        <is>
          <t>Monthly bank service charge</t>
        </is>
      </c>
      <c r="G491" s="118" t="inlineStr">
        <is>
          <t>REF-100488</t>
        </is>
      </c>
      <c r="H491" s="120" t="n">
        <v>0</v>
      </c>
      <c r="I491" s="120" t="n">
        <v>75.79000000000001</v>
      </c>
      <c r="J491" s="120" t="n">
        <v>-75.79000000000001</v>
      </c>
      <c r="K491" s="118" t="inlineStr">
        <is>
          <t>Credit Card</t>
        </is>
      </c>
      <c r="L491" s="118" t="inlineStr">
        <is>
          <t>400-Finance</t>
        </is>
      </c>
      <c r="M491" s="118" t="inlineStr">
        <is>
          <t>6100 Bank Fees</t>
        </is>
      </c>
    </row>
    <row r="492">
      <c r="A492" s="115" t="inlineStr">
        <is>
          <t>ERP-00489</t>
        </is>
      </c>
      <c r="B492" s="116" t="n">
        <v>46045</v>
      </c>
      <c r="C492" s="115" t="inlineStr">
        <is>
          <t>2026-01</t>
        </is>
      </c>
      <c r="D492" s="115" t="inlineStr">
        <is>
          <t>AP</t>
        </is>
      </c>
      <c r="E492" s="115" t="inlineStr">
        <is>
          <t>North Shore Telecom</t>
        </is>
      </c>
      <c r="F492" s="115" t="inlineStr">
        <is>
          <t>Vendor payment - North Shore Telecom</t>
        </is>
      </c>
      <c r="G492" s="115" t="inlineStr">
        <is>
          <t>REF-100489</t>
        </is>
      </c>
      <c r="H492" s="117" t="n">
        <v>0</v>
      </c>
      <c r="I492" s="117" t="n">
        <v>5936.76</v>
      </c>
      <c r="J492" s="117" t="n">
        <v>-5936.76</v>
      </c>
      <c r="K492" s="115" t="inlineStr">
        <is>
          <t>PAD</t>
        </is>
      </c>
      <c r="L492" s="115" t="inlineStr">
        <is>
          <t>100-Admin</t>
        </is>
      </c>
      <c r="M492" s="115" t="inlineStr">
        <is>
          <t>2000 AP</t>
        </is>
      </c>
    </row>
    <row r="493">
      <c r="A493" s="118" t="inlineStr">
        <is>
          <t>ERP-00490</t>
        </is>
      </c>
      <c r="B493" s="119" t="n">
        <v>46040</v>
      </c>
      <c r="C493" s="118" t="inlineStr">
        <is>
          <t>2026-01</t>
        </is>
      </c>
      <c r="D493" s="118" t="inlineStr">
        <is>
          <t>AR</t>
        </is>
      </c>
      <c r="E493" s="118" t="inlineStr">
        <is>
          <t>Raincity Tech</t>
        </is>
      </c>
      <c r="F493" s="118" t="inlineStr">
        <is>
          <t>Customer payment - Raincity Tech</t>
        </is>
      </c>
      <c r="G493" s="118" t="inlineStr">
        <is>
          <t>REF-100490</t>
        </is>
      </c>
      <c r="H493" s="120" t="n">
        <v>1997</v>
      </c>
      <c r="I493" s="120" t="n">
        <v>0</v>
      </c>
      <c r="J493" s="120" t="n">
        <v>1997</v>
      </c>
      <c r="K493" s="118" t="inlineStr">
        <is>
          <t>Cheque</t>
        </is>
      </c>
      <c r="L493" s="118" t="inlineStr">
        <is>
          <t>300-Ops</t>
        </is>
      </c>
      <c r="M493" s="118" t="inlineStr">
        <is>
          <t>1200 AR</t>
        </is>
      </c>
    </row>
    <row r="494">
      <c r="A494" s="115" t="inlineStr">
        <is>
          <t>ERP-00491</t>
        </is>
      </c>
      <c r="B494" s="116" t="n">
        <v>46047</v>
      </c>
      <c r="C494" s="115" t="inlineStr">
        <is>
          <t>2026-01</t>
        </is>
      </c>
      <c r="D494" s="115" t="inlineStr">
        <is>
          <t>AR</t>
        </is>
      </c>
      <c r="E494" s="115" t="inlineStr">
        <is>
          <t>Granville Medical</t>
        </is>
      </c>
      <c r="F494" s="115" t="inlineStr">
        <is>
          <t>Customer payment - Granville Medical</t>
        </is>
      </c>
      <c r="G494" s="115" t="inlineStr">
        <is>
          <t>REF-100491</t>
        </is>
      </c>
      <c r="H494" s="117" t="n">
        <v>8471.870000000001</v>
      </c>
      <c r="I494" s="117" t="n">
        <v>0</v>
      </c>
      <c r="J494" s="117" t="n">
        <v>8471.870000000001</v>
      </c>
      <c r="K494" s="115" t="inlineStr">
        <is>
          <t>EFT</t>
        </is>
      </c>
      <c r="L494" s="115" t="inlineStr">
        <is>
          <t>100-Admin</t>
        </is>
      </c>
      <c r="M494" s="115" t="inlineStr">
        <is>
          <t>1200 AR</t>
        </is>
      </c>
    </row>
    <row r="495">
      <c r="A495" s="118" t="inlineStr">
        <is>
          <t>ERP-00492</t>
        </is>
      </c>
      <c r="B495" s="119" t="n">
        <v>46043</v>
      </c>
      <c r="C495" s="118" t="inlineStr">
        <is>
          <t>2026-01</t>
        </is>
      </c>
      <c r="D495" s="118" t="inlineStr">
        <is>
          <t>AR</t>
        </is>
      </c>
      <c r="E495" s="118" t="inlineStr">
        <is>
          <t>West Van Fitness</t>
        </is>
      </c>
      <c r="F495" s="118" t="inlineStr">
        <is>
          <t>Customer payment - West Van Fitness</t>
        </is>
      </c>
      <c r="G495" s="118" t="inlineStr">
        <is>
          <t>REF-100492</t>
        </is>
      </c>
      <c r="H495" s="120" t="n">
        <v>2185.96</v>
      </c>
      <c r="I495" s="120" t="n">
        <v>0</v>
      </c>
      <c r="J495" s="120" t="n">
        <v>2185.96</v>
      </c>
      <c r="K495" s="118" t="inlineStr">
        <is>
          <t>EFT</t>
        </is>
      </c>
      <c r="L495" s="118" t="inlineStr">
        <is>
          <t>300-Ops</t>
        </is>
      </c>
      <c r="M495" s="118" t="inlineStr">
        <is>
          <t>1200 AR</t>
        </is>
      </c>
    </row>
    <row r="496">
      <c r="A496" s="115" t="inlineStr">
        <is>
          <t>ERP-00493</t>
        </is>
      </c>
      <c r="B496" s="116" t="n">
        <v>46040</v>
      </c>
      <c r="C496" s="115" t="inlineStr">
        <is>
          <t>2026-01</t>
        </is>
      </c>
      <c r="D496" s="115" t="inlineStr">
        <is>
          <t>GL</t>
        </is>
      </c>
      <c r="E496" s="115" t="inlineStr">
        <is>
          <t>Pacific Office Supplies</t>
        </is>
      </c>
      <c r="F496" s="115" t="inlineStr">
        <is>
          <t>Manual GL entry</t>
        </is>
      </c>
      <c r="G496" s="115" t="inlineStr">
        <is>
          <t>REF-100493</t>
        </is>
      </c>
      <c r="H496" s="117" t="n">
        <v>0</v>
      </c>
      <c r="I496" s="117" t="n">
        <v>4561.11</v>
      </c>
      <c r="J496" s="117" t="n">
        <v>-4561.11</v>
      </c>
      <c r="K496" s="115" t="inlineStr">
        <is>
          <t>PAD</t>
        </is>
      </c>
      <c r="L496" s="115" t="inlineStr">
        <is>
          <t>500-IT</t>
        </is>
      </c>
      <c r="M496" s="115" t="inlineStr">
        <is>
          <t>5200 Software</t>
        </is>
      </c>
    </row>
    <row r="497">
      <c r="A497" s="118" t="inlineStr">
        <is>
          <t>ERP-00494</t>
        </is>
      </c>
      <c r="B497" s="119" t="n">
        <v>46043</v>
      </c>
      <c r="C497" s="118" t="inlineStr">
        <is>
          <t>2026-01</t>
        </is>
      </c>
      <c r="D497" s="118" t="inlineStr">
        <is>
          <t>AP</t>
        </is>
      </c>
      <c r="E497" s="118" t="inlineStr">
        <is>
          <t>Amazon Business</t>
        </is>
      </c>
      <c r="F497" s="118" t="inlineStr">
        <is>
          <t>Vendor payment - Amazon Business</t>
        </is>
      </c>
      <c r="G497" s="118" t="inlineStr">
        <is>
          <t>REF-100494</t>
        </is>
      </c>
      <c r="H497" s="120" t="n">
        <v>0</v>
      </c>
      <c r="I497" s="120" t="n">
        <v>583.95</v>
      </c>
      <c r="J497" s="120" t="n">
        <v>-583.95</v>
      </c>
      <c r="K497" s="118" t="inlineStr">
        <is>
          <t>EFT</t>
        </is>
      </c>
      <c r="L497" s="118" t="inlineStr">
        <is>
          <t>200-Sales</t>
        </is>
      </c>
      <c r="M497" s="118" t="inlineStr">
        <is>
          <t>2000 AP</t>
        </is>
      </c>
    </row>
    <row r="498">
      <c r="A498" s="115" t="inlineStr">
        <is>
          <t>ERP-00495</t>
        </is>
      </c>
      <c r="B498" s="116" t="n">
        <v>46047</v>
      </c>
      <c r="C498" s="115" t="inlineStr">
        <is>
          <t>2026-01</t>
        </is>
      </c>
      <c r="D498" s="115" t="inlineStr">
        <is>
          <t>AR</t>
        </is>
      </c>
      <c r="E498" s="115" t="inlineStr">
        <is>
          <t>Maple Retail Group</t>
        </is>
      </c>
      <c r="F498" s="115" t="inlineStr">
        <is>
          <t>Customer payment - Maple Retail Group</t>
        </is>
      </c>
      <c r="G498" s="115" t="inlineStr">
        <is>
          <t>REF-100495</t>
        </is>
      </c>
      <c r="H498" s="117" t="n">
        <v>5384.89</v>
      </c>
      <c r="I498" s="117" t="n">
        <v>0</v>
      </c>
      <c r="J498" s="117" t="n">
        <v>5384.89</v>
      </c>
      <c r="K498" s="115" t="inlineStr">
        <is>
          <t>Cheque</t>
        </is>
      </c>
      <c r="L498" s="115" t="inlineStr">
        <is>
          <t>200-Sales</t>
        </is>
      </c>
      <c r="M498" s="115" t="inlineStr">
        <is>
          <t>1200 AR</t>
        </is>
      </c>
    </row>
    <row r="499">
      <c r="A499" s="118" t="inlineStr">
        <is>
          <t>ERP-00496</t>
        </is>
      </c>
      <c r="B499" s="119" t="n">
        <v>46036</v>
      </c>
      <c r="C499" s="118" t="inlineStr">
        <is>
          <t>2026-01</t>
        </is>
      </c>
      <c r="D499" s="118" t="inlineStr">
        <is>
          <t>Payroll</t>
        </is>
      </c>
      <c r="E499" s="118" t="inlineStr">
        <is>
          <t>Payroll Batch</t>
        </is>
      </c>
      <c r="F499" s="118" t="inlineStr">
        <is>
          <t>Payroll payment</t>
        </is>
      </c>
      <c r="G499" s="118" t="inlineStr">
        <is>
          <t>REF-100496</t>
        </is>
      </c>
      <c r="H499" s="120" t="n">
        <v>0</v>
      </c>
      <c r="I499" s="120" t="n">
        <v>5480.9</v>
      </c>
      <c r="J499" s="120" t="n">
        <v>-5480.9</v>
      </c>
      <c r="K499" s="118" t="inlineStr">
        <is>
          <t>Wire</t>
        </is>
      </c>
      <c r="L499" s="118" t="inlineStr">
        <is>
          <t>100-Admin</t>
        </is>
      </c>
      <c r="M499" s="118" t="inlineStr">
        <is>
          <t>5300 Payroll</t>
        </is>
      </c>
    </row>
    <row r="500">
      <c r="A500" s="115" t="inlineStr">
        <is>
          <t>ERP-00497</t>
        </is>
      </c>
      <c r="B500" s="116" t="n">
        <v>46024</v>
      </c>
      <c r="C500" s="115" t="inlineStr">
        <is>
          <t>2026-01</t>
        </is>
      </c>
      <c r="D500" s="115" t="inlineStr">
        <is>
          <t>AP</t>
        </is>
      </c>
      <c r="E500" s="115" t="inlineStr">
        <is>
          <t>Pacific Office Supplies</t>
        </is>
      </c>
      <c r="F500" s="115" t="inlineStr">
        <is>
          <t>Vendor payment - Pacific Office Supplies</t>
        </is>
      </c>
      <c r="G500" s="115" t="inlineStr">
        <is>
          <t>REF-100497</t>
        </is>
      </c>
      <c r="H500" s="117" t="n">
        <v>0</v>
      </c>
      <c r="I500" s="117" t="n">
        <v>1169.31</v>
      </c>
      <c r="J500" s="117" t="n">
        <v>-1169.31</v>
      </c>
      <c r="K500" s="115" t="inlineStr">
        <is>
          <t>Credit Card</t>
        </is>
      </c>
      <c r="L500" s="115" t="inlineStr">
        <is>
          <t>500-IT</t>
        </is>
      </c>
      <c r="M500" s="115" t="inlineStr">
        <is>
          <t>2000 AP</t>
        </is>
      </c>
    </row>
    <row r="501">
      <c r="A501" s="118" t="inlineStr">
        <is>
          <t>ERP-00498</t>
        </is>
      </c>
      <c r="B501" s="119" t="n">
        <v>46036</v>
      </c>
      <c r="C501" s="118" t="inlineStr">
        <is>
          <t>2026-01</t>
        </is>
      </c>
      <c r="D501" s="118" t="inlineStr">
        <is>
          <t>AR</t>
        </is>
      </c>
      <c r="E501" s="118" t="inlineStr">
        <is>
          <t>Harbour Design Co.</t>
        </is>
      </c>
      <c r="F501" s="118" t="inlineStr">
        <is>
          <t>Customer payment - Harbour Design Co.</t>
        </is>
      </c>
      <c r="G501" s="118" t="inlineStr">
        <is>
          <t>REF-100498</t>
        </is>
      </c>
      <c r="H501" s="120" t="n">
        <v>3527.14</v>
      </c>
      <c r="I501" s="120" t="n">
        <v>0</v>
      </c>
      <c r="J501" s="120" t="n">
        <v>3527.14</v>
      </c>
      <c r="K501" s="118" t="inlineStr">
        <is>
          <t>Credit Card</t>
        </is>
      </c>
      <c r="L501" s="118" t="inlineStr">
        <is>
          <t>100-Admin</t>
        </is>
      </c>
      <c r="M501" s="118" t="inlineStr">
        <is>
          <t>1200 AR</t>
        </is>
      </c>
    </row>
    <row r="502">
      <c r="A502" s="115" t="inlineStr">
        <is>
          <t>ERP-00499</t>
        </is>
      </c>
      <c r="B502" s="116" t="n">
        <v>46043</v>
      </c>
      <c r="C502" s="115" t="inlineStr">
        <is>
          <t>2026-01</t>
        </is>
      </c>
      <c r="D502" s="115" t="inlineStr">
        <is>
          <t>GL</t>
        </is>
      </c>
      <c r="E502" s="115" t="inlineStr">
        <is>
          <t>North Shore Telecom</t>
        </is>
      </c>
      <c r="F502" s="115" t="inlineStr">
        <is>
          <t>Manual GL entry</t>
        </is>
      </c>
      <c r="G502" s="115" t="inlineStr">
        <is>
          <t>REF-100499</t>
        </is>
      </c>
      <c r="H502" s="117" t="n">
        <v>0</v>
      </c>
      <c r="I502" s="117" t="n">
        <v>3792</v>
      </c>
      <c r="J502" s="117" t="n">
        <v>-3792</v>
      </c>
      <c r="K502" s="115" t="inlineStr">
        <is>
          <t>Credit Card</t>
        </is>
      </c>
      <c r="L502" s="115" t="inlineStr">
        <is>
          <t>500-IT</t>
        </is>
      </c>
      <c r="M502" s="115" t="inlineStr">
        <is>
          <t>1200 AR</t>
        </is>
      </c>
    </row>
    <row r="503">
      <c r="A503" s="118" t="inlineStr">
        <is>
          <t>ERP-00500</t>
        </is>
      </c>
      <c r="B503" s="119" t="n">
        <v>46032</v>
      </c>
      <c r="C503" s="118" t="inlineStr">
        <is>
          <t>2026-01</t>
        </is>
      </c>
      <c r="D503" s="118" t="inlineStr">
        <is>
          <t>GL</t>
        </is>
      </c>
      <c r="E503" s="118" t="inlineStr">
        <is>
          <t>Maple Retail Group</t>
        </is>
      </c>
      <c r="F503" s="118" t="inlineStr">
        <is>
          <t>Manual GL entry</t>
        </is>
      </c>
      <c r="G503" s="118" t="inlineStr">
        <is>
          <t>REF-100500</t>
        </is>
      </c>
      <c r="H503" s="120" t="n">
        <v>0</v>
      </c>
      <c r="I503" s="120" t="n">
        <v>1938</v>
      </c>
      <c r="J503" s="120" t="n">
        <v>-1938</v>
      </c>
      <c r="K503" s="118" t="inlineStr">
        <is>
          <t>Wire</t>
        </is>
      </c>
      <c r="L503" s="118" t="inlineStr">
        <is>
          <t>200-Sales</t>
        </is>
      </c>
      <c r="M503" s="118" t="inlineStr">
        <is>
          <t>1010 Cash</t>
        </is>
      </c>
    </row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6A085"/>
    <outlinePr summaryBelow="1" summaryRight="1"/>
    <pageSetUpPr/>
  </sheetPr>
  <dimension ref="A1:H4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8" customWidth="1" min="3" max="3"/>
    <col width="15" customWidth="1" min="4" max="4"/>
    <col width="9" customWidth="1" min="5" max="5"/>
    <col width="12" customWidth="1" min="6" max="6"/>
    <col width="11" customWidth="1" min="7" max="7"/>
    <col width="18" customWidth="1" min="8" max="8"/>
  </cols>
  <sheetData>
    <row r="1" ht="24" customHeight="1">
      <c r="A1" s="121" t="inlineStr">
        <is>
          <t>Bank Statement - Sample Data</t>
        </is>
      </c>
      <c r="B1" s="122" t="n"/>
      <c r="C1" s="122" t="n"/>
      <c r="D1" s="122" t="n"/>
      <c r="E1" s="122" t="n"/>
      <c r="F1" s="122" t="n"/>
      <c r="G1" s="122" t="n"/>
      <c r="H1" s="122" t="n"/>
    </row>
    <row r="2" ht="22" customHeight="1">
      <c r="A2" s="123" t="n"/>
      <c r="B2" s="123" t="n"/>
      <c r="C2" s="123" t="n"/>
      <c r="D2" s="123" t="n"/>
      <c r="E2" s="123" t="n"/>
      <c r="F2" s="123" t="n"/>
      <c r="G2" s="123" t="n"/>
      <c r="H2" s="123" t="n"/>
    </row>
    <row r="3" ht="22" customHeight="1">
      <c r="A3" s="124" t="inlineStr">
        <is>
          <t>Bank_ID</t>
        </is>
      </c>
      <c r="B3" s="124" t="inlineStr">
        <is>
          <t>Bank_Date</t>
        </is>
      </c>
      <c r="C3" s="124" t="inlineStr">
        <is>
          <t>Bank_Description</t>
        </is>
      </c>
      <c r="D3" s="124" t="inlineStr">
        <is>
          <t>Reference_No</t>
        </is>
      </c>
      <c r="E3" s="124" t="inlineStr">
        <is>
          <t>Deposit</t>
        </is>
      </c>
      <c r="F3" s="124" t="inlineStr">
        <is>
          <t>Withdrawal</t>
        </is>
      </c>
      <c r="G3" s="124" t="inlineStr">
        <is>
          <t>Bank_Net</t>
        </is>
      </c>
      <c r="H3" s="124" t="inlineStr">
        <is>
          <t>Bank_Status</t>
        </is>
      </c>
    </row>
    <row r="4">
      <c r="A4" s="115" t="inlineStr">
        <is>
          <t>BANK-1301</t>
        </is>
      </c>
      <c r="B4" s="125" t="n">
        <v>46021</v>
      </c>
      <c r="C4" s="115" t="inlineStr">
        <is>
          <t>Payment to Metro Cleaning Ltd.</t>
        </is>
      </c>
      <c r="D4" s="115" t="inlineStr">
        <is>
          <t>REF-100366</t>
        </is>
      </c>
      <c r="E4" s="126" t="n">
        <v>0</v>
      </c>
      <c r="F4" s="126" t="n">
        <v>3971.96</v>
      </c>
      <c r="G4" s="126" t="n">
        <v>-3971.96</v>
      </c>
      <c r="H4" s="115" t="inlineStr">
        <is>
          <t>Imported</t>
        </is>
      </c>
    </row>
    <row r="5">
      <c r="A5" s="127" t="inlineStr">
        <is>
          <t>BANK-1002</t>
        </is>
      </c>
      <c r="B5" s="128" t="n">
        <v>46022</v>
      </c>
      <c r="C5" s="127" t="inlineStr">
        <is>
          <t>Payment to North Shore Telecom</t>
        </is>
      </c>
      <c r="D5" s="127" t="inlineStr">
        <is>
          <t>REF-100002</t>
        </is>
      </c>
      <c r="E5" s="129" t="n">
        <v>0</v>
      </c>
      <c r="F5" s="129" t="n">
        <v>1503.88</v>
      </c>
      <c r="G5" s="129" t="n">
        <v>-1503.88</v>
      </c>
      <c r="H5" s="127" t="inlineStr">
        <is>
          <t>Imported</t>
        </is>
      </c>
    </row>
    <row r="6">
      <c r="A6" s="115" t="inlineStr">
        <is>
          <t>BANK-1098</t>
        </is>
      </c>
      <c r="B6" s="125" t="n">
        <v>46022</v>
      </c>
      <c r="C6" s="115" t="inlineStr">
        <is>
          <t>Payment to Pacific Office Supplies</t>
        </is>
      </c>
      <c r="D6" s="115" t="inlineStr">
        <is>
          <t>REF-100115</t>
        </is>
      </c>
      <c r="E6" s="126" t="n">
        <v>0</v>
      </c>
      <c r="F6" s="126" t="n">
        <v>1875.41</v>
      </c>
      <c r="G6" s="126" t="n">
        <v>-1875.41</v>
      </c>
      <c r="H6" s="115" t="inlineStr">
        <is>
          <t>Imported</t>
        </is>
      </c>
    </row>
    <row r="7">
      <c r="A7" s="127" t="inlineStr">
        <is>
          <t>BANK-1132</t>
        </is>
      </c>
      <c r="B7" s="128" t="n">
        <v>46022</v>
      </c>
      <c r="C7" s="127" t="inlineStr">
        <is>
          <t>Deposit from Granville Medical</t>
        </is>
      </c>
      <c r="D7" s="127" t="inlineStr">
        <is>
          <t>REF-100158</t>
        </is>
      </c>
      <c r="E7" s="129" t="n">
        <v>7841.71</v>
      </c>
      <c r="F7" s="129" t="n">
        <v>0</v>
      </c>
      <c r="G7" s="129" t="n">
        <v>7841.71</v>
      </c>
      <c r="H7" s="127" t="inlineStr">
        <is>
          <t>Imported</t>
        </is>
      </c>
    </row>
    <row r="8">
      <c r="A8" s="115" t="inlineStr">
        <is>
          <t>BANK-1140</t>
        </is>
      </c>
      <c r="B8" s="125" t="n">
        <v>46022</v>
      </c>
      <c r="C8" s="115" t="inlineStr">
        <is>
          <t>Deposit from Raincity Tech</t>
        </is>
      </c>
      <c r="D8" s="115" t="inlineStr">
        <is>
          <t>REF-100166</t>
        </is>
      </c>
      <c r="E8" s="126" t="n">
        <v>790.7</v>
      </c>
      <c r="F8" s="126" t="n">
        <v>0</v>
      </c>
      <c r="G8" s="126" t="n">
        <v>790.7</v>
      </c>
      <c r="H8" s="115" t="inlineStr">
        <is>
          <t>Imported</t>
        </is>
      </c>
    </row>
    <row r="9">
      <c r="A9" s="127" t="inlineStr">
        <is>
          <t>BANK-1231</t>
        </is>
      </c>
      <c r="B9" s="128" t="n">
        <v>46022</v>
      </c>
      <c r="C9" s="127" t="inlineStr">
        <is>
          <t>Payment to Amazon Business</t>
        </is>
      </c>
      <c r="D9" s="127" t="inlineStr">
        <is>
          <t>REF-100283</t>
        </is>
      </c>
      <c r="E9" s="129" t="n">
        <v>0</v>
      </c>
      <c r="F9" s="129" t="n">
        <v>2606.14</v>
      </c>
      <c r="G9" s="129" t="n">
        <v>-2606.14</v>
      </c>
      <c r="H9" s="127" t="inlineStr">
        <is>
          <t>Imported</t>
        </is>
      </c>
    </row>
    <row r="10">
      <c r="A10" s="115" t="inlineStr">
        <is>
          <t>BANK-1289</t>
        </is>
      </c>
      <c r="B10" s="125" t="n">
        <v>46022</v>
      </c>
      <c r="C10" s="115" t="inlineStr">
        <is>
          <t>Monthly bank service charge</t>
        </is>
      </c>
      <c r="D10" s="115" t="inlineStr">
        <is>
          <t>REF-100351</t>
        </is>
      </c>
      <c r="E10" s="126" t="n">
        <v>0</v>
      </c>
      <c r="F10" s="126" t="n">
        <v>114.1</v>
      </c>
      <c r="G10" s="126" t="n">
        <v>-114.1</v>
      </c>
      <c r="H10" s="115" t="inlineStr">
        <is>
          <t>Imported</t>
        </is>
      </c>
    </row>
    <row r="11">
      <c r="A11" s="127" t="inlineStr">
        <is>
          <t>BANK-1115</t>
        </is>
      </c>
      <c r="B11" s="128" t="n">
        <v>46023</v>
      </c>
      <c r="C11" s="127" t="inlineStr">
        <is>
          <t>Payment to Pacific Office Supplies</t>
        </is>
      </c>
      <c r="D11" s="127" t="inlineStr">
        <is>
          <t>REF-100138</t>
        </is>
      </c>
      <c r="E11" s="129" t="n">
        <v>0</v>
      </c>
      <c r="F11" s="129" t="n">
        <v>855.76</v>
      </c>
      <c r="G11" s="129" t="n">
        <v>-855.76</v>
      </c>
      <c r="H11" s="127" t="inlineStr">
        <is>
          <t>Imported</t>
        </is>
      </c>
    </row>
    <row r="12">
      <c r="A12" s="115" t="inlineStr">
        <is>
          <t>BANK-1147</t>
        </is>
      </c>
      <c r="B12" s="125" t="n">
        <v>46023</v>
      </c>
      <c r="C12" s="115" t="inlineStr">
        <is>
          <t>Deposit from Coastline Foods</t>
        </is>
      </c>
      <c r="D12" s="115" t="inlineStr">
        <is>
          <t>REF-100175</t>
        </is>
      </c>
      <c r="E12" s="126" t="n">
        <v>8092.26</v>
      </c>
      <c r="F12" s="126" t="n">
        <v>0</v>
      </c>
      <c r="G12" s="126" t="n">
        <v>8092.26</v>
      </c>
      <c r="H12" s="115" t="inlineStr">
        <is>
          <t>Imported</t>
        </is>
      </c>
    </row>
    <row r="13">
      <c r="A13" s="127" t="inlineStr">
        <is>
          <t>BANK-1243</t>
        </is>
      </c>
      <c r="B13" s="128" t="n">
        <v>46023</v>
      </c>
      <c r="C13" s="127" t="inlineStr">
        <is>
          <t>Payment to BC Hydro</t>
        </is>
      </c>
      <c r="D13" s="127" t="inlineStr">
        <is>
          <t>REF-100299</t>
        </is>
      </c>
      <c r="E13" s="129" t="n">
        <v>0</v>
      </c>
      <c r="F13" s="129" t="n">
        <v>4848.51</v>
      </c>
      <c r="G13" s="129" t="n">
        <v>-4848.51</v>
      </c>
      <c r="H13" s="127" t="inlineStr">
        <is>
          <t>Imported</t>
        </is>
      </c>
    </row>
    <row r="14">
      <c r="A14" s="115" t="inlineStr">
        <is>
          <t>BANK-1328</t>
        </is>
      </c>
      <c r="B14" s="125" t="n">
        <v>46023</v>
      </c>
      <c r="C14" s="115" t="inlineStr">
        <is>
          <t>Deposit from Maple Retail Group</t>
        </is>
      </c>
      <c r="D14" s="115" t="inlineStr">
        <is>
          <t>REF-100396</t>
        </is>
      </c>
      <c r="E14" s="126" t="n">
        <v>6165.45</v>
      </c>
      <c r="F14" s="126" t="n">
        <v>0</v>
      </c>
      <c r="G14" s="126" t="n">
        <v>6165.45</v>
      </c>
      <c r="H14" s="115" t="inlineStr">
        <is>
          <t>Imported</t>
        </is>
      </c>
    </row>
    <row r="15">
      <c r="A15" s="127" t="inlineStr">
        <is>
          <t>BANK-1341</t>
        </is>
      </c>
      <c r="B15" s="128" t="n">
        <v>46023</v>
      </c>
      <c r="C15" s="127" t="inlineStr">
        <is>
          <t>Manual GL entry</t>
        </is>
      </c>
      <c r="D15" s="127" t="inlineStr">
        <is>
          <t>REF-100413</t>
        </is>
      </c>
      <c r="E15" s="129" t="n">
        <v>0</v>
      </c>
      <c r="F15" s="129" t="n">
        <v>2958.5</v>
      </c>
      <c r="G15" s="129" t="n">
        <v>-2958.5</v>
      </c>
      <c r="H15" s="127" t="inlineStr">
        <is>
          <t>Imported</t>
        </is>
      </c>
    </row>
    <row r="16">
      <c r="A16" s="115" t="inlineStr">
        <is>
          <t>BANK-1390</t>
        </is>
      </c>
      <c r="B16" s="125" t="n">
        <v>46023</v>
      </c>
      <c r="C16" s="115" t="inlineStr">
        <is>
          <t>Deposit from Maple Retail Group</t>
        </is>
      </c>
      <c r="D16" s="115" t="inlineStr">
        <is>
          <t>REF-100474</t>
        </is>
      </c>
      <c r="E16" s="126" t="n">
        <v>4769.44</v>
      </c>
      <c r="F16" s="126" t="n">
        <v>0</v>
      </c>
      <c r="G16" s="126" t="n">
        <v>4769.44</v>
      </c>
      <c r="H16" s="115" t="inlineStr">
        <is>
          <t>Imported</t>
        </is>
      </c>
    </row>
    <row r="17">
      <c r="A17" s="127" t="inlineStr">
        <is>
          <t>BANK-1397</t>
        </is>
      </c>
      <c r="B17" s="128" t="n">
        <v>46023</v>
      </c>
      <c r="C17" s="127" t="inlineStr">
        <is>
          <t>Monthly bank service charge</t>
        </is>
      </c>
      <c r="D17" s="127" t="inlineStr">
        <is>
          <t>REF-100483</t>
        </is>
      </c>
      <c r="E17" s="129" t="n">
        <v>0</v>
      </c>
      <c r="F17" s="129" t="n">
        <v>49.57</v>
      </c>
      <c r="G17" s="129" t="n">
        <v>-49.57</v>
      </c>
      <c r="H17" s="127" t="inlineStr">
        <is>
          <t>Imported</t>
        </is>
      </c>
    </row>
    <row r="18">
      <c r="A18" s="115" t="inlineStr">
        <is>
          <t>BANK-1076</t>
        </is>
      </c>
      <c r="B18" s="125" t="n">
        <v>46024</v>
      </c>
      <c r="C18" s="115" t="inlineStr">
        <is>
          <t>Deposit from Maple Retail Group</t>
        </is>
      </c>
      <c r="D18" s="115" t="inlineStr">
        <is>
          <t>REF-100087</t>
        </is>
      </c>
      <c r="E18" s="126" t="n">
        <v>4968.13</v>
      </c>
      <c r="F18" s="126" t="n">
        <v>0</v>
      </c>
      <c r="G18" s="126" t="n">
        <v>4968.13</v>
      </c>
      <c r="H18" s="115" t="inlineStr">
        <is>
          <t>Imported</t>
        </is>
      </c>
    </row>
    <row r="19">
      <c r="A19" s="127" t="inlineStr">
        <is>
          <t>BANK-1102</t>
        </is>
      </c>
      <c r="B19" s="128" t="n">
        <v>46024</v>
      </c>
      <c r="C19" s="127" t="inlineStr">
        <is>
          <t>Payment to Amazon Business</t>
        </is>
      </c>
      <c r="D19" s="127" t="inlineStr">
        <is>
          <t>REF-100120</t>
        </is>
      </c>
      <c r="E19" s="129" t="n">
        <v>0</v>
      </c>
      <c r="F19" s="129" t="n">
        <v>2276.83</v>
      </c>
      <c r="G19" s="129" t="n">
        <v>-2276.83</v>
      </c>
      <c r="H19" s="127" t="inlineStr">
        <is>
          <t>Imported</t>
        </is>
      </c>
    </row>
    <row r="20">
      <c r="A20" s="115" t="inlineStr">
        <is>
          <t>BANK-1196</t>
        </is>
      </c>
      <c r="B20" s="125" t="n">
        <v>46024</v>
      </c>
      <c r="C20" s="115" t="inlineStr">
        <is>
          <t>Payment to Metro Cleaning Ltd.</t>
        </is>
      </c>
      <c r="D20" s="115" t="inlineStr">
        <is>
          <t>REF-100241</t>
        </is>
      </c>
      <c r="E20" s="126" t="n">
        <v>0</v>
      </c>
      <c r="F20" s="126" t="n">
        <v>4470.23</v>
      </c>
      <c r="G20" s="126" t="n">
        <v>-4470.23</v>
      </c>
      <c r="H20" s="115" t="inlineStr">
        <is>
          <t>Imported</t>
        </is>
      </c>
    </row>
    <row r="21">
      <c r="A21" s="127" t="inlineStr">
        <is>
          <t>BANK-1250</t>
        </is>
      </c>
      <c r="B21" s="128" t="n">
        <v>46024</v>
      </c>
      <c r="C21" s="127" t="inlineStr">
        <is>
          <t>Payroll payment</t>
        </is>
      </c>
      <c r="D21" s="127" t="inlineStr">
        <is>
          <t>REF-100307</t>
        </is>
      </c>
      <c r="E21" s="129" t="n">
        <v>0</v>
      </c>
      <c r="F21" s="129" t="n">
        <v>14037.02</v>
      </c>
      <c r="G21" s="129" t="n">
        <v>-14037.02</v>
      </c>
      <c r="H21" s="127" t="inlineStr">
        <is>
          <t>Imported</t>
        </is>
      </c>
    </row>
    <row r="22">
      <c r="A22" s="115" t="inlineStr">
        <is>
          <t>BANK-1318</t>
        </is>
      </c>
      <c r="B22" s="125" t="n">
        <v>46024</v>
      </c>
      <c r="C22" s="115" t="inlineStr">
        <is>
          <t>Payment to North Shore Telecom</t>
        </is>
      </c>
      <c r="D22" s="115" t="inlineStr">
        <is>
          <t>REF-100385</t>
        </is>
      </c>
      <c r="E22" s="126" t="n">
        <v>0</v>
      </c>
      <c r="F22" s="126" t="n">
        <v>1711.15</v>
      </c>
      <c r="G22" s="126" t="n">
        <v>-1711.15</v>
      </c>
      <c r="H22" s="115" t="inlineStr">
        <is>
          <t>Imported</t>
        </is>
      </c>
    </row>
    <row r="23">
      <c r="A23" s="127" t="inlineStr">
        <is>
          <t>BANK-1029</t>
        </is>
      </c>
      <c r="B23" s="128" t="n">
        <v>46025</v>
      </c>
      <c r="C23" s="127" t="inlineStr">
        <is>
          <t>Manual GL entry</t>
        </is>
      </c>
      <c r="D23" s="127" t="inlineStr">
        <is>
          <t>REF-100032</t>
        </is>
      </c>
      <c r="E23" s="129" t="n">
        <v>0</v>
      </c>
      <c r="F23" s="129" t="n">
        <v>2048.69</v>
      </c>
      <c r="G23" s="129" t="n">
        <v>-2048.69</v>
      </c>
      <c r="H23" s="127" t="inlineStr">
        <is>
          <t>Imported</t>
        </is>
      </c>
    </row>
    <row r="24">
      <c r="A24" s="115" t="inlineStr">
        <is>
          <t>BANK-1040</t>
        </is>
      </c>
      <c r="B24" s="125" t="n">
        <v>46025</v>
      </c>
      <c r="C24" s="115" t="inlineStr">
        <is>
          <t>Payroll payment</t>
        </is>
      </c>
      <c r="D24" s="115" t="inlineStr">
        <is>
          <t>REF-100046</t>
        </is>
      </c>
      <c r="E24" s="126" t="n">
        <v>0</v>
      </c>
      <c r="F24" s="126" t="n">
        <v>5725.29</v>
      </c>
      <c r="G24" s="126" t="n">
        <v>-5725.29</v>
      </c>
      <c r="H24" s="115" t="inlineStr">
        <is>
          <t>Imported</t>
        </is>
      </c>
    </row>
    <row r="25">
      <c r="A25" s="127" t="inlineStr">
        <is>
          <t>BANK-1089</t>
        </is>
      </c>
      <c r="B25" s="128" t="n">
        <v>46025</v>
      </c>
      <c r="C25" s="127" t="inlineStr">
        <is>
          <t>Payment to Vancouver Courier</t>
        </is>
      </c>
      <c r="D25" s="127" t="inlineStr">
        <is>
          <t>REF-100103</t>
        </is>
      </c>
      <c r="E25" s="129" t="n">
        <v>0</v>
      </c>
      <c r="F25" s="129" t="n">
        <v>5667.13</v>
      </c>
      <c r="G25" s="129" t="n">
        <v>-5667.13</v>
      </c>
      <c r="H25" s="127" t="inlineStr">
        <is>
          <t>Imported</t>
        </is>
      </c>
    </row>
    <row r="26">
      <c r="A26" s="115" t="inlineStr">
        <is>
          <t>BANK-1112</t>
        </is>
      </c>
      <c r="B26" s="125" t="n">
        <v>46025</v>
      </c>
      <c r="C26" s="115" t="inlineStr">
        <is>
          <t>Manual GL entry</t>
        </is>
      </c>
      <c r="D26" s="115" t="inlineStr">
        <is>
          <t>REF-100135</t>
        </is>
      </c>
      <c r="E26" s="126" t="n">
        <v>0</v>
      </c>
      <c r="F26" s="126" t="n">
        <v>4944.66</v>
      </c>
      <c r="G26" s="126" t="n">
        <v>-4944.66</v>
      </c>
      <c r="H26" s="115" t="inlineStr">
        <is>
          <t>Imported</t>
        </is>
      </c>
    </row>
    <row r="27">
      <c r="A27" s="127" t="inlineStr">
        <is>
          <t>BANK-1168</t>
        </is>
      </c>
      <c r="B27" s="128" t="n">
        <v>46025</v>
      </c>
      <c r="C27" s="127" t="inlineStr">
        <is>
          <t>Payment to North Shore Telecom</t>
        </is>
      </c>
      <c r="D27" s="127" t="inlineStr">
        <is>
          <t>REF-100204</t>
        </is>
      </c>
      <c r="E27" s="129" t="n">
        <v>0</v>
      </c>
      <c r="F27" s="129" t="n">
        <v>3134.15</v>
      </c>
      <c r="G27" s="129" t="n">
        <v>-3134.15</v>
      </c>
      <c r="H27" s="127" t="inlineStr">
        <is>
          <t>Imported</t>
        </is>
      </c>
    </row>
    <row r="28">
      <c r="A28" s="115" t="inlineStr">
        <is>
          <t>BANK-1175</t>
        </is>
      </c>
      <c r="B28" s="125" t="n">
        <v>46025</v>
      </c>
      <c r="C28" s="115" t="inlineStr">
        <is>
          <t>Payroll payment</t>
        </is>
      </c>
      <c r="D28" s="115" t="inlineStr">
        <is>
          <t>REF-100212</t>
        </is>
      </c>
      <c r="E28" s="126" t="n">
        <v>0</v>
      </c>
      <c r="F28" s="126" t="n">
        <v>10012.48</v>
      </c>
      <c r="G28" s="126" t="n">
        <v>-10012.48</v>
      </c>
      <c r="H28" s="115" t="inlineStr">
        <is>
          <t>Imported</t>
        </is>
      </c>
    </row>
    <row r="29">
      <c r="A29" s="127" t="inlineStr">
        <is>
          <t>BANK-1198</t>
        </is>
      </c>
      <c r="B29" s="128" t="n">
        <v>46025</v>
      </c>
      <c r="C29" s="127" t="inlineStr">
        <is>
          <t>Deposit from Coastline Foods</t>
        </is>
      </c>
      <c r="D29" s="127" t="inlineStr">
        <is>
          <t>REF-100243</t>
        </is>
      </c>
      <c r="E29" s="129" t="n">
        <v>4618.52</v>
      </c>
      <c r="F29" s="129" t="n">
        <v>0</v>
      </c>
      <c r="G29" s="129" t="n">
        <v>4618.52</v>
      </c>
      <c r="H29" s="127" t="inlineStr">
        <is>
          <t>Imported</t>
        </is>
      </c>
    </row>
    <row r="30">
      <c r="A30" s="115" t="inlineStr">
        <is>
          <t>BANK-1221</t>
        </is>
      </c>
      <c r="B30" s="125" t="n">
        <v>46025</v>
      </c>
      <c r="C30" s="115" t="inlineStr">
        <is>
          <t>Deposit from Coastline Foods</t>
        </is>
      </c>
      <c r="D30" s="115" t="inlineStr">
        <is>
          <t>REF-100272</t>
        </is>
      </c>
      <c r="E30" s="126" t="n">
        <v>580.33</v>
      </c>
      <c r="F30" s="126" t="n">
        <v>0</v>
      </c>
      <c r="G30" s="126" t="n">
        <v>580.33</v>
      </c>
      <c r="H30" s="115" t="inlineStr">
        <is>
          <t>Imported</t>
        </is>
      </c>
    </row>
    <row r="31">
      <c r="A31" s="127" t="inlineStr">
        <is>
          <t>BANK-1226</t>
        </is>
      </c>
      <c r="B31" s="128" t="n">
        <v>46025</v>
      </c>
      <c r="C31" s="127" t="inlineStr">
        <is>
          <t>Payment to Amazon Business</t>
        </is>
      </c>
      <c r="D31" s="127" t="inlineStr">
        <is>
          <t>REF-100278</t>
        </is>
      </c>
      <c r="E31" s="129" t="n">
        <v>0</v>
      </c>
      <c r="F31" s="129" t="n">
        <v>3624.35</v>
      </c>
      <c r="G31" s="129" t="n">
        <v>-3624.35</v>
      </c>
      <c r="H31" s="127" t="inlineStr">
        <is>
          <t>Imported</t>
        </is>
      </c>
    </row>
    <row r="32">
      <c r="A32" s="115" t="inlineStr">
        <is>
          <t>BANK-1240</t>
        </is>
      </c>
      <c r="B32" s="125" t="n">
        <v>46025</v>
      </c>
      <c r="C32" s="115" t="inlineStr">
        <is>
          <t>Payment to BC Hydro</t>
        </is>
      </c>
      <c r="D32" s="115" t="inlineStr">
        <is>
          <t>REF-100296</t>
        </is>
      </c>
      <c r="E32" s="126" t="n">
        <v>0</v>
      </c>
      <c r="F32" s="126" t="n">
        <v>4435.46</v>
      </c>
      <c r="G32" s="126" t="n">
        <v>-4435.46</v>
      </c>
      <c r="H32" s="115" t="inlineStr">
        <is>
          <t>Imported</t>
        </is>
      </c>
    </row>
    <row r="33">
      <c r="A33" s="127" t="inlineStr">
        <is>
          <t>BANK-1246</t>
        </is>
      </c>
      <c r="B33" s="128" t="n">
        <v>46025</v>
      </c>
      <c r="C33" s="127" t="inlineStr">
        <is>
          <t>Monthly bank service charge</t>
        </is>
      </c>
      <c r="D33" s="127" t="inlineStr">
        <is>
          <t>REF-100302</t>
        </is>
      </c>
      <c r="E33" s="129" t="n">
        <v>0</v>
      </c>
      <c r="F33" s="129" t="n">
        <v>43.2</v>
      </c>
      <c r="G33" s="129" t="n">
        <v>-43.2</v>
      </c>
      <c r="H33" s="127" t="inlineStr">
        <is>
          <t>Imported</t>
        </is>
      </c>
    </row>
    <row r="34">
      <c r="A34" s="115" t="inlineStr">
        <is>
          <t>BANK-1267</t>
        </is>
      </c>
      <c r="B34" s="125" t="n">
        <v>46025</v>
      </c>
      <c r="C34" s="115" t="inlineStr">
        <is>
          <t>Deposit from Coastline Foods</t>
        </is>
      </c>
      <c r="D34" s="115" t="inlineStr">
        <is>
          <t>REF-100326</t>
        </is>
      </c>
      <c r="E34" s="126" t="n">
        <v>2588.95</v>
      </c>
      <c r="F34" s="126" t="n">
        <v>0</v>
      </c>
      <c r="G34" s="126" t="n">
        <v>2588.95</v>
      </c>
      <c r="H34" s="115" t="inlineStr">
        <is>
          <t>Imported</t>
        </is>
      </c>
    </row>
    <row r="35">
      <c r="A35" s="127" t="inlineStr">
        <is>
          <t>BANK-1276</t>
        </is>
      </c>
      <c r="B35" s="128" t="n">
        <v>46025</v>
      </c>
      <c r="C35" s="127" t="inlineStr">
        <is>
          <t>Payroll payment</t>
        </is>
      </c>
      <c r="D35" s="127" t="inlineStr">
        <is>
          <t>REF-100336</t>
        </is>
      </c>
      <c r="E35" s="129" t="n">
        <v>0</v>
      </c>
      <c r="F35" s="129" t="n">
        <v>14783.93</v>
      </c>
      <c r="G35" s="129" t="n">
        <v>-14783.93</v>
      </c>
      <c r="H35" s="127" t="inlineStr">
        <is>
          <t>Imported</t>
        </is>
      </c>
    </row>
    <row r="36">
      <c r="A36" s="115" t="inlineStr">
        <is>
          <t>BANK-1303</t>
        </is>
      </c>
      <c r="B36" s="125" t="n">
        <v>46025</v>
      </c>
      <c r="C36" s="115" t="inlineStr">
        <is>
          <t>Deposit from West Van Fitness</t>
        </is>
      </c>
      <c r="D36" s="115" t="inlineStr">
        <is>
          <t>REF-100369</t>
        </is>
      </c>
      <c r="E36" s="126" t="n">
        <v>1264.84</v>
      </c>
      <c r="F36" s="126" t="n">
        <v>0</v>
      </c>
      <c r="G36" s="126" t="n">
        <v>1264.84</v>
      </c>
      <c r="H36" s="115" t="inlineStr">
        <is>
          <t>Imported</t>
        </is>
      </c>
    </row>
    <row r="37">
      <c r="A37" s="127" t="inlineStr">
        <is>
          <t>BANK-1337</t>
        </is>
      </c>
      <c r="B37" s="128" t="n">
        <v>46025</v>
      </c>
      <c r="C37" s="127" t="inlineStr">
        <is>
          <t>Manual GL entry</t>
        </is>
      </c>
      <c r="D37" s="127" t="inlineStr">
        <is>
          <t>REF-100407</t>
        </is>
      </c>
      <c r="E37" s="129" t="n">
        <v>0</v>
      </c>
      <c r="F37" s="129" t="n">
        <v>528.6799999999999</v>
      </c>
      <c r="G37" s="129" t="n">
        <v>-528.6799999999999</v>
      </c>
      <c r="H37" s="127" t="inlineStr">
        <is>
          <t>Imported</t>
        </is>
      </c>
    </row>
    <row r="38">
      <c r="A38" s="115" t="inlineStr">
        <is>
          <t>BANK-1354</t>
        </is>
      </c>
      <c r="B38" s="125" t="n">
        <v>46025</v>
      </c>
      <c r="C38" s="115" t="inlineStr">
        <is>
          <t>Deposit from Raincity Tech</t>
        </is>
      </c>
      <c r="D38" s="115" t="inlineStr">
        <is>
          <t>REF-100429</t>
        </is>
      </c>
      <c r="E38" s="126" t="n">
        <v>8402.809999999999</v>
      </c>
      <c r="F38" s="126" t="n">
        <v>0</v>
      </c>
      <c r="G38" s="126" t="n">
        <v>8402.809999999999</v>
      </c>
      <c r="H38" s="115" t="inlineStr">
        <is>
          <t>Imported</t>
        </is>
      </c>
    </row>
    <row r="39">
      <c r="A39" s="127" t="inlineStr">
        <is>
          <t>BANK-1408</t>
        </is>
      </c>
      <c r="B39" s="128" t="n">
        <v>46025</v>
      </c>
      <c r="C39" s="127" t="inlineStr">
        <is>
          <t>Payment to Pacific Office Supplies</t>
        </is>
      </c>
      <c r="D39" s="127" t="inlineStr">
        <is>
          <t>REF-100497</t>
        </is>
      </c>
      <c r="E39" s="129" t="n">
        <v>0</v>
      </c>
      <c r="F39" s="129" t="n">
        <v>1169.31</v>
      </c>
      <c r="G39" s="129" t="n">
        <v>-1169.31</v>
      </c>
      <c r="H39" s="127" t="inlineStr">
        <is>
          <t>Imported</t>
        </is>
      </c>
    </row>
    <row r="40">
      <c r="A40" s="115" t="inlineStr">
        <is>
          <t>BANK-1022</t>
        </is>
      </c>
      <c r="B40" s="125" t="n">
        <v>46026</v>
      </c>
      <c r="C40" s="115" t="inlineStr">
        <is>
          <t>Deposit from Raincity Tech</t>
        </is>
      </c>
      <c r="D40" s="115" t="inlineStr">
        <is>
          <t>REF-100025</t>
        </is>
      </c>
      <c r="E40" s="126" t="n">
        <v>3686.88</v>
      </c>
      <c r="F40" s="126" t="n">
        <v>0</v>
      </c>
      <c r="G40" s="126" t="n">
        <v>3686.88</v>
      </c>
      <c r="H40" s="115" t="inlineStr">
        <is>
          <t>Imported</t>
        </is>
      </c>
    </row>
    <row r="41">
      <c r="A41" s="127" t="inlineStr">
        <is>
          <t>BANK-1033</t>
        </is>
      </c>
      <c r="B41" s="128" t="n">
        <v>46026</v>
      </c>
      <c r="C41" s="127" t="inlineStr">
        <is>
          <t>Monthly bank service charge</t>
        </is>
      </c>
      <c r="D41" s="127" t="inlineStr">
        <is>
          <t>REF-100037</t>
        </is>
      </c>
      <c r="E41" s="129" t="n">
        <v>0</v>
      </c>
      <c r="F41" s="129" t="n">
        <v>20.44</v>
      </c>
      <c r="G41" s="129" t="n">
        <v>-20.44</v>
      </c>
      <c r="H41" s="127" t="inlineStr">
        <is>
          <t>Imported</t>
        </is>
      </c>
    </row>
    <row r="42">
      <c r="A42" s="115" t="inlineStr">
        <is>
          <t>BANK-1257</t>
        </is>
      </c>
      <c r="B42" s="125" t="n">
        <v>46026</v>
      </c>
      <c r="C42" s="115" t="inlineStr">
        <is>
          <t>Payment to Metro Cleaning Ltd.</t>
        </is>
      </c>
      <c r="D42" s="115" t="inlineStr">
        <is>
          <t>REF-100316</t>
        </is>
      </c>
      <c r="E42" s="126" t="n">
        <v>0</v>
      </c>
      <c r="F42" s="126" t="n">
        <v>4045.58</v>
      </c>
      <c r="G42" s="126" t="n">
        <v>-4045.58</v>
      </c>
      <c r="H42" s="115" t="inlineStr">
        <is>
          <t>Imported</t>
        </is>
      </c>
    </row>
    <row r="43">
      <c r="A43" s="127" t="inlineStr">
        <is>
          <t>BANK-1270</t>
        </is>
      </c>
      <c r="B43" s="128" t="n">
        <v>46026</v>
      </c>
      <c r="C43" s="127" t="inlineStr">
        <is>
          <t>Manual GL entry</t>
        </is>
      </c>
      <c r="D43" s="127" t="inlineStr">
        <is>
          <t>REF-100330</t>
        </is>
      </c>
      <c r="E43" s="129" t="n">
        <v>0</v>
      </c>
      <c r="F43" s="129" t="n">
        <v>1088.9</v>
      </c>
      <c r="G43" s="129" t="n">
        <v>-1088.9</v>
      </c>
      <c r="H43" s="127" t="inlineStr">
        <is>
          <t>Imported</t>
        </is>
      </c>
    </row>
    <row r="44">
      <c r="A44" s="115" t="inlineStr">
        <is>
          <t>BANK-1364</t>
        </is>
      </c>
      <c r="B44" s="125" t="n">
        <v>46026</v>
      </c>
      <c r="C44" s="115" t="inlineStr">
        <is>
          <t>Deposit from Coastline Foods</t>
        </is>
      </c>
      <c r="D44" s="115" t="inlineStr">
        <is>
          <t>REF-100439</t>
        </is>
      </c>
      <c r="E44" s="126" t="n">
        <v>4237.97</v>
      </c>
      <c r="F44" s="126" t="n">
        <v>0</v>
      </c>
      <c r="G44" s="126" t="n">
        <v>4237.97</v>
      </c>
      <c r="H44" s="115" t="inlineStr">
        <is>
          <t>Imported</t>
        </is>
      </c>
    </row>
    <row r="45">
      <c r="A45" s="127" t="inlineStr">
        <is>
          <t>BANK-1370</t>
        </is>
      </c>
      <c r="B45" s="128" t="n">
        <v>46026</v>
      </c>
      <c r="C45" s="127" t="inlineStr">
        <is>
          <t>Deposit from Granville Medical</t>
        </is>
      </c>
      <c r="D45" s="127" t="inlineStr">
        <is>
          <t>REF-100448</t>
        </is>
      </c>
      <c r="E45" s="129" t="n">
        <v>6010.6</v>
      </c>
      <c r="F45" s="129" t="n">
        <v>0</v>
      </c>
      <c r="G45" s="129" t="n">
        <v>6010.6</v>
      </c>
      <c r="H45" s="127" t="inlineStr">
        <is>
          <t>Imported</t>
        </is>
      </c>
    </row>
    <row r="46">
      <c r="A46" s="115" t="inlineStr">
        <is>
          <t>BANK-1374</t>
        </is>
      </c>
      <c r="B46" s="125" t="n">
        <v>46026</v>
      </c>
      <c r="C46" s="115" t="inlineStr">
        <is>
          <t>Payroll payment</t>
        </is>
      </c>
      <c r="D46" s="115" t="inlineStr">
        <is>
          <t>REF-100453</t>
        </is>
      </c>
      <c r="E46" s="126" t="n">
        <v>0</v>
      </c>
      <c r="F46" s="126" t="n">
        <v>11842.88</v>
      </c>
      <c r="G46" s="126" t="n">
        <v>-11842.88</v>
      </c>
      <c r="H46" s="115" t="inlineStr">
        <is>
          <t>Imported</t>
        </is>
      </c>
    </row>
    <row r="47">
      <c r="A47" s="127" t="inlineStr">
        <is>
          <t>BANK-1380</t>
        </is>
      </c>
      <c r="B47" s="128" t="n">
        <v>46026</v>
      </c>
      <c r="C47" s="127" t="inlineStr">
        <is>
          <t>Payroll payment</t>
        </is>
      </c>
      <c r="D47" s="127" t="inlineStr">
        <is>
          <t>REF-100460</t>
        </is>
      </c>
      <c r="E47" s="129" t="n">
        <v>0</v>
      </c>
      <c r="F47" s="129" t="n">
        <v>8889.969999999999</v>
      </c>
      <c r="G47" s="129" t="n">
        <v>-8889.969999999999</v>
      </c>
      <c r="H47" s="127" t="inlineStr">
        <is>
          <t>Imported</t>
        </is>
      </c>
    </row>
    <row r="48">
      <c r="A48" s="115" t="inlineStr">
        <is>
          <t>BANK-1389</t>
        </is>
      </c>
      <c r="B48" s="125" t="n">
        <v>46026</v>
      </c>
      <c r="C48" s="115" t="inlineStr">
        <is>
          <t>Manual GL entry</t>
        </is>
      </c>
      <c r="D48" s="115" t="inlineStr">
        <is>
          <t>REF-100473</t>
        </is>
      </c>
      <c r="E48" s="126" t="n">
        <v>0</v>
      </c>
      <c r="F48" s="126" t="n">
        <v>4636.8</v>
      </c>
      <c r="G48" s="126" t="n">
        <v>-4636.8</v>
      </c>
      <c r="H48" s="115" t="inlineStr">
        <is>
          <t>Imported</t>
        </is>
      </c>
    </row>
    <row r="49">
      <c r="A49" s="127" t="inlineStr">
        <is>
          <t>BANK-1416</t>
        </is>
      </c>
      <c r="B49" s="128" t="n">
        <v>46026</v>
      </c>
      <c r="C49" s="127" t="inlineStr">
        <is>
          <t>Bank item not posted in ERP</t>
        </is>
      </c>
      <c r="D49" s="127" t="inlineStr">
        <is>
          <t>BANKONLY-0005</t>
        </is>
      </c>
      <c r="E49" s="129" t="n">
        <v>0</v>
      </c>
      <c r="F49" s="129" t="n">
        <v>118.81</v>
      </c>
      <c r="G49" s="129" t="n">
        <v>-118.81</v>
      </c>
      <c r="H49" s="127" t="inlineStr">
        <is>
          <t>Needs ERP Review</t>
        </is>
      </c>
    </row>
    <row r="50">
      <c r="A50" s="115" t="inlineStr">
        <is>
          <t>BANK-1065</t>
        </is>
      </c>
      <c r="B50" s="125" t="n">
        <v>46027</v>
      </c>
      <c r="C50" s="115" t="inlineStr">
        <is>
          <t>Deposit from Raincity Tech</t>
        </is>
      </c>
      <c r="D50" s="115" t="inlineStr">
        <is>
          <t>REF-100074</t>
        </is>
      </c>
      <c r="E50" s="126" t="n">
        <v>255.65</v>
      </c>
      <c r="F50" s="126" t="n">
        <v>0</v>
      </c>
      <c r="G50" s="126" t="n">
        <v>255.65</v>
      </c>
      <c r="H50" s="115" t="inlineStr">
        <is>
          <t>Imported</t>
        </is>
      </c>
    </row>
    <row r="51">
      <c r="A51" s="127" t="inlineStr">
        <is>
          <t>BANK-1111</t>
        </is>
      </c>
      <c r="B51" s="128" t="n">
        <v>46027</v>
      </c>
      <c r="C51" s="127" t="inlineStr">
        <is>
          <t>Monthly bank service charge</t>
        </is>
      </c>
      <c r="D51" s="127" t="inlineStr">
        <is>
          <t>REF-100133</t>
        </is>
      </c>
      <c r="E51" s="129" t="n">
        <v>0</v>
      </c>
      <c r="F51" s="129" t="n">
        <v>47.24</v>
      </c>
      <c r="G51" s="129" t="n">
        <v>-47.24</v>
      </c>
      <c r="H51" s="127" t="inlineStr">
        <is>
          <t>Imported</t>
        </is>
      </c>
    </row>
    <row r="52">
      <c r="A52" s="115" t="inlineStr">
        <is>
          <t>BANK-1131</t>
        </is>
      </c>
      <c r="B52" s="125" t="n">
        <v>46027</v>
      </c>
      <c r="C52" s="115" t="inlineStr">
        <is>
          <t>Manual GL entry</t>
        </is>
      </c>
      <c r="D52" s="115" t="inlineStr">
        <is>
          <t>REF-100156</t>
        </is>
      </c>
      <c r="E52" s="126" t="n">
        <v>1314.82</v>
      </c>
      <c r="F52" s="126" t="n">
        <v>0</v>
      </c>
      <c r="G52" s="126" t="n">
        <v>1314.82</v>
      </c>
      <c r="H52" s="115" t="inlineStr">
        <is>
          <t>Imported</t>
        </is>
      </c>
    </row>
    <row r="53">
      <c r="A53" s="127" t="inlineStr">
        <is>
          <t>BANK-1154</t>
        </is>
      </c>
      <c r="B53" s="128" t="n">
        <v>46027</v>
      </c>
      <c r="C53" s="127" t="inlineStr">
        <is>
          <t>Manual GL entry</t>
        </is>
      </c>
      <c r="D53" s="127" t="inlineStr">
        <is>
          <t>REF-100186</t>
        </is>
      </c>
      <c r="E53" s="129" t="n">
        <v>2270.58</v>
      </c>
      <c r="F53" s="129" t="n">
        <v>0</v>
      </c>
      <c r="G53" s="129" t="n">
        <v>2270.58</v>
      </c>
      <c r="H53" s="127" t="inlineStr">
        <is>
          <t>Imported</t>
        </is>
      </c>
    </row>
    <row r="54">
      <c r="A54" s="115" t="inlineStr">
        <is>
          <t>BANK-1174</t>
        </is>
      </c>
      <c r="B54" s="125" t="n">
        <v>46027</v>
      </c>
      <c r="C54" s="115" t="inlineStr">
        <is>
          <t>Payment to Metro Cleaning Ltd.</t>
        </is>
      </c>
      <c r="D54" s="115" t="inlineStr">
        <is>
          <t>REF-100210</t>
        </is>
      </c>
      <c r="E54" s="126" t="n">
        <v>0</v>
      </c>
      <c r="F54" s="126" t="n">
        <v>4011.11</v>
      </c>
      <c r="G54" s="126" t="n">
        <v>-4011.11</v>
      </c>
      <c r="H54" s="115" t="inlineStr">
        <is>
          <t>Imported</t>
        </is>
      </c>
    </row>
    <row r="55">
      <c r="A55" s="127" t="inlineStr">
        <is>
          <t>BANK-1181</t>
        </is>
      </c>
      <c r="B55" s="128" t="n">
        <v>46027</v>
      </c>
      <c r="C55" s="127" t="inlineStr">
        <is>
          <t>Manual GL entry</t>
        </is>
      </c>
      <c r="D55" s="127" t="inlineStr">
        <is>
          <t>REF-100220</t>
        </is>
      </c>
      <c r="E55" s="129" t="n">
        <v>2830.17</v>
      </c>
      <c r="F55" s="129" t="n">
        <v>0</v>
      </c>
      <c r="G55" s="129" t="n">
        <v>2830.17</v>
      </c>
      <c r="H55" s="127" t="inlineStr">
        <is>
          <t>Imported</t>
        </is>
      </c>
    </row>
    <row r="56">
      <c r="A56" s="115" t="inlineStr">
        <is>
          <t>BANK-1204</t>
        </is>
      </c>
      <c r="B56" s="125" t="n">
        <v>46027</v>
      </c>
      <c r="C56" s="115" t="inlineStr">
        <is>
          <t>Deposit from West Van Fitness</t>
        </is>
      </c>
      <c r="D56" s="115" t="inlineStr">
        <is>
          <t>REF-100252</t>
        </is>
      </c>
      <c r="E56" s="126" t="n">
        <v>7857.94</v>
      </c>
      <c r="F56" s="126" t="n">
        <v>0</v>
      </c>
      <c r="G56" s="126" t="n">
        <v>7857.94</v>
      </c>
      <c r="H56" s="115" t="inlineStr">
        <is>
          <t>Imported</t>
        </is>
      </c>
    </row>
    <row r="57">
      <c r="A57" s="127" t="inlineStr">
        <is>
          <t>BANK-1212</t>
        </is>
      </c>
      <c r="B57" s="128" t="n">
        <v>46027</v>
      </c>
      <c r="C57" s="127" t="inlineStr">
        <is>
          <t>Manual GL entry</t>
        </is>
      </c>
      <c r="D57" s="127" t="inlineStr">
        <is>
          <t>REF-100260</t>
        </is>
      </c>
      <c r="E57" s="129" t="n">
        <v>3247.11</v>
      </c>
      <c r="F57" s="129" t="n">
        <v>0</v>
      </c>
      <c r="G57" s="129" t="n">
        <v>3247.11</v>
      </c>
      <c r="H57" s="127" t="inlineStr">
        <is>
          <t>Imported</t>
        </is>
      </c>
    </row>
    <row r="58">
      <c r="A58" s="115" t="inlineStr">
        <is>
          <t>BANK-1244</t>
        </is>
      </c>
      <c r="B58" s="125" t="n">
        <v>46027</v>
      </c>
      <c r="C58" s="115" t="inlineStr">
        <is>
          <t>Payment to Metro Cleaning Ltd.</t>
        </is>
      </c>
      <c r="D58" s="115" t="inlineStr">
        <is>
          <t>REF-100300</t>
        </is>
      </c>
      <c r="E58" s="126" t="n">
        <v>0</v>
      </c>
      <c r="F58" s="126" t="n">
        <v>1722.65</v>
      </c>
      <c r="G58" s="126" t="n">
        <v>-1722.65</v>
      </c>
      <c r="H58" s="115" t="inlineStr">
        <is>
          <t>Imported</t>
        </is>
      </c>
    </row>
    <row r="59">
      <c r="A59" s="127" t="inlineStr">
        <is>
          <t>BANK-1285</t>
        </is>
      </c>
      <c r="B59" s="128" t="n">
        <v>46027</v>
      </c>
      <c r="C59" s="127" t="inlineStr">
        <is>
          <t>Payroll payment</t>
        </is>
      </c>
      <c r="D59" s="127" t="inlineStr">
        <is>
          <t>REF-100346</t>
        </is>
      </c>
      <c r="E59" s="129" t="n">
        <v>0</v>
      </c>
      <c r="F59" s="129" t="n">
        <v>4530.19</v>
      </c>
      <c r="G59" s="129" t="n">
        <v>-4530.19</v>
      </c>
      <c r="H59" s="127" t="inlineStr">
        <is>
          <t>Imported</t>
        </is>
      </c>
    </row>
    <row r="60">
      <c r="A60" s="115" t="inlineStr">
        <is>
          <t>BANK-1307</t>
        </is>
      </c>
      <c r="B60" s="125" t="n">
        <v>46027</v>
      </c>
      <c r="C60" s="115" t="inlineStr">
        <is>
          <t>Payment to Staples Canada</t>
        </is>
      </c>
      <c r="D60" s="115" t="inlineStr">
        <is>
          <t>REF-100373</t>
        </is>
      </c>
      <c r="E60" s="126" t="n">
        <v>0</v>
      </c>
      <c r="F60" s="126" t="n">
        <v>1941.8</v>
      </c>
      <c r="G60" s="126" t="n">
        <v>-1941.8</v>
      </c>
      <c r="H60" s="115" t="inlineStr">
        <is>
          <t>Imported</t>
        </is>
      </c>
    </row>
    <row r="61">
      <c r="A61" s="127" t="inlineStr">
        <is>
          <t>BANK-1077</t>
        </is>
      </c>
      <c r="B61" s="128" t="n">
        <v>46028</v>
      </c>
      <c r="C61" s="127" t="inlineStr">
        <is>
          <t>Payment to Vancouver Courier</t>
        </is>
      </c>
      <c r="D61" s="127" t="inlineStr">
        <is>
          <t>REF-100088</t>
        </is>
      </c>
      <c r="E61" s="129" t="n">
        <v>0</v>
      </c>
      <c r="F61" s="129" t="n">
        <v>2626.99</v>
      </c>
      <c r="G61" s="129" t="n">
        <v>-2626.99</v>
      </c>
      <c r="H61" s="127" t="inlineStr">
        <is>
          <t>Imported</t>
        </is>
      </c>
    </row>
    <row r="62">
      <c r="A62" s="115" t="inlineStr">
        <is>
          <t>BANK-1087</t>
        </is>
      </c>
      <c r="B62" s="125" t="n">
        <v>46028</v>
      </c>
      <c r="C62" s="115" t="inlineStr">
        <is>
          <t>Deposit from West Van Fitness</t>
        </is>
      </c>
      <c r="D62" s="115" t="inlineStr">
        <is>
          <t>REF-100100</t>
        </is>
      </c>
      <c r="E62" s="126" t="n">
        <v>4007.5</v>
      </c>
      <c r="F62" s="126" t="n">
        <v>0</v>
      </c>
      <c r="G62" s="126" t="n">
        <v>4007.5</v>
      </c>
      <c r="H62" s="115" t="inlineStr">
        <is>
          <t>Imported</t>
        </is>
      </c>
    </row>
    <row r="63">
      <c r="A63" s="127" t="inlineStr">
        <is>
          <t>BANK-1166</t>
        </is>
      </c>
      <c r="B63" s="128" t="n">
        <v>46028</v>
      </c>
      <c r="C63" s="127" t="inlineStr">
        <is>
          <t>Payroll payment</t>
        </is>
      </c>
      <c r="D63" s="127" t="inlineStr">
        <is>
          <t>REF-100201</t>
        </is>
      </c>
      <c r="E63" s="129" t="n">
        <v>0</v>
      </c>
      <c r="F63" s="129" t="n">
        <v>12332.29</v>
      </c>
      <c r="G63" s="129" t="n">
        <v>-12332.29</v>
      </c>
      <c r="H63" s="127" t="inlineStr">
        <is>
          <t>Imported</t>
        </is>
      </c>
    </row>
    <row r="64">
      <c r="A64" s="115" t="inlineStr">
        <is>
          <t>BANK-1234</t>
        </is>
      </c>
      <c r="B64" s="125" t="n">
        <v>46028</v>
      </c>
      <c r="C64" s="115" t="inlineStr">
        <is>
          <t>Monthly bank service charge</t>
        </is>
      </c>
      <c r="D64" s="115" t="inlineStr">
        <is>
          <t>REF-100286</t>
        </is>
      </c>
      <c r="E64" s="126" t="n">
        <v>0</v>
      </c>
      <c r="F64" s="126" t="n">
        <v>30.97</v>
      </c>
      <c r="G64" s="126" t="n">
        <v>-30.97</v>
      </c>
      <c r="H64" s="115" t="inlineStr">
        <is>
          <t>Imported</t>
        </is>
      </c>
    </row>
    <row r="65">
      <c r="A65" s="127" t="inlineStr">
        <is>
          <t>BANK-1320</t>
        </is>
      </c>
      <c r="B65" s="128" t="n">
        <v>46028</v>
      </c>
      <c r="C65" s="127" t="inlineStr">
        <is>
          <t>Manual GL entry</t>
        </is>
      </c>
      <c r="D65" s="127" t="inlineStr">
        <is>
          <t>REF-100387</t>
        </is>
      </c>
      <c r="E65" s="129" t="n">
        <v>0</v>
      </c>
      <c r="F65" s="129" t="n">
        <v>4755.42</v>
      </c>
      <c r="G65" s="129" t="n">
        <v>-4755.42</v>
      </c>
      <c r="H65" s="127" t="inlineStr">
        <is>
          <t>Imported</t>
        </is>
      </c>
    </row>
    <row r="66">
      <c r="A66" s="115" t="inlineStr">
        <is>
          <t>BANK-1375</t>
        </is>
      </c>
      <c r="B66" s="125" t="n">
        <v>46028</v>
      </c>
      <c r="C66" s="115" t="inlineStr">
        <is>
          <t>Payroll payment</t>
        </is>
      </c>
      <c r="D66" s="115" t="inlineStr">
        <is>
          <t>REF-100454</t>
        </is>
      </c>
      <c r="E66" s="126" t="n">
        <v>0</v>
      </c>
      <c r="F66" s="126" t="n">
        <v>14857.61</v>
      </c>
      <c r="G66" s="126" t="n">
        <v>-14857.61</v>
      </c>
      <c r="H66" s="115" t="inlineStr">
        <is>
          <t>Imported</t>
        </is>
      </c>
    </row>
    <row r="67">
      <c r="A67" s="127" t="inlineStr">
        <is>
          <t>BANK-1420</t>
        </is>
      </c>
      <c r="B67" s="128" t="n">
        <v>46028</v>
      </c>
      <c r="C67" s="127" t="inlineStr">
        <is>
          <t>Bank item not posted in ERP</t>
        </is>
      </c>
      <c r="D67" s="127" t="inlineStr">
        <is>
          <t>BANKONLY-0009</t>
        </is>
      </c>
      <c r="E67" s="129" t="n">
        <v>0</v>
      </c>
      <c r="F67" s="129" t="n">
        <v>472.22</v>
      </c>
      <c r="G67" s="129" t="n">
        <v>-472.22</v>
      </c>
      <c r="H67" s="127" t="inlineStr">
        <is>
          <t>Needs ERP Review</t>
        </is>
      </c>
    </row>
    <row r="68">
      <c r="A68" s="115" t="inlineStr">
        <is>
          <t>BANK-1006</t>
        </is>
      </c>
      <c r="B68" s="125" t="n">
        <v>46029</v>
      </c>
      <c r="C68" s="115" t="inlineStr">
        <is>
          <t>Manual GL entry</t>
        </is>
      </c>
      <c r="D68" s="115" t="inlineStr">
        <is>
          <t>REF-100008</t>
        </is>
      </c>
      <c r="E68" s="126" t="n">
        <v>0</v>
      </c>
      <c r="F68" s="126" t="n">
        <v>3257.78</v>
      </c>
      <c r="G68" s="126" t="n">
        <v>-3257.78</v>
      </c>
      <c r="H68" s="115" t="inlineStr">
        <is>
          <t>Imported</t>
        </is>
      </c>
    </row>
    <row r="69">
      <c r="A69" s="127" t="inlineStr">
        <is>
          <t>BANK-1017</t>
        </is>
      </c>
      <c r="B69" s="128" t="n">
        <v>46029</v>
      </c>
      <c r="C69" s="127" t="inlineStr">
        <is>
          <t>Payment to Vancouver Courier</t>
        </is>
      </c>
      <c r="D69" s="127" t="inlineStr">
        <is>
          <t>REF-100020</t>
        </is>
      </c>
      <c r="E69" s="129" t="n">
        <v>0</v>
      </c>
      <c r="F69" s="129" t="n">
        <v>3792.35</v>
      </c>
      <c r="G69" s="129" t="n">
        <v>-3792.35</v>
      </c>
      <c r="H69" s="127" t="inlineStr">
        <is>
          <t>Imported</t>
        </is>
      </c>
    </row>
    <row r="70">
      <c r="A70" s="115" t="inlineStr">
        <is>
          <t>BANK-1032</t>
        </is>
      </c>
      <c r="B70" s="125" t="n">
        <v>46029</v>
      </c>
      <c r="C70" s="115" t="inlineStr">
        <is>
          <t>Deposit from Coastline Foods</t>
        </is>
      </c>
      <c r="D70" s="115" t="inlineStr">
        <is>
          <t>REF-100035</t>
        </is>
      </c>
      <c r="E70" s="126" t="n">
        <v>7942.72</v>
      </c>
      <c r="F70" s="126" t="n">
        <v>0</v>
      </c>
      <c r="G70" s="126" t="n">
        <v>7942.72</v>
      </c>
      <c r="H70" s="115" t="inlineStr">
        <is>
          <t>Imported</t>
        </is>
      </c>
    </row>
    <row r="71">
      <c r="A71" s="127" t="inlineStr">
        <is>
          <t>BANK-1079</t>
        </is>
      </c>
      <c r="B71" s="128" t="n">
        <v>46029</v>
      </c>
      <c r="C71" s="127" t="inlineStr">
        <is>
          <t>Deposit from Raincity Tech</t>
        </is>
      </c>
      <c r="D71" s="127" t="inlineStr">
        <is>
          <t>REF-100090</t>
        </is>
      </c>
      <c r="E71" s="129" t="n">
        <v>5664.57</v>
      </c>
      <c r="F71" s="129" t="n">
        <v>0</v>
      </c>
      <c r="G71" s="129" t="n">
        <v>5664.57</v>
      </c>
      <c r="H71" s="127" t="inlineStr">
        <is>
          <t>Imported</t>
        </is>
      </c>
    </row>
    <row r="72">
      <c r="A72" s="115" t="inlineStr">
        <is>
          <t>BANK-1120</t>
        </is>
      </c>
      <c r="B72" s="125" t="n">
        <v>46029</v>
      </c>
      <c r="C72" s="115" t="inlineStr">
        <is>
          <t>Manual GL entry</t>
        </is>
      </c>
      <c r="D72" s="115" t="inlineStr">
        <is>
          <t>REF-100145</t>
        </is>
      </c>
      <c r="E72" s="126" t="n">
        <v>0</v>
      </c>
      <c r="F72" s="126" t="n">
        <v>382.31</v>
      </c>
      <c r="G72" s="126" t="n">
        <v>-382.31</v>
      </c>
      <c r="H72" s="115" t="inlineStr">
        <is>
          <t>Imported</t>
        </is>
      </c>
    </row>
    <row r="73">
      <c r="A73" s="127" t="inlineStr">
        <is>
          <t>BANK-1150</t>
        </is>
      </c>
      <c r="B73" s="128" t="n">
        <v>46029</v>
      </c>
      <c r="C73" s="127" t="inlineStr">
        <is>
          <t>Deposit from Harbour Design Co.</t>
        </is>
      </c>
      <c r="D73" s="127" t="inlineStr">
        <is>
          <t>REF-100178</t>
        </is>
      </c>
      <c r="E73" s="129" t="n">
        <v>6158.54</v>
      </c>
      <c r="F73" s="129" t="n">
        <v>0</v>
      </c>
      <c r="G73" s="129" t="n">
        <v>6158.54</v>
      </c>
      <c r="H73" s="127" t="inlineStr">
        <is>
          <t>Imported</t>
        </is>
      </c>
    </row>
    <row r="74">
      <c r="A74" s="115" t="inlineStr">
        <is>
          <t>BANK-1169</t>
        </is>
      </c>
      <c r="B74" s="125" t="n">
        <v>46029</v>
      </c>
      <c r="C74" s="115" t="inlineStr">
        <is>
          <t>Monthly bank service charge</t>
        </is>
      </c>
      <c r="D74" s="115" t="inlineStr">
        <is>
          <t>REF-100205</t>
        </is>
      </c>
      <c r="E74" s="126" t="n">
        <v>0</v>
      </c>
      <c r="F74" s="126" t="n">
        <v>37.84</v>
      </c>
      <c r="G74" s="126" t="n">
        <v>-37.84</v>
      </c>
      <c r="H74" s="115" t="inlineStr">
        <is>
          <t>Imported</t>
        </is>
      </c>
    </row>
    <row r="75">
      <c r="A75" s="127" t="inlineStr">
        <is>
          <t>BANK-1233</t>
        </is>
      </c>
      <c r="B75" s="128" t="n">
        <v>46029</v>
      </c>
      <c r="C75" s="127" t="inlineStr">
        <is>
          <t>Payroll payment</t>
        </is>
      </c>
      <c r="D75" s="127" t="inlineStr">
        <is>
          <t>REF-100285</t>
        </is>
      </c>
      <c r="E75" s="129" t="n">
        <v>0</v>
      </c>
      <c r="F75" s="129" t="n">
        <v>6376.21</v>
      </c>
      <c r="G75" s="129" t="n">
        <v>-6376.21</v>
      </c>
      <c r="H75" s="127" t="inlineStr">
        <is>
          <t>Imported</t>
        </is>
      </c>
    </row>
    <row r="76">
      <c r="A76" s="115" t="inlineStr">
        <is>
          <t>BANK-1291</t>
        </is>
      </c>
      <c r="B76" s="125" t="n">
        <v>46029</v>
      </c>
      <c r="C76" s="115" t="inlineStr">
        <is>
          <t>Monthly bank service charge</t>
        </is>
      </c>
      <c r="D76" s="115" t="inlineStr">
        <is>
          <t>REF-100353</t>
        </is>
      </c>
      <c r="E76" s="126" t="n">
        <v>0</v>
      </c>
      <c r="F76" s="126" t="n">
        <v>22.87</v>
      </c>
      <c r="G76" s="126" t="n">
        <v>-22.87</v>
      </c>
      <c r="H76" s="115" t="inlineStr">
        <is>
          <t>Imported</t>
        </is>
      </c>
    </row>
    <row r="77">
      <c r="A77" s="127" t="inlineStr">
        <is>
          <t>BANK-1298</t>
        </is>
      </c>
      <c r="B77" s="128" t="n">
        <v>46029</v>
      </c>
      <c r="C77" s="127" t="inlineStr">
        <is>
          <t>Monthly bank service charge</t>
        </is>
      </c>
      <c r="D77" s="127" t="inlineStr">
        <is>
          <t>REF-100360</t>
        </is>
      </c>
      <c r="E77" s="129" t="n">
        <v>0</v>
      </c>
      <c r="F77" s="129" t="n">
        <v>103.61</v>
      </c>
      <c r="G77" s="129" t="n">
        <v>-103.61</v>
      </c>
      <c r="H77" s="127" t="inlineStr">
        <is>
          <t>Imported</t>
        </is>
      </c>
    </row>
    <row r="78">
      <c r="A78" s="115" t="inlineStr">
        <is>
          <t>BANK-1321</t>
        </is>
      </c>
      <c r="B78" s="125" t="n">
        <v>46029</v>
      </c>
      <c r="C78" s="115" t="inlineStr">
        <is>
          <t>Payroll payment</t>
        </is>
      </c>
      <c r="D78" s="115" t="inlineStr">
        <is>
          <t>REF-100389</t>
        </is>
      </c>
      <c r="E78" s="126" t="n">
        <v>0</v>
      </c>
      <c r="F78" s="126" t="n">
        <v>7441.01</v>
      </c>
      <c r="G78" s="126" t="n">
        <v>-7441.01</v>
      </c>
      <c r="H78" s="115" t="inlineStr">
        <is>
          <t>Imported</t>
        </is>
      </c>
    </row>
    <row r="79">
      <c r="A79" s="127" t="inlineStr">
        <is>
          <t>BANK-1332</t>
        </is>
      </c>
      <c r="B79" s="128" t="n">
        <v>46029</v>
      </c>
      <c r="C79" s="127" t="inlineStr">
        <is>
          <t>Deposit from Granville Medical</t>
        </is>
      </c>
      <c r="D79" s="127" t="inlineStr">
        <is>
          <t>REF-100401</t>
        </is>
      </c>
      <c r="E79" s="129" t="n">
        <v>1461.82</v>
      </c>
      <c r="F79" s="129" t="n">
        <v>0</v>
      </c>
      <c r="G79" s="129" t="n">
        <v>1461.82</v>
      </c>
      <c r="H79" s="127" t="inlineStr">
        <is>
          <t>Imported</t>
        </is>
      </c>
    </row>
    <row r="80">
      <c r="A80" s="115" t="inlineStr">
        <is>
          <t>BANK-1361</t>
        </is>
      </c>
      <c r="B80" s="125" t="n">
        <v>46029</v>
      </c>
      <c r="C80" s="115" t="inlineStr">
        <is>
          <t>Deposit from Harbour Design Co.</t>
        </is>
      </c>
      <c r="D80" s="115" t="inlineStr">
        <is>
          <t>REF-100436</t>
        </is>
      </c>
      <c r="E80" s="126" t="n">
        <v>3336.94</v>
      </c>
      <c r="F80" s="126" t="n">
        <v>0</v>
      </c>
      <c r="G80" s="126" t="n">
        <v>3336.94</v>
      </c>
      <c r="H80" s="115" t="inlineStr">
        <is>
          <t>Imported</t>
        </is>
      </c>
    </row>
    <row r="81">
      <c r="A81" s="127" t="inlineStr">
        <is>
          <t>BANK-1362</t>
        </is>
      </c>
      <c r="B81" s="128" t="n">
        <v>46029</v>
      </c>
      <c r="C81" s="127" t="inlineStr">
        <is>
          <t>Payment to Amazon Business</t>
        </is>
      </c>
      <c r="D81" s="127" t="inlineStr">
        <is>
          <t>REF-100437</t>
        </is>
      </c>
      <c r="E81" s="129" t="n">
        <v>0</v>
      </c>
      <c r="F81" s="129" t="n">
        <v>5544.21</v>
      </c>
      <c r="G81" s="129" t="n">
        <v>-5544.21</v>
      </c>
      <c r="H81" s="127" t="inlineStr">
        <is>
          <t>Imported</t>
        </is>
      </c>
    </row>
    <row r="82">
      <c r="A82" s="115" t="inlineStr">
        <is>
          <t>BANK-1369</t>
        </is>
      </c>
      <c r="B82" s="125" t="n">
        <v>46029</v>
      </c>
      <c r="C82" s="115" t="inlineStr">
        <is>
          <t>Manual GL entry</t>
        </is>
      </c>
      <c r="D82" s="115" t="inlineStr">
        <is>
          <t>REF-100447</t>
        </is>
      </c>
      <c r="E82" s="126" t="n">
        <v>0</v>
      </c>
      <c r="F82" s="126" t="n">
        <v>290.51</v>
      </c>
      <c r="G82" s="126" t="n">
        <v>-290.51</v>
      </c>
      <c r="H82" s="115" t="inlineStr">
        <is>
          <t>Imported</t>
        </is>
      </c>
    </row>
    <row r="83">
      <c r="A83" s="127" t="inlineStr">
        <is>
          <t>BANK-1377</t>
        </is>
      </c>
      <c r="B83" s="128" t="n">
        <v>46029</v>
      </c>
      <c r="C83" s="127" t="inlineStr">
        <is>
          <t>Payroll payment</t>
        </is>
      </c>
      <c r="D83" s="127" t="inlineStr">
        <is>
          <t>REF-100456</t>
        </is>
      </c>
      <c r="E83" s="129" t="n">
        <v>0</v>
      </c>
      <c r="F83" s="129" t="n">
        <v>3847.79</v>
      </c>
      <c r="G83" s="129" t="n">
        <v>-3847.79</v>
      </c>
      <c r="H83" s="127" t="inlineStr">
        <is>
          <t>Imported</t>
        </is>
      </c>
    </row>
    <row r="84">
      <c r="A84" s="115" t="inlineStr">
        <is>
          <t>BANK-1383</t>
        </is>
      </c>
      <c r="B84" s="125" t="n">
        <v>46029</v>
      </c>
      <c r="C84" s="115" t="inlineStr">
        <is>
          <t>Deposit from West Van Fitness</t>
        </is>
      </c>
      <c r="D84" s="115" t="inlineStr">
        <is>
          <t>REF-100465</t>
        </is>
      </c>
      <c r="E84" s="126" t="n">
        <v>5521.7</v>
      </c>
      <c r="F84" s="126" t="n">
        <v>0</v>
      </c>
      <c r="G84" s="126" t="n">
        <v>5521.7</v>
      </c>
      <c r="H84" s="115" t="inlineStr">
        <is>
          <t>Imported</t>
        </is>
      </c>
    </row>
    <row r="85">
      <c r="A85" s="127" t="inlineStr">
        <is>
          <t>BANK-1391</t>
        </is>
      </c>
      <c r="B85" s="128" t="n">
        <v>46029</v>
      </c>
      <c r="C85" s="127" t="inlineStr">
        <is>
          <t>Manual GL entry</t>
        </is>
      </c>
      <c r="D85" s="127" t="inlineStr">
        <is>
          <t>REF-100475</t>
        </is>
      </c>
      <c r="E85" s="129" t="n">
        <v>0</v>
      </c>
      <c r="F85" s="129" t="n">
        <v>562.59</v>
      </c>
      <c r="G85" s="129" t="n">
        <v>-562.59</v>
      </c>
      <c r="H85" s="127" t="inlineStr">
        <is>
          <t>Imported</t>
        </is>
      </c>
    </row>
    <row r="86">
      <c r="A86" s="115" t="inlineStr">
        <is>
          <t>BANK-1419</t>
        </is>
      </c>
      <c r="B86" s="125" t="n">
        <v>46029</v>
      </c>
      <c r="C86" s="115" t="inlineStr">
        <is>
          <t>Bank item not posted in ERP</t>
        </is>
      </c>
      <c r="D86" s="115" t="inlineStr">
        <is>
          <t>BANKONLY-0008</t>
        </is>
      </c>
      <c r="E86" s="126" t="n">
        <v>1040.45</v>
      </c>
      <c r="F86" s="126" t="n">
        <v>0</v>
      </c>
      <c r="G86" s="126" t="n">
        <v>1040.45</v>
      </c>
      <c r="H86" s="115" t="inlineStr">
        <is>
          <t>Needs ERP Review</t>
        </is>
      </c>
    </row>
    <row r="87">
      <c r="A87" s="127" t="inlineStr">
        <is>
          <t>BANK-1421</t>
        </is>
      </c>
      <c r="B87" s="128" t="n">
        <v>46029</v>
      </c>
      <c r="C87" s="127" t="inlineStr">
        <is>
          <t>Bank item not posted in ERP</t>
        </is>
      </c>
      <c r="D87" s="127" t="inlineStr">
        <is>
          <t>BANKONLY-0010</t>
        </is>
      </c>
      <c r="E87" s="129" t="n">
        <v>299.84</v>
      </c>
      <c r="F87" s="129" t="n">
        <v>0</v>
      </c>
      <c r="G87" s="129" t="n">
        <v>299.84</v>
      </c>
      <c r="H87" s="127" t="inlineStr">
        <is>
          <t>Needs ERP Review</t>
        </is>
      </c>
    </row>
    <row r="88">
      <c r="A88" s="115" t="inlineStr">
        <is>
          <t>BANK-1425</t>
        </is>
      </c>
      <c r="B88" s="125" t="n">
        <v>46029</v>
      </c>
      <c r="C88" s="115" t="inlineStr">
        <is>
          <t>Bank item not posted in ERP</t>
        </is>
      </c>
      <c r="D88" s="115" t="inlineStr">
        <is>
          <t>BANKONLY-0014</t>
        </is>
      </c>
      <c r="E88" s="126" t="n">
        <v>0</v>
      </c>
      <c r="F88" s="126" t="n">
        <v>1818.09</v>
      </c>
      <c r="G88" s="126" t="n">
        <v>-1818.09</v>
      </c>
      <c r="H88" s="115" t="inlineStr">
        <is>
          <t>Needs ERP Review</t>
        </is>
      </c>
    </row>
    <row r="89">
      <c r="A89" s="127" t="inlineStr">
        <is>
          <t>BANK-1101</t>
        </is>
      </c>
      <c r="B89" s="128" t="n">
        <v>46030</v>
      </c>
      <c r="C89" s="127" t="inlineStr">
        <is>
          <t>Deposit from Granville Medical</t>
        </is>
      </c>
      <c r="D89" s="127" t="inlineStr">
        <is>
          <t>REF-100119</t>
        </is>
      </c>
      <c r="E89" s="129" t="n">
        <v>5914.12</v>
      </c>
      <c r="F89" s="129" t="n">
        <v>0</v>
      </c>
      <c r="G89" s="129" t="n">
        <v>5914.12</v>
      </c>
      <c r="H89" s="127" t="inlineStr">
        <is>
          <t>Imported</t>
        </is>
      </c>
    </row>
    <row r="90">
      <c r="A90" s="115" t="inlineStr">
        <is>
          <t>BANK-1104</t>
        </is>
      </c>
      <c r="B90" s="125" t="n">
        <v>46030</v>
      </c>
      <c r="C90" s="115" t="inlineStr">
        <is>
          <t>Deposit from Raincity Tech</t>
        </is>
      </c>
      <c r="D90" s="115" t="inlineStr">
        <is>
          <t>REF-100122</t>
        </is>
      </c>
      <c r="E90" s="126" t="n">
        <v>1978.69</v>
      </c>
      <c r="F90" s="126" t="n">
        <v>0</v>
      </c>
      <c r="G90" s="126" t="n">
        <v>1978.69</v>
      </c>
      <c r="H90" s="115" t="inlineStr">
        <is>
          <t>Imported</t>
        </is>
      </c>
    </row>
    <row r="91">
      <c r="A91" s="127" t="inlineStr">
        <is>
          <t>BANK-1108</t>
        </is>
      </c>
      <c r="B91" s="128" t="n">
        <v>46030</v>
      </c>
      <c r="C91" s="127" t="inlineStr">
        <is>
          <t>Deposit from Harbour Design Co.</t>
        </is>
      </c>
      <c r="D91" s="127" t="inlineStr">
        <is>
          <t>REF-100129</t>
        </is>
      </c>
      <c r="E91" s="129" t="n">
        <v>7029.19</v>
      </c>
      <c r="F91" s="129" t="n">
        <v>0</v>
      </c>
      <c r="G91" s="129" t="n">
        <v>7029.19</v>
      </c>
      <c r="H91" s="127" t="inlineStr">
        <is>
          <t>Imported</t>
        </is>
      </c>
    </row>
    <row r="92">
      <c r="A92" s="115" t="inlineStr">
        <is>
          <t>BANK-1113</t>
        </is>
      </c>
      <c r="B92" s="125" t="n">
        <v>46030</v>
      </c>
      <c r="C92" s="115" t="inlineStr">
        <is>
          <t>Payment to North Shore Telecom</t>
        </is>
      </c>
      <c r="D92" s="115" t="inlineStr">
        <is>
          <t>REF-100136</t>
        </is>
      </c>
      <c r="E92" s="126" t="n">
        <v>0</v>
      </c>
      <c r="F92" s="126" t="n">
        <v>4906.5</v>
      </c>
      <c r="G92" s="126" t="n">
        <v>-4906.5</v>
      </c>
      <c r="H92" s="115" t="inlineStr">
        <is>
          <t>Imported</t>
        </is>
      </c>
    </row>
    <row r="93">
      <c r="A93" s="127" t="inlineStr">
        <is>
          <t>BANK-1263</t>
        </is>
      </c>
      <c r="B93" s="128" t="n">
        <v>46030</v>
      </c>
      <c r="C93" s="127" t="inlineStr">
        <is>
          <t>Payment to North Shore Telecom</t>
        </is>
      </c>
      <c r="D93" s="127" t="inlineStr">
        <is>
          <t>REF-100322</t>
        </is>
      </c>
      <c r="E93" s="129" t="n">
        <v>0</v>
      </c>
      <c r="F93" s="129" t="n">
        <v>2364.63</v>
      </c>
      <c r="G93" s="129" t="n">
        <v>-2364.63</v>
      </c>
      <c r="H93" s="127" t="inlineStr">
        <is>
          <t>Imported</t>
        </is>
      </c>
    </row>
    <row r="94">
      <c r="A94" s="115" t="inlineStr">
        <is>
          <t>BANK-1275</t>
        </is>
      </c>
      <c r="B94" s="125" t="n">
        <v>46030</v>
      </c>
      <c r="C94" s="115" t="inlineStr">
        <is>
          <t>Deposit from Maple Retail Group</t>
        </is>
      </c>
      <c r="D94" s="115" t="inlineStr">
        <is>
          <t>REF-100335</t>
        </is>
      </c>
      <c r="E94" s="126" t="n">
        <v>3513.8</v>
      </c>
      <c r="F94" s="126" t="n">
        <v>0</v>
      </c>
      <c r="G94" s="126" t="n">
        <v>3513.8</v>
      </c>
      <c r="H94" s="115" t="inlineStr">
        <is>
          <t>Imported</t>
        </is>
      </c>
    </row>
    <row r="95">
      <c r="A95" s="127" t="inlineStr">
        <is>
          <t>BANK-1311</t>
        </is>
      </c>
      <c r="B95" s="128" t="n">
        <v>46030</v>
      </c>
      <c r="C95" s="127" t="inlineStr">
        <is>
          <t>Payroll payment</t>
        </is>
      </c>
      <c r="D95" s="127" t="inlineStr">
        <is>
          <t>REF-100378</t>
        </is>
      </c>
      <c r="E95" s="129" t="n">
        <v>0</v>
      </c>
      <c r="F95" s="129" t="n">
        <v>14475.66</v>
      </c>
      <c r="G95" s="129" t="n">
        <v>-14475.66</v>
      </c>
      <c r="H95" s="127" t="inlineStr">
        <is>
          <t>Imported</t>
        </is>
      </c>
    </row>
    <row r="96">
      <c r="A96" s="115" t="inlineStr">
        <is>
          <t>BANK-1367</t>
        </is>
      </c>
      <c r="B96" s="125" t="n">
        <v>46030</v>
      </c>
      <c r="C96" s="115" t="inlineStr">
        <is>
          <t>Monthly bank service charge</t>
        </is>
      </c>
      <c r="D96" s="115" t="inlineStr">
        <is>
          <t>REF-100443</t>
        </is>
      </c>
      <c r="E96" s="126" t="n">
        <v>0</v>
      </c>
      <c r="F96" s="126" t="n">
        <v>57.43</v>
      </c>
      <c r="G96" s="126" t="n">
        <v>-57.43</v>
      </c>
      <c r="H96" s="115" t="inlineStr">
        <is>
          <t>Imported</t>
        </is>
      </c>
    </row>
    <row r="97">
      <c r="A97" s="127" t="inlineStr">
        <is>
          <t>BANK-1024</t>
        </is>
      </c>
      <c r="B97" s="128" t="n">
        <v>46031</v>
      </c>
      <c r="C97" s="127" t="inlineStr">
        <is>
          <t>Deposit from Maple Retail Group</t>
        </is>
      </c>
      <c r="D97" s="127" t="inlineStr">
        <is>
          <t>REF-100027</t>
        </is>
      </c>
      <c r="E97" s="129" t="n">
        <v>3850.14</v>
      </c>
      <c r="F97" s="129" t="n">
        <v>0</v>
      </c>
      <c r="G97" s="129" t="n">
        <v>3850.14</v>
      </c>
      <c r="H97" s="127" t="inlineStr">
        <is>
          <t>Imported</t>
        </is>
      </c>
    </row>
    <row r="98">
      <c r="A98" s="115" t="inlineStr">
        <is>
          <t>BANK-1054</t>
        </is>
      </c>
      <c r="B98" s="125" t="n">
        <v>46031</v>
      </c>
      <c r="C98" s="115" t="inlineStr">
        <is>
          <t>Deposit from Harbour Design Co.</t>
        </is>
      </c>
      <c r="D98" s="115" t="inlineStr">
        <is>
          <t>REF-100061</t>
        </is>
      </c>
      <c r="E98" s="126" t="n">
        <v>2535.83</v>
      </c>
      <c r="F98" s="126" t="n">
        <v>0</v>
      </c>
      <c r="G98" s="126" t="n">
        <v>2535.83</v>
      </c>
      <c r="H98" s="115" t="inlineStr">
        <is>
          <t>Imported</t>
        </is>
      </c>
    </row>
    <row r="99">
      <c r="A99" s="127" t="inlineStr">
        <is>
          <t>BANK-1153</t>
        </is>
      </c>
      <c r="B99" s="128" t="n">
        <v>46031</v>
      </c>
      <c r="C99" s="127" t="inlineStr">
        <is>
          <t>Payroll payment</t>
        </is>
      </c>
      <c r="D99" s="127" t="inlineStr">
        <is>
          <t>REF-100185</t>
        </is>
      </c>
      <c r="E99" s="129" t="n">
        <v>0</v>
      </c>
      <c r="F99" s="129" t="n">
        <v>11924.43</v>
      </c>
      <c r="G99" s="129" t="n">
        <v>-11924.43</v>
      </c>
      <c r="H99" s="127" t="inlineStr">
        <is>
          <t>Imported</t>
        </is>
      </c>
    </row>
    <row r="100">
      <c r="A100" s="115" t="inlineStr">
        <is>
          <t>BANK-1164</t>
        </is>
      </c>
      <c r="B100" s="125" t="n">
        <v>46031</v>
      </c>
      <c r="C100" s="115" t="inlineStr">
        <is>
          <t>Payment to Metro Cleaning Ltd.</t>
        </is>
      </c>
      <c r="D100" s="115" t="inlineStr">
        <is>
          <t>REF-100198</t>
        </is>
      </c>
      <c r="E100" s="126" t="n">
        <v>0</v>
      </c>
      <c r="F100" s="126" t="n">
        <v>4124.83</v>
      </c>
      <c r="G100" s="126" t="n">
        <v>-4124.83</v>
      </c>
      <c r="H100" s="115" t="inlineStr">
        <is>
          <t>Imported</t>
        </is>
      </c>
    </row>
    <row r="101">
      <c r="A101" s="127" t="inlineStr">
        <is>
          <t>BANK-1165</t>
        </is>
      </c>
      <c r="B101" s="128" t="n">
        <v>46031</v>
      </c>
      <c r="C101" s="127" t="inlineStr">
        <is>
          <t>Deposit from Maple Retail Group</t>
        </is>
      </c>
      <c r="D101" s="127" t="inlineStr">
        <is>
          <t>REF-100200</t>
        </is>
      </c>
      <c r="E101" s="129" t="n">
        <v>776.59</v>
      </c>
      <c r="F101" s="129" t="n">
        <v>0</v>
      </c>
      <c r="G101" s="129" t="n">
        <v>776.59</v>
      </c>
      <c r="H101" s="127" t="inlineStr">
        <is>
          <t>Imported</t>
        </is>
      </c>
    </row>
    <row r="102">
      <c r="A102" s="115" t="inlineStr">
        <is>
          <t>BANK-1295</t>
        </is>
      </c>
      <c r="B102" s="125" t="n">
        <v>46031</v>
      </c>
      <c r="C102" s="115" t="inlineStr">
        <is>
          <t>Manual GL entry</t>
        </is>
      </c>
      <c r="D102" s="115" t="inlineStr">
        <is>
          <t>REF-100357</t>
        </is>
      </c>
      <c r="E102" s="126" t="n">
        <v>1708.3</v>
      </c>
      <c r="F102" s="126" t="n">
        <v>0</v>
      </c>
      <c r="G102" s="126" t="n">
        <v>1708.3</v>
      </c>
      <c r="H102" s="115" t="inlineStr">
        <is>
          <t>Imported</t>
        </is>
      </c>
    </row>
    <row r="103">
      <c r="A103" s="127" t="inlineStr">
        <is>
          <t>BANK-1305</t>
        </is>
      </c>
      <c r="B103" s="128" t="n">
        <v>46031</v>
      </c>
      <c r="C103" s="127" t="inlineStr">
        <is>
          <t>Payment to North Shore Telecom</t>
        </is>
      </c>
      <c r="D103" s="127" t="inlineStr">
        <is>
          <t>REF-100371</t>
        </is>
      </c>
      <c r="E103" s="129" t="n">
        <v>0</v>
      </c>
      <c r="F103" s="129" t="n">
        <v>913</v>
      </c>
      <c r="G103" s="129" t="n">
        <v>-913</v>
      </c>
      <c r="H103" s="127" t="inlineStr">
        <is>
          <t>Imported</t>
        </is>
      </c>
    </row>
    <row r="104">
      <c r="A104" s="115" t="inlineStr">
        <is>
          <t>BANK-1346</t>
        </is>
      </c>
      <c r="B104" s="125" t="n">
        <v>46031</v>
      </c>
      <c r="C104" s="115" t="inlineStr">
        <is>
          <t>Payment to BC Hydro</t>
        </is>
      </c>
      <c r="D104" s="115" t="inlineStr">
        <is>
          <t>REF-100418</t>
        </is>
      </c>
      <c r="E104" s="126" t="n">
        <v>0</v>
      </c>
      <c r="F104" s="126" t="n">
        <v>3782.47</v>
      </c>
      <c r="G104" s="126" t="n">
        <v>-3782.47</v>
      </c>
      <c r="H104" s="115" t="inlineStr">
        <is>
          <t>Imported</t>
        </is>
      </c>
    </row>
    <row r="105">
      <c r="A105" s="127" t="inlineStr">
        <is>
          <t>BANK-1371</t>
        </is>
      </c>
      <c r="B105" s="128" t="n">
        <v>46031</v>
      </c>
      <c r="C105" s="127" t="inlineStr">
        <is>
          <t>Deposit from Harbour Design Co.</t>
        </is>
      </c>
      <c r="D105" s="127" t="inlineStr">
        <is>
          <t>REF-100449</t>
        </is>
      </c>
      <c r="E105" s="129" t="n">
        <v>1295.32</v>
      </c>
      <c r="F105" s="129" t="n">
        <v>0</v>
      </c>
      <c r="G105" s="129" t="n">
        <v>1295.32</v>
      </c>
      <c r="H105" s="127" t="inlineStr">
        <is>
          <t>Imported</t>
        </is>
      </c>
    </row>
    <row r="106">
      <c r="A106" s="115" t="inlineStr">
        <is>
          <t>BANK-1378</t>
        </is>
      </c>
      <c r="B106" s="125" t="n">
        <v>46031</v>
      </c>
      <c r="C106" s="115" t="inlineStr">
        <is>
          <t>Payroll payment</t>
        </is>
      </c>
      <c r="D106" s="115" t="inlineStr">
        <is>
          <t>REF-100457</t>
        </is>
      </c>
      <c r="E106" s="126" t="n">
        <v>0</v>
      </c>
      <c r="F106" s="126" t="n">
        <v>12503.59</v>
      </c>
      <c r="G106" s="126" t="n">
        <v>-12503.59</v>
      </c>
      <c r="H106" s="115" t="inlineStr">
        <is>
          <t>Imported</t>
        </is>
      </c>
    </row>
    <row r="107">
      <c r="A107" s="127" t="inlineStr">
        <is>
          <t>BANK-1435</t>
        </is>
      </c>
      <c r="B107" s="128" t="n">
        <v>46031</v>
      </c>
      <c r="C107" s="127" t="inlineStr">
        <is>
          <t>Bank item not posted in ERP</t>
        </is>
      </c>
      <c r="D107" s="127" t="inlineStr">
        <is>
          <t>BANKONLY-0024</t>
        </is>
      </c>
      <c r="E107" s="129" t="n">
        <v>2102.67</v>
      </c>
      <c r="F107" s="129" t="n">
        <v>0</v>
      </c>
      <c r="G107" s="129" t="n">
        <v>2102.67</v>
      </c>
      <c r="H107" s="127" t="inlineStr">
        <is>
          <t>Needs ERP Review</t>
        </is>
      </c>
    </row>
    <row r="108">
      <c r="A108" s="115" t="inlineStr">
        <is>
          <t>BANK-1441</t>
        </is>
      </c>
      <c r="B108" s="125" t="n">
        <v>46031</v>
      </c>
      <c r="C108" s="115" t="inlineStr">
        <is>
          <t>Bank item not posted in ERP</t>
        </is>
      </c>
      <c r="D108" s="115" t="inlineStr">
        <is>
          <t>BANKONLY-0030</t>
        </is>
      </c>
      <c r="E108" s="126" t="n">
        <v>1837.86</v>
      </c>
      <c r="F108" s="126" t="n">
        <v>0</v>
      </c>
      <c r="G108" s="126" t="n">
        <v>1837.86</v>
      </c>
      <c r="H108" s="115" t="inlineStr">
        <is>
          <t>Needs ERP Review</t>
        </is>
      </c>
    </row>
    <row r="109">
      <c r="A109" s="127" t="inlineStr">
        <is>
          <t>BANK-1010</t>
        </is>
      </c>
      <c r="B109" s="128" t="n">
        <v>46032</v>
      </c>
      <c r="C109" s="127" t="inlineStr">
        <is>
          <t>Deposit from Harbour Design Co.</t>
        </is>
      </c>
      <c r="D109" s="127" t="inlineStr">
        <is>
          <t>REF-100013</t>
        </is>
      </c>
      <c r="E109" s="129" t="n">
        <v>3675.04</v>
      </c>
      <c r="F109" s="129" t="n">
        <v>0</v>
      </c>
      <c r="G109" s="129" t="n">
        <v>3675.04</v>
      </c>
      <c r="H109" s="127" t="inlineStr">
        <is>
          <t>Imported</t>
        </is>
      </c>
    </row>
    <row r="110">
      <c r="A110" s="115" t="inlineStr">
        <is>
          <t>BANK-1013</t>
        </is>
      </c>
      <c r="B110" s="125" t="n">
        <v>46032</v>
      </c>
      <c r="C110" s="115" t="inlineStr">
        <is>
          <t>Payroll payment</t>
        </is>
      </c>
      <c r="D110" s="115" t="inlineStr">
        <is>
          <t>REF-100016</t>
        </is>
      </c>
      <c r="E110" s="126" t="n">
        <v>0</v>
      </c>
      <c r="F110" s="126" t="n">
        <v>9861.110000000001</v>
      </c>
      <c r="G110" s="126" t="n">
        <v>-9861.110000000001</v>
      </c>
      <c r="H110" s="115" t="inlineStr">
        <is>
          <t>Imported</t>
        </is>
      </c>
    </row>
    <row r="111">
      <c r="A111" s="127" t="inlineStr">
        <is>
          <t>BANK-1027</t>
        </is>
      </c>
      <c r="B111" s="128" t="n">
        <v>46032</v>
      </c>
      <c r="C111" s="127" t="inlineStr">
        <is>
          <t>Payment to Pacific Office Supplies</t>
        </is>
      </c>
      <c r="D111" s="127" t="inlineStr">
        <is>
          <t>REF-100030</t>
        </is>
      </c>
      <c r="E111" s="129" t="n">
        <v>0</v>
      </c>
      <c r="F111" s="129" t="n">
        <v>3633.33</v>
      </c>
      <c r="G111" s="129" t="n">
        <v>-3633.33</v>
      </c>
      <c r="H111" s="127" t="inlineStr">
        <is>
          <t>Imported</t>
        </is>
      </c>
    </row>
    <row r="112">
      <c r="A112" s="115" t="inlineStr">
        <is>
          <t>BANK-1071</t>
        </is>
      </c>
      <c r="B112" s="125" t="n">
        <v>46032</v>
      </c>
      <c r="C112" s="115" t="inlineStr">
        <is>
          <t>Deposit from Coastline Foods</t>
        </is>
      </c>
      <c r="D112" s="115" t="inlineStr">
        <is>
          <t>REF-100080</t>
        </is>
      </c>
      <c r="E112" s="126" t="n">
        <v>2706.82</v>
      </c>
      <c r="F112" s="126" t="n">
        <v>0</v>
      </c>
      <c r="G112" s="126" t="n">
        <v>2706.82</v>
      </c>
      <c r="H112" s="115" t="inlineStr">
        <is>
          <t>Imported</t>
        </is>
      </c>
    </row>
    <row r="113">
      <c r="A113" s="127" t="inlineStr">
        <is>
          <t>BANK-1074</t>
        </is>
      </c>
      <c r="B113" s="128" t="n">
        <v>46032</v>
      </c>
      <c r="C113" s="127" t="inlineStr">
        <is>
          <t>Payment to North Shore Telecom</t>
        </is>
      </c>
      <c r="D113" s="127" t="inlineStr">
        <is>
          <t>REF-100084</t>
        </is>
      </c>
      <c r="E113" s="129" t="n">
        <v>0</v>
      </c>
      <c r="F113" s="129" t="n">
        <v>1929.88</v>
      </c>
      <c r="G113" s="129" t="n">
        <v>-1929.88</v>
      </c>
      <c r="H113" s="127" t="inlineStr">
        <is>
          <t>Imported</t>
        </is>
      </c>
    </row>
    <row r="114">
      <c r="A114" s="115" t="inlineStr">
        <is>
          <t>BANK-1095</t>
        </is>
      </c>
      <c r="B114" s="125" t="n">
        <v>46032</v>
      </c>
      <c r="C114" s="115" t="inlineStr">
        <is>
          <t>Deposit from West Van Fitness</t>
        </is>
      </c>
      <c r="D114" s="115" t="inlineStr">
        <is>
          <t>REF-100110</t>
        </is>
      </c>
      <c r="E114" s="126" t="n">
        <v>2934.66</v>
      </c>
      <c r="F114" s="126" t="n">
        <v>0</v>
      </c>
      <c r="G114" s="126" t="n">
        <v>2934.66</v>
      </c>
      <c r="H114" s="115" t="inlineStr">
        <is>
          <t>Imported</t>
        </is>
      </c>
    </row>
    <row r="115">
      <c r="A115" s="127" t="inlineStr">
        <is>
          <t>BANK-1137</t>
        </is>
      </c>
      <c r="B115" s="128" t="n">
        <v>46032</v>
      </c>
      <c r="C115" s="127" t="inlineStr">
        <is>
          <t>Manual GL entry</t>
        </is>
      </c>
      <c r="D115" s="127" t="inlineStr">
        <is>
          <t>REF-100163</t>
        </is>
      </c>
      <c r="E115" s="129" t="n">
        <v>0</v>
      </c>
      <c r="F115" s="129" t="n">
        <v>423</v>
      </c>
      <c r="G115" s="129" t="n">
        <v>-423</v>
      </c>
      <c r="H115" s="127" t="inlineStr">
        <is>
          <t>Imported</t>
        </is>
      </c>
    </row>
    <row r="116">
      <c r="A116" s="115" t="inlineStr">
        <is>
          <t>BANK-1145</t>
        </is>
      </c>
      <c r="B116" s="125" t="n">
        <v>46032</v>
      </c>
      <c r="C116" s="115" t="inlineStr">
        <is>
          <t>Monthly bank service charge</t>
        </is>
      </c>
      <c r="D116" s="115" t="inlineStr">
        <is>
          <t>REF-100173</t>
        </is>
      </c>
      <c r="E116" s="126" t="n">
        <v>0</v>
      </c>
      <c r="F116" s="126" t="n">
        <v>85.33</v>
      </c>
      <c r="G116" s="126" t="n">
        <v>-85.33</v>
      </c>
      <c r="H116" s="115" t="inlineStr">
        <is>
          <t>Imported</t>
        </is>
      </c>
    </row>
    <row r="117">
      <c r="A117" s="127" t="inlineStr">
        <is>
          <t>BANK-1157</t>
        </is>
      </c>
      <c r="B117" s="128" t="n">
        <v>46032</v>
      </c>
      <c r="C117" s="127" t="inlineStr">
        <is>
          <t>Deposit from West Van Fitness</t>
        </is>
      </c>
      <c r="D117" s="127" t="inlineStr">
        <is>
          <t>REF-100189</t>
        </is>
      </c>
      <c r="E117" s="129" t="n">
        <v>3096.01</v>
      </c>
      <c r="F117" s="129" t="n">
        <v>0</v>
      </c>
      <c r="G117" s="129" t="n">
        <v>3096.01</v>
      </c>
      <c r="H117" s="127" t="inlineStr">
        <is>
          <t>Imported</t>
        </is>
      </c>
    </row>
    <row r="118">
      <c r="A118" s="115" t="inlineStr">
        <is>
          <t>BANK-1162</t>
        </is>
      </c>
      <c r="B118" s="125" t="n">
        <v>46032</v>
      </c>
      <c r="C118" s="115" t="inlineStr">
        <is>
          <t>Deposit from West Van Fitness</t>
        </is>
      </c>
      <c r="D118" s="115" t="inlineStr">
        <is>
          <t>REF-100194</t>
        </is>
      </c>
      <c r="E118" s="126" t="n">
        <v>4102.89</v>
      </c>
      <c r="F118" s="126" t="n">
        <v>0</v>
      </c>
      <c r="G118" s="126" t="n">
        <v>4102.89</v>
      </c>
      <c r="H118" s="115" t="inlineStr">
        <is>
          <t>Imported</t>
        </is>
      </c>
    </row>
    <row r="119">
      <c r="A119" s="127" t="inlineStr">
        <is>
          <t>BANK-1203</t>
        </is>
      </c>
      <c r="B119" s="128" t="n">
        <v>46032</v>
      </c>
      <c r="C119" s="127" t="inlineStr">
        <is>
          <t>Deposit from West Van Fitness</t>
        </is>
      </c>
      <c r="D119" s="127" t="inlineStr">
        <is>
          <t>REF-100251</t>
        </is>
      </c>
      <c r="E119" s="129" t="n">
        <v>245.49</v>
      </c>
      <c r="F119" s="129" t="n">
        <v>0</v>
      </c>
      <c r="G119" s="129" t="n">
        <v>245.49</v>
      </c>
      <c r="H119" s="127" t="inlineStr">
        <is>
          <t>Imported</t>
        </is>
      </c>
    </row>
    <row r="120">
      <c r="A120" s="115" t="inlineStr">
        <is>
          <t>BANK-1214</t>
        </is>
      </c>
      <c r="B120" s="125" t="n">
        <v>46032</v>
      </c>
      <c r="C120" s="115" t="inlineStr">
        <is>
          <t>Payment to North Shore Telecom</t>
        </is>
      </c>
      <c r="D120" s="115" t="inlineStr">
        <is>
          <t>REF-100263</t>
        </is>
      </c>
      <c r="E120" s="126" t="n">
        <v>0</v>
      </c>
      <c r="F120" s="126" t="n">
        <v>5816.95</v>
      </c>
      <c r="G120" s="126" t="n">
        <v>-5816.95</v>
      </c>
      <c r="H120" s="115" t="inlineStr">
        <is>
          <t>Imported</t>
        </is>
      </c>
    </row>
    <row r="121">
      <c r="A121" s="127" t="inlineStr">
        <is>
          <t>BANK-1230</t>
        </is>
      </c>
      <c r="B121" s="128" t="n">
        <v>46032</v>
      </c>
      <c r="C121" s="127" t="inlineStr">
        <is>
          <t>Payment to Amazon Business</t>
        </is>
      </c>
      <c r="D121" s="127" t="inlineStr">
        <is>
          <t>REF-100282</t>
        </is>
      </c>
      <c r="E121" s="129" t="n">
        <v>0</v>
      </c>
      <c r="F121" s="129" t="n">
        <v>2870.78</v>
      </c>
      <c r="G121" s="129" t="n">
        <v>-2870.78</v>
      </c>
      <c r="H121" s="127" t="inlineStr">
        <is>
          <t>Imported</t>
        </is>
      </c>
    </row>
    <row r="122">
      <c r="A122" s="115" t="inlineStr">
        <is>
          <t>BANK-1238</t>
        </is>
      </c>
      <c r="B122" s="125" t="n">
        <v>46032</v>
      </c>
      <c r="C122" s="115" t="inlineStr">
        <is>
          <t>Payroll payment</t>
        </is>
      </c>
      <c r="D122" s="115" t="inlineStr">
        <is>
          <t>REF-100293</t>
        </is>
      </c>
      <c r="E122" s="126" t="n">
        <v>0</v>
      </c>
      <c r="F122" s="126" t="n">
        <v>7413.59</v>
      </c>
      <c r="G122" s="126" t="n">
        <v>-7413.59</v>
      </c>
      <c r="H122" s="115" t="inlineStr">
        <is>
          <t>Imported</t>
        </is>
      </c>
    </row>
    <row r="123">
      <c r="A123" s="127" t="inlineStr">
        <is>
          <t>BANK-1268</t>
        </is>
      </c>
      <c r="B123" s="128" t="n">
        <v>46032</v>
      </c>
      <c r="C123" s="127" t="inlineStr">
        <is>
          <t>Deposit from Maple Retail Group</t>
        </is>
      </c>
      <c r="D123" s="127" t="inlineStr">
        <is>
          <t>REF-100328</t>
        </is>
      </c>
      <c r="E123" s="129" t="n">
        <v>6496.03</v>
      </c>
      <c r="F123" s="129" t="n">
        <v>0</v>
      </c>
      <c r="G123" s="129" t="n">
        <v>6496.03</v>
      </c>
      <c r="H123" s="127" t="inlineStr">
        <is>
          <t>Imported</t>
        </is>
      </c>
    </row>
    <row r="124">
      <c r="A124" s="115" t="inlineStr">
        <is>
          <t>BANK-1287</t>
        </is>
      </c>
      <c r="B124" s="125" t="n">
        <v>46032</v>
      </c>
      <c r="C124" s="115" t="inlineStr">
        <is>
          <t>Deposit from Coastline Foods</t>
        </is>
      </c>
      <c r="D124" s="115" t="inlineStr">
        <is>
          <t>REF-100348</t>
        </is>
      </c>
      <c r="E124" s="126" t="n">
        <v>4282.31</v>
      </c>
      <c r="F124" s="126" t="n">
        <v>0</v>
      </c>
      <c r="G124" s="126" t="n">
        <v>4282.31</v>
      </c>
      <c r="H124" s="115" t="inlineStr">
        <is>
          <t>Imported</t>
        </is>
      </c>
    </row>
    <row r="125">
      <c r="A125" s="127" t="inlineStr">
        <is>
          <t>BANK-1306</t>
        </is>
      </c>
      <c r="B125" s="128" t="n">
        <v>46032</v>
      </c>
      <c r="C125" s="127" t="inlineStr">
        <is>
          <t>Deposit from West Van Fitness</t>
        </is>
      </c>
      <c r="D125" s="127" t="inlineStr">
        <is>
          <t>REF-100372</t>
        </is>
      </c>
      <c r="E125" s="129" t="n">
        <v>3141.7</v>
      </c>
      <c r="F125" s="129" t="n">
        <v>0</v>
      </c>
      <c r="G125" s="129" t="n">
        <v>3141.7</v>
      </c>
      <c r="H125" s="127" t="inlineStr">
        <is>
          <t>Imported</t>
        </is>
      </c>
    </row>
    <row r="126">
      <c r="A126" s="115" t="inlineStr">
        <is>
          <t>BANK-1356</t>
        </is>
      </c>
      <c r="B126" s="125" t="n">
        <v>46032</v>
      </c>
      <c r="C126" s="115" t="inlineStr">
        <is>
          <t>Payroll payment</t>
        </is>
      </c>
      <c r="D126" s="115" t="inlineStr">
        <is>
          <t>REF-100431</t>
        </is>
      </c>
      <c r="E126" s="126" t="n">
        <v>0</v>
      </c>
      <c r="F126" s="126" t="n">
        <v>8366.68</v>
      </c>
      <c r="G126" s="126" t="n">
        <v>-8366.68</v>
      </c>
      <c r="H126" s="115" t="inlineStr">
        <is>
          <t>Imported</t>
        </is>
      </c>
    </row>
    <row r="127">
      <c r="A127" s="127" t="inlineStr">
        <is>
          <t>BANK-1411</t>
        </is>
      </c>
      <c r="B127" s="128" t="n">
        <v>46032</v>
      </c>
      <c r="C127" s="127" t="inlineStr">
        <is>
          <t>Manual GL entry</t>
        </is>
      </c>
      <c r="D127" s="127" t="inlineStr">
        <is>
          <t>REF-100500</t>
        </is>
      </c>
      <c r="E127" s="129" t="n">
        <v>0</v>
      </c>
      <c r="F127" s="129" t="n">
        <v>1938</v>
      </c>
      <c r="G127" s="129" t="n">
        <v>-1938</v>
      </c>
      <c r="H127" s="127" t="inlineStr">
        <is>
          <t>Imported</t>
        </is>
      </c>
    </row>
    <row r="128">
      <c r="A128" s="115" t="inlineStr">
        <is>
          <t>BANK-1418</t>
        </is>
      </c>
      <c r="B128" s="125" t="n">
        <v>46032</v>
      </c>
      <c r="C128" s="115" t="inlineStr">
        <is>
          <t>Bank item not posted in ERP</t>
        </is>
      </c>
      <c r="D128" s="115" t="inlineStr">
        <is>
          <t>BANKONLY-0007</t>
        </is>
      </c>
      <c r="E128" s="126" t="n">
        <v>0</v>
      </c>
      <c r="F128" s="126" t="n">
        <v>536.98</v>
      </c>
      <c r="G128" s="126" t="n">
        <v>-536.98</v>
      </c>
      <c r="H128" s="115" t="inlineStr">
        <is>
          <t>Needs ERP Review</t>
        </is>
      </c>
    </row>
    <row r="129">
      <c r="A129" s="127" t="inlineStr">
        <is>
          <t>BANK-1428</t>
        </is>
      </c>
      <c r="B129" s="128" t="n">
        <v>46032</v>
      </c>
      <c r="C129" s="127" t="inlineStr">
        <is>
          <t>Bank item not posted in ERP</t>
        </is>
      </c>
      <c r="D129" s="127" t="inlineStr">
        <is>
          <t>BANKONLY-0017</t>
        </is>
      </c>
      <c r="E129" s="129" t="n">
        <v>1554.5</v>
      </c>
      <c r="F129" s="129" t="n">
        <v>0</v>
      </c>
      <c r="G129" s="129" t="n">
        <v>1554.5</v>
      </c>
      <c r="H129" s="127" t="inlineStr">
        <is>
          <t>Needs ERP Review</t>
        </is>
      </c>
    </row>
    <row r="130">
      <c r="A130" s="115" t="inlineStr">
        <is>
          <t>BANK-1019</t>
        </is>
      </c>
      <c r="B130" s="125" t="n">
        <v>46033</v>
      </c>
      <c r="C130" s="115" t="inlineStr">
        <is>
          <t>Payment to Amazon Business</t>
        </is>
      </c>
      <c r="D130" s="115" t="inlineStr">
        <is>
          <t>REF-100022</t>
        </is>
      </c>
      <c r="E130" s="126" t="n">
        <v>0</v>
      </c>
      <c r="F130" s="126" t="n">
        <v>1488.3</v>
      </c>
      <c r="G130" s="126" t="n">
        <v>-1488.3</v>
      </c>
      <c r="H130" s="115" t="inlineStr">
        <is>
          <t>Imported</t>
        </is>
      </c>
    </row>
    <row r="131">
      <c r="A131" s="127" t="inlineStr">
        <is>
          <t>BANK-1146</t>
        </is>
      </c>
      <c r="B131" s="128" t="n">
        <v>46033</v>
      </c>
      <c r="C131" s="127" t="inlineStr">
        <is>
          <t>Deposit from Raincity Tech</t>
        </is>
      </c>
      <c r="D131" s="127" t="inlineStr">
        <is>
          <t>REF-100174</t>
        </is>
      </c>
      <c r="E131" s="129" t="n">
        <v>6940.09</v>
      </c>
      <c r="F131" s="129" t="n">
        <v>0</v>
      </c>
      <c r="G131" s="129" t="n">
        <v>6940.09</v>
      </c>
      <c r="H131" s="127" t="inlineStr">
        <is>
          <t>Imported</t>
        </is>
      </c>
    </row>
    <row r="132">
      <c r="A132" s="115" t="inlineStr">
        <is>
          <t>BANK-1167</t>
        </is>
      </c>
      <c r="B132" s="125" t="n">
        <v>46033</v>
      </c>
      <c r="C132" s="115" t="inlineStr">
        <is>
          <t>Deposit from Maple Retail Group</t>
        </is>
      </c>
      <c r="D132" s="115" t="inlineStr">
        <is>
          <t>REF-100203</t>
        </is>
      </c>
      <c r="E132" s="126" t="n">
        <v>4942.25</v>
      </c>
      <c r="F132" s="126" t="n">
        <v>0</v>
      </c>
      <c r="G132" s="126" t="n">
        <v>4942.25</v>
      </c>
      <c r="H132" s="115" t="inlineStr">
        <is>
          <t>Imported</t>
        </is>
      </c>
    </row>
    <row r="133">
      <c r="A133" s="127" t="inlineStr">
        <is>
          <t>BANK-1273</t>
        </is>
      </c>
      <c r="B133" s="128" t="n">
        <v>46033</v>
      </c>
      <c r="C133" s="127" t="inlineStr">
        <is>
          <t>Payroll payment</t>
        </is>
      </c>
      <c r="D133" s="127" t="inlineStr">
        <is>
          <t>REF-100333</t>
        </is>
      </c>
      <c r="E133" s="129" t="n">
        <v>0</v>
      </c>
      <c r="F133" s="129" t="n">
        <v>4339.88</v>
      </c>
      <c r="G133" s="129" t="n">
        <v>-4339.88</v>
      </c>
      <c r="H133" s="127" t="inlineStr">
        <is>
          <t>Imported</t>
        </is>
      </c>
    </row>
    <row r="134">
      <c r="A134" s="115" t="inlineStr">
        <is>
          <t>BANK-1280</t>
        </is>
      </c>
      <c r="B134" s="125" t="n">
        <v>46033</v>
      </c>
      <c r="C134" s="115" t="inlineStr">
        <is>
          <t>Payment to Metro Cleaning Ltd.</t>
        </is>
      </c>
      <c r="D134" s="115" t="inlineStr">
        <is>
          <t>REF-100340</t>
        </is>
      </c>
      <c r="E134" s="126" t="n">
        <v>0</v>
      </c>
      <c r="F134" s="126" t="n">
        <v>4146.79</v>
      </c>
      <c r="G134" s="126" t="n">
        <v>-4146.79</v>
      </c>
      <c r="H134" s="115" t="inlineStr">
        <is>
          <t>Imported</t>
        </is>
      </c>
    </row>
    <row r="135">
      <c r="A135" s="127" t="inlineStr">
        <is>
          <t>BANK-1284</t>
        </is>
      </c>
      <c r="B135" s="128" t="n">
        <v>46033</v>
      </c>
      <c r="C135" s="127" t="inlineStr">
        <is>
          <t>Deposit from Harbour Design Co.</t>
        </is>
      </c>
      <c r="D135" s="127" t="inlineStr">
        <is>
          <t>REF-100345</t>
        </is>
      </c>
      <c r="E135" s="129" t="n">
        <v>1929.01</v>
      </c>
      <c r="F135" s="129" t="n">
        <v>0</v>
      </c>
      <c r="G135" s="129" t="n">
        <v>1929.01</v>
      </c>
      <c r="H135" s="127" t="inlineStr">
        <is>
          <t>Imported</t>
        </is>
      </c>
    </row>
    <row r="136">
      <c r="A136" s="115" t="inlineStr">
        <is>
          <t>BANK-1323</t>
        </is>
      </c>
      <c r="B136" s="125" t="n">
        <v>46033</v>
      </c>
      <c r="C136" s="115" t="inlineStr">
        <is>
          <t>Payment to North Shore Telecom</t>
        </is>
      </c>
      <c r="D136" s="115" t="inlineStr">
        <is>
          <t>REF-100391</t>
        </is>
      </c>
      <c r="E136" s="126" t="n">
        <v>0</v>
      </c>
      <c r="F136" s="126" t="n">
        <v>6052.27</v>
      </c>
      <c r="G136" s="126" t="n">
        <v>-6052.27</v>
      </c>
      <c r="H136" s="115" t="inlineStr">
        <is>
          <t>Imported</t>
        </is>
      </c>
    </row>
    <row r="137">
      <c r="A137" s="127" t="inlineStr">
        <is>
          <t>BANK-1330</t>
        </is>
      </c>
      <c r="B137" s="128" t="n">
        <v>46033</v>
      </c>
      <c r="C137" s="127" t="inlineStr">
        <is>
          <t>Payment to Pacific Office Supplies</t>
        </is>
      </c>
      <c r="D137" s="127" t="inlineStr">
        <is>
          <t>REF-100399</t>
        </is>
      </c>
      <c r="E137" s="129" t="n">
        <v>0</v>
      </c>
      <c r="F137" s="129" t="n">
        <v>534.11</v>
      </c>
      <c r="G137" s="129" t="n">
        <v>-534.11</v>
      </c>
      <c r="H137" s="127" t="inlineStr">
        <is>
          <t>Imported</t>
        </is>
      </c>
    </row>
    <row r="138">
      <c r="A138" s="115" t="inlineStr">
        <is>
          <t>BANK-1336</t>
        </is>
      </c>
      <c r="B138" s="125" t="n">
        <v>46033</v>
      </c>
      <c r="C138" s="115" t="inlineStr">
        <is>
          <t>Payment to Pacific Office Supplies</t>
        </is>
      </c>
      <c r="D138" s="115" t="inlineStr">
        <is>
          <t>REF-100406</t>
        </is>
      </c>
      <c r="E138" s="126" t="n">
        <v>0</v>
      </c>
      <c r="F138" s="126" t="n">
        <v>1691.37</v>
      </c>
      <c r="G138" s="126" t="n">
        <v>-1691.37</v>
      </c>
      <c r="H138" s="115" t="inlineStr">
        <is>
          <t>Imported</t>
        </is>
      </c>
    </row>
    <row r="139">
      <c r="A139" s="127" t="inlineStr">
        <is>
          <t>BANK-1400</t>
        </is>
      </c>
      <c r="B139" s="128" t="n">
        <v>46033</v>
      </c>
      <c r="C139" s="127" t="inlineStr">
        <is>
          <t>Payment to BC Hydro</t>
        </is>
      </c>
      <c r="D139" s="127" t="inlineStr">
        <is>
          <t>REF-100487</t>
        </is>
      </c>
      <c r="E139" s="129" t="n">
        <v>0</v>
      </c>
      <c r="F139" s="129" t="n">
        <v>4423.3</v>
      </c>
      <c r="G139" s="129" t="n">
        <v>-4423.3</v>
      </c>
      <c r="H139" s="127" t="inlineStr">
        <is>
          <t>Imported</t>
        </is>
      </c>
    </row>
    <row r="140">
      <c r="A140" s="115" t="inlineStr">
        <is>
          <t>BANK-1429</t>
        </is>
      </c>
      <c r="B140" s="125" t="n">
        <v>46033</v>
      </c>
      <c r="C140" s="115" t="inlineStr">
        <is>
          <t>Bank item not posted in ERP</t>
        </is>
      </c>
      <c r="D140" s="115" t="inlineStr">
        <is>
          <t>BANKONLY-0018</t>
        </is>
      </c>
      <c r="E140" s="126" t="n">
        <v>0</v>
      </c>
      <c r="F140" s="126" t="n">
        <v>1222.37</v>
      </c>
      <c r="G140" s="126" t="n">
        <v>-1222.37</v>
      </c>
      <c r="H140" s="115" t="inlineStr">
        <is>
          <t>Needs ERP Review</t>
        </is>
      </c>
    </row>
    <row r="141">
      <c r="A141" s="127" t="inlineStr">
        <is>
          <t>BANK-1433</t>
        </is>
      </c>
      <c r="B141" s="128" t="n">
        <v>46033</v>
      </c>
      <c r="C141" s="127" t="inlineStr">
        <is>
          <t>Bank item not posted in ERP</t>
        </is>
      </c>
      <c r="D141" s="127" t="inlineStr">
        <is>
          <t>BANKONLY-0022</t>
        </is>
      </c>
      <c r="E141" s="129" t="n">
        <v>626.75</v>
      </c>
      <c r="F141" s="129" t="n">
        <v>0</v>
      </c>
      <c r="G141" s="129" t="n">
        <v>626.75</v>
      </c>
      <c r="H141" s="127" t="inlineStr">
        <is>
          <t>Needs ERP Review</t>
        </is>
      </c>
    </row>
    <row r="142">
      <c r="A142" s="115" t="inlineStr">
        <is>
          <t>BANK-1037</t>
        </is>
      </c>
      <c r="B142" s="125" t="n">
        <v>46034</v>
      </c>
      <c r="C142" s="115" t="inlineStr">
        <is>
          <t>Deposit from Maple Retail Group</t>
        </is>
      </c>
      <c r="D142" s="115" t="inlineStr">
        <is>
          <t>REF-100042</t>
        </is>
      </c>
      <c r="E142" s="126" t="n">
        <v>7656.02</v>
      </c>
      <c r="F142" s="126" t="n">
        <v>0</v>
      </c>
      <c r="G142" s="126" t="n">
        <v>7656.02</v>
      </c>
      <c r="H142" s="115" t="inlineStr">
        <is>
          <t>Imported</t>
        </is>
      </c>
    </row>
    <row r="143">
      <c r="A143" s="127" t="inlineStr">
        <is>
          <t>BANK-1069</t>
        </is>
      </c>
      <c r="B143" s="128" t="n">
        <v>46034</v>
      </c>
      <c r="C143" s="127" t="inlineStr">
        <is>
          <t>Payment to Amazon Business</t>
        </is>
      </c>
      <c r="D143" s="127" t="inlineStr">
        <is>
          <t>REF-100078</t>
        </is>
      </c>
      <c r="E143" s="129" t="n">
        <v>0</v>
      </c>
      <c r="F143" s="129" t="n">
        <v>4371.24</v>
      </c>
      <c r="G143" s="129" t="n">
        <v>-4371.24</v>
      </c>
      <c r="H143" s="127" t="inlineStr">
        <is>
          <t>Imported</t>
        </is>
      </c>
    </row>
    <row r="144">
      <c r="A144" s="115" t="inlineStr">
        <is>
          <t>BANK-1126</t>
        </is>
      </c>
      <c r="B144" s="125" t="n">
        <v>46034</v>
      </c>
      <c r="C144" s="115" t="inlineStr">
        <is>
          <t>Payment to Vancouver Courier</t>
        </is>
      </c>
      <c r="D144" s="115" t="inlineStr">
        <is>
          <t>REF-100151</t>
        </is>
      </c>
      <c r="E144" s="126" t="n">
        <v>0</v>
      </c>
      <c r="F144" s="126" t="n">
        <v>956.7</v>
      </c>
      <c r="G144" s="126" t="n">
        <v>-956.7</v>
      </c>
      <c r="H144" s="115" t="inlineStr">
        <is>
          <t>Imported</t>
        </is>
      </c>
    </row>
    <row r="145">
      <c r="A145" s="127" t="inlineStr">
        <is>
          <t>BANK-1129</t>
        </is>
      </c>
      <c r="B145" s="128" t="n">
        <v>46034</v>
      </c>
      <c r="C145" s="127" t="inlineStr">
        <is>
          <t>Deposit from Granville Medical</t>
        </is>
      </c>
      <c r="D145" s="127" t="inlineStr">
        <is>
          <t>REF-100154</t>
        </is>
      </c>
      <c r="E145" s="129" t="n">
        <v>3608.43</v>
      </c>
      <c r="F145" s="129" t="n">
        <v>0</v>
      </c>
      <c r="G145" s="129" t="n">
        <v>3608.43</v>
      </c>
      <c r="H145" s="127" t="inlineStr">
        <is>
          <t>Imported</t>
        </is>
      </c>
    </row>
    <row r="146">
      <c r="A146" s="115" t="inlineStr">
        <is>
          <t>BANK-1135</t>
        </is>
      </c>
      <c r="B146" s="125" t="n">
        <v>46034</v>
      </c>
      <c r="C146" s="115" t="inlineStr">
        <is>
          <t>Manual GL entry</t>
        </is>
      </c>
      <c r="D146" s="115" t="inlineStr">
        <is>
          <t>REF-100161</t>
        </is>
      </c>
      <c r="E146" s="126" t="n">
        <v>1698.69</v>
      </c>
      <c r="F146" s="126" t="n">
        <v>0</v>
      </c>
      <c r="G146" s="126" t="n">
        <v>1698.69</v>
      </c>
      <c r="H146" s="115" t="inlineStr">
        <is>
          <t>Imported</t>
        </is>
      </c>
    </row>
    <row r="147">
      <c r="A147" s="127" t="inlineStr">
        <is>
          <t>BANK-1148</t>
        </is>
      </c>
      <c r="B147" s="128" t="n">
        <v>46034</v>
      </c>
      <c r="C147" s="127" t="inlineStr">
        <is>
          <t>Payroll payment</t>
        </is>
      </c>
      <c r="D147" s="127" t="inlineStr">
        <is>
          <t>REF-100176</t>
        </is>
      </c>
      <c r="E147" s="129" t="n">
        <v>0</v>
      </c>
      <c r="F147" s="129" t="n">
        <v>3966.54</v>
      </c>
      <c r="G147" s="129" t="n">
        <v>-3966.54</v>
      </c>
      <c r="H147" s="127" t="inlineStr">
        <is>
          <t>Imported</t>
        </is>
      </c>
    </row>
    <row r="148">
      <c r="A148" s="115" t="inlineStr">
        <is>
          <t>BANK-1159</t>
        </is>
      </c>
      <c r="B148" s="125" t="n">
        <v>46034</v>
      </c>
      <c r="C148" s="115" t="inlineStr">
        <is>
          <t>Payment to Pacific Office Supplies</t>
        </is>
      </c>
      <c r="D148" s="115" t="inlineStr">
        <is>
          <t>REF-100191</t>
        </is>
      </c>
      <c r="E148" s="126" t="n">
        <v>0</v>
      </c>
      <c r="F148" s="126" t="n">
        <v>2265.41</v>
      </c>
      <c r="G148" s="126" t="n">
        <v>-2265.41</v>
      </c>
      <c r="H148" s="115" t="inlineStr">
        <is>
          <t>Imported</t>
        </is>
      </c>
    </row>
    <row r="149">
      <c r="A149" s="127" t="inlineStr">
        <is>
          <t>BANK-1184</t>
        </is>
      </c>
      <c r="B149" s="128" t="n">
        <v>46034</v>
      </c>
      <c r="C149" s="127" t="inlineStr">
        <is>
          <t>Payment to Metro Cleaning Ltd.</t>
        </is>
      </c>
      <c r="D149" s="127" t="inlineStr">
        <is>
          <t>REF-100224</t>
        </is>
      </c>
      <c r="E149" s="129" t="n">
        <v>0</v>
      </c>
      <c r="F149" s="129" t="n">
        <v>3108.75</v>
      </c>
      <c r="G149" s="129" t="n">
        <v>-3108.75</v>
      </c>
      <c r="H149" s="127" t="inlineStr">
        <is>
          <t>Imported</t>
        </is>
      </c>
    </row>
    <row r="150">
      <c r="A150" s="115" t="inlineStr">
        <is>
          <t>BANK-1191</t>
        </is>
      </c>
      <c r="B150" s="125" t="n">
        <v>46034</v>
      </c>
      <c r="C150" s="115" t="inlineStr">
        <is>
          <t>Payment to Metro Cleaning Ltd.</t>
        </is>
      </c>
      <c r="D150" s="115" t="inlineStr">
        <is>
          <t>REF-100233</t>
        </is>
      </c>
      <c r="E150" s="126" t="n">
        <v>0</v>
      </c>
      <c r="F150" s="126" t="n">
        <v>2642.94</v>
      </c>
      <c r="G150" s="126" t="n">
        <v>-2642.94</v>
      </c>
      <c r="H150" s="115" t="inlineStr">
        <is>
          <t>Imported</t>
        </is>
      </c>
    </row>
    <row r="151">
      <c r="A151" s="127" t="inlineStr">
        <is>
          <t>BANK-1194</t>
        </is>
      </c>
      <c r="B151" s="128" t="n">
        <v>46034</v>
      </c>
      <c r="C151" s="127" t="inlineStr">
        <is>
          <t>Payment to Metro Cleaning Ltd.</t>
        </is>
      </c>
      <c r="D151" s="127" t="inlineStr">
        <is>
          <t>REF-100236</t>
        </is>
      </c>
      <c r="E151" s="129" t="n">
        <v>0</v>
      </c>
      <c r="F151" s="129" t="n">
        <v>4799.59</v>
      </c>
      <c r="G151" s="129" t="n">
        <v>-4799.59</v>
      </c>
      <c r="H151" s="127" t="inlineStr">
        <is>
          <t>Imported</t>
        </is>
      </c>
    </row>
    <row r="152">
      <c r="A152" s="115" t="inlineStr">
        <is>
          <t>BANK-1217</t>
        </is>
      </c>
      <c r="B152" s="125" t="n">
        <v>46034</v>
      </c>
      <c r="C152" s="115" t="inlineStr">
        <is>
          <t>Payment to Staples Canada</t>
        </is>
      </c>
      <c r="D152" s="115" t="inlineStr">
        <is>
          <t>REF-100266</t>
        </is>
      </c>
      <c r="E152" s="126" t="n">
        <v>0</v>
      </c>
      <c r="F152" s="126" t="n">
        <v>3605.8</v>
      </c>
      <c r="G152" s="126" t="n">
        <v>-3605.8</v>
      </c>
      <c r="H152" s="115" t="inlineStr">
        <is>
          <t>Imported</t>
        </is>
      </c>
    </row>
    <row r="153">
      <c r="A153" s="127" t="inlineStr">
        <is>
          <t>BANK-1219</t>
        </is>
      </c>
      <c r="B153" s="128" t="n">
        <v>46034</v>
      </c>
      <c r="C153" s="127" t="inlineStr">
        <is>
          <t>Deposit from Maple Retail Group</t>
        </is>
      </c>
      <c r="D153" s="127" t="inlineStr">
        <is>
          <t>REF-100268</t>
        </is>
      </c>
      <c r="E153" s="129" t="n">
        <v>8268.620000000001</v>
      </c>
      <c r="F153" s="129" t="n">
        <v>0</v>
      </c>
      <c r="G153" s="129" t="n">
        <v>8268.620000000001</v>
      </c>
      <c r="H153" s="127" t="inlineStr">
        <is>
          <t>Imported</t>
        </is>
      </c>
    </row>
    <row r="154">
      <c r="A154" s="115" t="inlineStr">
        <is>
          <t>BANK-1225</t>
        </is>
      </c>
      <c r="B154" s="125" t="n">
        <v>46034</v>
      </c>
      <c r="C154" s="115" t="inlineStr">
        <is>
          <t>Payroll payment</t>
        </is>
      </c>
      <c r="D154" s="115" t="inlineStr">
        <is>
          <t>REF-100277</t>
        </is>
      </c>
      <c r="E154" s="126" t="n">
        <v>0</v>
      </c>
      <c r="F154" s="126" t="n">
        <v>7875.22</v>
      </c>
      <c r="G154" s="126" t="n">
        <v>-7875.22</v>
      </c>
      <c r="H154" s="115" t="inlineStr">
        <is>
          <t>Imported</t>
        </is>
      </c>
    </row>
    <row r="155">
      <c r="A155" s="127" t="inlineStr">
        <is>
          <t>BANK-1258</t>
        </is>
      </c>
      <c r="B155" s="128" t="n">
        <v>46034</v>
      </c>
      <c r="C155" s="127" t="inlineStr">
        <is>
          <t>Monthly bank service charge</t>
        </is>
      </c>
      <c r="D155" s="127" t="inlineStr">
        <is>
          <t>REF-100317</t>
        </is>
      </c>
      <c r="E155" s="129" t="n">
        <v>0</v>
      </c>
      <c r="F155" s="129" t="n">
        <v>31.66</v>
      </c>
      <c r="G155" s="129" t="n">
        <v>-31.66</v>
      </c>
      <c r="H155" s="127" t="inlineStr">
        <is>
          <t>Imported</t>
        </is>
      </c>
    </row>
    <row r="156">
      <c r="A156" s="115" t="inlineStr">
        <is>
          <t>BANK-1265</t>
        </is>
      </c>
      <c r="B156" s="125" t="n">
        <v>46034</v>
      </c>
      <c r="C156" s="115" t="inlineStr">
        <is>
          <t>Payroll payment</t>
        </is>
      </c>
      <c r="D156" s="115" t="inlineStr">
        <is>
          <t>REF-100324</t>
        </is>
      </c>
      <c r="E156" s="126" t="n">
        <v>0</v>
      </c>
      <c r="F156" s="126" t="n">
        <v>11481.44</v>
      </c>
      <c r="G156" s="126" t="n">
        <v>-11481.44</v>
      </c>
      <c r="H156" s="115" t="inlineStr">
        <is>
          <t>Imported</t>
        </is>
      </c>
    </row>
    <row r="157">
      <c r="A157" s="127" t="inlineStr">
        <is>
          <t>BANK-1286</t>
        </is>
      </c>
      <c r="B157" s="128" t="n">
        <v>46034</v>
      </c>
      <c r="C157" s="127" t="inlineStr">
        <is>
          <t>Manual GL entry</t>
        </is>
      </c>
      <c r="D157" s="127" t="inlineStr">
        <is>
          <t>REF-100347</t>
        </is>
      </c>
      <c r="E157" s="129" t="n">
        <v>1420.99</v>
      </c>
      <c r="F157" s="129" t="n">
        <v>0</v>
      </c>
      <c r="G157" s="129" t="n">
        <v>1420.99</v>
      </c>
      <c r="H157" s="127" t="inlineStr">
        <is>
          <t>Imported</t>
        </is>
      </c>
    </row>
    <row r="158">
      <c r="A158" s="115" t="inlineStr">
        <is>
          <t>BANK-1296</t>
        </is>
      </c>
      <c r="B158" s="125" t="n">
        <v>46034</v>
      </c>
      <c r="C158" s="115" t="inlineStr">
        <is>
          <t>Payment to Vancouver Courier</t>
        </is>
      </c>
      <c r="D158" s="115" t="inlineStr">
        <is>
          <t>REF-100358</t>
        </is>
      </c>
      <c r="E158" s="126" t="n">
        <v>0</v>
      </c>
      <c r="F158" s="126" t="n">
        <v>3549.34</v>
      </c>
      <c r="G158" s="126" t="n">
        <v>-3549.34</v>
      </c>
      <c r="H158" s="115" t="inlineStr">
        <is>
          <t>Imported</t>
        </is>
      </c>
    </row>
    <row r="159">
      <c r="A159" s="127" t="inlineStr">
        <is>
          <t>BANK-1327</t>
        </is>
      </c>
      <c r="B159" s="128" t="n">
        <v>46034</v>
      </c>
      <c r="C159" s="127" t="inlineStr">
        <is>
          <t>Payment to Pacific Office Supplies</t>
        </is>
      </c>
      <c r="D159" s="127" t="inlineStr">
        <is>
          <t>REF-100395</t>
        </is>
      </c>
      <c r="E159" s="129" t="n">
        <v>0</v>
      </c>
      <c r="F159" s="129" t="n">
        <v>5108.57</v>
      </c>
      <c r="G159" s="129" t="n">
        <v>-5108.57</v>
      </c>
      <c r="H159" s="127" t="inlineStr">
        <is>
          <t>Imported</t>
        </is>
      </c>
    </row>
    <row r="160">
      <c r="A160" s="115" t="inlineStr">
        <is>
          <t>BANK-1334</t>
        </is>
      </c>
      <c r="B160" s="125" t="n">
        <v>46034</v>
      </c>
      <c r="C160" s="115" t="inlineStr">
        <is>
          <t>Payment to Pacific Office Supplies</t>
        </is>
      </c>
      <c r="D160" s="115" t="inlineStr">
        <is>
          <t>REF-100403</t>
        </is>
      </c>
      <c r="E160" s="126" t="n">
        <v>0</v>
      </c>
      <c r="F160" s="126" t="n">
        <v>1882.64</v>
      </c>
      <c r="G160" s="126" t="n">
        <v>-1882.64</v>
      </c>
      <c r="H160" s="115" t="inlineStr">
        <is>
          <t>Imported</t>
        </is>
      </c>
    </row>
    <row r="161">
      <c r="A161" s="127" t="inlineStr">
        <is>
          <t>BANK-1353</t>
        </is>
      </c>
      <c r="B161" s="128" t="n">
        <v>46034</v>
      </c>
      <c r="C161" s="127" t="inlineStr">
        <is>
          <t>Deposit from Maple Retail Group</t>
        </is>
      </c>
      <c r="D161" s="127" t="inlineStr">
        <is>
          <t>REF-100428</t>
        </is>
      </c>
      <c r="E161" s="129" t="n">
        <v>4421.14</v>
      </c>
      <c r="F161" s="129" t="n">
        <v>0</v>
      </c>
      <c r="G161" s="129" t="n">
        <v>4421.14</v>
      </c>
      <c r="H161" s="127" t="inlineStr">
        <is>
          <t>Imported</t>
        </is>
      </c>
    </row>
    <row r="162">
      <c r="A162" s="115" t="inlineStr">
        <is>
          <t>BANK-1372</t>
        </is>
      </c>
      <c r="B162" s="125" t="n">
        <v>46034</v>
      </c>
      <c r="C162" s="115" t="inlineStr">
        <is>
          <t>Manual GL entry</t>
        </is>
      </c>
      <c r="D162" s="115" t="inlineStr">
        <is>
          <t>REF-100451</t>
        </is>
      </c>
      <c r="E162" s="126" t="n">
        <v>0</v>
      </c>
      <c r="F162" s="126" t="n">
        <v>843.85</v>
      </c>
      <c r="G162" s="126" t="n">
        <v>-843.85</v>
      </c>
      <c r="H162" s="115" t="inlineStr">
        <is>
          <t>Imported</t>
        </is>
      </c>
    </row>
    <row r="163">
      <c r="A163" s="127" t="inlineStr">
        <is>
          <t>BANK-1035</t>
        </is>
      </c>
      <c r="B163" s="128" t="n">
        <v>46035</v>
      </c>
      <c r="C163" s="127" t="inlineStr">
        <is>
          <t>Payroll payment</t>
        </is>
      </c>
      <c r="D163" s="127" t="inlineStr">
        <is>
          <t>REF-100039</t>
        </is>
      </c>
      <c r="E163" s="129" t="n">
        <v>0</v>
      </c>
      <c r="F163" s="129" t="n">
        <v>3139.26</v>
      </c>
      <c r="G163" s="129" t="n">
        <v>-3139.26</v>
      </c>
      <c r="H163" s="127" t="inlineStr">
        <is>
          <t>Imported</t>
        </is>
      </c>
    </row>
    <row r="164">
      <c r="A164" s="115" t="inlineStr">
        <is>
          <t>BANK-1051</t>
        </is>
      </c>
      <c r="B164" s="125" t="n">
        <v>46035</v>
      </c>
      <c r="C164" s="115" t="inlineStr">
        <is>
          <t>Payment to Staples Canada</t>
        </is>
      </c>
      <c r="D164" s="115" t="inlineStr">
        <is>
          <t>REF-100057</t>
        </is>
      </c>
      <c r="E164" s="126" t="n">
        <v>0</v>
      </c>
      <c r="F164" s="126" t="n">
        <v>101.43</v>
      </c>
      <c r="G164" s="126" t="n">
        <v>-101.43</v>
      </c>
      <c r="H164" s="115" t="inlineStr">
        <is>
          <t>Imported</t>
        </is>
      </c>
    </row>
    <row r="165">
      <c r="A165" s="127" t="inlineStr">
        <is>
          <t>BANK-1055</t>
        </is>
      </c>
      <c r="B165" s="128" t="n">
        <v>46035</v>
      </c>
      <c r="C165" s="127" t="inlineStr">
        <is>
          <t>Deposit from Coastline Foods</t>
        </is>
      </c>
      <c r="D165" s="127" t="inlineStr">
        <is>
          <t>REF-100062</t>
        </is>
      </c>
      <c r="E165" s="129" t="n">
        <v>6048.6</v>
      </c>
      <c r="F165" s="129" t="n">
        <v>0</v>
      </c>
      <c r="G165" s="129" t="n">
        <v>6048.6</v>
      </c>
      <c r="H165" s="127" t="inlineStr">
        <is>
          <t>Imported</t>
        </is>
      </c>
    </row>
    <row r="166">
      <c r="A166" s="115" t="inlineStr">
        <is>
          <t>BANK-1080</t>
        </is>
      </c>
      <c r="B166" s="125" t="n">
        <v>46035</v>
      </c>
      <c r="C166" s="115" t="inlineStr">
        <is>
          <t>Deposit from West Van Fitness</t>
        </is>
      </c>
      <c r="D166" s="115" t="inlineStr">
        <is>
          <t>REF-100091</t>
        </is>
      </c>
      <c r="E166" s="126" t="n">
        <v>4073.77</v>
      </c>
      <c r="F166" s="126" t="n">
        <v>0</v>
      </c>
      <c r="G166" s="126" t="n">
        <v>4073.77</v>
      </c>
      <c r="H166" s="115" t="inlineStr">
        <is>
          <t>Imported</t>
        </is>
      </c>
    </row>
    <row r="167">
      <c r="A167" s="127" t="inlineStr">
        <is>
          <t>BANK-1083</t>
        </is>
      </c>
      <c r="B167" s="128" t="n">
        <v>46035</v>
      </c>
      <c r="C167" s="127" t="inlineStr">
        <is>
          <t>Manual GL entry</t>
        </is>
      </c>
      <c r="D167" s="127" t="inlineStr">
        <is>
          <t>REF-100094</t>
        </is>
      </c>
      <c r="E167" s="129" t="n">
        <v>2042.42</v>
      </c>
      <c r="F167" s="129" t="n">
        <v>0</v>
      </c>
      <c r="G167" s="129" t="n">
        <v>2042.42</v>
      </c>
      <c r="H167" s="127" t="inlineStr">
        <is>
          <t>Imported</t>
        </is>
      </c>
    </row>
    <row r="168">
      <c r="A168" s="115" t="inlineStr">
        <is>
          <t>BANK-1096</t>
        </is>
      </c>
      <c r="B168" s="125" t="n">
        <v>46035</v>
      </c>
      <c r="C168" s="115" t="inlineStr">
        <is>
          <t>Payroll payment</t>
        </is>
      </c>
      <c r="D168" s="115" t="inlineStr">
        <is>
          <t>REF-100111</t>
        </is>
      </c>
      <c r="E168" s="126" t="n">
        <v>0</v>
      </c>
      <c r="F168" s="126" t="n">
        <v>16564.37</v>
      </c>
      <c r="G168" s="126" t="n">
        <v>-16564.37</v>
      </c>
      <c r="H168" s="115" t="inlineStr">
        <is>
          <t>Imported</t>
        </is>
      </c>
    </row>
    <row r="169">
      <c r="A169" s="127" t="inlineStr">
        <is>
          <t>BANK-1151</t>
        </is>
      </c>
      <c r="B169" s="128" t="n">
        <v>46035</v>
      </c>
      <c r="C169" s="127" t="inlineStr">
        <is>
          <t>Payment to Vancouver Courier</t>
        </is>
      </c>
      <c r="D169" s="127" t="inlineStr">
        <is>
          <t>REF-100179</t>
        </is>
      </c>
      <c r="E169" s="129" t="n">
        <v>0</v>
      </c>
      <c r="F169" s="129" t="n">
        <v>4880.35</v>
      </c>
      <c r="G169" s="129" t="n">
        <v>-4880.35</v>
      </c>
      <c r="H169" s="127" t="inlineStr">
        <is>
          <t>Imported</t>
        </is>
      </c>
    </row>
    <row r="170">
      <c r="A170" s="115" t="inlineStr">
        <is>
          <t>BANK-1178</t>
        </is>
      </c>
      <c r="B170" s="125" t="n">
        <v>46035</v>
      </c>
      <c r="C170" s="115" t="inlineStr">
        <is>
          <t>Deposit from Maple Retail Group</t>
        </is>
      </c>
      <c r="D170" s="115" t="inlineStr">
        <is>
          <t>REF-100217</t>
        </is>
      </c>
      <c r="E170" s="126" t="n">
        <v>4308.62</v>
      </c>
      <c r="F170" s="126" t="n">
        <v>0</v>
      </c>
      <c r="G170" s="126" t="n">
        <v>4308.62</v>
      </c>
      <c r="H170" s="115" t="inlineStr">
        <is>
          <t>Imported</t>
        </is>
      </c>
    </row>
    <row r="171">
      <c r="A171" s="127" t="inlineStr">
        <is>
          <t>BANK-1205</t>
        </is>
      </c>
      <c r="B171" s="128" t="n">
        <v>46035</v>
      </c>
      <c r="C171" s="127" t="inlineStr">
        <is>
          <t>Payment to North Shore Telecom</t>
        </is>
      </c>
      <c r="D171" s="127" t="inlineStr">
        <is>
          <t>REF-100253</t>
        </is>
      </c>
      <c r="E171" s="129" t="n">
        <v>0</v>
      </c>
      <c r="F171" s="129" t="n">
        <v>3006.47</v>
      </c>
      <c r="G171" s="129" t="n">
        <v>-3006.47</v>
      </c>
      <c r="H171" s="127" t="inlineStr">
        <is>
          <t>Imported</t>
        </is>
      </c>
    </row>
    <row r="172">
      <c r="A172" s="115" t="inlineStr">
        <is>
          <t>BANK-1254</t>
        </is>
      </c>
      <c r="B172" s="125" t="n">
        <v>46035</v>
      </c>
      <c r="C172" s="115" t="inlineStr">
        <is>
          <t>Deposit from Harbour Design Co.</t>
        </is>
      </c>
      <c r="D172" s="115" t="inlineStr">
        <is>
          <t>REF-100313</t>
        </is>
      </c>
      <c r="E172" s="126" t="n">
        <v>5064.73</v>
      </c>
      <c r="F172" s="126" t="n">
        <v>0</v>
      </c>
      <c r="G172" s="126" t="n">
        <v>5064.73</v>
      </c>
      <c r="H172" s="115" t="inlineStr">
        <is>
          <t>Imported</t>
        </is>
      </c>
    </row>
    <row r="173">
      <c r="A173" s="127" t="inlineStr">
        <is>
          <t>BANK-1264</t>
        </is>
      </c>
      <c r="B173" s="128" t="n">
        <v>46035</v>
      </c>
      <c r="C173" s="127" t="inlineStr">
        <is>
          <t>Payment to Staples Canada</t>
        </is>
      </c>
      <c r="D173" s="127" t="inlineStr">
        <is>
          <t>REF-100323</t>
        </is>
      </c>
      <c r="E173" s="129" t="n">
        <v>0</v>
      </c>
      <c r="F173" s="129" t="n">
        <v>3368.76</v>
      </c>
      <c r="G173" s="129" t="n">
        <v>-3368.76</v>
      </c>
      <c r="H173" s="127" t="inlineStr">
        <is>
          <t>Imported</t>
        </is>
      </c>
    </row>
    <row r="174">
      <c r="A174" s="115" t="inlineStr">
        <is>
          <t>BANK-1282</t>
        </is>
      </c>
      <c r="B174" s="125" t="n">
        <v>46035</v>
      </c>
      <c r="C174" s="115" t="inlineStr">
        <is>
          <t>Manual GL entry</t>
        </is>
      </c>
      <c r="D174" s="115" t="inlineStr">
        <is>
          <t>REF-100343</t>
        </is>
      </c>
      <c r="E174" s="126" t="n">
        <v>400.6</v>
      </c>
      <c r="F174" s="126" t="n">
        <v>0</v>
      </c>
      <c r="G174" s="126" t="n">
        <v>400.6</v>
      </c>
      <c r="H174" s="115" t="inlineStr">
        <is>
          <t>Imported</t>
        </is>
      </c>
    </row>
    <row r="175">
      <c r="A175" s="127" t="inlineStr">
        <is>
          <t>BANK-1290</t>
        </is>
      </c>
      <c r="B175" s="128" t="n">
        <v>46035</v>
      </c>
      <c r="C175" s="127" t="inlineStr">
        <is>
          <t>Payment to Amazon Business</t>
        </is>
      </c>
      <c r="D175" s="127" t="inlineStr">
        <is>
          <t>REF-100352</t>
        </is>
      </c>
      <c r="E175" s="129" t="n">
        <v>0</v>
      </c>
      <c r="F175" s="129" t="n">
        <v>3370.45</v>
      </c>
      <c r="G175" s="129" t="n">
        <v>-3370.45</v>
      </c>
      <c r="H175" s="127" t="inlineStr">
        <is>
          <t>Imported</t>
        </is>
      </c>
    </row>
    <row r="176">
      <c r="A176" s="115" t="inlineStr">
        <is>
          <t>BANK-1348</t>
        </is>
      </c>
      <c r="B176" s="125" t="n">
        <v>46035</v>
      </c>
      <c r="C176" s="115" t="inlineStr">
        <is>
          <t>Payment to Pacific Office Supplies</t>
        </is>
      </c>
      <c r="D176" s="115" t="inlineStr">
        <is>
          <t>REF-100421</t>
        </is>
      </c>
      <c r="E176" s="126" t="n">
        <v>0</v>
      </c>
      <c r="F176" s="126" t="n">
        <v>5698.35</v>
      </c>
      <c r="G176" s="126" t="n">
        <v>-5698.35</v>
      </c>
      <c r="H176" s="115" t="inlineStr">
        <is>
          <t>Imported</t>
        </is>
      </c>
    </row>
    <row r="177">
      <c r="A177" s="127" t="inlineStr">
        <is>
          <t>BANK-1012</t>
        </is>
      </c>
      <c r="B177" s="128" t="n">
        <v>46036</v>
      </c>
      <c r="C177" s="127" t="inlineStr">
        <is>
          <t>Payment to Pacific Office Supplies</t>
        </is>
      </c>
      <c r="D177" s="127" t="inlineStr">
        <is>
          <t>REF-100015</t>
        </is>
      </c>
      <c r="E177" s="129" t="n">
        <v>0</v>
      </c>
      <c r="F177" s="129" t="n">
        <v>5917.35</v>
      </c>
      <c r="G177" s="129" t="n">
        <v>-5917.35</v>
      </c>
      <c r="H177" s="127" t="inlineStr">
        <is>
          <t>Imported</t>
        </is>
      </c>
    </row>
    <row r="178">
      <c r="A178" s="115" t="inlineStr">
        <is>
          <t>BANK-1018</t>
        </is>
      </c>
      <c r="B178" s="125" t="n">
        <v>46036</v>
      </c>
      <c r="C178" s="115" t="inlineStr">
        <is>
          <t>Monthly bank service charge</t>
        </is>
      </c>
      <c r="D178" s="115" t="inlineStr">
        <is>
          <t>REF-100021</t>
        </is>
      </c>
      <c r="E178" s="126" t="n">
        <v>0</v>
      </c>
      <c r="F178" s="126" t="n">
        <v>79.73999999999999</v>
      </c>
      <c r="G178" s="126" t="n">
        <v>-79.73999999999999</v>
      </c>
      <c r="H178" s="115" t="inlineStr">
        <is>
          <t>Imported</t>
        </is>
      </c>
    </row>
    <row r="179">
      <c r="A179" s="127" t="inlineStr">
        <is>
          <t>BANK-1026</t>
        </is>
      </c>
      <c r="B179" s="128" t="n">
        <v>46036</v>
      </c>
      <c r="C179" s="127" t="inlineStr">
        <is>
          <t>Monthly bank service charge</t>
        </is>
      </c>
      <c r="D179" s="127" t="inlineStr">
        <is>
          <t>REF-100029</t>
        </is>
      </c>
      <c r="E179" s="129" t="n">
        <v>0</v>
      </c>
      <c r="F179" s="129" t="n">
        <v>95.29000000000001</v>
      </c>
      <c r="G179" s="129" t="n">
        <v>-95.29000000000001</v>
      </c>
      <c r="H179" s="127" t="inlineStr">
        <is>
          <t>Imported</t>
        </is>
      </c>
    </row>
    <row r="180">
      <c r="A180" s="115" t="inlineStr">
        <is>
          <t>BANK-1039</t>
        </is>
      </c>
      <c r="B180" s="125" t="n">
        <v>46036</v>
      </c>
      <c r="C180" s="115" t="inlineStr">
        <is>
          <t>Payroll payment</t>
        </is>
      </c>
      <c r="D180" s="115" t="inlineStr">
        <is>
          <t>REF-100045</t>
        </is>
      </c>
      <c r="E180" s="126" t="n">
        <v>0</v>
      </c>
      <c r="F180" s="126" t="n">
        <v>15028.93</v>
      </c>
      <c r="G180" s="126" t="n">
        <v>-15028.93</v>
      </c>
      <c r="H180" s="115" t="inlineStr">
        <is>
          <t>Imported</t>
        </is>
      </c>
    </row>
    <row r="181">
      <c r="A181" s="127" t="inlineStr">
        <is>
          <t>BANK-1116</t>
        </is>
      </c>
      <c r="B181" s="128" t="n">
        <v>46036</v>
      </c>
      <c r="C181" s="127" t="inlineStr">
        <is>
          <t>Manual GL entry</t>
        </is>
      </c>
      <c r="D181" s="127" t="inlineStr">
        <is>
          <t>REF-100141</t>
        </is>
      </c>
      <c r="E181" s="129" t="n">
        <v>3576.39</v>
      </c>
      <c r="F181" s="129" t="n">
        <v>0</v>
      </c>
      <c r="G181" s="129" t="n">
        <v>3576.39</v>
      </c>
      <c r="H181" s="127" t="inlineStr">
        <is>
          <t>Imported</t>
        </is>
      </c>
    </row>
    <row r="182">
      <c r="A182" s="115" t="inlineStr">
        <is>
          <t>BANK-1142</t>
        </is>
      </c>
      <c r="B182" s="125" t="n">
        <v>46036</v>
      </c>
      <c r="C182" s="115" t="inlineStr">
        <is>
          <t>Monthly bank service charge</t>
        </is>
      </c>
      <c r="D182" s="115" t="inlineStr">
        <is>
          <t>REF-100170</t>
        </is>
      </c>
      <c r="E182" s="126" t="n">
        <v>0</v>
      </c>
      <c r="F182" s="126" t="n">
        <v>65.27</v>
      </c>
      <c r="G182" s="126" t="n">
        <v>-65.27</v>
      </c>
      <c r="H182" s="115" t="inlineStr">
        <is>
          <t>Imported</t>
        </is>
      </c>
    </row>
    <row r="183">
      <c r="A183" s="127" t="inlineStr">
        <is>
          <t>BANK-1152</t>
        </is>
      </c>
      <c r="B183" s="128" t="n">
        <v>46036</v>
      </c>
      <c r="C183" s="127" t="inlineStr">
        <is>
          <t>Payment to Amazon Business</t>
        </is>
      </c>
      <c r="D183" s="127" t="inlineStr">
        <is>
          <t>REF-100184</t>
        </is>
      </c>
      <c r="E183" s="129" t="n">
        <v>0</v>
      </c>
      <c r="F183" s="129" t="n">
        <v>2368.64</v>
      </c>
      <c r="G183" s="129" t="n">
        <v>-2368.64</v>
      </c>
      <c r="H183" s="127" t="inlineStr">
        <is>
          <t>Imported</t>
        </is>
      </c>
    </row>
    <row r="184">
      <c r="A184" s="115" t="inlineStr">
        <is>
          <t>BANK-1209</t>
        </is>
      </c>
      <c r="B184" s="125" t="n">
        <v>46036</v>
      </c>
      <c r="C184" s="115" t="inlineStr">
        <is>
          <t>Payment to BC Hydro</t>
        </is>
      </c>
      <c r="D184" s="115" t="inlineStr">
        <is>
          <t>REF-100257</t>
        </is>
      </c>
      <c r="E184" s="126" t="n">
        <v>0</v>
      </c>
      <c r="F184" s="126" t="n">
        <v>2875.61</v>
      </c>
      <c r="G184" s="126" t="n">
        <v>-2875.61</v>
      </c>
      <c r="H184" s="115" t="inlineStr">
        <is>
          <t>Imported</t>
        </is>
      </c>
    </row>
    <row r="185">
      <c r="A185" s="127" t="inlineStr">
        <is>
          <t>BANK-1279</t>
        </is>
      </c>
      <c r="B185" s="128" t="n">
        <v>46036</v>
      </c>
      <c r="C185" s="127" t="inlineStr">
        <is>
          <t>Deposit from Granville Medical</t>
        </is>
      </c>
      <c r="D185" s="127" t="inlineStr">
        <is>
          <t>REF-100339</t>
        </is>
      </c>
      <c r="E185" s="129" t="n">
        <v>1839.36</v>
      </c>
      <c r="F185" s="129" t="n">
        <v>0</v>
      </c>
      <c r="G185" s="129" t="n">
        <v>1839.36</v>
      </c>
      <c r="H185" s="127" t="inlineStr">
        <is>
          <t>Imported</t>
        </is>
      </c>
    </row>
    <row r="186">
      <c r="A186" s="115" t="inlineStr">
        <is>
          <t>BANK-1292</t>
        </is>
      </c>
      <c r="B186" s="125" t="n">
        <v>46036</v>
      </c>
      <c r="C186" s="115" t="inlineStr">
        <is>
          <t>Manual GL entry</t>
        </is>
      </c>
      <c r="D186" s="115" t="inlineStr">
        <is>
          <t>REF-100354</t>
        </is>
      </c>
      <c r="E186" s="126" t="n">
        <v>336.63</v>
      </c>
      <c r="F186" s="126" t="n">
        <v>0</v>
      </c>
      <c r="G186" s="126" t="n">
        <v>336.63</v>
      </c>
      <c r="H186" s="115" t="inlineStr">
        <is>
          <t>Imported</t>
        </is>
      </c>
    </row>
    <row r="187">
      <c r="A187" s="127" t="inlineStr">
        <is>
          <t>BANK-1312</t>
        </is>
      </c>
      <c r="B187" s="128" t="n">
        <v>46036</v>
      </c>
      <c r="C187" s="127" t="inlineStr">
        <is>
          <t>Payroll payment</t>
        </is>
      </c>
      <c r="D187" s="127" t="inlineStr">
        <is>
          <t>REF-100379</t>
        </is>
      </c>
      <c r="E187" s="129" t="n">
        <v>0</v>
      </c>
      <c r="F187" s="129" t="n">
        <v>8227.48</v>
      </c>
      <c r="G187" s="129" t="n">
        <v>-8227.48</v>
      </c>
      <c r="H187" s="127" t="inlineStr">
        <is>
          <t>Imported</t>
        </is>
      </c>
    </row>
    <row r="188">
      <c r="A188" s="115" t="inlineStr">
        <is>
          <t>BANK-1314</t>
        </is>
      </c>
      <c r="B188" s="125" t="n">
        <v>46036</v>
      </c>
      <c r="C188" s="115" t="inlineStr">
        <is>
          <t>Deposit from West Van Fitness</t>
        </is>
      </c>
      <c r="D188" s="115" t="inlineStr">
        <is>
          <t>REF-100381</t>
        </is>
      </c>
      <c r="E188" s="126" t="n">
        <v>4149.91</v>
      </c>
      <c r="F188" s="126" t="n">
        <v>0</v>
      </c>
      <c r="G188" s="126" t="n">
        <v>4149.91</v>
      </c>
      <c r="H188" s="115" t="inlineStr">
        <is>
          <t>Imported</t>
        </is>
      </c>
    </row>
    <row r="189">
      <c r="A189" s="127" t="inlineStr">
        <is>
          <t>BANK-1340</t>
        </is>
      </c>
      <c r="B189" s="128" t="n">
        <v>46036</v>
      </c>
      <c r="C189" s="127" t="inlineStr">
        <is>
          <t>Payment to Vancouver Courier</t>
        </is>
      </c>
      <c r="D189" s="127" t="inlineStr">
        <is>
          <t>REF-100411</t>
        </is>
      </c>
      <c r="E189" s="129" t="n">
        <v>0</v>
      </c>
      <c r="F189" s="129" t="n">
        <v>3918.62</v>
      </c>
      <c r="G189" s="129" t="n">
        <v>-3918.62</v>
      </c>
      <c r="H189" s="127" t="inlineStr">
        <is>
          <t>Imported</t>
        </is>
      </c>
    </row>
    <row r="190">
      <c r="A190" s="115" t="inlineStr">
        <is>
          <t>BANK-1343</t>
        </is>
      </c>
      <c r="B190" s="125" t="n">
        <v>46036</v>
      </c>
      <c r="C190" s="115" t="inlineStr">
        <is>
          <t>Payment to Metro Cleaning Ltd.</t>
        </is>
      </c>
      <c r="D190" s="115" t="inlineStr">
        <is>
          <t>REF-100415</t>
        </is>
      </c>
      <c r="E190" s="126" t="n">
        <v>0</v>
      </c>
      <c r="F190" s="126" t="n">
        <v>2521.2</v>
      </c>
      <c r="G190" s="126" t="n">
        <v>-2521.2</v>
      </c>
      <c r="H190" s="115" t="inlineStr">
        <is>
          <t>Imported</t>
        </is>
      </c>
    </row>
    <row r="191">
      <c r="A191" s="127" t="inlineStr">
        <is>
          <t>BANK-1351</t>
        </is>
      </c>
      <c r="B191" s="128" t="n">
        <v>46036</v>
      </c>
      <c r="C191" s="127" t="inlineStr">
        <is>
          <t>Payment to Vancouver Courier</t>
        </is>
      </c>
      <c r="D191" s="127" t="inlineStr">
        <is>
          <t>REF-100424</t>
        </is>
      </c>
      <c r="E191" s="129" t="n">
        <v>0</v>
      </c>
      <c r="F191" s="129" t="n">
        <v>3582.22</v>
      </c>
      <c r="G191" s="129" t="n">
        <v>-3582.22</v>
      </c>
      <c r="H191" s="127" t="inlineStr">
        <is>
          <t>Imported</t>
        </is>
      </c>
    </row>
    <row r="192">
      <c r="A192" s="115" t="inlineStr">
        <is>
          <t>BANK-1352</t>
        </is>
      </c>
      <c r="B192" s="125" t="n">
        <v>46036</v>
      </c>
      <c r="C192" s="115" t="inlineStr">
        <is>
          <t>Deposit from Harbour Design Co.</t>
        </is>
      </c>
      <c r="D192" s="115" t="inlineStr">
        <is>
          <t>REF-100425</t>
        </is>
      </c>
      <c r="E192" s="126" t="n">
        <v>224.3</v>
      </c>
      <c r="F192" s="126" t="n">
        <v>0</v>
      </c>
      <c r="G192" s="126" t="n">
        <v>224.3</v>
      </c>
      <c r="H192" s="115" t="inlineStr">
        <is>
          <t>Imported</t>
        </is>
      </c>
    </row>
    <row r="193">
      <c r="A193" s="127" t="inlineStr">
        <is>
          <t>BANK-1407</t>
        </is>
      </c>
      <c r="B193" s="128" t="n">
        <v>46036</v>
      </c>
      <c r="C193" s="127" t="inlineStr">
        <is>
          <t>Payroll payment</t>
        </is>
      </c>
      <c r="D193" s="127" t="inlineStr">
        <is>
          <t>REF-100496</t>
        </is>
      </c>
      <c r="E193" s="129" t="n">
        <v>0</v>
      </c>
      <c r="F193" s="129" t="n">
        <v>5455.9</v>
      </c>
      <c r="G193" s="129" t="n">
        <v>-5455.9</v>
      </c>
      <c r="H193" s="127" t="inlineStr">
        <is>
          <t>Imported</t>
        </is>
      </c>
    </row>
    <row r="194">
      <c r="A194" s="115" t="inlineStr">
        <is>
          <t>BANK-1409</t>
        </is>
      </c>
      <c r="B194" s="125" t="n">
        <v>46036</v>
      </c>
      <c r="C194" s="115" t="inlineStr">
        <is>
          <t>Deposit from Harbour Design Co.</t>
        </is>
      </c>
      <c r="D194" s="115" t="inlineStr">
        <is>
          <t>REF-100498</t>
        </is>
      </c>
      <c r="E194" s="126" t="n">
        <v>3527.14</v>
      </c>
      <c r="F194" s="126" t="n">
        <v>0</v>
      </c>
      <c r="G194" s="126" t="n">
        <v>3527.14</v>
      </c>
      <c r="H194" s="115" t="inlineStr">
        <is>
          <t>Imported</t>
        </is>
      </c>
    </row>
    <row r="195">
      <c r="A195" s="127" t="inlineStr">
        <is>
          <t>BANK-1043</t>
        </is>
      </c>
      <c r="B195" s="128" t="n">
        <v>46037</v>
      </c>
      <c r="C195" s="127" t="inlineStr">
        <is>
          <t>Payment to Vancouver Courier</t>
        </is>
      </c>
      <c r="D195" s="127" t="inlineStr">
        <is>
          <t>REF-100049</t>
        </is>
      </c>
      <c r="E195" s="129" t="n">
        <v>0</v>
      </c>
      <c r="F195" s="129" t="n">
        <v>1999.71</v>
      </c>
      <c r="G195" s="129" t="n">
        <v>-1999.71</v>
      </c>
      <c r="H195" s="127" t="inlineStr">
        <is>
          <t>Imported</t>
        </is>
      </c>
    </row>
    <row r="196">
      <c r="A196" s="115" t="inlineStr">
        <is>
          <t>BANK-1060</t>
        </is>
      </c>
      <c r="B196" s="125" t="n">
        <v>46037</v>
      </c>
      <c r="C196" s="115" t="inlineStr">
        <is>
          <t>Payment to Vancouver Courier</t>
        </is>
      </c>
      <c r="D196" s="115" t="inlineStr">
        <is>
          <t>REF-100068</t>
        </is>
      </c>
      <c r="E196" s="126" t="n">
        <v>0</v>
      </c>
      <c r="F196" s="126" t="n">
        <v>5463.4</v>
      </c>
      <c r="G196" s="126" t="n">
        <v>-5463.4</v>
      </c>
      <c r="H196" s="115" t="inlineStr">
        <is>
          <t>Imported</t>
        </is>
      </c>
    </row>
    <row r="197">
      <c r="A197" s="127" t="inlineStr">
        <is>
          <t>BANK-1062</t>
        </is>
      </c>
      <c r="B197" s="128" t="n">
        <v>46037</v>
      </c>
      <c r="C197" s="127" t="inlineStr">
        <is>
          <t>Manual GL entry</t>
        </is>
      </c>
      <c r="D197" s="127" t="inlineStr">
        <is>
          <t>REF-100071</t>
        </is>
      </c>
      <c r="E197" s="129" t="n">
        <v>0</v>
      </c>
      <c r="F197" s="129" t="n">
        <v>1876.03</v>
      </c>
      <c r="G197" s="129" t="n">
        <v>-1876.03</v>
      </c>
      <c r="H197" s="127" t="inlineStr">
        <is>
          <t>Imported</t>
        </is>
      </c>
    </row>
    <row r="198">
      <c r="A198" s="115" t="inlineStr">
        <is>
          <t>BANK-1078</t>
        </is>
      </c>
      <c r="B198" s="125" t="n">
        <v>46037</v>
      </c>
      <c r="C198" s="115" t="inlineStr">
        <is>
          <t>Payment to Amazon Business</t>
        </is>
      </c>
      <c r="D198" s="115" t="inlineStr">
        <is>
          <t>REF-100089</t>
        </is>
      </c>
      <c r="E198" s="126" t="n">
        <v>0</v>
      </c>
      <c r="F198" s="126" t="n">
        <v>6138.99</v>
      </c>
      <c r="G198" s="126" t="n">
        <v>-6138.99</v>
      </c>
      <c r="H198" s="115" t="inlineStr">
        <is>
          <t>Imported</t>
        </is>
      </c>
    </row>
    <row r="199">
      <c r="A199" s="127" t="inlineStr">
        <is>
          <t>BANK-1109</t>
        </is>
      </c>
      <c r="B199" s="128" t="n">
        <v>46037</v>
      </c>
      <c r="C199" s="127" t="inlineStr">
        <is>
          <t>Monthly bank service charge</t>
        </is>
      </c>
      <c r="D199" s="127" t="inlineStr">
        <is>
          <t>REF-100130</t>
        </is>
      </c>
      <c r="E199" s="129" t="n">
        <v>0</v>
      </c>
      <c r="F199" s="129" t="n">
        <v>18.35</v>
      </c>
      <c r="G199" s="129" t="n">
        <v>-18.35</v>
      </c>
      <c r="H199" s="127" t="inlineStr">
        <is>
          <t>Imported</t>
        </is>
      </c>
    </row>
    <row r="200">
      <c r="A200" s="115" t="inlineStr">
        <is>
          <t>BANK-1123</t>
        </is>
      </c>
      <c r="B200" s="125" t="n">
        <v>46037</v>
      </c>
      <c r="C200" s="115" t="inlineStr">
        <is>
          <t>Payment to Pacific Office Supplies</t>
        </is>
      </c>
      <c r="D200" s="115" t="inlineStr">
        <is>
          <t>REF-100148</t>
        </is>
      </c>
      <c r="E200" s="126" t="n">
        <v>0</v>
      </c>
      <c r="F200" s="126" t="n">
        <v>2222.7</v>
      </c>
      <c r="G200" s="126" t="n">
        <v>-2222.7</v>
      </c>
      <c r="H200" s="115" t="inlineStr">
        <is>
          <t>Imported</t>
        </is>
      </c>
    </row>
    <row r="201">
      <c r="A201" s="127" t="inlineStr">
        <is>
          <t>BANK-1141</t>
        </is>
      </c>
      <c r="B201" s="128" t="n">
        <v>46037</v>
      </c>
      <c r="C201" s="127" t="inlineStr">
        <is>
          <t>Payment to Vancouver Courier</t>
        </is>
      </c>
      <c r="D201" s="127" t="inlineStr">
        <is>
          <t>REF-100169</t>
        </is>
      </c>
      <c r="E201" s="129" t="n">
        <v>0</v>
      </c>
      <c r="F201" s="129" t="n">
        <v>2181.84</v>
      </c>
      <c r="G201" s="129" t="n">
        <v>-2181.84</v>
      </c>
      <c r="H201" s="127" t="inlineStr">
        <is>
          <t>Imported</t>
        </is>
      </c>
    </row>
    <row r="202">
      <c r="A202" s="115" t="inlineStr">
        <is>
          <t>BANK-1200</t>
        </is>
      </c>
      <c r="B202" s="125" t="n">
        <v>46037</v>
      </c>
      <c r="C202" s="115" t="inlineStr">
        <is>
          <t>Payment to Vancouver Courier</t>
        </is>
      </c>
      <c r="D202" s="115" t="inlineStr">
        <is>
          <t>REF-100247</t>
        </is>
      </c>
      <c r="E202" s="126" t="n">
        <v>0</v>
      </c>
      <c r="F202" s="126" t="n">
        <v>744.4</v>
      </c>
      <c r="G202" s="126" t="n">
        <v>-744.4</v>
      </c>
      <c r="H202" s="115" t="inlineStr">
        <is>
          <t>Imported</t>
        </is>
      </c>
    </row>
    <row r="203">
      <c r="A203" s="127" t="inlineStr">
        <is>
          <t>BANK-1202</t>
        </is>
      </c>
      <c r="B203" s="128" t="n">
        <v>46037</v>
      </c>
      <c r="C203" s="127" t="inlineStr">
        <is>
          <t>Payment to North Shore Telecom</t>
        </is>
      </c>
      <c r="D203" s="127" t="inlineStr">
        <is>
          <t>REF-100250</t>
        </is>
      </c>
      <c r="E203" s="129" t="n">
        <v>0</v>
      </c>
      <c r="F203" s="129" t="n">
        <v>121.8</v>
      </c>
      <c r="G203" s="129" t="n">
        <v>-121.8</v>
      </c>
      <c r="H203" s="127" t="inlineStr">
        <is>
          <t>Imported</t>
        </is>
      </c>
    </row>
    <row r="204">
      <c r="A204" s="115" t="inlineStr">
        <is>
          <t>BANK-1210</t>
        </is>
      </c>
      <c r="B204" s="125" t="n">
        <v>46037</v>
      </c>
      <c r="C204" s="115" t="inlineStr">
        <is>
          <t>Payment to Pacific Office Supplies</t>
        </is>
      </c>
      <c r="D204" s="115" t="inlineStr">
        <is>
          <t>REF-100258</t>
        </is>
      </c>
      <c r="E204" s="126" t="n">
        <v>0</v>
      </c>
      <c r="F204" s="126" t="n">
        <v>4644.32</v>
      </c>
      <c r="G204" s="126" t="n">
        <v>-4644.32</v>
      </c>
      <c r="H204" s="115" t="inlineStr">
        <is>
          <t>Imported</t>
        </is>
      </c>
    </row>
    <row r="205">
      <c r="A205" s="127" t="inlineStr">
        <is>
          <t>BANK-1239</t>
        </is>
      </c>
      <c r="B205" s="128" t="n">
        <v>46037</v>
      </c>
      <c r="C205" s="127" t="inlineStr">
        <is>
          <t>Payment to Amazon Business</t>
        </is>
      </c>
      <c r="D205" s="127" t="inlineStr">
        <is>
          <t>REF-100295</t>
        </is>
      </c>
      <c r="E205" s="129" t="n">
        <v>0</v>
      </c>
      <c r="F205" s="129" t="n">
        <v>4123.31</v>
      </c>
      <c r="G205" s="129" t="n">
        <v>-4123.31</v>
      </c>
      <c r="H205" s="127" t="inlineStr">
        <is>
          <t>Imported</t>
        </is>
      </c>
    </row>
    <row r="206">
      <c r="A206" s="115" t="inlineStr">
        <is>
          <t>BANK-1247</t>
        </is>
      </c>
      <c r="B206" s="125" t="n">
        <v>46037</v>
      </c>
      <c r="C206" s="115" t="inlineStr">
        <is>
          <t>Payroll payment</t>
        </is>
      </c>
      <c r="D206" s="115" t="inlineStr">
        <is>
          <t>REF-100303</t>
        </is>
      </c>
      <c r="E206" s="126" t="n">
        <v>0</v>
      </c>
      <c r="F206" s="126" t="n">
        <v>14962.87</v>
      </c>
      <c r="G206" s="126" t="n">
        <v>-14962.87</v>
      </c>
      <c r="H206" s="115" t="inlineStr">
        <is>
          <t>Imported</t>
        </is>
      </c>
    </row>
    <row r="207">
      <c r="A207" s="127" t="inlineStr">
        <is>
          <t>BANK-1253</t>
        </is>
      </c>
      <c r="B207" s="128" t="n">
        <v>46037</v>
      </c>
      <c r="C207" s="127" t="inlineStr">
        <is>
          <t>Payment to Pacific Office Supplies</t>
        </is>
      </c>
      <c r="D207" s="127" t="inlineStr">
        <is>
          <t>REF-100312</t>
        </is>
      </c>
      <c r="E207" s="129" t="n">
        <v>0</v>
      </c>
      <c r="F207" s="129" t="n">
        <v>1663.48</v>
      </c>
      <c r="G207" s="129" t="n">
        <v>-1663.48</v>
      </c>
      <c r="H207" s="127" t="inlineStr">
        <is>
          <t>Imported</t>
        </is>
      </c>
    </row>
    <row r="208">
      <c r="A208" s="115" t="inlineStr">
        <is>
          <t>BANK-1255</t>
        </is>
      </c>
      <c r="B208" s="125" t="n">
        <v>46037</v>
      </c>
      <c r="C208" s="115" t="inlineStr">
        <is>
          <t>Deposit from Maple Retail Group</t>
        </is>
      </c>
      <c r="D208" s="115" t="inlineStr">
        <is>
          <t>REF-100314</t>
        </is>
      </c>
      <c r="E208" s="126" t="n">
        <v>1119.18</v>
      </c>
      <c r="F208" s="126" t="n">
        <v>0</v>
      </c>
      <c r="G208" s="126" t="n">
        <v>1119.18</v>
      </c>
      <c r="H208" s="115" t="inlineStr">
        <is>
          <t>Imported</t>
        </is>
      </c>
    </row>
    <row r="209">
      <c r="A209" s="127" t="inlineStr">
        <is>
          <t>BANK-1384</t>
        </is>
      </c>
      <c r="B209" s="128" t="n">
        <v>46037</v>
      </c>
      <c r="C209" s="127" t="inlineStr">
        <is>
          <t>Payment to BC Hydro</t>
        </is>
      </c>
      <c r="D209" s="127" t="inlineStr">
        <is>
          <t>REF-100466</t>
        </is>
      </c>
      <c r="E209" s="129" t="n">
        <v>0</v>
      </c>
      <c r="F209" s="129" t="n">
        <v>2816.06</v>
      </c>
      <c r="G209" s="129" t="n">
        <v>-2816.06</v>
      </c>
      <c r="H209" s="127" t="inlineStr">
        <is>
          <t>Imported</t>
        </is>
      </c>
    </row>
    <row r="210">
      <c r="A210" s="115" t="inlineStr">
        <is>
          <t>BANK-1437</t>
        </is>
      </c>
      <c r="B210" s="125" t="n">
        <v>46037</v>
      </c>
      <c r="C210" s="115" t="inlineStr">
        <is>
          <t>Bank item not posted in ERP</t>
        </is>
      </c>
      <c r="D210" s="115" t="inlineStr">
        <is>
          <t>BANKONLY-0026</t>
        </is>
      </c>
      <c r="E210" s="126" t="n">
        <v>0</v>
      </c>
      <c r="F210" s="126" t="n">
        <v>1121.71</v>
      </c>
      <c r="G210" s="126" t="n">
        <v>-1121.71</v>
      </c>
      <c r="H210" s="115" t="inlineStr">
        <is>
          <t>Needs ERP Review</t>
        </is>
      </c>
    </row>
    <row r="211">
      <c r="A211" s="127" t="inlineStr">
        <is>
          <t>BANK-1073</t>
        </is>
      </c>
      <c r="B211" s="128" t="n">
        <v>46038</v>
      </c>
      <c r="C211" s="127" t="inlineStr">
        <is>
          <t>Payment to Amazon Business</t>
        </is>
      </c>
      <c r="D211" s="127" t="inlineStr">
        <is>
          <t>REF-100082</t>
        </is>
      </c>
      <c r="E211" s="129" t="n">
        <v>0</v>
      </c>
      <c r="F211" s="129" t="n">
        <v>5899.37</v>
      </c>
      <c r="G211" s="129" t="n">
        <v>-5899.37</v>
      </c>
      <c r="H211" s="127" t="inlineStr">
        <is>
          <t>Imported</t>
        </is>
      </c>
    </row>
    <row r="212">
      <c r="A212" s="115" t="inlineStr">
        <is>
          <t>BANK-1081</t>
        </is>
      </c>
      <c r="B212" s="125" t="n">
        <v>46038</v>
      </c>
      <c r="C212" s="115" t="inlineStr">
        <is>
          <t>Payment to North Shore Telecom</t>
        </is>
      </c>
      <c r="D212" s="115" t="inlineStr">
        <is>
          <t>REF-100092</t>
        </is>
      </c>
      <c r="E212" s="126" t="n">
        <v>0</v>
      </c>
      <c r="F212" s="126" t="n">
        <v>5734.34</v>
      </c>
      <c r="G212" s="126" t="n">
        <v>-5734.34</v>
      </c>
      <c r="H212" s="115" t="inlineStr">
        <is>
          <t>Imported</t>
        </is>
      </c>
    </row>
    <row r="213">
      <c r="A213" s="127" t="inlineStr">
        <is>
          <t>BANK-1088</t>
        </is>
      </c>
      <c r="B213" s="128" t="n">
        <v>46038</v>
      </c>
      <c r="C213" s="127" t="inlineStr">
        <is>
          <t>Payment to Staples Canada</t>
        </is>
      </c>
      <c r="D213" s="127" t="inlineStr">
        <is>
          <t>REF-100102</t>
        </is>
      </c>
      <c r="E213" s="129" t="n">
        <v>0</v>
      </c>
      <c r="F213" s="129" t="n">
        <v>3806.29</v>
      </c>
      <c r="G213" s="129" t="n">
        <v>-3806.29</v>
      </c>
      <c r="H213" s="127" t="inlineStr">
        <is>
          <t>Imported</t>
        </is>
      </c>
    </row>
    <row r="214">
      <c r="A214" s="115" t="inlineStr">
        <is>
          <t>BANK-1121</t>
        </is>
      </c>
      <c r="B214" s="125" t="n">
        <v>46038</v>
      </c>
      <c r="C214" s="115" t="inlineStr">
        <is>
          <t>Payment to Amazon Business</t>
        </is>
      </c>
      <c r="D214" s="115" t="inlineStr">
        <is>
          <t>REF-100146</t>
        </is>
      </c>
      <c r="E214" s="126" t="n">
        <v>0</v>
      </c>
      <c r="F214" s="126" t="n">
        <v>3517.5</v>
      </c>
      <c r="G214" s="126" t="n">
        <v>-3517.5</v>
      </c>
      <c r="H214" s="115" t="inlineStr">
        <is>
          <t>Imported</t>
        </is>
      </c>
    </row>
    <row r="215">
      <c r="A215" s="127" t="inlineStr">
        <is>
          <t>BANK-1173</t>
        </is>
      </c>
      <c r="B215" s="128" t="n">
        <v>46038</v>
      </c>
      <c r="C215" s="127" t="inlineStr">
        <is>
          <t>Payment to Pacific Office Supplies</t>
        </is>
      </c>
      <c r="D215" s="127" t="inlineStr">
        <is>
          <t>REF-100209</t>
        </is>
      </c>
      <c r="E215" s="129" t="n">
        <v>0</v>
      </c>
      <c r="F215" s="129" t="n">
        <v>482.38</v>
      </c>
      <c r="G215" s="129" t="n">
        <v>-482.38</v>
      </c>
      <c r="H215" s="127" t="inlineStr">
        <is>
          <t>Imported</t>
        </is>
      </c>
    </row>
    <row r="216">
      <c r="A216" s="115" t="inlineStr">
        <is>
          <t>BANK-1183</t>
        </is>
      </c>
      <c r="B216" s="125" t="n">
        <v>46038</v>
      </c>
      <c r="C216" s="115" t="inlineStr">
        <is>
          <t>Deposit from Raincity Tech</t>
        </is>
      </c>
      <c r="D216" s="115" t="inlineStr">
        <is>
          <t>REF-100223</t>
        </is>
      </c>
      <c r="E216" s="126" t="n">
        <v>4303.04</v>
      </c>
      <c r="F216" s="126" t="n">
        <v>0</v>
      </c>
      <c r="G216" s="126" t="n">
        <v>4303.04</v>
      </c>
      <c r="H216" s="115" t="inlineStr">
        <is>
          <t>Imported</t>
        </is>
      </c>
    </row>
    <row r="217">
      <c r="A217" s="127" t="inlineStr">
        <is>
          <t>BANK-1211</t>
        </is>
      </c>
      <c r="B217" s="128" t="n">
        <v>46038</v>
      </c>
      <c r="C217" s="127" t="inlineStr">
        <is>
          <t>Monthly bank service charge</t>
        </is>
      </c>
      <c r="D217" s="127" t="inlineStr">
        <is>
          <t>REF-100259</t>
        </is>
      </c>
      <c r="E217" s="129" t="n">
        <v>0</v>
      </c>
      <c r="F217" s="129" t="n">
        <v>112.48</v>
      </c>
      <c r="G217" s="129" t="n">
        <v>-112.48</v>
      </c>
      <c r="H217" s="127" t="inlineStr">
        <is>
          <t>Imported</t>
        </is>
      </c>
    </row>
    <row r="218">
      <c r="A218" s="115" t="inlineStr">
        <is>
          <t>BANK-1222</t>
        </is>
      </c>
      <c r="B218" s="125" t="n">
        <v>46038</v>
      </c>
      <c r="C218" s="115" t="inlineStr">
        <is>
          <t>Payment to Pacific Office Supplies</t>
        </is>
      </c>
      <c r="D218" s="115" t="inlineStr">
        <is>
          <t>REF-100274</t>
        </is>
      </c>
      <c r="E218" s="126" t="n">
        <v>0</v>
      </c>
      <c r="F218" s="126" t="n">
        <v>1376.26</v>
      </c>
      <c r="G218" s="126" t="n">
        <v>-1376.26</v>
      </c>
      <c r="H218" s="115" t="inlineStr">
        <is>
          <t>Imported</t>
        </is>
      </c>
    </row>
    <row r="219">
      <c r="A219" s="127" t="inlineStr">
        <is>
          <t>BANK-1245</t>
        </is>
      </c>
      <c r="B219" s="128" t="n">
        <v>46038</v>
      </c>
      <c r="C219" s="127" t="inlineStr">
        <is>
          <t>Manual GL entry</t>
        </is>
      </c>
      <c r="D219" s="127" t="inlineStr">
        <is>
          <t>REF-100301</t>
        </is>
      </c>
      <c r="E219" s="129" t="n">
        <v>1295.91</v>
      </c>
      <c r="F219" s="129" t="n">
        <v>0</v>
      </c>
      <c r="G219" s="129" t="n">
        <v>1295.91</v>
      </c>
      <c r="H219" s="127" t="inlineStr">
        <is>
          <t>Imported</t>
        </is>
      </c>
    </row>
    <row r="220">
      <c r="A220" s="115" t="inlineStr">
        <is>
          <t>BANK-1338</t>
        </is>
      </c>
      <c r="B220" s="125" t="n">
        <v>46038</v>
      </c>
      <c r="C220" s="115" t="inlineStr">
        <is>
          <t>Payment to BC Hydro</t>
        </is>
      </c>
      <c r="D220" s="115" t="inlineStr">
        <is>
          <t>REF-100409</t>
        </is>
      </c>
      <c r="E220" s="126" t="n">
        <v>0</v>
      </c>
      <c r="F220" s="126" t="n">
        <v>5605</v>
      </c>
      <c r="G220" s="126" t="n">
        <v>-5605</v>
      </c>
      <c r="H220" s="115" t="inlineStr">
        <is>
          <t>Imported</t>
        </is>
      </c>
    </row>
    <row r="221">
      <c r="A221" s="127" t="inlineStr">
        <is>
          <t>BANK-1438</t>
        </is>
      </c>
      <c r="B221" s="128" t="n">
        <v>46038</v>
      </c>
      <c r="C221" s="127" t="inlineStr">
        <is>
          <t>Bank item not posted in ERP</t>
        </is>
      </c>
      <c r="D221" s="127" t="inlineStr">
        <is>
          <t>BANKONLY-0027</t>
        </is>
      </c>
      <c r="E221" s="129" t="n">
        <v>1385.9</v>
      </c>
      <c r="F221" s="129" t="n">
        <v>0</v>
      </c>
      <c r="G221" s="129" t="n">
        <v>1385.9</v>
      </c>
      <c r="H221" s="127" t="inlineStr">
        <is>
          <t>Needs ERP Review</t>
        </is>
      </c>
    </row>
    <row r="222">
      <c r="A222" s="115" t="inlineStr">
        <is>
          <t>BANK-1028</t>
        </is>
      </c>
      <c r="B222" s="125" t="n">
        <v>46039</v>
      </c>
      <c r="C222" s="115" t="inlineStr">
        <is>
          <t>Payroll payment</t>
        </is>
      </c>
      <c r="D222" s="115" t="inlineStr">
        <is>
          <t>REF-100031</t>
        </is>
      </c>
      <c r="E222" s="126" t="n">
        <v>0</v>
      </c>
      <c r="F222" s="126" t="n">
        <v>10201.33</v>
      </c>
      <c r="G222" s="126" t="n">
        <v>-10201.33</v>
      </c>
      <c r="H222" s="115" t="inlineStr">
        <is>
          <t>Imported</t>
        </is>
      </c>
    </row>
    <row r="223">
      <c r="A223" s="127" t="inlineStr">
        <is>
          <t>BANK-1030</t>
        </is>
      </c>
      <c r="B223" s="128" t="n">
        <v>46039</v>
      </c>
      <c r="C223" s="127" t="inlineStr">
        <is>
          <t>Deposit from Raincity Tech</t>
        </is>
      </c>
      <c r="D223" s="127" t="inlineStr">
        <is>
          <t>REF-100033</t>
        </is>
      </c>
      <c r="E223" s="129" t="n">
        <v>7954.8</v>
      </c>
      <c r="F223" s="129" t="n">
        <v>0</v>
      </c>
      <c r="G223" s="129" t="n">
        <v>7954.8</v>
      </c>
      <c r="H223" s="127" t="inlineStr">
        <is>
          <t>Imported</t>
        </is>
      </c>
    </row>
    <row r="224">
      <c r="A224" s="115" t="inlineStr">
        <is>
          <t>BANK-1093</t>
        </is>
      </c>
      <c r="B224" s="125" t="n">
        <v>46039</v>
      </c>
      <c r="C224" s="115" t="inlineStr">
        <is>
          <t>Deposit from Raincity Tech</t>
        </is>
      </c>
      <c r="D224" s="115" t="inlineStr">
        <is>
          <t>REF-100107</t>
        </is>
      </c>
      <c r="E224" s="126" t="n">
        <v>2925.87</v>
      </c>
      <c r="F224" s="126" t="n">
        <v>0</v>
      </c>
      <c r="G224" s="126" t="n">
        <v>2925.87</v>
      </c>
      <c r="H224" s="115" t="inlineStr">
        <is>
          <t>Imported</t>
        </is>
      </c>
    </row>
    <row r="225">
      <c r="A225" s="127" t="inlineStr">
        <is>
          <t>BANK-1100</t>
        </is>
      </c>
      <c r="B225" s="128" t="n">
        <v>46039</v>
      </c>
      <c r="C225" s="127" t="inlineStr">
        <is>
          <t>Payroll payment</t>
        </is>
      </c>
      <c r="D225" s="127" t="inlineStr">
        <is>
          <t>REF-100118</t>
        </is>
      </c>
      <c r="E225" s="129" t="n">
        <v>0</v>
      </c>
      <c r="F225" s="129" t="n">
        <v>12325.36</v>
      </c>
      <c r="G225" s="129" t="n">
        <v>-12325.36</v>
      </c>
      <c r="H225" s="127" t="inlineStr">
        <is>
          <t>Imported</t>
        </is>
      </c>
    </row>
    <row r="226">
      <c r="A226" s="115" t="inlineStr">
        <is>
          <t>BANK-1158</t>
        </is>
      </c>
      <c r="B226" s="125" t="n">
        <v>46039</v>
      </c>
      <c r="C226" s="115" t="inlineStr">
        <is>
          <t>Payment to Amazon Business</t>
        </is>
      </c>
      <c r="D226" s="115" t="inlineStr">
        <is>
          <t>REF-100190</t>
        </is>
      </c>
      <c r="E226" s="126" t="n">
        <v>0</v>
      </c>
      <c r="F226" s="126" t="n">
        <v>3418.53</v>
      </c>
      <c r="G226" s="126" t="n">
        <v>-3418.53</v>
      </c>
      <c r="H226" s="115" t="inlineStr">
        <is>
          <t>Imported</t>
        </is>
      </c>
    </row>
    <row r="227">
      <c r="A227" s="127" t="inlineStr">
        <is>
          <t>BANK-1163</t>
        </is>
      </c>
      <c r="B227" s="128" t="n">
        <v>46039</v>
      </c>
      <c r="C227" s="127" t="inlineStr">
        <is>
          <t>Payment to Pacific Office Supplies</t>
        </is>
      </c>
      <c r="D227" s="127" t="inlineStr">
        <is>
          <t>REF-100197</t>
        </is>
      </c>
      <c r="E227" s="129" t="n">
        <v>0</v>
      </c>
      <c r="F227" s="129" t="n">
        <v>4529.74</v>
      </c>
      <c r="G227" s="129" t="n">
        <v>-4529.74</v>
      </c>
      <c r="H227" s="127" t="inlineStr">
        <is>
          <t>Imported</t>
        </is>
      </c>
    </row>
    <row r="228">
      <c r="A228" s="115" t="inlineStr">
        <is>
          <t>BANK-1249</t>
        </is>
      </c>
      <c r="B228" s="125" t="n">
        <v>46039</v>
      </c>
      <c r="C228" s="115" t="inlineStr">
        <is>
          <t>Payment to Vancouver Courier</t>
        </is>
      </c>
      <c r="D228" s="115" t="inlineStr">
        <is>
          <t>REF-100306</t>
        </is>
      </c>
      <c r="E228" s="126" t="n">
        <v>0</v>
      </c>
      <c r="F228" s="126" t="n">
        <v>3446.61</v>
      </c>
      <c r="G228" s="126" t="n">
        <v>-3446.61</v>
      </c>
      <c r="H228" s="115" t="inlineStr">
        <is>
          <t>Imported</t>
        </is>
      </c>
    </row>
    <row r="229">
      <c r="A229" s="127" t="inlineStr">
        <is>
          <t>BANK-1256</t>
        </is>
      </c>
      <c r="B229" s="128" t="n">
        <v>46039</v>
      </c>
      <c r="C229" s="127" t="inlineStr">
        <is>
          <t>Deposit from Granville Medical</t>
        </is>
      </c>
      <c r="D229" s="127" t="inlineStr">
        <is>
          <t>REF-100315</t>
        </is>
      </c>
      <c r="E229" s="129" t="n">
        <v>965.15</v>
      </c>
      <c r="F229" s="129" t="n">
        <v>0</v>
      </c>
      <c r="G229" s="129" t="n">
        <v>965.15</v>
      </c>
      <c r="H229" s="127" t="inlineStr">
        <is>
          <t>Imported</t>
        </is>
      </c>
    </row>
    <row r="230">
      <c r="A230" s="115" t="inlineStr">
        <is>
          <t>BANK-1310</t>
        </is>
      </c>
      <c r="B230" s="125" t="n">
        <v>46039</v>
      </c>
      <c r="C230" s="115" t="inlineStr">
        <is>
          <t>Manual GL entry</t>
        </is>
      </c>
      <c r="D230" s="115" t="inlineStr">
        <is>
          <t>REF-100377</t>
        </is>
      </c>
      <c r="E230" s="126" t="n">
        <v>0</v>
      </c>
      <c r="F230" s="126" t="n">
        <v>466</v>
      </c>
      <c r="G230" s="126" t="n">
        <v>-466</v>
      </c>
      <c r="H230" s="115" t="inlineStr">
        <is>
          <t>Imported</t>
        </is>
      </c>
    </row>
    <row r="231">
      <c r="A231" s="127" t="inlineStr">
        <is>
          <t>BANK-1324</t>
        </is>
      </c>
      <c r="B231" s="128" t="n">
        <v>46039</v>
      </c>
      <c r="C231" s="127" t="inlineStr">
        <is>
          <t>Manual GL entry</t>
        </is>
      </c>
      <c r="D231" s="127" t="inlineStr">
        <is>
          <t>REF-100392</t>
        </is>
      </c>
      <c r="E231" s="129" t="n">
        <v>3945.61</v>
      </c>
      <c r="F231" s="129" t="n">
        <v>0</v>
      </c>
      <c r="G231" s="129" t="n">
        <v>3945.61</v>
      </c>
      <c r="H231" s="127" t="inlineStr">
        <is>
          <t>Imported</t>
        </is>
      </c>
    </row>
    <row r="232">
      <c r="A232" s="115" t="inlineStr">
        <is>
          <t>BANK-1363</t>
        </is>
      </c>
      <c r="B232" s="125" t="n">
        <v>46039</v>
      </c>
      <c r="C232" s="115" t="inlineStr">
        <is>
          <t>Payment to North Shore Telecom</t>
        </is>
      </c>
      <c r="D232" s="115" t="inlineStr">
        <is>
          <t>REF-100438</t>
        </is>
      </c>
      <c r="E232" s="126" t="n">
        <v>0</v>
      </c>
      <c r="F232" s="126" t="n">
        <v>1998.09</v>
      </c>
      <c r="G232" s="126" t="n">
        <v>-1998.09</v>
      </c>
      <c r="H232" s="115" t="inlineStr">
        <is>
          <t>Imported</t>
        </is>
      </c>
    </row>
    <row r="233">
      <c r="A233" s="127" t="inlineStr">
        <is>
          <t>BANK-1393</t>
        </is>
      </c>
      <c r="B233" s="128" t="n">
        <v>46039</v>
      </c>
      <c r="C233" s="127" t="inlineStr">
        <is>
          <t>Payroll payment</t>
        </is>
      </c>
      <c r="D233" s="127" t="inlineStr">
        <is>
          <t>REF-100477</t>
        </is>
      </c>
      <c r="E233" s="129" t="n">
        <v>0</v>
      </c>
      <c r="F233" s="129" t="n">
        <v>12822.18</v>
      </c>
      <c r="G233" s="129" t="n">
        <v>-12822.18</v>
      </c>
      <c r="H233" s="127" t="inlineStr">
        <is>
          <t>Imported</t>
        </is>
      </c>
    </row>
    <row r="234">
      <c r="A234" s="115" t="inlineStr">
        <is>
          <t>BANK-1403</t>
        </is>
      </c>
      <c r="B234" s="125" t="n">
        <v>46039</v>
      </c>
      <c r="C234" s="115" t="inlineStr">
        <is>
          <t>Deposit from Raincity Tech</t>
        </is>
      </c>
      <c r="D234" s="115" t="inlineStr">
        <is>
          <t>REF-100490</t>
        </is>
      </c>
      <c r="E234" s="126" t="n">
        <v>1997</v>
      </c>
      <c r="F234" s="126" t="n">
        <v>0</v>
      </c>
      <c r="G234" s="126" t="n">
        <v>1997</v>
      </c>
      <c r="H234" s="115" t="inlineStr">
        <is>
          <t>Imported</t>
        </is>
      </c>
    </row>
    <row r="235">
      <c r="A235" s="127" t="inlineStr">
        <is>
          <t>BANK-1008</t>
        </is>
      </c>
      <c r="B235" s="128" t="n">
        <v>46040</v>
      </c>
      <c r="C235" s="127" t="inlineStr">
        <is>
          <t>Payment to North Shore Telecom</t>
        </is>
      </c>
      <c r="D235" s="127" t="inlineStr">
        <is>
          <t>REF-100010</t>
        </is>
      </c>
      <c r="E235" s="129" t="n">
        <v>0</v>
      </c>
      <c r="F235" s="129" t="n">
        <v>5668.39</v>
      </c>
      <c r="G235" s="129" t="n">
        <v>-5668.39</v>
      </c>
      <c r="H235" s="127" t="inlineStr">
        <is>
          <t>Imported</t>
        </is>
      </c>
    </row>
    <row r="236">
      <c r="A236" s="115" t="inlineStr">
        <is>
          <t>BANK-1063</t>
        </is>
      </c>
      <c r="B236" s="125" t="n">
        <v>46040</v>
      </c>
      <c r="C236" s="115" t="inlineStr">
        <is>
          <t>Manual GL entry</t>
        </is>
      </c>
      <c r="D236" s="115" t="inlineStr">
        <is>
          <t>REF-100072</t>
        </is>
      </c>
      <c r="E236" s="126" t="n">
        <v>0</v>
      </c>
      <c r="F236" s="126" t="n">
        <v>2013.44</v>
      </c>
      <c r="G236" s="126" t="n">
        <v>-2013.44</v>
      </c>
      <c r="H236" s="115" t="inlineStr">
        <is>
          <t>Imported</t>
        </is>
      </c>
    </row>
    <row r="237">
      <c r="A237" s="127" t="inlineStr">
        <is>
          <t>BANK-1064</t>
        </is>
      </c>
      <c r="B237" s="128" t="n">
        <v>46040</v>
      </c>
      <c r="C237" s="127" t="inlineStr">
        <is>
          <t>Payroll payment</t>
        </is>
      </c>
      <c r="D237" s="127" t="inlineStr">
        <is>
          <t>REF-100073</t>
        </is>
      </c>
      <c r="E237" s="129" t="n">
        <v>0</v>
      </c>
      <c r="F237" s="129" t="n">
        <v>14045.29</v>
      </c>
      <c r="G237" s="129" t="n">
        <v>-14045.29</v>
      </c>
      <c r="H237" s="127" t="inlineStr">
        <is>
          <t>Imported</t>
        </is>
      </c>
    </row>
    <row r="238">
      <c r="A238" s="115" t="inlineStr">
        <is>
          <t>BANK-1103</t>
        </is>
      </c>
      <c r="B238" s="125" t="n">
        <v>46040</v>
      </c>
      <c r="C238" s="115" t="inlineStr">
        <is>
          <t>Payroll payment</t>
        </is>
      </c>
      <c r="D238" s="115" t="inlineStr">
        <is>
          <t>REF-100121</t>
        </is>
      </c>
      <c r="E238" s="126" t="n">
        <v>0</v>
      </c>
      <c r="F238" s="126" t="n">
        <v>13785.52</v>
      </c>
      <c r="G238" s="126" t="n">
        <v>-13785.52</v>
      </c>
      <c r="H238" s="115" t="inlineStr">
        <is>
          <t>Imported</t>
        </is>
      </c>
    </row>
    <row r="239">
      <c r="A239" s="127" t="inlineStr">
        <is>
          <t>BANK-1128</t>
        </is>
      </c>
      <c r="B239" s="128" t="n">
        <v>46040</v>
      </c>
      <c r="C239" s="127" t="inlineStr">
        <is>
          <t>Deposit from Maple Retail Group</t>
        </is>
      </c>
      <c r="D239" s="127" t="inlineStr">
        <is>
          <t>REF-100153</t>
        </is>
      </c>
      <c r="E239" s="129" t="n">
        <v>1449.09</v>
      </c>
      <c r="F239" s="129" t="n">
        <v>0</v>
      </c>
      <c r="G239" s="129" t="n">
        <v>1449.09</v>
      </c>
      <c r="H239" s="127" t="inlineStr">
        <is>
          <t>Imported</t>
        </is>
      </c>
    </row>
    <row r="240">
      <c r="A240" s="115" t="inlineStr">
        <is>
          <t>BANK-1180</t>
        </is>
      </c>
      <c r="B240" s="125" t="n">
        <v>46040</v>
      </c>
      <c r="C240" s="115" t="inlineStr">
        <is>
          <t>Deposit from Raincity Tech</t>
        </is>
      </c>
      <c r="D240" s="115" t="inlineStr">
        <is>
          <t>REF-100219</t>
        </is>
      </c>
      <c r="E240" s="126" t="n">
        <v>5215.61</v>
      </c>
      <c r="F240" s="126" t="n">
        <v>0</v>
      </c>
      <c r="G240" s="126" t="n">
        <v>5215.61</v>
      </c>
      <c r="H240" s="115" t="inlineStr">
        <is>
          <t>Imported</t>
        </is>
      </c>
    </row>
    <row r="241">
      <c r="A241" s="127" t="inlineStr">
        <is>
          <t>BANK-1251</t>
        </is>
      </c>
      <c r="B241" s="128" t="n">
        <v>46040</v>
      </c>
      <c r="C241" s="127" t="inlineStr">
        <is>
          <t>Deposit from West Van Fitness</t>
        </is>
      </c>
      <c r="D241" s="127" t="inlineStr">
        <is>
          <t>REF-100309</t>
        </is>
      </c>
      <c r="E241" s="129" t="n">
        <v>4380.22</v>
      </c>
      <c r="F241" s="129" t="n">
        <v>0</v>
      </c>
      <c r="G241" s="129" t="n">
        <v>4380.22</v>
      </c>
      <c r="H241" s="127" t="inlineStr">
        <is>
          <t>Imported</t>
        </is>
      </c>
    </row>
    <row r="242">
      <c r="A242" s="115" t="inlineStr">
        <is>
          <t>BANK-1406</t>
        </is>
      </c>
      <c r="B242" s="125" t="n">
        <v>46040</v>
      </c>
      <c r="C242" s="115" t="inlineStr">
        <is>
          <t>Manual GL entry</t>
        </is>
      </c>
      <c r="D242" s="115" t="inlineStr">
        <is>
          <t>REF-100493</t>
        </is>
      </c>
      <c r="E242" s="126" t="n">
        <v>0</v>
      </c>
      <c r="F242" s="126" t="n">
        <v>4561.11</v>
      </c>
      <c r="G242" s="126" t="n">
        <v>-4561.11</v>
      </c>
      <c r="H242" s="115" t="inlineStr">
        <is>
          <t>Imported</t>
        </is>
      </c>
    </row>
    <row r="243">
      <c r="A243" s="127" t="inlineStr">
        <is>
          <t>BANK-1417</t>
        </is>
      </c>
      <c r="B243" s="128" t="n">
        <v>46040</v>
      </c>
      <c r="C243" s="127" t="inlineStr">
        <is>
          <t>Bank item not posted in ERP</t>
        </is>
      </c>
      <c r="D243" s="127" t="inlineStr">
        <is>
          <t>BANKONLY-0006</t>
        </is>
      </c>
      <c r="E243" s="129" t="n">
        <v>1375.6</v>
      </c>
      <c r="F243" s="129" t="n">
        <v>0</v>
      </c>
      <c r="G243" s="129" t="n">
        <v>1375.6</v>
      </c>
      <c r="H243" s="127" t="inlineStr">
        <is>
          <t>Needs ERP Review</t>
        </is>
      </c>
    </row>
    <row r="244">
      <c r="A244" s="115" t="inlineStr">
        <is>
          <t>BANK-1003</t>
        </is>
      </c>
      <c r="B244" s="125" t="n">
        <v>46041</v>
      </c>
      <c r="C244" s="115" t="inlineStr">
        <is>
          <t>Payment to Vancouver Courier</t>
        </is>
      </c>
      <c r="D244" s="115" t="inlineStr">
        <is>
          <t>REF-100003</t>
        </is>
      </c>
      <c r="E244" s="126" t="n">
        <v>0</v>
      </c>
      <c r="F244" s="126" t="n">
        <v>119.77</v>
      </c>
      <c r="G244" s="126" t="n">
        <v>-119.77</v>
      </c>
      <c r="H244" s="115" t="inlineStr">
        <is>
          <t>Imported</t>
        </is>
      </c>
    </row>
    <row r="245">
      <c r="A245" s="127" t="inlineStr">
        <is>
          <t>BANK-1114</t>
        </is>
      </c>
      <c r="B245" s="128" t="n">
        <v>46041</v>
      </c>
      <c r="C245" s="127" t="inlineStr">
        <is>
          <t>Payment to North Shore Telecom</t>
        </is>
      </c>
      <c r="D245" s="127" t="inlineStr">
        <is>
          <t>REF-100137</t>
        </is>
      </c>
      <c r="E245" s="129" t="n">
        <v>0</v>
      </c>
      <c r="F245" s="129" t="n">
        <v>752.75</v>
      </c>
      <c r="G245" s="129" t="n">
        <v>-752.75</v>
      </c>
      <c r="H245" s="127" t="inlineStr">
        <is>
          <t>Imported</t>
        </is>
      </c>
    </row>
    <row r="246">
      <c r="A246" s="115" t="inlineStr">
        <is>
          <t>BANK-1117</t>
        </is>
      </c>
      <c r="B246" s="125" t="n">
        <v>46041</v>
      </c>
      <c r="C246" s="115" t="inlineStr">
        <is>
          <t>Deposit from Harbour Design Co.</t>
        </is>
      </c>
      <c r="D246" s="115" t="inlineStr">
        <is>
          <t>REF-100142</t>
        </is>
      </c>
      <c r="E246" s="126" t="n">
        <v>2865.3</v>
      </c>
      <c r="F246" s="126" t="n">
        <v>0</v>
      </c>
      <c r="G246" s="126" t="n">
        <v>2865.3</v>
      </c>
      <c r="H246" s="115" t="inlineStr">
        <is>
          <t>Imported</t>
        </is>
      </c>
    </row>
    <row r="247">
      <c r="A247" s="127" t="inlineStr">
        <is>
          <t>BANK-1127</t>
        </is>
      </c>
      <c r="B247" s="128" t="n">
        <v>46041</v>
      </c>
      <c r="C247" s="127" t="inlineStr">
        <is>
          <t>Payment to BC Hydro</t>
        </is>
      </c>
      <c r="D247" s="127" t="inlineStr">
        <is>
          <t>REF-100152</t>
        </is>
      </c>
      <c r="E247" s="129" t="n">
        <v>0</v>
      </c>
      <c r="F247" s="129" t="n">
        <v>2856.31</v>
      </c>
      <c r="G247" s="129" t="n">
        <v>-2856.31</v>
      </c>
      <c r="H247" s="127" t="inlineStr">
        <is>
          <t>Imported</t>
        </is>
      </c>
    </row>
    <row r="248">
      <c r="A248" s="115" t="inlineStr">
        <is>
          <t>BANK-1133</t>
        </is>
      </c>
      <c r="B248" s="125" t="n">
        <v>46041</v>
      </c>
      <c r="C248" s="115" t="inlineStr">
        <is>
          <t>Payment to BC Hydro</t>
        </is>
      </c>
      <c r="D248" s="115" t="inlineStr">
        <is>
          <t>REF-100159</t>
        </is>
      </c>
      <c r="E248" s="126" t="n">
        <v>0</v>
      </c>
      <c r="F248" s="126" t="n">
        <v>207.64</v>
      </c>
      <c r="G248" s="126" t="n">
        <v>-207.64</v>
      </c>
      <c r="H248" s="115" t="inlineStr">
        <is>
          <t>Imported</t>
        </is>
      </c>
    </row>
    <row r="249">
      <c r="A249" s="127" t="inlineStr">
        <is>
          <t>BANK-1193</t>
        </is>
      </c>
      <c r="B249" s="128" t="n">
        <v>46041</v>
      </c>
      <c r="C249" s="127" t="inlineStr">
        <is>
          <t>Payment to Metro Cleaning Ltd.</t>
        </is>
      </c>
      <c r="D249" s="127" t="inlineStr">
        <is>
          <t>REF-100235</t>
        </is>
      </c>
      <c r="E249" s="129" t="n">
        <v>0</v>
      </c>
      <c r="F249" s="129" t="n">
        <v>4216.32</v>
      </c>
      <c r="G249" s="129" t="n">
        <v>-4216.32</v>
      </c>
      <c r="H249" s="127" t="inlineStr">
        <is>
          <t>Imported</t>
        </is>
      </c>
    </row>
    <row r="250">
      <c r="A250" s="115" t="inlineStr">
        <is>
          <t>BANK-1207</t>
        </is>
      </c>
      <c r="B250" s="125" t="n">
        <v>46041</v>
      </c>
      <c r="C250" s="115" t="inlineStr">
        <is>
          <t>Payment to Vancouver Courier</t>
        </is>
      </c>
      <c r="D250" s="115" t="inlineStr">
        <is>
          <t>REF-100255</t>
        </is>
      </c>
      <c r="E250" s="126" t="n">
        <v>0</v>
      </c>
      <c r="F250" s="126" t="n">
        <v>3431.61</v>
      </c>
      <c r="G250" s="126" t="n">
        <v>-3431.61</v>
      </c>
      <c r="H250" s="115" t="inlineStr">
        <is>
          <t>Imported</t>
        </is>
      </c>
    </row>
    <row r="251">
      <c r="A251" s="127" t="inlineStr">
        <is>
          <t>BANK-1288</t>
        </is>
      </c>
      <c r="B251" s="128" t="n">
        <v>46041</v>
      </c>
      <c r="C251" s="127" t="inlineStr">
        <is>
          <t>Deposit from West Van Fitness</t>
        </is>
      </c>
      <c r="D251" s="127" t="inlineStr">
        <is>
          <t>REF-100350</t>
        </is>
      </c>
      <c r="E251" s="129" t="n">
        <v>5865.07</v>
      </c>
      <c r="F251" s="129" t="n">
        <v>0</v>
      </c>
      <c r="G251" s="129" t="n">
        <v>5865.07</v>
      </c>
      <c r="H251" s="127" t="inlineStr">
        <is>
          <t>Imported</t>
        </is>
      </c>
    </row>
    <row r="252">
      <c r="A252" s="115" t="inlineStr">
        <is>
          <t>BANK-1316</t>
        </is>
      </c>
      <c r="B252" s="125" t="n">
        <v>46041</v>
      </c>
      <c r="C252" s="115" t="inlineStr">
        <is>
          <t>Deposit from Granville Medical</t>
        </is>
      </c>
      <c r="D252" s="115" t="inlineStr">
        <is>
          <t>REF-100383</t>
        </is>
      </c>
      <c r="E252" s="126" t="n">
        <v>2408.14</v>
      </c>
      <c r="F252" s="126" t="n">
        <v>0</v>
      </c>
      <c r="G252" s="126" t="n">
        <v>2408.14</v>
      </c>
      <c r="H252" s="115" t="inlineStr">
        <is>
          <t>Imported</t>
        </is>
      </c>
    </row>
    <row r="253">
      <c r="A253" s="127" t="inlineStr">
        <is>
          <t>BANK-1360</t>
        </is>
      </c>
      <c r="B253" s="128" t="n">
        <v>46041</v>
      </c>
      <c r="C253" s="127" t="inlineStr">
        <is>
          <t>Payment to Vancouver Courier</t>
        </is>
      </c>
      <c r="D253" s="127" t="inlineStr">
        <is>
          <t>REF-100435</t>
        </is>
      </c>
      <c r="E253" s="129" t="n">
        <v>0</v>
      </c>
      <c r="F253" s="129" t="n">
        <v>800.8200000000001</v>
      </c>
      <c r="G253" s="129" t="n">
        <v>-800.8200000000001</v>
      </c>
      <c r="H253" s="127" t="inlineStr">
        <is>
          <t>Imported</t>
        </is>
      </c>
    </row>
    <row r="254">
      <c r="A254" s="115" t="inlineStr">
        <is>
          <t>BANK-1431</t>
        </is>
      </c>
      <c r="B254" s="125" t="n">
        <v>46041</v>
      </c>
      <c r="C254" s="115" t="inlineStr">
        <is>
          <t>Bank item not posted in ERP</t>
        </is>
      </c>
      <c r="D254" s="115" t="inlineStr">
        <is>
          <t>BANKONLY-0020</t>
        </is>
      </c>
      <c r="E254" s="126" t="n">
        <v>0</v>
      </c>
      <c r="F254" s="126" t="n">
        <v>1423.65</v>
      </c>
      <c r="G254" s="126" t="n">
        <v>-1423.65</v>
      </c>
      <c r="H254" s="115" t="inlineStr">
        <is>
          <t>Needs ERP Review</t>
        </is>
      </c>
    </row>
    <row r="255">
      <c r="A255" s="127" t="inlineStr">
        <is>
          <t>BANK-1011</t>
        </is>
      </c>
      <c r="B255" s="128" t="n">
        <v>46042</v>
      </c>
      <c r="C255" s="127" t="inlineStr">
        <is>
          <t>Payroll payment</t>
        </is>
      </c>
      <c r="D255" s="127" t="inlineStr">
        <is>
          <t>REF-100014</t>
        </is>
      </c>
      <c r="E255" s="129" t="n">
        <v>0</v>
      </c>
      <c r="F255" s="129" t="n">
        <v>2666.47</v>
      </c>
      <c r="G255" s="129" t="n">
        <v>-2666.47</v>
      </c>
      <c r="H255" s="127" t="inlineStr">
        <is>
          <t>Imported</t>
        </is>
      </c>
    </row>
    <row r="256">
      <c r="A256" s="115" t="inlineStr">
        <is>
          <t>BANK-1034</t>
        </is>
      </c>
      <c r="B256" s="125" t="n">
        <v>46042</v>
      </c>
      <c r="C256" s="115" t="inlineStr">
        <is>
          <t>Payment to Metro Cleaning Ltd.</t>
        </is>
      </c>
      <c r="D256" s="115" t="inlineStr">
        <is>
          <t>REF-100038</t>
        </is>
      </c>
      <c r="E256" s="126" t="n">
        <v>0</v>
      </c>
      <c r="F256" s="126" t="n">
        <v>1326.02</v>
      </c>
      <c r="G256" s="126" t="n">
        <v>-1326.02</v>
      </c>
      <c r="H256" s="115" t="inlineStr">
        <is>
          <t>Imported</t>
        </is>
      </c>
    </row>
    <row r="257">
      <c r="A257" s="127" t="inlineStr">
        <is>
          <t>BANK-1041</t>
        </is>
      </c>
      <c r="B257" s="128" t="n">
        <v>46042</v>
      </c>
      <c r="C257" s="127" t="inlineStr">
        <is>
          <t>Payment to Metro Cleaning Ltd.</t>
        </is>
      </c>
      <c r="D257" s="127" t="inlineStr">
        <is>
          <t>REF-100047</t>
        </is>
      </c>
      <c r="E257" s="129" t="n">
        <v>0</v>
      </c>
      <c r="F257" s="129" t="n">
        <v>1785.05</v>
      </c>
      <c r="G257" s="129" t="n">
        <v>-1785.05</v>
      </c>
      <c r="H257" s="127" t="inlineStr">
        <is>
          <t>Imported</t>
        </is>
      </c>
    </row>
    <row r="258">
      <c r="A258" s="115" t="inlineStr">
        <is>
          <t>BANK-1058</t>
        </is>
      </c>
      <c r="B258" s="125" t="n">
        <v>46042</v>
      </c>
      <c r="C258" s="115" t="inlineStr">
        <is>
          <t>Manual GL entry</t>
        </is>
      </c>
      <c r="D258" s="115" t="inlineStr">
        <is>
          <t>REF-100066</t>
        </is>
      </c>
      <c r="E258" s="126" t="n">
        <v>0</v>
      </c>
      <c r="F258" s="126" t="n">
        <v>3634.7</v>
      </c>
      <c r="G258" s="126" t="n">
        <v>-3634.7</v>
      </c>
      <c r="H258" s="115" t="inlineStr">
        <is>
          <t>Imported</t>
        </is>
      </c>
    </row>
    <row r="259">
      <c r="A259" s="127" t="inlineStr">
        <is>
          <t>BANK-1059</t>
        </is>
      </c>
      <c r="B259" s="128" t="n">
        <v>46042</v>
      </c>
      <c r="C259" s="127" t="inlineStr">
        <is>
          <t>Payment to Staples Canada</t>
        </is>
      </c>
      <c r="D259" s="127" t="inlineStr">
        <is>
          <t>REF-100067</t>
        </is>
      </c>
      <c r="E259" s="129" t="n">
        <v>0</v>
      </c>
      <c r="F259" s="129" t="n">
        <v>2703.11</v>
      </c>
      <c r="G259" s="129" t="n">
        <v>-2703.11</v>
      </c>
      <c r="H259" s="127" t="inlineStr">
        <is>
          <t>Imported</t>
        </is>
      </c>
    </row>
    <row r="260">
      <c r="A260" s="115" t="inlineStr">
        <is>
          <t>BANK-1149</t>
        </is>
      </c>
      <c r="B260" s="125" t="n">
        <v>46042</v>
      </c>
      <c r="C260" s="115" t="inlineStr">
        <is>
          <t>Payment to BC Hydro</t>
        </is>
      </c>
      <c r="D260" s="115" t="inlineStr">
        <is>
          <t>REF-100177</t>
        </is>
      </c>
      <c r="E260" s="126" t="n">
        <v>0</v>
      </c>
      <c r="F260" s="126" t="n">
        <v>1024.03</v>
      </c>
      <c r="G260" s="126" t="n">
        <v>-1024.03</v>
      </c>
      <c r="H260" s="115" t="inlineStr">
        <is>
          <t>Imported</t>
        </is>
      </c>
    </row>
    <row r="261">
      <c r="A261" s="127" t="inlineStr">
        <is>
          <t>BANK-1177</t>
        </is>
      </c>
      <c r="B261" s="128" t="n">
        <v>46042</v>
      </c>
      <c r="C261" s="127" t="inlineStr">
        <is>
          <t>Payment to Vancouver Courier</t>
        </is>
      </c>
      <c r="D261" s="127" t="inlineStr">
        <is>
          <t>REF-100216</t>
        </is>
      </c>
      <c r="E261" s="129" t="n">
        <v>0</v>
      </c>
      <c r="F261" s="129" t="n">
        <v>253.65</v>
      </c>
      <c r="G261" s="129" t="n">
        <v>-253.65</v>
      </c>
      <c r="H261" s="127" t="inlineStr">
        <is>
          <t>Imported</t>
        </is>
      </c>
    </row>
    <row r="262">
      <c r="A262" s="115" t="inlineStr">
        <is>
          <t>BANK-1188</t>
        </is>
      </c>
      <c r="B262" s="125" t="n">
        <v>46042</v>
      </c>
      <c r="C262" s="115" t="inlineStr">
        <is>
          <t>Manual GL entry</t>
        </is>
      </c>
      <c r="D262" s="115" t="inlineStr">
        <is>
          <t>REF-100230</t>
        </is>
      </c>
      <c r="E262" s="126" t="n">
        <v>0</v>
      </c>
      <c r="F262" s="126" t="n">
        <v>2988.94</v>
      </c>
      <c r="G262" s="126" t="n">
        <v>-2988.94</v>
      </c>
      <c r="H262" s="115" t="inlineStr">
        <is>
          <t>Imported</t>
        </is>
      </c>
    </row>
    <row r="263">
      <c r="A263" s="127" t="inlineStr">
        <is>
          <t>BANK-1190</t>
        </is>
      </c>
      <c r="B263" s="128" t="n">
        <v>46042</v>
      </c>
      <c r="C263" s="127" t="inlineStr">
        <is>
          <t>Deposit from West Van Fitness</t>
        </is>
      </c>
      <c r="D263" s="127" t="inlineStr">
        <is>
          <t>REF-100232</t>
        </is>
      </c>
      <c r="E263" s="129" t="n">
        <v>5387.36</v>
      </c>
      <c r="F263" s="129" t="n">
        <v>0</v>
      </c>
      <c r="G263" s="129" t="n">
        <v>5387.36</v>
      </c>
      <c r="H263" s="127" t="inlineStr">
        <is>
          <t>Imported</t>
        </is>
      </c>
    </row>
    <row r="264">
      <c r="A264" s="115" t="inlineStr">
        <is>
          <t>BANK-1236</t>
        </is>
      </c>
      <c r="B264" s="125" t="n">
        <v>46042</v>
      </c>
      <c r="C264" s="115" t="inlineStr">
        <is>
          <t>Payment to Vancouver Courier</t>
        </is>
      </c>
      <c r="D264" s="115" t="inlineStr">
        <is>
          <t>REF-100291</t>
        </is>
      </c>
      <c r="E264" s="126" t="n">
        <v>0</v>
      </c>
      <c r="F264" s="126" t="n">
        <v>4441.79</v>
      </c>
      <c r="G264" s="126" t="n">
        <v>-4441.79</v>
      </c>
      <c r="H264" s="115" t="inlineStr">
        <is>
          <t>Imported</t>
        </is>
      </c>
    </row>
    <row r="265">
      <c r="A265" s="127" t="inlineStr">
        <is>
          <t>BANK-1242</t>
        </is>
      </c>
      <c r="B265" s="128" t="n">
        <v>46042</v>
      </c>
      <c r="C265" s="127" t="inlineStr">
        <is>
          <t>Deposit from Maple Retail Group</t>
        </is>
      </c>
      <c r="D265" s="127" t="inlineStr">
        <is>
          <t>REF-100298</t>
        </is>
      </c>
      <c r="E265" s="129" t="n">
        <v>369.29</v>
      </c>
      <c r="F265" s="129" t="n">
        <v>0</v>
      </c>
      <c r="G265" s="129" t="n">
        <v>369.29</v>
      </c>
      <c r="H265" s="127" t="inlineStr">
        <is>
          <t>Imported</t>
        </is>
      </c>
    </row>
    <row r="266">
      <c r="A266" s="115" t="inlineStr">
        <is>
          <t>BANK-1297</t>
        </is>
      </c>
      <c r="B266" s="125" t="n">
        <v>46042</v>
      </c>
      <c r="C266" s="115" t="inlineStr">
        <is>
          <t>Manual GL entry</t>
        </is>
      </c>
      <c r="D266" s="115" t="inlineStr">
        <is>
          <t>REF-100359</t>
        </is>
      </c>
      <c r="E266" s="126" t="n">
        <v>3716.86</v>
      </c>
      <c r="F266" s="126" t="n">
        <v>0</v>
      </c>
      <c r="G266" s="126" t="n">
        <v>3716.86</v>
      </c>
      <c r="H266" s="115" t="inlineStr">
        <is>
          <t>Imported</t>
        </is>
      </c>
    </row>
    <row r="267">
      <c r="A267" s="127" t="inlineStr">
        <is>
          <t>BANK-1410</t>
        </is>
      </c>
      <c r="B267" s="128" t="n">
        <v>46042</v>
      </c>
      <c r="C267" s="127" t="inlineStr">
        <is>
          <t>Manual GL entry</t>
        </is>
      </c>
      <c r="D267" s="127" t="inlineStr">
        <is>
          <t>REF-100499</t>
        </is>
      </c>
      <c r="E267" s="129" t="n">
        <v>0</v>
      </c>
      <c r="F267" s="129" t="n">
        <v>3792</v>
      </c>
      <c r="G267" s="129" t="n">
        <v>-3792</v>
      </c>
      <c r="H267" s="127" t="inlineStr">
        <is>
          <t>Imported</t>
        </is>
      </c>
    </row>
    <row r="268">
      <c r="A268" s="115" t="inlineStr">
        <is>
          <t>BANK-1430</t>
        </is>
      </c>
      <c r="B268" s="125" t="n">
        <v>46042</v>
      </c>
      <c r="C268" s="115" t="inlineStr">
        <is>
          <t>Bank item not posted in ERP</t>
        </is>
      </c>
      <c r="D268" s="115" t="inlineStr">
        <is>
          <t>BANKONLY-0019</t>
        </is>
      </c>
      <c r="E268" s="126" t="n">
        <v>1653.66</v>
      </c>
      <c r="F268" s="126" t="n">
        <v>0</v>
      </c>
      <c r="G268" s="126" t="n">
        <v>1653.66</v>
      </c>
      <c r="H268" s="115" t="inlineStr">
        <is>
          <t>Needs ERP Review</t>
        </is>
      </c>
    </row>
    <row r="269">
      <c r="A269" s="127" t="inlineStr">
        <is>
          <t>BANK-1001</t>
        </is>
      </c>
      <c r="B269" s="128" t="n">
        <v>46043</v>
      </c>
      <c r="C269" s="127" t="inlineStr">
        <is>
          <t>Payment to Staples Canada</t>
        </is>
      </c>
      <c r="D269" s="127" t="inlineStr">
        <is>
          <t>REF-100001</t>
        </is>
      </c>
      <c r="E269" s="129" t="n">
        <v>0</v>
      </c>
      <c r="F269" s="129" t="n">
        <v>1763.18</v>
      </c>
      <c r="G269" s="129" t="n">
        <v>-1763.18</v>
      </c>
      <c r="H269" s="127" t="inlineStr">
        <is>
          <t>Imported</t>
        </is>
      </c>
    </row>
    <row r="270">
      <c r="A270" s="115" t="inlineStr">
        <is>
          <t>BANK-1016</t>
        </is>
      </c>
      <c r="B270" s="125" t="n">
        <v>46043</v>
      </c>
      <c r="C270" s="115" t="inlineStr">
        <is>
          <t>Payroll payment</t>
        </is>
      </c>
      <c r="D270" s="115" t="inlineStr">
        <is>
          <t>REF-100019</t>
        </is>
      </c>
      <c r="E270" s="126" t="n">
        <v>0</v>
      </c>
      <c r="F270" s="126" t="n">
        <v>16680.78</v>
      </c>
      <c r="G270" s="126" t="n">
        <v>-16680.78</v>
      </c>
      <c r="H270" s="115" t="inlineStr">
        <is>
          <t>Imported</t>
        </is>
      </c>
    </row>
    <row r="271">
      <c r="A271" s="127" t="inlineStr">
        <is>
          <t>BANK-1031</t>
        </is>
      </c>
      <c r="B271" s="128" t="n">
        <v>46043</v>
      </c>
      <c r="C271" s="127" t="inlineStr">
        <is>
          <t>Payment to Metro Cleaning Ltd.</t>
        </is>
      </c>
      <c r="D271" s="127" t="inlineStr">
        <is>
          <t>REF-100034</t>
        </is>
      </c>
      <c r="E271" s="129" t="n">
        <v>0</v>
      </c>
      <c r="F271" s="129" t="n">
        <v>5765.59</v>
      </c>
      <c r="G271" s="129" t="n">
        <v>-5765.59</v>
      </c>
      <c r="H271" s="127" t="inlineStr">
        <is>
          <t>Imported</t>
        </is>
      </c>
    </row>
    <row r="272">
      <c r="A272" s="115" t="inlineStr">
        <is>
          <t>BANK-1036</t>
        </is>
      </c>
      <c r="B272" s="125" t="n">
        <v>46043</v>
      </c>
      <c r="C272" s="115" t="inlineStr">
        <is>
          <t>Payroll payment</t>
        </is>
      </c>
      <c r="D272" s="115" t="inlineStr">
        <is>
          <t>REF-100041</t>
        </is>
      </c>
      <c r="E272" s="126" t="n">
        <v>0</v>
      </c>
      <c r="F272" s="126" t="n">
        <v>10411.06</v>
      </c>
      <c r="G272" s="126" t="n">
        <v>-10411.06</v>
      </c>
      <c r="H272" s="115" t="inlineStr">
        <is>
          <t>Imported</t>
        </is>
      </c>
    </row>
    <row r="273">
      <c r="A273" s="127" t="inlineStr">
        <is>
          <t>BANK-1085</t>
        </is>
      </c>
      <c r="B273" s="128" t="n">
        <v>46043</v>
      </c>
      <c r="C273" s="127" t="inlineStr">
        <is>
          <t>Deposit from Granville Medical</t>
        </is>
      </c>
      <c r="D273" s="127" t="inlineStr">
        <is>
          <t>REF-100097</t>
        </is>
      </c>
      <c r="E273" s="129" t="n">
        <v>8241.610000000001</v>
      </c>
      <c r="F273" s="129" t="n">
        <v>0</v>
      </c>
      <c r="G273" s="129" t="n">
        <v>8241.610000000001</v>
      </c>
      <c r="H273" s="127" t="inlineStr">
        <is>
          <t>Imported</t>
        </is>
      </c>
    </row>
    <row r="274">
      <c r="A274" s="115" t="inlineStr">
        <is>
          <t>BANK-1110</t>
        </is>
      </c>
      <c r="B274" s="125" t="n">
        <v>46043</v>
      </c>
      <c r="C274" s="115" t="inlineStr">
        <is>
          <t>Deposit from Raincity Tech</t>
        </is>
      </c>
      <c r="D274" s="115" t="inlineStr">
        <is>
          <t>REF-100132</t>
        </is>
      </c>
      <c r="E274" s="126" t="n">
        <v>423.18</v>
      </c>
      <c r="F274" s="126" t="n">
        <v>0</v>
      </c>
      <c r="G274" s="126" t="n">
        <v>423.18</v>
      </c>
      <c r="H274" s="115" t="inlineStr">
        <is>
          <t>Imported</t>
        </is>
      </c>
    </row>
    <row r="275">
      <c r="A275" s="127" t="inlineStr">
        <is>
          <t>BANK-1125</t>
        </is>
      </c>
      <c r="B275" s="128" t="n">
        <v>46043</v>
      </c>
      <c r="C275" s="127" t="inlineStr">
        <is>
          <t>Payroll payment</t>
        </is>
      </c>
      <c r="D275" s="127" t="inlineStr">
        <is>
          <t>REF-100150</t>
        </is>
      </c>
      <c r="E275" s="129" t="n">
        <v>0</v>
      </c>
      <c r="F275" s="129" t="n">
        <v>6377.99</v>
      </c>
      <c r="G275" s="129" t="n">
        <v>-6377.99</v>
      </c>
      <c r="H275" s="127" t="inlineStr">
        <is>
          <t>Imported</t>
        </is>
      </c>
    </row>
    <row r="276">
      <c r="A276" s="115" t="inlineStr">
        <is>
          <t>BANK-1228</t>
        </is>
      </c>
      <c r="B276" s="125" t="n">
        <v>46043</v>
      </c>
      <c r="C276" s="115" t="inlineStr">
        <is>
          <t>Manual GL entry</t>
        </is>
      </c>
      <c r="D276" s="115" t="inlineStr">
        <is>
          <t>REF-100280</t>
        </is>
      </c>
      <c r="E276" s="126" t="n">
        <v>0</v>
      </c>
      <c r="F276" s="126" t="n">
        <v>882.76</v>
      </c>
      <c r="G276" s="126" t="n">
        <v>-882.76</v>
      </c>
      <c r="H276" s="115" t="inlineStr">
        <is>
          <t>Imported</t>
        </is>
      </c>
    </row>
    <row r="277">
      <c r="A277" s="127" t="inlineStr">
        <is>
          <t>BANK-1272</t>
        </is>
      </c>
      <c r="B277" s="128" t="n">
        <v>46043</v>
      </c>
      <c r="C277" s="127" t="inlineStr">
        <is>
          <t>Payment to Amazon Business</t>
        </is>
      </c>
      <c r="D277" s="127" t="inlineStr">
        <is>
          <t>REF-100332</t>
        </is>
      </c>
      <c r="E277" s="129" t="n">
        <v>0</v>
      </c>
      <c r="F277" s="129" t="n">
        <v>1716.14</v>
      </c>
      <c r="G277" s="129" t="n">
        <v>-1716.14</v>
      </c>
      <c r="H277" s="127" t="inlineStr">
        <is>
          <t>Imported</t>
        </is>
      </c>
    </row>
    <row r="278">
      <c r="A278" s="115" t="inlineStr">
        <is>
          <t>BANK-1379</t>
        </is>
      </c>
      <c r="B278" s="125" t="n">
        <v>46043</v>
      </c>
      <c r="C278" s="115" t="inlineStr">
        <is>
          <t>Manual GL entry</t>
        </is>
      </c>
      <c r="D278" s="115" t="inlineStr">
        <is>
          <t>REF-100458</t>
        </is>
      </c>
      <c r="E278" s="126" t="n">
        <v>0</v>
      </c>
      <c r="F278" s="126" t="n">
        <v>563.38</v>
      </c>
      <c r="G278" s="126" t="n">
        <v>-563.38</v>
      </c>
      <c r="H278" s="115" t="inlineStr">
        <is>
          <t>Imported</t>
        </is>
      </c>
    </row>
    <row r="279">
      <c r="A279" s="127" t="inlineStr">
        <is>
          <t>BANK-1385</t>
        </is>
      </c>
      <c r="B279" s="128" t="n">
        <v>46043</v>
      </c>
      <c r="C279" s="127" t="inlineStr">
        <is>
          <t>Payment to Amazon Business</t>
        </is>
      </c>
      <c r="D279" s="127" t="inlineStr">
        <is>
          <t>REF-100468</t>
        </is>
      </c>
      <c r="E279" s="129" t="n">
        <v>0</v>
      </c>
      <c r="F279" s="129" t="n">
        <v>3521.48</v>
      </c>
      <c r="G279" s="129" t="n">
        <v>-3521.48</v>
      </c>
      <c r="H279" s="127" t="inlineStr">
        <is>
          <t>Imported</t>
        </is>
      </c>
    </row>
    <row r="280">
      <c r="A280" s="115" t="inlineStr">
        <is>
          <t>BANK-1388</t>
        </is>
      </c>
      <c r="B280" s="125" t="n">
        <v>46043</v>
      </c>
      <c r="C280" s="115" t="inlineStr">
        <is>
          <t>Payment to Pacific Office Supplies</t>
        </is>
      </c>
      <c r="D280" s="115" t="inlineStr">
        <is>
          <t>REF-100472</t>
        </is>
      </c>
      <c r="E280" s="126" t="n">
        <v>0</v>
      </c>
      <c r="F280" s="126" t="n">
        <v>5772.92</v>
      </c>
      <c r="G280" s="126" t="n">
        <v>-5772.92</v>
      </c>
      <c r="H280" s="115" t="inlineStr">
        <is>
          <t>Imported</t>
        </is>
      </c>
    </row>
    <row r="281">
      <c r="A281" s="127" t="inlineStr">
        <is>
          <t>BANK-1405</t>
        </is>
      </c>
      <c r="B281" s="128" t="n">
        <v>46043</v>
      </c>
      <c r="C281" s="127" t="inlineStr">
        <is>
          <t>Deposit from West Van Fitness</t>
        </is>
      </c>
      <c r="D281" s="127" t="inlineStr">
        <is>
          <t>REF-100492</t>
        </is>
      </c>
      <c r="E281" s="129" t="n">
        <v>2185.96</v>
      </c>
      <c r="F281" s="129" t="n">
        <v>0</v>
      </c>
      <c r="G281" s="129" t="n">
        <v>2185.96</v>
      </c>
      <c r="H281" s="127" t="inlineStr">
        <is>
          <t>Imported</t>
        </is>
      </c>
    </row>
    <row r="282">
      <c r="A282" s="115" t="inlineStr">
        <is>
          <t>BANK-1423</t>
        </is>
      </c>
      <c r="B282" s="125" t="n">
        <v>46043</v>
      </c>
      <c r="C282" s="115" t="inlineStr">
        <is>
          <t>Bank item not posted in ERP</t>
        </is>
      </c>
      <c r="D282" s="115" t="inlineStr">
        <is>
          <t>BANKONLY-0012</t>
        </is>
      </c>
      <c r="E282" s="126" t="n">
        <v>0</v>
      </c>
      <c r="F282" s="126" t="n">
        <v>1380.92</v>
      </c>
      <c r="G282" s="126" t="n">
        <v>-1380.92</v>
      </c>
      <c r="H282" s="115" t="inlineStr">
        <is>
          <t>Needs ERP Review</t>
        </is>
      </c>
    </row>
    <row r="283">
      <c r="A283" s="127" t="inlineStr">
        <is>
          <t>BANK-1439</t>
        </is>
      </c>
      <c r="B283" s="128" t="n">
        <v>46043</v>
      </c>
      <c r="C283" s="127" t="inlineStr">
        <is>
          <t>Bank item not posted in ERP</t>
        </is>
      </c>
      <c r="D283" s="127" t="inlineStr">
        <is>
          <t>BANKONLY-0028</t>
        </is>
      </c>
      <c r="E283" s="129" t="n">
        <v>0</v>
      </c>
      <c r="F283" s="129" t="n">
        <v>1522.47</v>
      </c>
      <c r="G283" s="129" t="n">
        <v>-1522.47</v>
      </c>
      <c r="H283" s="127" t="inlineStr">
        <is>
          <t>Needs ERP Review</t>
        </is>
      </c>
    </row>
    <row r="284">
      <c r="A284" s="115" t="inlineStr">
        <is>
          <t>BANK-1021</t>
        </is>
      </c>
      <c r="B284" s="125" t="n">
        <v>46044</v>
      </c>
      <c r="C284" s="115" t="inlineStr">
        <is>
          <t>Monthly bank service charge</t>
        </is>
      </c>
      <c r="D284" s="115" t="inlineStr">
        <is>
          <t>REF-100024</t>
        </is>
      </c>
      <c r="E284" s="126" t="n">
        <v>0</v>
      </c>
      <c r="F284" s="126" t="n">
        <v>70.67</v>
      </c>
      <c r="G284" s="126" t="n">
        <v>-70.67</v>
      </c>
      <c r="H284" s="115" t="inlineStr">
        <is>
          <t>Imported</t>
        </is>
      </c>
    </row>
    <row r="285">
      <c r="A285" s="127" t="inlineStr">
        <is>
          <t>BANK-1046</t>
        </is>
      </c>
      <c r="B285" s="128" t="n">
        <v>46044</v>
      </c>
      <c r="C285" s="127" t="inlineStr">
        <is>
          <t>Payment to North Shore Telecom</t>
        </is>
      </c>
      <c r="D285" s="127" t="inlineStr">
        <is>
          <t>REF-100052</t>
        </is>
      </c>
      <c r="E285" s="129" t="n">
        <v>0</v>
      </c>
      <c r="F285" s="129" t="n">
        <v>1254.06</v>
      </c>
      <c r="G285" s="129" t="n">
        <v>-1254.06</v>
      </c>
      <c r="H285" s="127" t="inlineStr">
        <is>
          <t>Imported</t>
        </is>
      </c>
    </row>
    <row r="286">
      <c r="A286" s="115" t="inlineStr">
        <is>
          <t>BANK-1156</t>
        </is>
      </c>
      <c r="B286" s="125" t="n">
        <v>46044</v>
      </c>
      <c r="C286" s="115" t="inlineStr">
        <is>
          <t>Manual GL entry</t>
        </is>
      </c>
      <c r="D286" s="115" t="inlineStr">
        <is>
          <t>REF-100188</t>
        </is>
      </c>
      <c r="E286" s="126" t="n">
        <v>0</v>
      </c>
      <c r="F286" s="126" t="n">
        <v>360.9</v>
      </c>
      <c r="G286" s="126" t="n">
        <v>-360.9</v>
      </c>
      <c r="H286" s="115" t="inlineStr">
        <is>
          <t>Imported</t>
        </is>
      </c>
    </row>
    <row r="287">
      <c r="A287" s="127" t="inlineStr">
        <is>
          <t>BANK-1216</t>
        </is>
      </c>
      <c r="B287" s="128" t="n">
        <v>46044</v>
      </c>
      <c r="C287" s="127" t="inlineStr">
        <is>
          <t>Manual GL entry</t>
        </is>
      </c>
      <c r="D287" s="127" t="inlineStr">
        <is>
          <t>REF-100265</t>
        </is>
      </c>
      <c r="E287" s="129" t="n">
        <v>1261.43</v>
      </c>
      <c r="F287" s="129" t="n">
        <v>0</v>
      </c>
      <c r="G287" s="129" t="n">
        <v>1261.43</v>
      </c>
      <c r="H287" s="127" t="inlineStr">
        <is>
          <t>Imported</t>
        </is>
      </c>
    </row>
    <row r="288">
      <c r="A288" s="115" t="inlineStr">
        <is>
          <t>BANK-1223</t>
        </is>
      </c>
      <c r="B288" s="125" t="n">
        <v>46044</v>
      </c>
      <c r="C288" s="115" t="inlineStr">
        <is>
          <t>Deposit from Coastline Foods</t>
        </is>
      </c>
      <c r="D288" s="115" t="inlineStr">
        <is>
          <t>REF-100275</t>
        </is>
      </c>
      <c r="E288" s="126" t="n">
        <v>3461.88</v>
      </c>
      <c r="F288" s="126" t="n">
        <v>0</v>
      </c>
      <c r="G288" s="126" t="n">
        <v>3461.88</v>
      </c>
      <c r="H288" s="115" t="inlineStr">
        <is>
          <t>Imported</t>
        </is>
      </c>
    </row>
    <row r="289">
      <c r="A289" s="127" t="inlineStr">
        <is>
          <t>BANK-1235</t>
        </is>
      </c>
      <c r="B289" s="128" t="n">
        <v>46044</v>
      </c>
      <c r="C289" s="127" t="inlineStr">
        <is>
          <t>Payroll payment</t>
        </is>
      </c>
      <c r="D289" s="127" t="inlineStr">
        <is>
          <t>REF-100289</t>
        </is>
      </c>
      <c r="E289" s="129" t="n">
        <v>0</v>
      </c>
      <c r="F289" s="129" t="n">
        <v>9394.75</v>
      </c>
      <c r="G289" s="129" t="n">
        <v>-9394.75</v>
      </c>
      <c r="H289" s="127" t="inlineStr">
        <is>
          <t>Imported</t>
        </is>
      </c>
    </row>
    <row r="290">
      <c r="A290" s="115" t="inlineStr">
        <is>
          <t>BANK-1344</t>
        </is>
      </c>
      <c r="B290" s="125" t="n">
        <v>46044</v>
      </c>
      <c r="C290" s="115" t="inlineStr">
        <is>
          <t>Payment to Staples Canada</t>
        </is>
      </c>
      <c r="D290" s="115" t="inlineStr">
        <is>
          <t>REF-100416</t>
        </is>
      </c>
      <c r="E290" s="126" t="n">
        <v>0</v>
      </c>
      <c r="F290" s="126" t="n">
        <v>2988.34</v>
      </c>
      <c r="G290" s="126" t="n">
        <v>-2988.34</v>
      </c>
      <c r="H290" s="115" t="inlineStr">
        <is>
          <t>Imported</t>
        </is>
      </c>
    </row>
    <row r="291">
      <c r="A291" s="127" t="inlineStr">
        <is>
          <t>BANK-1355</t>
        </is>
      </c>
      <c r="B291" s="128" t="n">
        <v>46044</v>
      </c>
      <c r="C291" s="127" t="inlineStr">
        <is>
          <t>Manual GL entry</t>
        </is>
      </c>
      <c r="D291" s="127" t="inlineStr">
        <is>
          <t>REF-100430</t>
        </is>
      </c>
      <c r="E291" s="129" t="n">
        <v>0</v>
      </c>
      <c r="F291" s="129" t="n">
        <v>4036.88</v>
      </c>
      <c r="G291" s="129" t="n">
        <v>-4036.88</v>
      </c>
      <c r="H291" s="127" t="inlineStr">
        <is>
          <t>Imported</t>
        </is>
      </c>
    </row>
    <row r="292">
      <c r="A292" s="115" t="inlineStr">
        <is>
          <t>BANK-1414</t>
        </is>
      </c>
      <c r="B292" s="125" t="n">
        <v>46044</v>
      </c>
      <c r="C292" s="115" t="inlineStr">
        <is>
          <t>Bank item not posted in ERP</t>
        </is>
      </c>
      <c r="D292" s="115" t="inlineStr">
        <is>
          <t>BANKONLY-0003</t>
        </is>
      </c>
      <c r="E292" s="126" t="n">
        <v>0</v>
      </c>
      <c r="F292" s="126" t="n">
        <v>2219.14</v>
      </c>
      <c r="G292" s="126" t="n">
        <v>-2219.14</v>
      </c>
      <c r="H292" s="115" t="inlineStr">
        <is>
          <t>Needs ERP Review</t>
        </is>
      </c>
    </row>
    <row r="293">
      <c r="A293" s="127" t="inlineStr">
        <is>
          <t>BANK-1424</t>
        </is>
      </c>
      <c r="B293" s="128" t="n">
        <v>46044</v>
      </c>
      <c r="C293" s="127" t="inlineStr">
        <is>
          <t>Bank item not posted in ERP</t>
        </is>
      </c>
      <c r="D293" s="127" t="inlineStr">
        <is>
          <t>BANKONLY-0013</t>
        </is>
      </c>
      <c r="E293" s="129" t="n">
        <v>182.4</v>
      </c>
      <c r="F293" s="129" t="n">
        <v>0</v>
      </c>
      <c r="G293" s="129" t="n">
        <v>182.4</v>
      </c>
      <c r="H293" s="127" t="inlineStr">
        <is>
          <t>Needs ERP Review</t>
        </is>
      </c>
    </row>
    <row r="294">
      <c r="A294" s="115" t="inlineStr">
        <is>
          <t>BANK-1427</t>
        </is>
      </c>
      <c r="B294" s="125" t="n">
        <v>46044</v>
      </c>
      <c r="C294" s="115" t="inlineStr">
        <is>
          <t>Bank item not posted in ERP</t>
        </is>
      </c>
      <c r="D294" s="115" t="inlineStr">
        <is>
          <t>BANKONLY-0016</t>
        </is>
      </c>
      <c r="E294" s="126" t="n">
        <v>1643.85</v>
      </c>
      <c r="F294" s="126" t="n">
        <v>0</v>
      </c>
      <c r="G294" s="126" t="n">
        <v>1643.85</v>
      </c>
      <c r="H294" s="115" t="inlineStr">
        <is>
          <t>Needs ERP Review</t>
        </is>
      </c>
    </row>
    <row r="295">
      <c r="A295" s="127" t="inlineStr">
        <is>
          <t>BANK-1436</t>
        </is>
      </c>
      <c r="B295" s="128" t="n">
        <v>46044</v>
      </c>
      <c r="C295" s="127" t="inlineStr">
        <is>
          <t>Bank item not posted in ERP</t>
        </is>
      </c>
      <c r="D295" s="127" t="inlineStr">
        <is>
          <t>BANKONLY-0025</t>
        </is>
      </c>
      <c r="E295" s="129" t="n">
        <v>0</v>
      </c>
      <c r="F295" s="129" t="n">
        <v>1836.44</v>
      </c>
      <c r="G295" s="129" t="n">
        <v>-1836.44</v>
      </c>
      <c r="H295" s="127" t="inlineStr">
        <is>
          <t>Needs ERP Review</t>
        </is>
      </c>
    </row>
    <row r="296">
      <c r="A296" s="115" t="inlineStr">
        <is>
          <t>BANK-1044</t>
        </is>
      </c>
      <c r="B296" s="125" t="n">
        <v>46045</v>
      </c>
      <c r="C296" s="115" t="inlineStr">
        <is>
          <t>Deposit from West Van Fitness</t>
        </is>
      </c>
      <c r="D296" s="115" t="inlineStr">
        <is>
          <t>REF-100050</t>
        </is>
      </c>
      <c r="E296" s="126" t="n">
        <v>7878.55</v>
      </c>
      <c r="F296" s="126" t="n">
        <v>0</v>
      </c>
      <c r="G296" s="126" t="n">
        <v>7878.55</v>
      </c>
      <c r="H296" s="115" t="inlineStr">
        <is>
          <t>Imported</t>
        </is>
      </c>
    </row>
    <row r="297">
      <c r="A297" s="127" t="inlineStr">
        <is>
          <t>BANK-1050</t>
        </is>
      </c>
      <c r="B297" s="128" t="n">
        <v>46045</v>
      </c>
      <c r="C297" s="127" t="inlineStr">
        <is>
          <t>Payment to BC Hydro</t>
        </is>
      </c>
      <c r="D297" s="127" t="inlineStr">
        <is>
          <t>REF-100056</t>
        </is>
      </c>
      <c r="E297" s="129" t="n">
        <v>0</v>
      </c>
      <c r="F297" s="129" t="n">
        <v>5503.16</v>
      </c>
      <c r="G297" s="129" t="n">
        <v>-5503.16</v>
      </c>
      <c r="H297" s="127" t="inlineStr">
        <is>
          <t>Imported</t>
        </is>
      </c>
    </row>
    <row r="298">
      <c r="A298" s="115" t="inlineStr">
        <is>
          <t>BANK-1056</t>
        </is>
      </c>
      <c r="B298" s="125" t="n">
        <v>46045</v>
      </c>
      <c r="C298" s="115" t="inlineStr">
        <is>
          <t>Deposit from Granville Medical</t>
        </is>
      </c>
      <c r="D298" s="115" t="inlineStr">
        <is>
          <t>REF-100064</t>
        </is>
      </c>
      <c r="E298" s="126" t="n">
        <v>199.23</v>
      </c>
      <c r="F298" s="126" t="n">
        <v>0</v>
      </c>
      <c r="G298" s="126" t="n">
        <v>199.23</v>
      </c>
      <c r="H298" s="115" t="inlineStr">
        <is>
          <t>Imported</t>
        </is>
      </c>
    </row>
    <row r="299">
      <c r="A299" s="127" t="inlineStr">
        <is>
          <t>BANK-1090</t>
        </is>
      </c>
      <c r="B299" s="128" t="n">
        <v>46045</v>
      </c>
      <c r="C299" s="127" t="inlineStr">
        <is>
          <t>Payment to Staples Canada</t>
        </is>
      </c>
      <c r="D299" s="127" t="inlineStr">
        <is>
          <t>REF-100104</t>
        </is>
      </c>
      <c r="E299" s="129" t="n">
        <v>0</v>
      </c>
      <c r="F299" s="129" t="n">
        <v>1753.36</v>
      </c>
      <c r="G299" s="129" t="n">
        <v>-1753.36</v>
      </c>
      <c r="H299" s="127" t="inlineStr">
        <is>
          <t>Imported</t>
        </is>
      </c>
    </row>
    <row r="300">
      <c r="A300" s="115" t="inlineStr">
        <is>
          <t>BANK-1097</t>
        </is>
      </c>
      <c r="B300" s="125" t="n">
        <v>46045</v>
      </c>
      <c r="C300" s="115" t="inlineStr">
        <is>
          <t>Payment to Pacific Office Supplies</t>
        </is>
      </c>
      <c r="D300" s="115" t="inlineStr">
        <is>
          <t>REF-100114</t>
        </is>
      </c>
      <c r="E300" s="126" t="n">
        <v>0</v>
      </c>
      <c r="F300" s="126" t="n">
        <v>4733.46</v>
      </c>
      <c r="G300" s="126" t="n">
        <v>-4733.46</v>
      </c>
      <c r="H300" s="115" t="inlineStr">
        <is>
          <t>Imported</t>
        </is>
      </c>
    </row>
    <row r="301">
      <c r="A301" s="127" t="inlineStr">
        <is>
          <t>BANK-1130</t>
        </is>
      </c>
      <c r="B301" s="128" t="n">
        <v>46045</v>
      </c>
      <c r="C301" s="127" t="inlineStr">
        <is>
          <t>Manual GL entry</t>
        </is>
      </c>
      <c r="D301" s="127" t="inlineStr">
        <is>
          <t>REF-100155</t>
        </is>
      </c>
      <c r="E301" s="129" t="n">
        <v>2658.32</v>
      </c>
      <c r="F301" s="129" t="n">
        <v>0</v>
      </c>
      <c r="G301" s="129" t="n">
        <v>2658.32</v>
      </c>
      <c r="H301" s="127" t="inlineStr">
        <is>
          <t>Imported</t>
        </is>
      </c>
    </row>
    <row r="302">
      <c r="A302" s="115" t="inlineStr">
        <is>
          <t>BANK-1143</t>
        </is>
      </c>
      <c r="B302" s="125" t="n">
        <v>46045</v>
      </c>
      <c r="C302" s="115" t="inlineStr">
        <is>
          <t>Payment to Amazon Business</t>
        </is>
      </c>
      <c r="D302" s="115" t="inlineStr">
        <is>
          <t>REF-100171</t>
        </is>
      </c>
      <c r="E302" s="126" t="n">
        <v>0</v>
      </c>
      <c r="F302" s="126" t="n">
        <v>400.48</v>
      </c>
      <c r="G302" s="126" t="n">
        <v>-400.48</v>
      </c>
      <c r="H302" s="115" t="inlineStr">
        <is>
          <t>Imported</t>
        </is>
      </c>
    </row>
    <row r="303">
      <c r="A303" s="127" t="inlineStr">
        <is>
          <t>BANK-1189</t>
        </is>
      </c>
      <c r="B303" s="128" t="n">
        <v>46045</v>
      </c>
      <c r="C303" s="127" t="inlineStr">
        <is>
          <t>Payment to BC Hydro</t>
        </is>
      </c>
      <c r="D303" s="127" t="inlineStr">
        <is>
          <t>REF-100231</t>
        </is>
      </c>
      <c r="E303" s="129" t="n">
        <v>0</v>
      </c>
      <c r="F303" s="129" t="n">
        <v>3652.26</v>
      </c>
      <c r="G303" s="129" t="n">
        <v>-3652.26</v>
      </c>
      <c r="H303" s="127" t="inlineStr">
        <is>
          <t>Imported</t>
        </is>
      </c>
    </row>
    <row r="304">
      <c r="A304" s="115" t="inlineStr">
        <is>
          <t>BANK-1220</t>
        </is>
      </c>
      <c r="B304" s="125" t="n">
        <v>46045</v>
      </c>
      <c r="C304" s="115" t="inlineStr">
        <is>
          <t>Deposit from Granville Medical</t>
        </is>
      </c>
      <c r="D304" s="115" t="inlineStr">
        <is>
          <t>REF-100271</t>
        </is>
      </c>
      <c r="E304" s="126" t="n">
        <v>2177.87</v>
      </c>
      <c r="F304" s="126" t="n">
        <v>0</v>
      </c>
      <c r="G304" s="126" t="n">
        <v>2177.87</v>
      </c>
      <c r="H304" s="115" t="inlineStr">
        <is>
          <t>Imported</t>
        </is>
      </c>
    </row>
    <row r="305">
      <c r="A305" s="127" t="inlineStr">
        <is>
          <t>BANK-1224</t>
        </is>
      </c>
      <c r="B305" s="128" t="n">
        <v>46045</v>
      </c>
      <c r="C305" s="127" t="inlineStr">
        <is>
          <t>Deposit from Raincity Tech</t>
        </is>
      </c>
      <c r="D305" s="127" t="inlineStr">
        <is>
          <t>REF-100276</t>
        </is>
      </c>
      <c r="E305" s="129" t="n">
        <v>2334.04</v>
      </c>
      <c r="F305" s="129" t="n">
        <v>0</v>
      </c>
      <c r="G305" s="129" t="n">
        <v>2334.04</v>
      </c>
      <c r="H305" s="127" t="inlineStr">
        <is>
          <t>Imported</t>
        </is>
      </c>
    </row>
    <row r="306">
      <c r="A306" s="115" t="inlineStr">
        <is>
          <t>BANK-1274</t>
        </is>
      </c>
      <c r="B306" s="125" t="n">
        <v>46045</v>
      </c>
      <c r="C306" s="115" t="inlineStr">
        <is>
          <t>Payroll payment</t>
        </is>
      </c>
      <c r="D306" s="115" t="inlineStr">
        <is>
          <t>REF-100334</t>
        </is>
      </c>
      <c r="E306" s="126" t="n">
        <v>0</v>
      </c>
      <c r="F306" s="126" t="n">
        <v>8194.16</v>
      </c>
      <c r="G306" s="126" t="n">
        <v>-8194.16</v>
      </c>
      <c r="H306" s="115" t="inlineStr">
        <is>
          <t>Imported</t>
        </is>
      </c>
    </row>
    <row r="307">
      <c r="A307" s="127" t="inlineStr">
        <is>
          <t>BANK-1308</t>
        </is>
      </c>
      <c r="B307" s="128" t="n">
        <v>46045</v>
      </c>
      <c r="C307" s="127" t="inlineStr">
        <is>
          <t>Payment to Metro Cleaning Ltd.</t>
        </is>
      </c>
      <c r="D307" s="127" t="inlineStr">
        <is>
          <t>REF-100374</t>
        </is>
      </c>
      <c r="E307" s="129" t="n">
        <v>0</v>
      </c>
      <c r="F307" s="129" t="n">
        <v>2513.77</v>
      </c>
      <c r="G307" s="129" t="n">
        <v>-2513.77</v>
      </c>
      <c r="H307" s="127" t="inlineStr">
        <is>
          <t>Imported</t>
        </is>
      </c>
    </row>
    <row r="308">
      <c r="A308" s="115" t="inlineStr">
        <is>
          <t>BANK-1333</t>
        </is>
      </c>
      <c r="B308" s="125" t="n">
        <v>46045</v>
      </c>
      <c r="C308" s="115" t="inlineStr">
        <is>
          <t>Manual GL entry</t>
        </is>
      </c>
      <c r="D308" s="115" t="inlineStr">
        <is>
          <t>REF-100402</t>
        </is>
      </c>
      <c r="E308" s="126" t="n">
        <v>0</v>
      </c>
      <c r="F308" s="126" t="n">
        <v>2723.62</v>
      </c>
      <c r="G308" s="126" t="n">
        <v>-2723.62</v>
      </c>
      <c r="H308" s="115" t="inlineStr">
        <is>
          <t>Imported</t>
        </is>
      </c>
    </row>
    <row r="309">
      <c r="A309" s="127" t="inlineStr">
        <is>
          <t>BANK-1347</t>
        </is>
      </c>
      <c r="B309" s="128" t="n">
        <v>46045</v>
      </c>
      <c r="C309" s="127" t="inlineStr">
        <is>
          <t>Deposit from Raincity Tech</t>
        </is>
      </c>
      <c r="D309" s="127" t="inlineStr">
        <is>
          <t>REF-100419</t>
        </is>
      </c>
      <c r="E309" s="129" t="n">
        <v>7005.5</v>
      </c>
      <c r="F309" s="129" t="n">
        <v>0</v>
      </c>
      <c r="G309" s="129" t="n">
        <v>7005.5</v>
      </c>
      <c r="H309" s="127" t="inlineStr">
        <is>
          <t>Imported</t>
        </is>
      </c>
    </row>
    <row r="310">
      <c r="A310" s="115" t="inlineStr">
        <is>
          <t>BANK-1357</t>
        </is>
      </c>
      <c r="B310" s="125" t="n">
        <v>46045</v>
      </c>
      <c r="C310" s="115" t="inlineStr">
        <is>
          <t>Payment to Amazon Business</t>
        </is>
      </c>
      <c r="D310" s="115" t="inlineStr">
        <is>
          <t>REF-100432</t>
        </is>
      </c>
      <c r="E310" s="126" t="n">
        <v>0</v>
      </c>
      <c r="F310" s="126" t="n">
        <v>3986.48</v>
      </c>
      <c r="G310" s="126" t="n">
        <v>-3986.48</v>
      </c>
      <c r="H310" s="115" t="inlineStr">
        <is>
          <t>Imported</t>
        </is>
      </c>
    </row>
    <row r="311">
      <c r="A311" s="127" t="inlineStr">
        <is>
          <t>BANK-1381</t>
        </is>
      </c>
      <c r="B311" s="128" t="n">
        <v>46045</v>
      </c>
      <c r="C311" s="127" t="inlineStr">
        <is>
          <t>Payroll payment</t>
        </is>
      </c>
      <c r="D311" s="127" t="inlineStr">
        <is>
          <t>REF-100462</t>
        </is>
      </c>
      <c r="E311" s="129" t="n">
        <v>0</v>
      </c>
      <c r="F311" s="129" t="n">
        <v>10026.95</v>
      </c>
      <c r="G311" s="129" t="n">
        <v>-10026.95</v>
      </c>
      <c r="H311" s="127" t="inlineStr">
        <is>
          <t>Imported</t>
        </is>
      </c>
    </row>
    <row r="312">
      <c r="A312" s="115" t="inlineStr">
        <is>
          <t>BANK-1396</t>
        </is>
      </c>
      <c r="B312" s="125" t="n">
        <v>46045</v>
      </c>
      <c r="C312" s="115" t="inlineStr">
        <is>
          <t>Deposit from Coastline Foods</t>
        </is>
      </c>
      <c r="D312" s="115" t="inlineStr">
        <is>
          <t>REF-100482</t>
        </is>
      </c>
      <c r="E312" s="126" t="n">
        <v>6349.15</v>
      </c>
      <c r="F312" s="126" t="n">
        <v>0</v>
      </c>
      <c r="G312" s="126" t="n">
        <v>6349.15</v>
      </c>
      <c r="H312" s="115" t="inlineStr">
        <is>
          <t>Imported</t>
        </is>
      </c>
    </row>
    <row r="313">
      <c r="A313" s="127" t="inlineStr">
        <is>
          <t>BANK-1402</t>
        </is>
      </c>
      <c r="B313" s="128" t="n">
        <v>46045</v>
      </c>
      <c r="C313" s="127" t="inlineStr">
        <is>
          <t>Payment to North Shore Telecom</t>
        </is>
      </c>
      <c r="D313" s="127" t="inlineStr">
        <is>
          <t>REF-100489</t>
        </is>
      </c>
      <c r="E313" s="129" t="n">
        <v>0</v>
      </c>
      <c r="F313" s="129" t="n">
        <v>5936.76</v>
      </c>
      <c r="G313" s="129" t="n">
        <v>-5936.76</v>
      </c>
      <c r="H313" s="127" t="inlineStr">
        <is>
          <t>Imported</t>
        </is>
      </c>
    </row>
    <row r="314">
      <c r="A314" s="115" t="inlineStr">
        <is>
          <t>BANK-1434</t>
        </is>
      </c>
      <c r="B314" s="125" t="n">
        <v>46045</v>
      </c>
      <c r="C314" s="115" t="inlineStr">
        <is>
          <t>Bank item not posted in ERP</t>
        </is>
      </c>
      <c r="D314" s="115" t="inlineStr">
        <is>
          <t>BANKONLY-0023</t>
        </is>
      </c>
      <c r="E314" s="126" t="n">
        <v>0</v>
      </c>
      <c r="F314" s="126" t="n">
        <v>1853.44</v>
      </c>
      <c r="G314" s="126" t="n">
        <v>-1853.44</v>
      </c>
      <c r="H314" s="115" t="inlineStr">
        <is>
          <t>Needs ERP Review</t>
        </is>
      </c>
    </row>
    <row r="315">
      <c r="A315" s="127" t="inlineStr">
        <is>
          <t>BANK-1023</t>
        </is>
      </c>
      <c r="B315" s="128" t="n">
        <v>46046</v>
      </c>
      <c r="C315" s="127" t="inlineStr">
        <is>
          <t>Payment to Vancouver Courier</t>
        </is>
      </c>
      <c r="D315" s="127" t="inlineStr">
        <is>
          <t>REF-100026</t>
        </is>
      </c>
      <c r="E315" s="129" t="n">
        <v>0</v>
      </c>
      <c r="F315" s="129" t="n">
        <v>748.73</v>
      </c>
      <c r="G315" s="129" t="n">
        <v>-748.73</v>
      </c>
      <c r="H315" s="127" t="inlineStr">
        <is>
          <t>Imported</t>
        </is>
      </c>
    </row>
    <row r="316">
      <c r="A316" s="115" t="inlineStr">
        <is>
          <t>BANK-1048</t>
        </is>
      </c>
      <c r="B316" s="125" t="n">
        <v>46046</v>
      </c>
      <c r="C316" s="115" t="inlineStr">
        <is>
          <t>Payment to BC Hydro</t>
        </is>
      </c>
      <c r="D316" s="115" t="inlineStr">
        <is>
          <t>REF-100054</t>
        </is>
      </c>
      <c r="E316" s="126" t="n">
        <v>0</v>
      </c>
      <c r="F316" s="126" t="n">
        <v>4937.66</v>
      </c>
      <c r="G316" s="126" t="n">
        <v>-4937.66</v>
      </c>
      <c r="H316" s="115" t="inlineStr">
        <is>
          <t>Imported</t>
        </is>
      </c>
    </row>
    <row r="317">
      <c r="A317" s="127" t="inlineStr">
        <is>
          <t>BANK-1068</t>
        </is>
      </c>
      <c r="B317" s="128" t="n">
        <v>46046</v>
      </c>
      <c r="C317" s="127" t="inlineStr">
        <is>
          <t>Deposit from Maple Retail Group</t>
        </is>
      </c>
      <c r="D317" s="127" t="inlineStr">
        <is>
          <t>REF-100077</t>
        </is>
      </c>
      <c r="E317" s="129" t="n">
        <v>4277.46</v>
      </c>
      <c r="F317" s="129" t="n">
        <v>0</v>
      </c>
      <c r="G317" s="129" t="n">
        <v>4277.46</v>
      </c>
      <c r="H317" s="127" t="inlineStr">
        <is>
          <t>Imported</t>
        </is>
      </c>
    </row>
    <row r="318">
      <c r="A318" s="115" t="inlineStr">
        <is>
          <t>BANK-1070</t>
        </is>
      </c>
      <c r="B318" s="125" t="n">
        <v>46046</v>
      </c>
      <c r="C318" s="115" t="inlineStr">
        <is>
          <t>Deposit from West Van Fitness</t>
        </is>
      </c>
      <c r="D318" s="115" t="inlineStr">
        <is>
          <t>REF-100079</t>
        </is>
      </c>
      <c r="E318" s="126" t="n">
        <v>6480.67</v>
      </c>
      <c r="F318" s="126" t="n">
        <v>0</v>
      </c>
      <c r="G318" s="126" t="n">
        <v>6480.67</v>
      </c>
      <c r="H318" s="115" t="inlineStr">
        <is>
          <t>Imported</t>
        </is>
      </c>
    </row>
    <row r="319">
      <c r="A319" s="127" t="inlineStr">
        <is>
          <t>BANK-1072</t>
        </is>
      </c>
      <c r="B319" s="128" t="n">
        <v>46046</v>
      </c>
      <c r="C319" s="127" t="inlineStr">
        <is>
          <t>Deposit from Raincity Tech</t>
        </is>
      </c>
      <c r="D319" s="127" t="inlineStr">
        <is>
          <t>REF-100081</t>
        </is>
      </c>
      <c r="E319" s="129" t="n">
        <v>6018.84</v>
      </c>
      <c r="F319" s="129" t="n">
        <v>0</v>
      </c>
      <c r="G319" s="129" t="n">
        <v>6018.84</v>
      </c>
      <c r="H319" s="127" t="inlineStr">
        <is>
          <t>Imported</t>
        </is>
      </c>
    </row>
    <row r="320">
      <c r="A320" s="115" t="inlineStr">
        <is>
          <t>BANK-1075</t>
        </is>
      </c>
      <c r="B320" s="125" t="n">
        <v>46046</v>
      </c>
      <c r="C320" s="115" t="inlineStr">
        <is>
          <t>Payment to BC Hydro</t>
        </is>
      </c>
      <c r="D320" s="115" t="inlineStr">
        <is>
          <t>REF-100086</t>
        </is>
      </c>
      <c r="E320" s="126" t="n">
        <v>0</v>
      </c>
      <c r="F320" s="126" t="n">
        <v>2775.67</v>
      </c>
      <c r="G320" s="126" t="n">
        <v>-2775.67</v>
      </c>
      <c r="H320" s="115" t="inlineStr">
        <is>
          <t>Imported</t>
        </is>
      </c>
    </row>
    <row r="321">
      <c r="A321" s="127" t="inlineStr">
        <is>
          <t>BANK-1084</t>
        </is>
      </c>
      <c r="B321" s="128" t="n">
        <v>46046</v>
      </c>
      <c r="C321" s="127" t="inlineStr">
        <is>
          <t>Manual GL entry</t>
        </is>
      </c>
      <c r="D321" s="127" t="inlineStr">
        <is>
          <t>REF-100096</t>
        </is>
      </c>
      <c r="E321" s="129" t="n">
        <v>0</v>
      </c>
      <c r="F321" s="129" t="n">
        <v>2902.42</v>
      </c>
      <c r="G321" s="129" t="n">
        <v>-2902.42</v>
      </c>
      <c r="H321" s="127" t="inlineStr">
        <is>
          <t>Imported</t>
        </is>
      </c>
    </row>
    <row r="322">
      <c r="A322" s="115" t="inlineStr">
        <is>
          <t>BANK-1106</t>
        </is>
      </c>
      <c r="B322" s="125" t="n">
        <v>46046</v>
      </c>
      <c r="C322" s="115" t="inlineStr">
        <is>
          <t>Manual GL entry</t>
        </is>
      </c>
      <c r="D322" s="115" t="inlineStr">
        <is>
          <t>REF-100127</t>
        </is>
      </c>
      <c r="E322" s="126" t="n">
        <v>0</v>
      </c>
      <c r="F322" s="126" t="n">
        <v>4837.99</v>
      </c>
      <c r="G322" s="126" t="n">
        <v>-4837.99</v>
      </c>
      <c r="H322" s="115" t="inlineStr">
        <is>
          <t>Imported</t>
        </is>
      </c>
    </row>
    <row r="323">
      <c r="A323" s="127" t="inlineStr">
        <is>
          <t>BANK-1107</t>
        </is>
      </c>
      <c r="B323" s="128" t="n">
        <v>46046</v>
      </c>
      <c r="C323" s="127" t="inlineStr">
        <is>
          <t>Manual GL entry</t>
        </is>
      </c>
      <c r="D323" s="127" t="inlineStr">
        <is>
          <t>REF-100128</t>
        </is>
      </c>
      <c r="E323" s="129" t="n">
        <v>0</v>
      </c>
      <c r="F323" s="129" t="n">
        <v>2943.57</v>
      </c>
      <c r="G323" s="129" t="n">
        <v>-2943.57</v>
      </c>
      <c r="H323" s="127" t="inlineStr">
        <is>
          <t>Imported</t>
        </is>
      </c>
    </row>
    <row r="324">
      <c r="A324" s="115" t="inlineStr">
        <is>
          <t>BANK-1118</t>
        </is>
      </c>
      <c r="B324" s="125" t="n">
        <v>46046</v>
      </c>
      <c r="C324" s="115" t="inlineStr">
        <is>
          <t>Payment to Staples Canada</t>
        </is>
      </c>
      <c r="D324" s="115" t="inlineStr">
        <is>
          <t>REF-100143</t>
        </is>
      </c>
      <c r="E324" s="126" t="n">
        <v>0</v>
      </c>
      <c r="F324" s="126" t="n">
        <v>4063.61</v>
      </c>
      <c r="G324" s="126" t="n">
        <v>-4063.61</v>
      </c>
      <c r="H324" s="115" t="inlineStr">
        <is>
          <t>Imported</t>
        </is>
      </c>
    </row>
    <row r="325">
      <c r="A325" s="127" t="inlineStr">
        <is>
          <t>BANK-1144</t>
        </is>
      </c>
      <c r="B325" s="128" t="n">
        <v>46046</v>
      </c>
      <c r="C325" s="127" t="inlineStr">
        <is>
          <t>Payroll payment</t>
        </is>
      </c>
      <c r="D325" s="127" t="inlineStr">
        <is>
          <t>REF-100172</t>
        </is>
      </c>
      <c r="E325" s="129" t="n">
        <v>0</v>
      </c>
      <c r="F325" s="129" t="n">
        <v>16483.95</v>
      </c>
      <c r="G325" s="129" t="n">
        <v>-16483.95</v>
      </c>
      <c r="H325" s="127" t="inlineStr">
        <is>
          <t>Imported</t>
        </is>
      </c>
    </row>
    <row r="326">
      <c r="A326" s="115" t="inlineStr">
        <is>
          <t>BANK-1155</t>
        </is>
      </c>
      <c r="B326" s="125" t="n">
        <v>46046</v>
      </c>
      <c r="C326" s="115" t="inlineStr">
        <is>
          <t>Deposit from Granville Medical</t>
        </is>
      </c>
      <c r="D326" s="115" t="inlineStr">
        <is>
          <t>REF-100187</t>
        </is>
      </c>
      <c r="E326" s="126" t="n">
        <v>1078.41</v>
      </c>
      <c r="F326" s="126" t="n">
        <v>0</v>
      </c>
      <c r="G326" s="126" t="n">
        <v>1078.41</v>
      </c>
      <c r="H326" s="115" t="inlineStr">
        <is>
          <t>Imported</t>
        </is>
      </c>
    </row>
    <row r="327">
      <c r="A327" s="127" t="inlineStr">
        <is>
          <t>BANK-1160</t>
        </is>
      </c>
      <c r="B327" s="128" t="n">
        <v>46046</v>
      </c>
      <c r="C327" s="127" t="inlineStr">
        <is>
          <t>Manual GL entry</t>
        </is>
      </c>
      <c r="D327" s="127" t="inlineStr">
        <is>
          <t>REF-100192</t>
        </is>
      </c>
      <c r="E327" s="129" t="n">
        <v>0</v>
      </c>
      <c r="F327" s="129" t="n">
        <v>269.46</v>
      </c>
      <c r="G327" s="129" t="n">
        <v>-269.46</v>
      </c>
      <c r="H327" s="127" t="inlineStr">
        <is>
          <t>Imported</t>
        </is>
      </c>
    </row>
    <row r="328">
      <c r="A328" s="115" t="inlineStr">
        <is>
          <t>BANK-1192</t>
        </is>
      </c>
      <c r="B328" s="125" t="n">
        <v>46046</v>
      </c>
      <c r="C328" s="115" t="inlineStr">
        <is>
          <t>Manual GL entry</t>
        </is>
      </c>
      <c r="D328" s="115" t="inlineStr">
        <is>
          <t>REF-100234</t>
        </is>
      </c>
      <c r="E328" s="126" t="n">
        <v>733.51</v>
      </c>
      <c r="F328" s="126" t="n">
        <v>0</v>
      </c>
      <c r="G328" s="126" t="n">
        <v>733.51</v>
      </c>
      <c r="H328" s="115" t="inlineStr">
        <is>
          <t>Imported</t>
        </is>
      </c>
    </row>
    <row r="329">
      <c r="A329" s="127" t="inlineStr">
        <is>
          <t>BANK-1195</t>
        </is>
      </c>
      <c r="B329" s="128" t="n">
        <v>46046</v>
      </c>
      <c r="C329" s="127" t="inlineStr">
        <is>
          <t>Payment to Pacific Office Supplies</t>
        </is>
      </c>
      <c r="D329" s="127" t="inlineStr">
        <is>
          <t>REF-100240</t>
        </is>
      </c>
      <c r="E329" s="129" t="n">
        <v>0</v>
      </c>
      <c r="F329" s="129" t="n">
        <v>3847.94</v>
      </c>
      <c r="G329" s="129" t="n">
        <v>-3847.94</v>
      </c>
      <c r="H329" s="127" t="inlineStr">
        <is>
          <t>Imported</t>
        </is>
      </c>
    </row>
    <row r="330">
      <c r="A330" s="115" t="inlineStr">
        <is>
          <t>BANK-1227</t>
        </is>
      </c>
      <c r="B330" s="125" t="n">
        <v>46046</v>
      </c>
      <c r="C330" s="115" t="inlineStr">
        <is>
          <t>Payroll payment</t>
        </is>
      </c>
      <c r="D330" s="115" t="inlineStr">
        <is>
          <t>REF-100279</t>
        </is>
      </c>
      <c r="E330" s="126" t="n">
        <v>0</v>
      </c>
      <c r="F330" s="126" t="n">
        <v>9739.870000000001</v>
      </c>
      <c r="G330" s="126" t="n">
        <v>-9739.870000000001</v>
      </c>
      <c r="H330" s="115" t="inlineStr">
        <is>
          <t>Imported</t>
        </is>
      </c>
    </row>
    <row r="331">
      <c r="A331" s="127" t="inlineStr">
        <is>
          <t>BANK-1278</t>
        </is>
      </c>
      <c r="B331" s="128" t="n">
        <v>46046</v>
      </c>
      <c r="C331" s="127" t="inlineStr">
        <is>
          <t>Payment to Vancouver Courier</t>
        </is>
      </c>
      <c r="D331" s="127" t="inlineStr">
        <is>
          <t>REF-100338</t>
        </is>
      </c>
      <c r="E331" s="129" t="n">
        <v>0</v>
      </c>
      <c r="F331" s="129" t="n">
        <v>3037.77</v>
      </c>
      <c r="G331" s="129" t="n">
        <v>-3037.77</v>
      </c>
      <c r="H331" s="127" t="inlineStr">
        <is>
          <t>Imported</t>
        </is>
      </c>
    </row>
    <row r="332">
      <c r="A332" s="115" t="inlineStr">
        <is>
          <t>BANK-1299</t>
        </is>
      </c>
      <c r="B332" s="125" t="n">
        <v>46046</v>
      </c>
      <c r="C332" s="115" t="inlineStr">
        <is>
          <t>Payment to Vancouver Courier</t>
        </is>
      </c>
      <c r="D332" s="115" t="inlineStr">
        <is>
          <t>REF-100361</t>
        </is>
      </c>
      <c r="E332" s="126" t="n">
        <v>0</v>
      </c>
      <c r="F332" s="126" t="n">
        <v>556.67</v>
      </c>
      <c r="G332" s="126" t="n">
        <v>-556.67</v>
      </c>
      <c r="H332" s="115" t="inlineStr">
        <is>
          <t>Imported</t>
        </is>
      </c>
    </row>
    <row r="333">
      <c r="A333" s="127" t="inlineStr">
        <is>
          <t>BANK-1302</t>
        </is>
      </c>
      <c r="B333" s="128" t="n">
        <v>46046</v>
      </c>
      <c r="C333" s="127" t="inlineStr">
        <is>
          <t>Payment to North Shore Telecom</t>
        </is>
      </c>
      <c r="D333" s="127" t="inlineStr">
        <is>
          <t>REF-100367</t>
        </is>
      </c>
      <c r="E333" s="129" t="n">
        <v>0</v>
      </c>
      <c r="F333" s="129" t="n">
        <v>3322.46</v>
      </c>
      <c r="G333" s="129" t="n">
        <v>-3322.46</v>
      </c>
      <c r="H333" s="127" t="inlineStr">
        <is>
          <t>Imported</t>
        </is>
      </c>
    </row>
    <row r="334">
      <c r="A334" s="115" t="inlineStr">
        <is>
          <t>BANK-1342</t>
        </is>
      </c>
      <c r="B334" s="125" t="n">
        <v>46046</v>
      </c>
      <c r="C334" s="115" t="inlineStr">
        <is>
          <t>Manual GL entry</t>
        </is>
      </c>
      <c r="D334" s="115" t="inlineStr">
        <is>
          <t>REF-100414</t>
        </is>
      </c>
      <c r="E334" s="126" t="n">
        <v>0</v>
      </c>
      <c r="F334" s="126" t="n">
        <v>1466.16</v>
      </c>
      <c r="G334" s="126" t="n">
        <v>-1466.16</v>
      </c>
      <c r="H334" s="115" t="inlineStr">
        <is>
          <t>Imported</t>
        </is>
      </c>
    </row>
    <row r="335">
      <c r="A335" s="127" t="inlineStr">
        <is>
          <t>BANK-1399</t>
        </is>
      </c>
      <c r="B335" s="128" t="n">
        <v>46046</v>
      </c>
      <c r="C335" s="127" t="inlineStr">
        <is>
          <t>Deposit from Granville Medical</t>
        </is>
      </c>
      <c r="D335" s="127" t="inlineStr">
        <is>
          <t>REF-100486</t>
        </is>
      </c>
      <c r="E335" s="129" t="n">
        <v>489.3</v>
      </c>
      <c r="F335" s="129" t="n">
        <v>0</v>
      </c>
      <c r="G335" s="129" t="n">
        <v>489.3</v>
      </c>
      <c r="H335" s="127" t="inlineStr">
        <is>
          <t>Imported</t>
        </is>
      </c>
    </row>
    <row r="336">
      <c r="A336" s="115" t="inlineStr">
        <is>
          <t>BANK-1442</t>
        </is>
      </c>
      <c r="B336" s="125" t="n">
        <v>46046</v>
      </c>
      <c r="C336" s="115" t="inlineStr">
        <is>
          <t>Bank item not posted in ERP</t>
        </is>
      </c>
      <c r="D336" s="115" t="inlineStr">
        <is>
          <t>BANKONLY-0031</t>
        </is>
      </c>
      <c r="E336" s="126" t="n">
        <v>202.37</v>
      </c>
      <c r="F336" s="126" t="n">
        <v>0</v>
      </c>
      <c r="G336" s="126" t="n">
        <v>202.37</v>
      </c>
      <c r="H336" s="115" t="inlineStr">
        <is>
          <t>Needs ERP Review</t>
        </is>
      </c>
    </row>
    <row r="337">
      <c r="A337" s="127" t="inlineStr">
        <is>
          <t>BANK-1004</t>
        </is>
      </c>
      <c r="B337" s="128" t="n">
        <v>46047</v>
      </c>
      <c r="C337" s="127" t="inlineStr">
        <is>
          <t>Payment to Pacific Office Supplies</t>
        </is>
      </c>
      <c r="D337" s="127" t="inlineStr">
        <is>
          <t>REF-100004</t>
        </is>
      </c>
      <c r="E337" s="129" t="n">
        <v>0</v>
      </c>
      <c r="F337" s="129" t="n">
        <v>2405.16</v>
      </c>
      <c r="G337" s="129" t="n">
        <v>-2405.16</v>
      </c>
      <c r="H337" s="127" t="inlineStr">
        <is>
          <t>Imported</t>
        </is>
      </c>
    </row>
    <row r="338">
      <c r="A338" s="115" t="inlineStr">
        <is>
          <t>BANK-1014</t>
        </is>
      </c>
      <c r="B338" s="125" t="n">
        <v>46047</v>
      </c>
      <c r="C338" s="115" t="inlineStr">
        <is>
          <t>Monthly bank service charge</t>
        </is>
      </c>
      <c r="D338" s="115" t="inlineStr">
        <is>
          <t>REF-100017</t>
        </is>
      </c>
      <c r="E338" s="126" t="n">
        <v>0</v>
      </c>
      <c r="F338" s="126" t="n">
        <v>110.63</v>
      </c>
      <c r="G338" s="126" t="n">
        <v>-110.63</v>
      </c>
      <c r="H338" s="115" t="inlineStr">
        <is>
          <t>Imported</t>
        </is>
      </c>
    </row>
    <row r="339">
      <c r="A339" s="127" t="inlineStr">
        <is>
          <t>BANK-1052</t>
        </is>
      </c>
      <c r="B339" s="128" t="n">
        <v>46047</v>
      </c>
      <c r="C339" s="127" t="inlineStr">
        <is>
          <t>Payment to Vancouver Courier</t>
        </is>
      </c>
      <c r="D339" s="127" t="inlineStr">
        <is>
          <t>REF-100059</t>
        </is>
      </c>
      <c r="E339" s="129" t="n">
        <v>0</v>
      </c>
      <c r="F339" s="129" t="n">
        <v>5535.53</v>
      </c>
      <c r="G339" s="129" t="n">
        <v>-5535.53</v>
      </c>
      <c r="H339" s="127" t="inlineStr">
        <is>
          <t>Imported</t>
        </is>
      </c>
    </row>
    <row r="340">
      <c r="A340" s="115" t="inlineStr">
        <is>
          <t>BANK-1061</t>
        </is>
      </c>
      <c r="B340" s="125" t="n">
        <v>46047</v>
      </c>
      <c r="C340" s="115" t="inlineStr">
        <is>
          <t>Deposit from Raincity Tech</t>
        </is>
      </c>
      <c r="D340" s="115" t="inlineStr">
        <is>
          <t>REF-100069</t>
        </is>
      </c>
      <c r="E340" s="126" t="n">
        <v>2022.26</v>
      </c>
      <c r="F340" s="126" t="n">
        <v>0</v>
      </c>
      <c r="G340" s="126" t="n">
        <v>2022.26</v>
      </c>
      <c r="H340" s="115" t="inlineStr">
        <is>
          <t>Imported</t>
        </is>
      </c>
    </row>
    <row r="341">
      <c r="A341" s="127" t="inlineStr">
        <is>
          <t>BANK-1122</t>
        </is>
      </c>
      <c r="B341" s="128" t="n">
        <v>46047</v>
      </c>
      <c r="C341" s="127" t="inlineStr">
        <is>
          <t>Payment to Metro Cleaning Ltd.</t>
        </is>
      </c>
      <c r="D341" s="127" t="inlineStr">
        <is>
          <t>REF-100147</t>
        </is>
      </c>
      <c r="E341" s="129" t="n">
        <v>0</v>
      </c>
      <c r="F341" s="129" t="n">
        <v>3754.51</v>
      </c>
      <c r="G341" s="129" t="n">
        <v>-3754.51</v>
      </c>
      <c r="H341" s="127" t="inlineStr">
        <is>
          <t>Imported</t>
        </is>
      </c>
    </row>
    <row r="342">
      <c r="A342" s="115" t="inlineStr">
        <is>
          <t>BANK-1161</t>
        </is>
      </c>
      <c r="B342" s="125" t="n">
        <v>46047</v>
      </c>
      <c r="C342" s="115" t="inlineStr">
        <is>
          <t>Monthly bank service charge</t>
        </is>
      </c>
      <c r="D342" s="115" t="inlineStr">
        <is>
          <t>REF-100193</t>
        </is>
      </c>
      <c r="E342" s="126" t="n">
        <v>0</v>
      </c>
      <c r="F342" s="126" t="n">
        <v>9.25</v>
      </c>
      <c r="G342" s="126" t="n">
        <v>-9.25</v>
      </c>
      <c r="H342" s="115" t="inlineStr">
        <is>
          <t>Imported</t>
        </is>
      </c>
    </row>
    <row r="343">
      <c r="A343" s="127" t="inlineStr">
        <is>
          <t>BANK-1186</t>
        </is>
      </c>
      <c r="B343" s="128" t="n">
        <v>46047</v>
      </c>
      <c r="C343" s="127" t="inlineStr">
        <is>
          <t>Payment to Amazon Business</t>
        </is>
      </c>
      <c r="D343" s="127" t="inlineStr">
        <is>
          <t>REF-100228</t>
        </is>
      </c>
      <c r="E343" s="129" t="n">
        <v>0</v>
      </c>
      <c r="F343" s="129" t="n">
        <v>3195.83</v>
      </c>
      <c r="G343" s="129" t="n">
        <v>-3195.83</v>
      </c>
      <c r="H343" s="127" t="inlineStr">
        <is>
          <t>Imported</t>
        </is>
      </c>
    </row>
    <row r="344">
      <c r="A344" s="115" t="inlineStr">
        <is>
          <t>BANK-1259</t>
        </is>
      </c>
      <c r="B344" s="125" t="n">
        <v>46047</v>
      </c>
      <c r="C344" s="115" t="inlineStr">
        <is>
          <t>Deposit from Coastline Foods</t>
        </is>
      </c>
      <c r="D344" s="115" t="inlineStr">
        <is>
          <t>REF-100318</t>
        </is>
      </c>
      <c r="E344" s="126" t="n">
        <v>3903.95</v>
      </c>
      <c r="F344" s="126" t="n">
        <v>0</v>
      </c>
      <c r="G344" s="126" t="n">
        <v>3903.95</v>
      </c>
      <c r="H344" s="115" t="inlineStr">
        <is>
          <t>Imported</t>
        </is>
      </c>
    </row>
    <row r="345">
      <c r="A345" s="127" t="inlineStr">
        <is>
          <t>BANK-1260</t>
        </is>
      </c>
      <c r="B345" s="128" t="n">
        <v>46047</v>
      </c>
      <c r="C345" s="127" t="inlineStr">
        <is>
          <t>Manual GL entry</t>
        </is>
      </c>
      <c r="D345" s="127" t="inlineStr">
        <is>
          <t>REF-100319</t>
        </is>
      </c>
      <c r="E345" s="129" t="n">
        <v>359.69</v>
      </c>
      <c r="F345" s="129" t="n">
        <v>0</v>
      </c>
      <c r="G345" s="129" t="n">
        <v>359.69</v>
      </c>
      <c r="H345" s="127" t="inlineStr">
        <is>
          <t>Imported</t>
        </is>
      </c>
    </row>
    <row r="346">
      <c r="A346" s="115" t="inlineStr">
        <is>
          <t>BANK-1277</t>
        </is>
      </c>
      <c r="B346" s="125" t="n">
        <v>46047</v>
      </c>
      <c r="C346" s="115" t="inlineStr">
        <is>
          <t>Deposit from Coastline Foods</t>
        </is>
      </c>
      <c r="D346" s="115" t="inlineStr">
        <is>
          <t>REF-100337</t>
        </is>
      </c>
      <c r="E346" s="126" t="n">
        <v>8233.870000000001</v>
      </c>
      <c r="F346" s="126" t="n">
        <v>0</v>
      </c>
      <c r="G346" s="126" t="n">
        <v>8233.870000000001</v>
      </c>
      <c r="H346" s="115" t="inlineStr">
        <is>
          <t>Imported</t>
        </is>
      </c>
    </row>
    <row r="347">
      <c r="A347" s="127" t="inlineStr">
        <is>
          <t>BANK-1281</t>
        </is>
      </c>
      <c r="B347" s="128" t="n">
        <v>46047</v>
      </c>
      <c r="C347" s="127" t="inlineStr">
        <is>
          <t>Payment to Staples Canada</t>
        </is>
      </c>
      <c r="D347" s="127" t="inlineStr">
        <is>
          <t>REF-100341</t>
        </is>
      </c>
      <c r="E347" s="129" t="n">
        <v>0</v>
      </c>
      <c r="F347" s="129" t="n">
        <v>638.14</v>
      </c>
      <c r="G347" s="129" t="n">
        <v>-638.14</v>
      </c>
      <c r="H347" s="127" t="inlineStr">
        <is>
          <t>Imported</t>
        </is>
      </c>
    </row>
    <row r="348">
      <c r="A348" s="115" t="inlineStr">
        <is>
          <t>BANK-1283</t>
        </is>
      </c>
      <c r="B348" s="125" t="n">
        <v>46047</v>
      </c>
      <c r="C348" s="115" t="inlineStr">
        <is>
          <t>Payroll payment</t>
        </is>
      </c>
      <c r="D348" s="115" t="inlineStr">
        <is>
          <t>REF-100344</t>
        </is>
      </c>
      <c r="E348" s="126" t="n">
        <v>0</v>
      </c>
      <c r="F348" s="126" t="n">
        <v>15180.21</v>
      </c>
      <c r="G348" s="126" t="n">
        <v>-15180.21</v>
      </c>
      <c r="H348" s="115" t="inlineStr">
        <is>
          <t>Imported</t>
        </is>
      </c>
    </row>
    <row r="349">
      <c r="A349" s="127" t="inlineStr">
        <is>
          <t>BANK-1294</t>
        </is>
      </c>
      <c r="B349" s="128" t="n">
        <v>46047</v>
      </c>
      <c r="C349" s="127" t="inlineStr">
        <is>
          <t>Payroll payment</t>
        </is>
      </c>
      <c r="D349" s="127" t="inlineStr">
        <is>
          <t>REF-100356</t>
        </is>
      </c>
      <c r="E349" s="129" t="n">
        <v>0</v>
      </c>
      <c r="F349" s="129" t="n">
        <v>6259.08</v>
      </c>
      <c r="G349" s="129" t="n">
        <v>-6259.08</v>
      </c>
      <c r="H349" s="127" t="inlineStr">
        <is>
          <t>Imported</t>
        </is>
      </c>
    </row>
    <row r="350">
      <c r="A350" s="115" t="inlineStr">
        <is>
          <t>BANK-1339</t>
        </is>
      </c>
      <c r="B350" s="125" t="n">
        <v>46047</v>
      </c>
      <c r="C350" s="115" t="inlineStr">
        <is>
          <t>Deposit from Coastline Foods</t>
        </is>
      </c>
      <c r="D350" s="115" t="inlineStr">
        <is>
          <t>REF-100410</t>
        </is>
      </c>
      <c r="E350" s="126" t="n">
        <v>8267.58</v>
      </c>
      <c r="F350" s="126" t="n">
        <v>0</v>
      </c>
      <c r="G350" s="126" t="n">
        <v>8267.58</v>
      </c>
      <c r="H350" s="115" t="inlineStr">
        <is>
          <t>Imported</t>
        </is>
      </c>
    </row>
    <row r="351">
      <c r="A351" s="127" t="inlineStr">
        <is>
          <t>BANK-1445</t>
        </is>
      </c>
      <c r="B351" s="128" t="n">
        <v>46047</v>
      </c>
      <c r="C351" s="127" t="inlineStr">
        <is>
          <t>Bank item not posted in ERP</t>
        </is>
      </c>
      <c r="D351" s="127" t="inlineStr">
        <is>
          <t>BANKONLY-0034</t>
        </is>
      </c>
      <c r="E351" s="129" t="n">
        <v>1481.24</v>
      </c>
      <c r="F351" s="129" t="n">
        <v>0</v>
      </c>
      <c r="G351" s="129" t="n">
        <v>1481.24</v>
      </c>
      <c r="H351" s="127" t="inlineStr">
        <is>
          <t>Needs ERP Review</t>
        </is>
      </c>
    </row>
    <row r="352">
      <c r="A352" s="115" t="inlineStr">
        <is>
          <t>BANK-1042</t>
        </is>
      </c>
      <c r="B352" s="125" t="n">
        <v>46048</v>
      </c>
      <c r="C352" s="115" t="inlineStr">
        <is>
          <t>Deposit from Maple Retail Group</t>
        </is>
      </c>
      <c r="D352" s="115" t="inlineStr">
        <is>
          <t>REF-100048</t>
        </is>
      </c>
      <c r="E352" s="126" t="n">
        <v>1163.1</v>
      </c>
      <c r="F352" s="126" t="n">
        <v>0</v>
      </c>
      <c r="G352" s="126" t="n">
        <v>1163.1</v>
      </c>
      <c r="H352" s="115" t="inlineStr">
        <is>
          <t>Imported</t>
        </is>
      </c>
    </row>
    <row r="353">
      <c r="A353" s="127" t="inlineStr">
        <is>
          <t>BANK-1119</t>
        </is>
      </c>
      <c r="B353" s="128" t="n">
        <v>46048</v>
      </c>
      <c r="C353" s="127" t="inlineStr">
        <is>
          <t>Deposit from Granville Medical</t>
        </is>
      </c>
      <c r="D353" s="127" t="inlineStr">
        <is>
          <t>REF-100144</t>
        </is>
      </c>
      <c r="E353" s="129" t="n">
        <v>6242.26</v>
      </c>
      <c r="F353" s="129" t="n">
        <v>0</v>
      </c>
      <c r="G353" s="129" t="n">
        <v>6242.26</v>
      </c>
      <c r="H353" s="127" t="inlineStr">
        <is>
          <t>Imported</t>
        </is>
      </c>
    </row>
    <row r="354">
      <c r="A354" s="115" t="inlineStr">
        <is>
          <t>BANK-1124</t>
        </is>
      </c>
      <c r="B354" s="125" t="n">
        <v>46048</v>
      </c>
      <c r="C354" s="115" t="inlineStr">
        <is>
          <t>Deposit from West Van Fitness</t>
        </is>
      </c>
      <c r="D354" s="115" t="inlineStr">
        <is>
          <t>REF-100149</t>
        </is>
      </c>
      <c r="E354" s="126" t="n">
        <v>8287.459999999999</v>
      </c>
      <c r="F354" s="126" t="n">
        <v>0</v>
      </c>
      <c r="G354" s="126" t="n">
        <v>8287.459999999999</v>
      </c>
      <c r="H354" s="115" t="inlineStr">
        <is>
          <t>Imported</t>
        </is>
      </c>
    </row>
    <row r="355">
      <c r="A355" s="127" t="inlineStr">
        <is>
          <t>BANK-1139</t>
        </is>
      </c>
      <c r="B355" s="128" t="n">
        <v>46048</v>
      </c>
      <c r="C355" s="127" t="inlineStr">
        <is>
          <t>Payment to Metro Cleaning Ltd.</t>
        </is>
      </c>
      <c r="D355" s="127" t="inlineStr">
        <is>
          <t>REF-100165</t>
        </is>
      </c>
      <c r="E355" s="129" t="n">
        <v>0</v>
      </c>
      <c r="F355" s="129" t="n">
        <v>3699.49</v>
      </c>
      <c r="G355" s="129" t="n">
        <v>-3699.49</v>
      </c>
      <c r="H355" s="127" t="inlineStr">
        <is>
          <t>Imported</t>
        </is>
      </c>
    </row>
    <row r="356">
      <c r="A356" s="115" t="inlineStr">
        <is>
          <t>BANK-1179</t>
        </is>
      </c>
      <c r="B356" s="125" t="n">
        <v>46048</v>
      </c>
      <c r="C356" s="115" t="inlineStr">
        <is>
          <t>Payroll payment</t>
        </is>
      </c>
      <c r="D356" s="115" t="inlineStr">
        <is>
          <t>REF-100218</t>
        </is>
      </c>
      <c r="E356" s="126" t="n">
        <v>0</v>
      </c>
      <c r="F356" s="126" t="n">
        <v>8388.34</v>
      </c>
      <c r="G356" s="126" t="n">
        <v>-8388.34</v>
      </c>
      <c r="H356" s="115" t="inlineStr">
        <is>
          <t>Imported</t>
        </is>
      </c>
    </row>
    <row r="357">
      <c r="A357" s="127" t="inlineStr">
        <is>
          <t>BANK-1213</t>
        </is>
      </c>
      <c r="B357" s="128" t="n">
        <v>46048</v>
      </c>
      <c r="C357" s="127" t="inlineStr">
        <is>
          <t>Payment to Metro Cleaning Ltd.</t>
        </is>
      </c>
      <c r="D357" s="127" t="inlineStr">
        <is>
          <t>REF-100262</t>
        </is>
      </c>
      <c r="E357" s="129" t="n">
        <v>0</v>
      </c>
      <c r="F357" s="129" t="n">
        <v>2913.58</v>
      </c>
      <c r="G357" s="129" t="n">
        <v>-2913.58</v>
      </c>
      <c r="H357" s="127" t="inlineStr">
        <is>
          <t>Imported</t>
        </is>
      </c>
    </row>
    <row r="358">
      <c r="A358" s="115" t="inlineStr">
        <is>
          <t>BANK-1293</t>
        </is>
      </c>
      <c r="B358" s="125" t="n">
        <v>46048</v>
      </c>
      <c r="C358" s="115" t="inlineStr">
        <is>
          <t>Deposit from Coastline Foods</t>
        </is>
      </c>
      <c r="D358" s="115" t="inlineStr">
        <is>
          <t>REF-100355</t>
        </is>
      </c>
      <c r="E358" s="126" t="n">
        <v>1147.35</v>
      </c>
      <c r="F358" s="126" t="n">
        <v>0</v>
      </c>
      <c r="G358" s="126" t="n">
        <v>1147.35</v>
      </c>
      <c r="H358" s="115" t="inlineStr">
        <is>
          <t>Imported</t>
        </is>
      </c>
    </row>
    <row r="359">
      <c r="A359" s="127" t="inlineStr">
        <is>
          <t>BANK-1300</t>
        </is>
      </c>
      <c r="B359" s="128" t="n">
        <v>46048</v>
      </c>
      <c r="C359" s="127" t="inlineStr">
        <is>
          <t>Payroll payment</t>
        </is>
      </c>
      <c r="D359" s="127" t="inlineStr">
        <is>
          <t>REF-100363</t>
        </is>
      </c>
      <c r="E359" s="129" t="n">
        <v>0</v>
      </c>
      <c r="F359" s="129" t="n">
        <v>7245.86</v>
      </c>
      <c r="G359" s="129" t="n">
        <v>-7245.86</v>
      </c>
      <c r="H359" s="127" t="inlineStr">
        <is>
          <t>Imported</t>
        </is>
      </c>
    </row>
    <row r="360">
      <c r="A360" s="115" t="inlineStr">
        <is>
          <t>BANK-1317</t>
        </is>
      </c>
      <c r="B360" s="125" t="n">
        <v>46048</v>
      </c>
      <c r="C360" s="115" t="inlineStr">
        <is>
          <t>Payment to Vancouver Courier</t>
        </is>
      </c>
      <c r="D360" s="115" t="inlineStr">
        <is>
          <t>REF-100384</t>
        </is>
      </c>
      <c r="E360" s="126" t="n">
        <v>0</v>
      </c>
      <c r="F360" s="126" t="n">
        <v>6148.17</v>
      </c>
      <c r="G360" s="126" t="n">
        <v>-6148.17</v>
      </c>
      <c r="H360" s="115" t="inlineStr">
        <is>
          <t>Imported</t>
        </is>
      </c>
    </row>
    <row r="361">
      <c r="A361" s="127" t="inlineStr">
        <is>
          <t>BANK-1325</t>
        </is>
      </c>
      <c r="B361" s="128" t="n">
        <v>46048</v>
      </c>
      <c r="C361" s="127" t="inlineStr">
        <is>
          <t>Payment to Staples Canada</t>
        </is>
      </c>
      <c r="D361" s="127" t="inlineStr">
        <is>
          <t>REF-100393</t>
        </is>
      </c>
      <c r="E361" s="129" t="n">
        <v>0</v>
      </c>
      <c r="F361" s="129" t="n">
        <v>5886.03</v>
      </c>
      <c r="G361" s="129" t="n">
        <v>-5886.03</v>
      </c>
      <c r="H361" s="127" t="inlineStr">
        <is>
          <t>Imported</t>
        </is>
      </c>
    </row>
    <row r="362">
      <c r="A362" s="115" t="inlineStr">
        <is>
          <t>BANK-1329</t>
        </is>
      </c>
      <c r="B362" s="125" t="n">
        <v>46048</v>
      </c>
      <c r="C362" s="115" t="inlineStr">
        <is>
          <t>Payroll payment</t>
        </is>
      </c>
      <c r="D362" s="115" t="inlineStr">
        <is>
          <t>REF-100398</t>
        </is>
      </c>
      <c r="E362" s="126" t="n">
        <v>0</v>
      </c>
      <c r="F362" s="126" t="n">
        <v>11939.06</v>
      </c>
      <c r="G362" s="126" t="n">
        <v>-11939.06</v>
      </c>
      <c r="H362" s="115" t="inlineStr">
        <is>
          <t>Imported</t>
        </is>
      </c>
    </row>
    <row r="363">
      <c r="A363" s="127" t="inlineStr">
        <is>
          <t>BANK-1335</t>
        </is>
      </c>
      <c r="B363" s="128" t="n">
        <v>46048</v>
      </c>
      <c r="C363" s="127" t="inlineStr">
        <is>
          <t>Payment to Pacific Office Supplies</t>
        </is>
      </c>
      <c r="D363" s="127" t="inlineStr">
        <is>
          <t>REF-100404</t>
        </is>
      </c>
      <c r="E363" s="129" t="n">
        <v>0</v>
      </c>
      <c r="F363" s="129" t="n">
        <v>2978.25</v>
      </c>
      <c r="G363" s="129" t="n">
        <v>-2978.25</v>
      </c>
      <c r="H363" s="127" t="inlineStr">
        <is>
          <t>Imported</t>
        </is>
      </c>
    </row>
    <row r="364">
      <c r="A364" s="115" t="inlineStr">
        <is>
          <t>BANK-1349</t>
        </is>
      </c>
      <c r="B364" s="125" t="n">
        <v>46048</v>
      </c>
      <c r="C364" s="115" t="inlineStr">
        <is>
          <t>Monthly bank service charge</t>
        </is>
      </c>
      <c r="D364" s="115" t="inlineStr">
        <is>
          <t>REF-100422</t>
        </is>
      </c>
      <c r="E364" s="126" t="n">
        <v>0</v>
      </c>
      <c r="F364" s="126" t="n">
        <v>83.34</v>
      </c>
      <c r="G364" s="126" t="n">
        <v>-83.34</v>
      </c>
      <c r="H364" s="115" t="inlineStr">
        <is>
          <t>Imported</t>
        </is>
      </c>
    </row>
    <row r="365">
      <c r="A365" s="127" t="inlineStr">
        <is>
          <t>BANK-1412</t>
        </is>
      </c>
      <c r="B365" s="128" t="n">
        <v>46048</v>
      </c>
      <c r="C365" s="127" t="inlineStr">
        <is>
          <t>Bank item not posted in ERP</t>
        </is>
      </c>
      <c r="D365" s="127" t="inlineStr">
        <is>
          <t>BANKONLY-0001</t>
        </is>
      </c>
      <c r="E365" s="129" t="n">
        <v>0</v>
      </c>
      <c r="F365" s="129" t="n">
        <v>1996.75</v>
      </c>
      <c r="G365" s="129" t="n">
        <v>-1996.75</v>
      </c>
      <c r="H365" s="127" t="inlineStr">
        <is>
          <t>Needs ERP Review</t>
        </is>
      </c>
    </row>
    <row r="366">
      <c r="A366" s="115" t="inlineStr">
        <is>
          <t>BANK-1232</t>
        </is>
      </c>
      <c r="B366" s="125" t="n">
        <v>46049</v>
      </c>
      <c r="C366" s="115" t="inlineStr">
        <is>
          <t>Monthly bank service charge</t>
        </is>
      </c>
      <c r="D366" s="115" t="inlineStr">
        <is>
          <t>REF-100284</t>
        </is>
      </c>
      <c r="E366" s="126" t="n">
        <v>0</v>
      </c>
      <c r="F366" s="126" t="n">
        <v>25.62</v>
      </c>
      <c r="G366" s="126" t="n">
        <v>-25.62</v>
      </c>
      <c r="H366" s="115" t="inlineStr">
        <is>
          <t>Imported</t>
        </is>
      </c>
    </row>
    <row r="367">
      <c r="A367" s="127" t="inlineStr">
        <is>
          <t>BANK-1248</t>
        </is>
      </c>
      <c r="B367" s="128" t="n">
        <v>46049</v>
      </c>
      <c r="C367" s="127" t="inlineStr">
        <is>
          <t>Payment to BC Hydro</t>
        </is>
      </c>
      <c r="D367" s="127" t="inlineStr">
        <is>
          <t>REF-100305</t>
        </is>
      </c>
      <c r="E367" s="129" t="n">
        <v>0</v>
      </c>
      <c r="F367" s="129" t="n">
        <v>1795.44</v>
      </c>
      <c r="G367" s="129" t="n">
        <v>-1795.44</v>
      </c>
      <c r="H367" s="127" t="inlineStr">
        <is>
          <t>Imported</t>
        </is>
      </c>
    </row>
    <row r="368">
      <c r="A368" s="115" t="inlineStr">
        <is>
          <t>BANK-1269</t>
        </is>
      </c>
      <c r="B368" s="125" t="n">
        <v>46049</v>
      </c>
      <c r="C368" s="115" t="inlineStr">
        <is>
          <t>Deposit from Coastline Foods</t>
        </is>
      </c>
      <c r="D368" s="115" t="inlineStr">
        <is>
          <t>REF-100329</t>
        </is>
      </c>
      <c r="E368" s="126" t="n">
        <v>2635.87</v>
      </c>
      <c r="F368" s="126" t="n">
        <v>0</v>
      </c>
      <c r="G368" s="126" t="n">
        <v>2635.87</v>
      </c>
      <c r="H368" s="115" t="inlineStr">
        <is>
          <t>Imported</t>
        </is>
      </c>
    </row>
    <row r="369">
      <c r="A369" s="127" t="inlineStr">
        <is>
          <t>BANK-1271</t>
        </is>
      </c>
      <c r="B369" s="128" t="n">
        <v>46049</v>
      </c>
      <c r="C369" s="127" t="inlineStr">
        <is>
          <t>Payment to Pacific Office Supplies</t>
        </is>
      </c>
      <c r="D369" s="127" t="inlineStr">
        <is>
          <t>REF-100331</t>
        </is>
      </c>
      <c r="E369" s="129" t="n">
        <v>0</v>
      </c>
      <c r="F369" s="129" t="n">
        <v>3568.85</v>
      </c>
      <c r="G369" s="129" t="n">
        <v>-3568.85</v>
      </c>
      <c r="H369" s="127" t="inlineStr">
        <is>
          <t>Imported</t>
        </is>
      </c>
    </row>
    <row r="370">
      <c r="A370" s="115" t="inlineStr">
        <is>
          <t>BANK-1331</t>
        </is>
      </c>
      <c r="B370" s="125" t="n">
        <v>46049</v>
      </c>
      <c r="C370" s="115" t="inlineStr">
        <is>
          <t>Monthly bank service charge</t>
        </is>
      </c>
      <c r="D370" s="115" t="inlineStr">
        <is>
          <t>REF-100400</t>
        </is>
      </c>
      <c r="E370" s="126" t="n">
        <v>0</v>
      </c>
      <c r="F370" s="126" t="n">
        <v>43.86</v>
      </c>
      <c r="G370" s="126" t="n">
        <v>-43.86</v>
      </c>
      <c r="H370" s="115" t="inlineStr">
        <is>
          <t>Imported</t>
        </is>
      </c>
    </row>
    <row r="371">
      <c r="A371" s="127" t="inlineStr">
        <is>
          <t>BANK-1382</t>
        </is>
      </c>
      <c r="B371" s="128" t="n">
        <v>46049</v>
      </c>
      <c r="C371" s="127" t="inlineStr">
        <is>
          <t>Manual GL entry</t>
        </is>
      </c>
      <c r="D371" s="127" t="inlineStr">
        <is>
          <t>REF-100463</t>
        </is>
      </c>
      <c r="E371" s="129" t="n">
        <v>0</v>
      </c>
      <c r="F371" s="129" t="n">
        <v>785.84</v>
      </c>
      <c r="G371" s="129" t="n">
        <v>-785.84</v>
      </c>
      <c r="H371" s="127" t="inlineStr">
        <is>
          <t>Imported</t>
        </is>
      </c>
    </row>
    <row r="372">
      <c r="A372" s="115" t="inlineStr">
        <is>
          <t>BANK-1401</t>
        </is>
      </c>
      <c r="B372" s="125" t="n">
        <v>46049</v>
      </c>
      <c r="C372" s="115" t="inlineStr">
        <is>
          <t>Monthly bank service charge</t>
        </is>
      </c>
      <c r="D372" s="115" t="inlineStr">
        <is>
          <t>REF-100488</t>
        </is>
      </c>
      <c r="E372" s="126" t="n">
        <v>0</v>
      </c>
      <c r="F372" s="126" t="n">
        <v>75.79000000000001</v>
      </c>
      <c r="G372" s="126" t="n">
        <v>-75.79000000000001</v>
      </c>
      <c r="H372" s="115" t="inlineStr">
        <is>
          <t>Imported</t>
        </is>
      </c>
    </row>
    <row r="373">
      <c r="A373" s="127" t="inlineStr">
        <is>
          <t>BANK-1444</t>
        </is>
      </c>
      <c r="B373" s="128" t="n">
        <v>46049</v>
      </c>
      <c r="C373" s="127" t="inlineStr">
        <is>
          <t>Bank item not posted in ERP</t>
        </is>
      </c>
      <c r="D373" s="127" t="inlineStr">
        <is>
          <t>BANKONLY-0033</t>
        </is>
      </c>
      <c r="E373" s="129" t="n">
        <v>0</v>
      </c>
      <c r="F373" s="129" t="n">
        <v>1461</v>
      </c>
      <c r="G373" s="129" t="n">
        <v>-1461</v>
      </c>
      <c r="H373" s="127" t="inlineStr">
        <is>
          <t>Needs ERP Review</t>
        </is>
      </c>
    </row>
    <row r="374">
      <c r="A374" s="115" t="inlineStr">
        <is>
          <t>BANK-1009</t>
        </is>
      </c>
      <c r="B374" s="125" t="n">
        <v>46050</v>
      </c>
      <c r="C374" s="115" t="inlineStr">
        <is>
          <t>Deposit from Coastline Foods</t>
        </is>
      </c>
      <c r="D374" s="115" t="inlineStr">
        <is>
          <t>REF-100011</t>
        </is>
      </c>
      <c r="E374" s="126" t="n">
        <v>2361.75</v>
      </c>
      <c r="F374" s="126" t="n">
        <v>0</v>
      </c>
      <c r="G374" s="126" t="n">
        <v>2361.75</v>
      </c>
      <c r="H374" s="115" t="inlineStr">
        <is>
          <t>Imported</t>
        </is>
      </c>
    </row>
    <row r="375">
      <c r="A375" s="127" t="inlineStr">
        <is>
          <t>BANK-1038</t>
        </is>
      </c>
      <c r="B375" s="128" t="n">
        <v>46050</v>
      </c>
      <c r="C375" s="127" t="inlineStr">
        <is>
          <t>Payroll payment</t>
        </is>
      </c>
      <c r="D375" s="127" t="inlineStr">
        <is>
          <t>REF-100044</t>
        </is>
      </c>
      <c r="E375" s="129" t="n">
        <v>0</v>
      </c>
      <c r="F375" s="129" t="n">
        <v>15280.53</v>
      </c>
      <c r="G375" s="129" t="n">
        <v>-15280.53</v>
      </c>
      <c r="H375" s="127" t="inlineStr">
        <is>
          <t>Imported</t>
        </is>
      </c>
    </row>
    <row r="376">
      <c r="A376" s="115" t="inlineStr">
        <is>
          <t>BANK-1045</t>
        </is>
      </c>
      <c r="B376" s="125" t="n">
        <v>46050</v>
      </c>
      <c r="C376" s="115" t="inlineStr">
        <is>
          <t>Payment to Metro Cleaning Ltd.</t>
        </is>
      </c>
      <c r="D376" s="115" t="inlineStr">
        <is>
          <t>REF-100051</t>
        </is>
      </c>
      <c r="E376" s="126" t="n">
        <v>0</v>
      </c>
      <c r="F376" s="126" t="n">
        <v>4139.93</v>
      </c>
      <c r="G376" s="126" t="n">
        <v>-4139.93</v>
      </c>
      <c r="H376" s="115" t="inlineStr">
        <is>
          <t>Imported</t>
        </is>
      </c>
    </row>
    <row r="377">
      <c r="A377" s="127" t="inlineStr">
        <is>
          <t>BANK-1086</t>
        </is>
      </c>
      <c r="B377" s="128" t="n">
        <v>46050</v>
      </c>
      <c r="C377" s="127" t="inlineStr">
        <is>
          <t>Payment to BC Hydro</t>
        </is>
      </c>
      <c r="D377" s="127" t="inlineStr">
        <is>
          <t>REF-100098</t>
        </is>
      </c>
      <c r="E377" s="129" t="n">
        <v>0</v>
      </c>
      <c r="F377" s="129" t="n">
        <v>4325.28</v>
      </c>
      <c r="G377" s="129" t="n">
        <v>-4325.28</v>
      </c>
      <c r="H377" s="127" t="inlineStr">
        <is>
          <t>Imported</t>
        </is>
      </c>
    </row>
    <row r="378">
      <c r="A378" s="115" t="inlineStr">
        <is>
          <t>BANK-1091</t>
        </is>
      </c>
      <c r="B378" s="125" t="n">
        <v>46050</v>
      </c>
      <c r="C378" s="115" t="inlineStr">
        <is>
          <t>Deposit from Harbour Design Co.</t>
        </is>
      </c>
      <c r="D378" s="115" t="inlineStr">
        <is>
          <t>REF-100105</t>
        </is>
      </c>
      <c r="E378" s="126" t="n">
        <v>7492.37</v>
      </c>
      <c r="F378" s="126" t="n">
        <v>0</v>
      </c>
      <c r="G378" s="126" t="n">
        <v>7492.37</v>
      </c>
      <c r="H378" s="115" t="inlineStr">
        <is>
          <t>Imported</t>
        </is>
      </c>
    </row>
    <row r="379">
      <c r="A379" s="127" t="inlineStr">
        <is>
          <t>BANK-1094</t>
        </is>
      </c>
      <c r="B379" s="128" t="n">
        <v>46050</v>
      </c>
      <c r="C379" s="127" t="inlineStr">
        <is>
          <t>Payment to BC Hydro</t>
        </is>
      </c>
      <c r="D379" s="127" t="inlineStr">
        <is>
          <t>REF-100108</t>
        </is>
      </c>
      <c r="E379" s="129" t="n">
        <v>0</v>
      </c>
      <c r="F379" s="129" t="n">
        <v>1509.4</v>
      </c>
      <c r="G379" s="129" t="n">
        <v>-1509.4</v>
      </c>
      <c r="H379" s="127" t="inlineStr">
        <is>
          <t>Imported</t>
        </is>
      </c>
    </row>
    <row r="380">
      <c r="A380" s="115" t="inlineStr">
        <is>
          <t>BANK-1170</t>
        </is>
      </c>
      <c r="B380" s="125" t="n">
        <v>46050</v>
      </c>
      <c r="C380" s="115" t="inlineStr">
        <is>
          <t>Manual GL entry</t>
        </is>
      </c>
      <c r="D380" s="115" t="inlineStr">
        <is>
          <t>REF-100206</t>
        </is>
      </c>
      <c r="E380" s="126" t="n">
        <v>0</v>
      </c>
      <c r="F380" s="126" t="n">
        <v>4062.04</v>
      </c>
      <c r="G380" s="126" t="n">
        <v>-4062.04</v>
      </c>
      <c r="H380" s="115" t="inlineStr">
        <is>
          <t>Imported</t>
        </is>
      </c>
    </row>
    <row r="381">
      <c r="A381" s="127" t="inlineStr">
        <is>
          <t>BANK-1171</t>
        </is>
      </c>
      <c r="B381" s="128" t="n">
        <v>46050</v>
      </c>
      <c r="C381" s="127" t="inlineStr">
        <is>
          <t>Payment to Staples Canada</t>
        </is>
      </c>
      <c r="D381" s="127" t="inlineStr">
        <is>
          <t>REF-100207</t>
        </is>
      </c>
      <c r="E381" s="129" t="n">
        <v>0</v>
      </c>
      <c r="F381" s="129" t="n">
        <v>5755.23</v>
      </c>
      <c r="G381" s="129" t="n">
        <v>-5755.23</v>
      </c>
      <c r="H381" s="127" t="inlineStr">
        <is>
          <t>Imported</t>
        </is>
      </c>
    </row>
    <row r="382">
      <c r="A382" s="115" t="inlineStr">
        <is>
          <t>BANK-1187</t>
        </is>
      </c>
      <c r="B382" s="125" t="n">
        <v>46050</v>
      </c>
      <c r="C382" s="115" t="inlineStr">
        <is>
          <t>Deposit from Granville Medical</t>
        </is>
      </c>
      <c r="D382" s="115" t="inlineStr">
        <is>
          <t>REF-100229</t>
        </is>
      </c>
      <c r="E382" s="126" t="n">
        <v>1393.65</v>
      </c>
      <c r="F382" s="126" t="n">
        <v>0</v>
      </c>
      <c r="G382" s="126" t="n">
        <v>1393.65</v>
      </c>
      <c r="H382" s="115" t="inlineStr">
        <is>
          <t>Imported</t>
        </is>
      </c>
    </row>
    <row r="383">
      <c r="A383" s="127" t="inlineStr">
        <is>
          <t>BANK-1206</t>
        </is>
      </c>
      <c r="B383" s="128" t="n">
        <v>46050</v>
      </c>
      <c r="C383" s="127" t="inlineStr">
        <is>
          <t>Deposit from Coastline Foods</t>
        </is>
      </c>
      <c r="D383" s="127" t="inlineStr">
        <is>
          <t>REF-100254</t>
        </is>
      </c>
      <c r="E383" s="129" t="n">
        <v>6511.53</v>
      </c>
      <c r="F383" s="129" t="n">
        <v>0</v>
      </c>
      <c r="G383" s="129" t="n">
        <v>6511.53</v>
      </c>
      <c r="H383" s="127" t="inlineStr">
        <is>
          <t>Imported</t>
        </is>
      </c>
    </row>
    <row r="384">
      <c r="A384" s="115" t="inlineStr">
        <is>
          <t>BANK-1229</t>
        </is>
      </c>
      <c r="B384" s="125" t="n">
        <v>46050</v>
      </c>
      <c r="C384" s="115" t="inlineStr">
        <is>
          <t>Payroll payment</t>
        </is>
      </c>
      <c r="D384" s="115" t="inlineStr">
        <is>
          <t>REF-100281</t>
        </is>
      </c>
      <c r="E384" s="126" t="n">
        <v>0</v>
      </c>
      <c r="F384" s="126" t="n">
        <v>16205.23</v>
      </c>
      <c r="G384" s="126" t="n">
        <v>-16205.23</v>
      </c>
      <c r="H384" s="115" t="inlineStr">
        <is>
          <t>Imported</t>
        </is>
      </c>
    </row>
    <row r="385">
      <c r="A385" s="127" t="inlineStr">
        <is>
          <t>BANK-1252</t>
        </is>
      </c>
      <c r="B385" s="128" t="n">
        <v>46050</v>
      </c>
      <c r="C385" s="127" t="inlineStr">
        <is>
          <t>Deposit from Harbour Design Co.</t>
        </is>
      </c>
      <c r="D385" s="127" t="inlineStr">
        <is>
          <t>REF-100310</t>
        </is>
      </c>
      <c r="E385" s="129" t="n">
        <v>7785.25</v>
      </c>
      <c r="F385" s="129" t="n">
        <v>0</v>
      </c>
      <c r="G385" s="129" t="n">
        <v>7785.25</v>
      </c>
      <c r="H385" s="127" t="inlineStr">
        <is>
          <t>Imported</t>
        </is>
      </c>
    </row>
    <row r="386">
      <c r="A386" s="115" t="inlineStr">
        <is>
          <t>BANK-1261</t>
        </is>
      </c>
      <c r="B386" s="125" t="n">
        <v>46050</v>
      </c>
      <c r="C386" s="115" t="inlineStr">
        <is>
          <t>Deposit from Harbour Design Co.</t>
        </is>
      </c>
      <c r="D386" s="115" t="inlineStr">
        <is>
          <t>REF-100320</t>
        </is>
      </c>
      <c r="E386" s="126" t="n">
        <v>2766.92</v>
      </c>
      <c r="F386" s="126" t="n">
        <v>0</v>
      </c>
      <c r="G386" s="126" t="n">
        <v>2766.92</v>
      </c>
      <c r="H386" s="115" t="inlineStr">
        <is>
          <t>Imported</t>
        </is>
      </c>
    </row>
    <row r="387">
      <c r="A387" s="127" t="inlineStr">
        <is>
          <t>BANK-1262</t>
        </is>
      </c>
      <c r="B387" s="128" t="n">
        <v>46050</v>
      </c>
      <c r="C387" s="127" t="inlineStr">
        <is>
          <t>Deposit from Coastline Foods</t>
        </is>
      </c>
      <c r="D387" s="127" t="inlineStr">
        <is>
          <t>REF-100321</t>
        </is>
      </c>
      <c r="E387" s="129" t="n">
        <v>6944.71</v>
      </c>
      <c r="F387" s="129" t="n">
        <v>0</v>
      </c>
      <c r="G387" s="129" t="n">
        <v>6944.71</v>
      </c>
      <c r="H387" s="127" t="inlineStr">
        <is>
          <t>Imported</t>
        </is>
      </c>
    </row>
    <row r="388">
      <c r="A388" s="115" t="inlineStr">
        <is>
          <t>BANK-1309</t>
        </is>
      </c>
      <c r="B388" s="125" t="n">
        <v>46050</v>
      </c>
      <c r="C388" s="115" t="inlineStr">
        <is>
          <t>Deposit from Harbour Design Co.</t>
        </is>
      </c>
      <c r="D388" s="115" t="inlineStr">
        <is>
          <t>REF-100375</t>
        </is>
      </c>
      <c r="E388" s="126" t="n">
        <v>4743.51</v>
      </c>
      <c r="F388" s="126" t="n">
        <v>0</v>
      </c>
      <c r="G388" s="126" t="n">
        <v>4743.51</v>
      </c>
      <c r="H388" s="115" t="inlineStr">
        <is>
          <t>Imported</t>
        </is>
      </c>
    </row>
    <row r="389">
      <c r="A389" s="127" t="inlineStr">
        <is>
          <t>BANK-1322</t>
        </is>
      </c>
      <c r="B389" s="128" t="n">
        <v>46050</v>
      </c>
      <c r="C389" s="127" t="inlineStr">
        <is>
          <t>Payment to Pacific Office Supplies</t>
        </is>
      </c>
      <c r="D389" s="127" t="inlineStr">
        <is>
          <t>REF-100390</t>
        </is>
      </c>
      <c r="E389" s="129" t="n">
        <v>0</v>
      </c>
      <c r="F389" s="129" t="n">
        <v>5260.46</v>
      </c>
      <c r="G389" s="129" t="n">
        <v>-5260.46</v>
      </c>
      <c r="H389" s="127" t="inlineStr">
        <is>
          <t>Imported</t>
        </is>
      </c>
    </row>
    <row r="390">
      <c r="A390" s="115" t="inlineStr">
        <is>
          <t>BANK-1350</t>
        </is>
      </c>
      <c r="B390" s="125" t="n">
        <v>46050</v>
      </c>
      <c r="C390" s="115" t="inlineStr">
        <is>
          <t>Deposit from West Van Fitness</t>
        </is>
      </c>
      <c r="D390" s="115" t="inlineStr">
        <is>
          <t>REF-100423</t>
        </is>
      </c>
      <c r="E390" s="126" t="n">
        <v>3070.5</v>
      </c>
      <c r="F390" s="126" t="n">
        <v>0</v>
      </c>
      <c r="G390" s="126" t="n">
        <v>3070.5</v>
      </c>
      <c r="H390" s="115" t="inlineStr">
        <is>
          <t>Imported</t>
        </is>
      </c>
    </row>
    <row r="391">
      <c r="A391" s="127" t="inlineStr">
        <is>
          <t>BANK-1394</t>
        </is>
      </c>
      <c r="B391" s="128" t="n">
        <v>46050</v>
      </c>
      <c r="C391" s="127" t="inlineStr">
        <is>
          <t>Manual GL entry</t>
        </is>
      </c>
      <c r="D391" s="127" t="inlineStr">
        <is>
          <t>REF-100478</t>
        </is>
      </c>
      <c r="E391" s="129" t="n">
        <v>0</v>
      </c>
      <c r="F391" s="129" t="n">
        <v>3267.93</v>
      </c>
      <c r="G391" s="129" t="n">
        <v>-3267.93</v>
      </c>
      <c r="H391" s="127" t="inlineStr">
        <is>
          <t>Imported</t>
        </is>
      </c>
    </row>
    <row r="392">
      <c r="A392" s="115" t="inlineStr">
        <is>
          <t>BANK-1422</t>
        </is>
      </c>
      <c r="B392" s="125" t="n">
        <v>46050</v>
      </c>
      <c r="C392" s="115" t="inlineStr">
        <is>
          <t>Bank item not posted in ERP</t>
        </is>
      </c>
      <c r="D392" s="115" t="inlineStr">
        <is>
          <t>BANKONLY-0011</t>
        </is>
      </c>
      <c r="E392" s="126" t="n">
        <v>0</v>
      </c>
      <c r="F392" s="126" t="n">
        <v>1881.34</v>
      </c>
      <c r="G392" s="126" t="n">
        <v>-1881.34</v>
      </c>
      <c r="H392" s="115" t="inlineStr">
        <is>
          <t>Needs ERP Review</t>
        </is>
      </c>
    </row>
    <row r="393">
      <c r="A393" s="127" t="inlineStr">
        <is>
          <t>BANK-1440</t>
        </is>
      </c>
      <c r="B393" s="128" t="n">
        <v>46050</v>
      </c>
      <c r="C393" s="127" t="inlineStr">
        <is>
          <t>Bank item not posted in ERP</t>
        </is>
      </c>
      <c r="D393" s="127" t="inlineStr">
        <is>
          <t>BANKONLY-0029</t>
        </is>
      </c>
      <c r="E393" s="129" t="n">
        <v>2068.71</v>
      </c>
      <c r="F393" s="129" t="n">
        <v>0</v>
      </c>
      <c r="G393" s="129" t="n">
        <v>2068.71</v>
      </c>
      <c r="H393" s="127" t="inlineStr">
        <is>
          <t>Needs ERP Review</t>
        </is>
      </c>
    </row>
    <row r="394">
      <c r="A394" s="115" t="inlineStr">
        <is>
          <t>BANK-1443</t>
        </is>
      </c>
      <c r="B394" s="125" t="n">
        <v>46050</v>
      </c>
      <c r="C394" s="115" t="inlineStr">
        <is>
          <t>Bank item not posted in ERP</t>
        </is>
      </c>
      <c r="D394" s="115" t="inlineStr">
        <is>
          <t>BANKONLY-0032</t>
        </is>
      </c>
      <c r="E394" s="126" t="n">
        <v>1275.34</v>
      </c>
      <c r="F394" s="126" t="n">
        <v>0</v>
      </c>
      <c r="G394" s="126" t="n">
        <v>1275.34</v>
      </c>
      <c r="H394" s="115" t="inlineStr">
        <is>
          <t>Needs ERP Review</t>
        </is>
      </c>
    </row>
    <row r="395">
      <c r="A395" s="127" t="inlineStr">
        <is>
          <t>BANK-1015</t>
        </is>
      </c>
      <c r="B395" s="128" t="n">
        <v>46051</v>
      </c>
      <c r="C395" s="127" t="inlineStr">
        <is>
          <t>Monthly bank service charge</t>
        </is>
      </c>
      <c r="D395" s="127" t="inlineStr">
        <is>
          <t>REF-100018</t>
        </is>
      </c>
      <c r="E395" s="129" t="n">
        <v>0</v>
      </c>
      <c r="F395" s="129" t="n">
        <v>97.78</v>
      </c>
      <c r="G395" s="129" t="n">
        <v>-97.78</v>
      </c>
      <c r="H395" s="127" t="inlineStr">
        <is>
          <t>Imported</t>
        </is>
      </c>
    </row>
    <row r="396">
      <c r="A396" s="115" t="inlineStr">
        <is>
          <t>BANK-1053</t>
        </is>
      </c>
      <c r="B396" s="125" t="n">
        <v>46051</v>
      </c>
      <c r="C396" s="115" t="inlineStr">
        <is>
          <t>Payroll payment</t>
        </is>
      </c>
      <c r="D396" s="115" t="inlineStr">
        <is>
          <t>REF-100060</t>
        </is>
      </c>
      <c r="E396" s="126" t="n">
        <v>0</v>
      </c>
      <c r="F396" s="126" t="n">
        <v>9026.01</v>
      </c>
      <c r="G396" s="126" t="n">
        <v>-9026.01</v>
      </c>
      <c r="H396" s="115" t="inlineStr">
        <is>
          <t>Imported</t>
        </is>
      </c>
    </row>
    <row r="397">
      <c r="A397" s="127" t="inlineStr">
        <is>
          <t>BANK-1057</t>
        </is>
      </c>
      <c r="B397" s="128" t="n">
        <v>46051</v>
      </c>
      <c r="C397" s="127" t="inlineStr">
        <is>
          <t>Deposit from West Van Fitness</t>
        </is>
      </c>
      <c r="D397" s="127" t="inlineStr">
        <is>
          <t>REF-100065</t>
        </is>
      </c>
      <c r="E397" s="129" t="n">
        <v>7671.72</v>
      </c>
      <c r="F397" s="129" t="n">
        <v>0</v>
      </c>
      <c r="G397" s="129" t="n">
        <v>7671.72</v>
      </c>
      <c r="H397" s="127" t="inlineStr">
        <is>
          <t>Imported</t>
        </is>
      </c>
    </row>
    <row r="398">
      <c r="A398" s="115" t="inlineStr">
        <is>
          <t>BANK-1082</t>
        </is>
      </c>
      <c r="B398" s="125" t="n">
        <v>46051</v>
      </c>
      <c r="C398" s="115" t="inlineStr">
        <is>
          <t>Payment to North Shore Telecom</t>
        </is>
      </c>
      <c r="D398" s="115" t="inlineStr">
        <is>
          <t>REF-100093</t>
        </is>
      </c>
      <c r="E398" s="126" t="n">
        <v>0</v>
      </c>
      <c r="F398" s="126" t="n">
        <v>517.03</v>
      </c>
      <c r="G398" s="126" t="n">
        <v>-517.03</v>
      </c>
      <c r="H398" s="115" t="inlineStr">
        <is>
          <t>Imported</t>
        </is>
      </c>
    </row>
    <row r="399">
      <c r="A399" s="127" t="inlineStr">
        <is>
          <t>BANK-1105</t>
        </is>
      </c>
      <c r="B399" s="128" t="n">
        <v>46051</v>
      </c>
      <c r="C399" s="127" t="inlineStr">
        <is>
          <t>Deposit from Maple Retail Group</t>
        </is>
      </c>
      <c r="D399" s="127" t="inlineStr">
        <is>
          <t>REF-100123</t>
        </is>
      </c>
      <c r="E399" s="129" t="n">
        <v>2729.59</v>
      </c>
      <c r="F399" s="129" t="n">
        <v>0</v>
      </c>
      <c r="G399" s="129" t="n">
        <v>2729.59</v>
      </c>
      <c r="H399" s="127" t="inlineStr">
        <is>
          <t>Imported</t>
        </is>
      </c>
    </row>
    <row r="400">
      <c r="A400" s="115" t="inlineStr">
        <is>
          <t>BANK-1138</t>
        </is>
      </c>
      <c r="B400" s="125" t="n">
        <v>46051</v>
      </c>
      <c r="C400" s="115" t="inlineStr">
        <is>
          <t>Deposit from Harbour Design Co.</t>
        </is>
      </c>
      <c r="D400" s="115" t="inlineStr">
        <is>
          <t>REF-100164</t>
        </is>
      </c>
      <c r="E400" s="126" t="n">
        <v>8387.540000000001</v>
      </c>
      <c r="F400" s="126" t="n">
        <v>0</v>
      </c>
      <c r="G400" s="126" t="n">
        <v>8387.540000000001</v>
      </c>
      <c r="H400" s="115" t="inlineStr">
        <is>
          <t>Imported</t>
        </is>
      </c>
    </row>
    <row r="401">
      <c r="A401" s="127" t="inlineStr">
        <is>
          <t>BANK-1201</t>
        </is>
      </c>
      <c r="B401" s="128" t="n">
        <v>46051</v>
      </c>
      <c r="C401" s="127" t="inlineStr">
        <is>
          <t>Deposit from Granville Medical</t>
        </is>
      </c>
      <c r="D401" s="127" t="inlineStr">
        <is>
          <t>REF-100249</t>
        </is>
      </c>
      <c r="E401" s="129" t="n">
        <v>4452.59</v>
      </c>
      <c r="F401" s="129" t="n">
        <v>0</v>
      </c>
      <c r="G401" s="129" t="n">
        <v>4452.59</v>
      </c>
      <c r="H401" s="127" t="inlineStr">
        <is>
          <t>Imported</t>
        </is>
      </c>
    </row>
    <row r="402">
      <c r="A402" s="115" t="inlineStr">
        <is>
          <t>BANK-1218</t>
        </is>
      </c>
      <c r="B402" s="125" t="n">
        <v>46051</v>
      </c>
      <c r="C402" s="115" t="inlineStr">
        <is>
          <t>Payment to Staples Canada</t>
        </is>
      </c>
      <c r="D402" s="115" t="inlineStr">
        <is>
          <t>REF-100267</t>
        </is>
      </c>
      <c r="E402" s="126" t="n">
        <v>0</v>
      </c>
      <c r="F402" s="126" t="n">
        <v>3270.06</v>
      </c>
      <c r="G402" s="126" t="n">
        <v>-3270.06</v>
      </c>
      <c r="H402" s="115" t="inlineStr">
        <is>
          <t>Imported</t>
        </is>
      </c>
    </row>
    <row r="403">
      <c r="A403" s="127" t="inlineStr">
        <is>
          <t>BANK-1241</t>
        </is>
      </c>
      <c r="B403" s="128" t="n">
        <v>46051</v>
      </c>
      <c r="C403" s="127" t="inlineStr">
        <is>
          <t>Payment to Metro Cleaning Ltd.</t>
        </is>
      </c>
      <c r="D403" s="127" t="inlineStr">
        <is>
          <t>REF-100297</t>
        </is>
      </c>
      <c r="E403" s="129" t="n">
        <v>0</v>
      </c>
      <c r="F403" s="129" t="n">
        <v>4739.44</v>
      </c>
      <c r="G403" s="129" t="n">
        <v>-4739.44</v>
      </c>
      <c r="H403" s="127" t="inlineStr">
        <is>
          <t>Imported</t>
        </is>
      </c>
    </row>
    <row r="404">
      <c r="A404" s="115" t="inlineStr">
        <is>
          <t>BANK-1319</t>
        </is>
      </c>
      <c r="B404" s="125" t="n">
        <v>46051</v>
      </c>
      <c r="C404" s="115" t="inlineStr">
        <is>
          <t>Monthly bank service charge</t>
        </is>
      </c>
      <c r="D404" s="115" t="inlineStr">
        <is>
          <t>REF-100386</t>
        </is>
      </c>
      <c r="E404" s="126" t="n">
        <v>0</v>
      </c>
      <c r="F404" s="126" t="n">
        <v>24.98</v>
      </c>
      <c r="G404" s="126" t="n">
        <v>-24.98</v>
      </c>
      <c r="H404" s="115" t="inlineStr">
        <is>
          <t>Imported</t>
        </is>
      </c>
    </row>
    <row r="405">
      <c r="A405" s="127" t="inlineStr">
        <is>
          <t>BANK-1358</t>
        </is>
      </c>
      <c r="B405" s="128" t="n">
        <v>46051</v>
      </c>
      <c r="C405" s="127" t="inlineStr">
        <is>
          <t>Deposit from Raincity Tech</t>
        </is>
      </c>
      <c r="D405" s="127" t="inlineStr">
        <is>
          <t>REF-100433</t>
        </is>
      </c>
      <c r="E405" s="129" t="n">
        <v>964.99</v>
      </c>
      <c r="F405" s="129" t="n">
        <v>0</v>
      </c>
      <c r="G405" s="129" t="n">
        <v>964.99</v>
      </c>
      <c r="H405" s="127" t="inlineStr">
        <is>
          <t>Imported</t>
        </is>
      </c>
    </row>
    <row r="406">
      <c r="A406" s="115" t="inlineStr">
        <is>
          <t>BANK-1366</t>
        </is>
      </c>
      <c r="B406" s="125" t="n">
        <v>46051</v>
      </c>
      <c r="C406" s="115" t="inlineStr">
        <is>
          <t>Payment to North Shore Telecom</t>
        </is>
      </c>
      <c r="D406" s="115" t="inlineStr">
        <is>
          <t>REF-100442</t>
        </is>
      </c>
      <c r="E406" s="126" t="n">
        <v>0</v>
      </c>
      <c r="F406" s="126" t="n">
        <v>708.5700000000001</v>
      </c>
      <c r="G406" s="126" t="n">
        <v>-708.5700000000001</v>
      </c>
      <c r="H406" s="115" t="inlineStr">
        <is>
          <t>Imported</t>
        </is>
      </c>
    </row>
    <row r="407">
      <c r="A407" s="127" t="inlineStr">
        <is>
          <t>BANK-1387</t>
        </is>
      </c>
      <c r="B407" s="128" t="n">
        <v>46051</v>
      </c>
      <c r="C407" s="127" t="inlineStr">
        <is>
          <t>Manual GL entry</t>
        </is>
      </c>
      <c r="D407" s="127" t="inlineStr">
        <is>
          <t>REF-100471</t>
        </is>
      </c>
      <c r="E407" s="129" t="n">
        <v>0</v>
      </c>
      <c r="F407" s="129" t="n">
        <v>2633.83</v>
      </c>
      <c r="G407" s="129" t="n">
        <v>-2633.83</v>
      </c>
      <c r="H407" s="127" t="inlineStr">
        <is>
          <t>Imported</t>
        </is>
      </c>
    </row>
    <row r="408">
      <c r="A408" s="115" t="inlineStr">
        <is>
          <t>BANK-1395</t>
        </is>
      </c>
      <c r="B408" s="125" t="n">
        <v>46051</v>
      </c>
      <c r="C408" s="115" t="inlineStr">
        <is>
          <t>Payroll payment</t>
        </is>
      </c>
      <c r="D408" s="115" t="inlineStr">
        <is>
          <t>REF-100479</t>
        </is>
      </c>
      <c r="E408" s="126" t="n">
        <v>0</v>
      </c>
      <c r="F408" s="126" t="n">
        <v>6645.96</v>
      </c>
      <c r="G408" s="126" t="n">
        <v>-6645.96</v>
      </c>
      <c r="H408" s="115" t="inlineStr">
        <is>
          <t>Imported</t>
        </is>
      </c>
    </row>
    <row r="409">
      <c r="A409" s="127" t="inlineStr">
        <is>
          <t>BANK-1398</t>
        </is>
      </c>
      <c r="B409" s="128" t="n">
        <v>46051</v>
      </c>
      <c r="C409" s="127" t="inlineStr">
        <is>
          <t>Manual GL entry</t>
        </is>
      </c>
      <c r="D409" s="127" t="inlineStr">
        <is>
          <t>REF-100484</t>
        </is>
      </c>
      <c r="E409" s="129" t="n">
        <v>0</v>
      </c>
      <c r="F409" s="129" t="n">
        <v>4158.42</v>
      </c>
      <c r="G409" s="129" t="n">
        <v>-4158.42</v>
      </c>
      <c r="H409" s="127" t="inlineStr">
        <is>
          <t>Imported</t>
        </is>
      </c>
    </row>
    <row r="410">
      <c r="A410" s="115" t="inlineStr">
        <is>
          <t>BANK-1005</t>
        </is>
      </c>
      <c r="B410" s="125" t="n">
        <v>46052</v>
      </c>
      <c r="C410" s="115" t="inlineStr">
        <is>
          <t>Payment to Pacific Office Supplies</t>
        </is>
      </c>
      <c r="D410" s="115" t="inlineStr">
        <is>
          <t>REF-100007</t>
        </is>
      </c>
      <c r="E410" s="126" t="n">
        <v>0</v>
      </c>
      <c r="F410" s="126" t="n">
        <v>2406.37</v>
      </c>
      <c r="G410" s="126" t="n">
        <v>-2406.37</v>
      </c>
      <c r="H410" s="115" t="inlineStr">
        <is>
          <t>Imported</t>
        </is>
      </c>
    </row>
    <row r="411">
      <c r="A411" s="127" t="inlineStr">
        <is>
          <t>BANK-1007</t>
        </is>
      </c>
      <c r="B411" s="128" t="n">
        <v>46052</v>
      </c>
      <c r="C411" s="127" t="inlineStr">
        <is>
          <t>Deposit from West Van Fitness</t>
        </is>
      </c>
      <c r="D411" s="127" t="inlineStr">
        <is>
          <t>REF-100009</t>
        </is>
      </c>
      <c r="E411" s="129" t="n">
        <v>1983.79</v>
      </c>
      <c r="F411" s="129" t="n">
        <v>0</v>
      </c>
      <c r="G411" s="129" t="n">
        <v>1983.79</v>
      </c>
      <c r="H411" s="127" t="inlineStr">
        <is>
          <t>Imported</t>
        </is>
      </c>
    </row>
    <row r="412">
      <c r="A412" s="115" t="inlineStr">
        <is>
          <t>BANK-1020</t>
        </is>
      </c>
      <c r="B412" s="125" t="n">
        <v>46052</v>
      </c>
      <c r="C412" s="115" t="inlineStr">
        <is>
          <t>Payment to Metro Cleaning Ltd.</t>
        </is>
      </c>
      <c r="D412" s="115" t="inlineStr">
        <is>
          <t>REF-100023</t>
        </is>
      </c>
      <c r="E412" s="126" t="n">
        <v>0</v>
      </c>
      <c r="F412" s="126" t="n">
        <v>513.65</v>
      </c>
      <c r="G412" s="126" t="n">
        <v>-513.65</v>
      </c>
      <c r="H412" s="115" t="inlineStr">
        <is>
          <t>Imported</t>
        </is>
      </c>
    </row>
    <row r="413">
      <c r="A413" s="127" t="inlineStr">
        <is>
          <t>BANK-1025</t>
        </is>
      </c>
      <c r="B413" s="128" t="n">
        <v>46052</v>
      </c>
      <c r="C413" s="127" t="inlineStr">
        <is>
          <t>Manual GL entry</t>
        </is>
      </c>
      <c r="D413" s="127" t="inlineStr">
        <is>
          <t>REF-100028</t>
        </is>
      </c>
      <c r="E413" s="129" t="n">
        <v>873.24</v>
      </c>
      <c r="F413" s="129" t="n">
        <v>0</v>
      </c>
      <c r="G413" s="129" t="n">
        <v>873.24</v>
      </c>
      <c r="H413" s="127" t="inlineStr">
        <is>
          <t>Imported</t>
        </is>
      </c>
    </row>
    <row r="414">
      <c r="A414" s="115" t="inlineStr">
        <is>
          <t>BANK-1134</t>
        </is>
      </c>
      <c r="B414" s="125" t="n">
        <v>46052</v>
      </c>
      <c r="C414" s="115" t="inlineStr">
        <is>
          <t>Deposit from Granville Medical</t>
        </is>
      </c>
      <c r="D414" s="115" t="inlineStr">
        <is>
          <t>REF-100160</t>
        </is>
      </c>
      <c r="E414" s="126" t="n">
        <v>7201.44</v>
      </c>
      <c r="F414" s="126" t="n">
        <v>0</v>
      </c>
      <c r="G414" s="126" t="n">
        <v>7201.44</v>
      </c>
      <c r="H414" s="115" t="inlineStr">
        <is>
          <t>Imported</t>
        </is>
      </c>
    </row>
    <row r="415">
      <c r="A415" s="127" t="inlineStr">
        <is>
          <t>BANK-1176</t>
        </is>
      </c>
      <c r="B415" s="128" t="n">
        <v>46052</v>
      </c>
      <c r="C415" s="127" t="inlineStr">
        <is>
          <t>Deposit from Raincity Tech</t>
        </is>
      </c>
      <c r="D415" s="127" t="inlineStr">
        <is>
          <t>REF-100213</t>
        </is>
      </c>
      <c r="E415" s="129" t="n">
        <v>7213.55</v>
      </c>
      <c r="F415" s="129" t="n">
        <v>0</v>
      </c>
      <c r="G415" s="129" t="n">
        <v>7213.55</v>
      </c>
      <c r="H415" s="127" t="inlineStr">
        <is>
          <t>Imported</t>
        </is>
      </c>
    </row>
    <row r="416">
      <c r="A416" s="115" t="inlineStr">
        <is>
          <t>BANK-1185</t>
        </is>
      </c>
      <c r="B416" s="125" t="n">
        <v>46052</v>
      </c>
      <c r="C416" s="115" t="inlineStr">
        <is>
          <t>Payment to Metro Cleaning Ltd.</t>
        </is>
      </c>
      <c r="D416" s="115" t="inlineStr">
        <is>
          <t>REF-100225</t>
        </is>
      </c>
      <c r="E416" s="126" t="n">
        <v>0</v>
      </c>
      <c r="F416" s="126" t="n">
        <v>4754.8</v>
      </c>
      <c r="G416" s="126" t="n">
        <v>-4754.8</v>
      </c>
      <c r="H416" s="115" t="inlineStr">
        <is>
          <t>Imported</t>
        </is>
      </c>
    </row>
    <row r="417">
      <c r="A417" s="127" t="inlineStr">
        <is>
          <t>BANK-1197</t>
        </is>
      </c>
      <c r="B417" s="128" t="n">
        <v>46052</v>
      </c>
      <c r="C417" s="127" t="inlineStr">
        <is>
          <t>Payroll payment</t>
        </is>
      </c>
      <c r="D417" s="127" t="inlineStr">
        <is>
          <t>REF-100242</t>
        </is>
      </c>
      <c r="E417" s="129" t="n">
        <v>0</v>
      </c>
      <c r="F417" s="129" t="n">
        <v>9397.639999999999</v>
      </c>
      <c r="G417" s="129" t="n">
        <v>-9397.639999999999</v>
      </c>
      <c r="H417" s="127" t="inlineStr">
        <is>
          <t>Imported</t>
        </is>
      </c>
    </row>
    <row r="418">
      <c r="A418" s="115" t="inlineStr">
        <is>
          <t>BANK-1215</t>
        </is>
      </c>
      <c r="B418" s="125" t="n">
        <v>46052</v>
      </c>
      <c r="C418" s="115" t="inlineStr">
        <is>
          <t>Payroll payment</t>
        </is>
      </c>
      <c r="D418" s="115" t="inlineStr">
        <is>
          <t>REF-100264</t>
        </is>
      </c>
      <c r="E418" s="126" t="n">
        <v>0</v>
      </c>
      <c r="F418" s="126" t="n">
        <v>2726.86</v>
      </c>
      <c r="G418" s="126" t="n">
        <v>-2726.86</v>
      </c>
      <c r="H418" s="115" t="inlineStr">
        <is>
          <t>Imported</t>
        </is>
      </c>
    </row>
    <row r="419">
      <c r="A419" s="127" t="inlineStr">
        <is>
          <t>BANK-1237</t>
        </is>
      </c>
      <c r="B419" s="128" t="n">
        <v>46052</v>
      </c>
      <c r="C419" s="127" t="inlineStr">
        <is>
          <t>Deposit from West Van Fitness</t>
        </is>
      </c>
      <c r="D419" s="127" t="inlineStr">
        <is>
          <t>REF-100292</t>
        </is>
      </c>
      <c r="E419" s="129" t="n">
        <v>2911.19</v>
      </c>
      <c r="F419" s="129" t="n">
        <v>0</v>
      </c>
      <c r="G419" s="129" t="n">
        <v>2911.19</v>
      </c>
      <c r="H419" s="127" t="inlineStr">
        <is>
          <t>Imported</t>
        </is>
      </c>
    </row>
    <row r="420">
      <c r="A420" s="115" t="inlineStr">
        <is>
          <t>BANK-1365</t>
        </is>
      </c>
      <c r="B420" s="125" t="n">
        <v>46052</v>
      </c>
      <c r="C420" s="115" t="inlineStr">
        <is>
          <t>Payment to Vancouver Courier</t>
        </is>
      </c>
      <c r="D420" s="115" t="inlineStr">
        <is>
          <t>REF-100441</t>
        </is>
      </c>
      <c r="E420" s="126" t="n">
        <v>0</v>
      </c>
      <c r="F420" s="126" t="n">
        <v>3329.93</v>
      </c>
      <c r="G420" s="126" t="n">
        <v>-3329.93</v>
      </c>
      <c r="H420" s="115" t="inlineStr">
        <is>
          <t>Imported</t>
        </is>
      </c>
    </row>
    <row r="421">
      <c r="A421" s="127" t="inlineStr">
        <is>
          <t>BANK-1368</t>
        </is>
      </c>
      <c r="B421" s="128" t="n">
        <v>46052</v>
      </c>
      <c r="C421" s="127" t="inlineStr">
        <is>
          <t>Payroll payment</t>
        </is>
      </c>
      <c r="D421" s="127" t="inlineStr">
        <is>
          <t>REF-100445</t>
        </is>
      </c>
      <c r="E421" s="129" t="n">
        <v>0</v>
      </c>
      <c r="F421" s="129" t="n">
        <v>2777.31</v>
      </c>
      <c r="G421" s="129" t="n">
        <v>-2777.31</v>
      </c>
      <c r="H421" s="127" t="inlineStr">
        <is>
          <t>Imported</t>
        </is>
      </c>
    </row>
    <row r="422">
      <c r="A422" s="115" t="inlineStr">
        <is>
          <t>BANK-1373</t>
        </is>
      </c>
      <c r="B422" s="125" t="n">
        <v>46052</v>
      </c>
      <c r="C422" s="115" t="inlineStr">
        <is>
          <t>Payment to Amazon Business</t>
        </is>
      </c>
      <c r="D422" s="115" t="inlineStr">
        <is>
          <t>REF-100452</t>
        </is>
      </c>
      <c r="E422" s="126" t="n">
        <v>0</v>
      </c>
      <c r="F422" s="126" t="n">
        <v>4174.41</v>
      </c>
      <c r="G422" s="126" t="n">
        <v>-4174.41</v>
      </c>
      <c r="H422" s="115" t="inlineStr">
        <is>
          <t>Imported</t>
        </is>
      </c>
    </row>
    <row r="423">
      <c r="A423" s="127" t="inlineStr">
        <is>
          <t>BANK-1376</t>
        </is>
      </c>
      <c r="B423" s="128" t="n">
        <v>46052</v>
      </c>
      <c r="C423" s="127" t="inlineStr">
        <is>
          <t>Payroll payment</t>
        </is>
      </c>
      <c r="D423" s="127" t="inlineStr">
        <is>
          <t>REF-100455</t>
        </is>
      </c>
      <c r="E423" s="129" t="n">
        <v>0</v>
      </c>
      <c r="F423" s="129" t="n">
        <v>2640.25</v>
      </c>
      <c r="G423" s="129" t="n">
        <v>-2640.25</v>
      </c>
      <c r="H423" s="127" t="inlineStr">
        <is>
          <t>Imported</t>
        </is>
      </c>
    </row>
    <row r="424">
      <c r="A424" s="115" t="inlineStr">
        <is>
          <t>BANK-1386</t>
        </is>
      </c>
      <c r="B424" s="125" t="n">
        <v>46052</v>
      </c>
      <c r="C424" s="115" t="inlineStr">
        <is>
          <t>Deposit from West Van Fitness</t>
        </is>
      </c>
      <c r="D424" s="115" t="inlineStr">
        <is>
          <t>REF-100469</t>
        </is>
      </c>
      <c r="E424" s="126" t="n">
        <v>6557.93</v>
      </c>
      <c r="F424" s="126" t="n">
        <v>0</v>
      </c>
      <c r="G424" s="126" t="n">
        <v>6557.93</v>
      </c>
      <c r="H424" s="115" t="inlineStr">
        <is>
          <t>Imported</t>
        </is>
      </c>
    </row>
    <row r="425">
      <c r="A425" s="127" t="inlineStr">
        <is>
          <t>BANK-1392</t>
        </is>
      </c>
      <c r="B425" s="128" t="n">
        <v>46052</v>
      </c>
      <c r="C425" s="127" t="inlineStr">
        <is>
          <t>Payment to Metro Cleaning Ltd.</t>
        </is>
      </c>
      <c r="D425" s="127" t="inlineStr">
        <is>
          <t>REF-100476</t>
        </is>
      </c>
      <c r="E425" s="129" t="n">
        <v>0</v>
      </c>
      <c r="F425" s="129" t="n">
        <v>2851.42</v>
      </c>
      <c r="G425" s="129" t="n">
        <v>-2851.42</v>
      </c>
      <c r="H425" s="127" t="inlineStr">
        <is>
          <t>Imported</t>
        </is>
      </c>
    </row>
    <row r="426">
      <c r="A426" s="115" t="inlineStr">
        <is>
          <t>BANK-1404</t>
        </is>
      </c>
      <c r="B426" s="125" t="n">
        <v>46052</v>
      </c>
      <c r="C426" s="115" t="inlineStr">
        <is>
          <t>Deposit from Granville Medical</t>
        </is>
      </c>
      <c r="D426" s="115" t="inlineStr">
        <is>
          <t>REF-100491</t>
        </is>
      </c>
      <c r="E426" s="126" t="n">
        <v>8471.870000000001</v>
      </c>
      <c r="F426" s="126" t="n">
        <v>0</v>
      </c>
      <c r="G426" s="126" t="n">
        <v>8471.870000000001</v>
      </c>
      <c r="H426" s="115" t="inlineStr">
        <is>
          <t>Imported</t>
        </is>
      </c>
    </row>
    <row r="427">
      <c r="A427" s="127" t="inlineStr">
        <is>
          <t>BANK-1092</t>
        </is>
      </c>
      <c r="B427" s="128" t="n">
        <v>46053</v>
      </c>
      <c r="C427" s="127" t="inlineStr">
        <is>
          <t>Deposit from Maple Retail Group</t>
        </is>
      </c>
      <c r="D427" s="127" t="inlineStr">
        <is>
          <t>REF-100106</t>
        </is>
      </c>
      <c r="E427" s="129" t="n">
        <v>2511.71</v>
      </c>
      <c r="F427" s="129" t="n">
        <v>0</v>
      </c>
      <c r="G427" s="129" t="n">
        <v>2511.71</v>
      </c>
      <c r="H427" s="127" t="inlineStr">
        <is>
          <t>Imported</t>
        </is>
      </c>
    </row>
    <row r="428">
      <c r="A428" s="115" t="inlineStr">
        <is>
          <t>BANK-1099</t>
        </is>
      </c>
      <c r="B428" s="125" t="n">
        <v>46053</v>
      </c>
      <c r="C428" s="115" t="inlineStr">
        <is>
          <t>Payment to North Shore Telecom</t>
        </is>
      </c>
      <c r="D428" s="115" t="inlineStr">
        <is>
          <t>REF-100116</t>
        </is>
      </c>
      <c r="E428" s="126" t="n">
        <v>0</v>
      </c>
      <c r="F428" s="126" t="n">
        <v>563.29</v>
      </c>
      <c r="G428" s="126" t="n">
        <v>-563.29</v>
      </c>
      <c r="H428" s="115" t="inlineStr">
        <is>
          <t>Imported</t>
        </is>
      </c>
    </row>
    <row r="429">
      <c r="A429" s="127" t="inlineStr">
        <is>
          <t>BANK-1172</t>
        </is>
      </c>
      <c r="B429" s="128" t="n">
        <v>46053</v>
      </c>
      <c r="C429" s="127" t="inlineStr">
        <is>
          <t>Payment to Vancouver Courier</t>
        </is>
      </c>
      <c r="D429" s="127" t="inlineStr">
        <is>
          <t>REF-100208</t>
        </is>
      </c>
      <c r="E429" s="129" t="n">
        <v>0</v>
      </c>
      <c r="F429" s="129" t="n">
        <v>3103.41</v>
      </c>
      <c r="G429" s="129" t="n">
        <v>-3103.41</v>
      </c>
      <c r="H429" s="127" t="inlineStr">
        <is>
          <t>Imported</t>
        </is>
      </c>
    </row>
    <row r="430">
      <c r="A430" s="115" t="inlineStr">
        <is>
          <t>BANK-1199</t>
        </is>
      </c>
      <c r="B430" s="125" t="n">
        <v>46053</v>
      </c>
      <c r="C430" s="115" t="inlineStr">
        <is>
          <t>Payroll payment</t>
        </is>
      </c>
      <c r="D430" s="115" t="inlineStr">
        <is>
          <t>REF-100245</t>
        </is>
      </c>
      <c r="E430" s="126" t="n">
        <v>0</v>
      </c>
      <c r="F430" s="126" t="n">
        <v>6697.27</v>
      </c>
      <c r="G430" s="126" t="n">
        <v>-6697.27</v>
      </c>
      <c r="H430" s="115" t="inlineStr">
        <is>
          <t>Imported</t>
        </is>
      </c>
    </row>
    <row r="431">
      <c r="A431" s="127" t="inlineStr">
        <is>
          <t>BANK-1313</t>
        </is>
      </c>
      <c r="B431" s="128" t="n">
        <v>46053</v>
      </c>
      <c r="C431" s="127" t="inlineStr">
        <is>
          <t>Payment to Metro Cleaning Ltd.</t>
        </is>
      </c>
      <c r="D431" s="127" t="inlineStr">
        <is>
          <t>REF-100380</t>
        </is>
      </c>
      <c r="E431" s="129" t="n">
        <v>0</v>
      </c>
      <c r="F431" s="129" t="n">
        <v>2809.59</v>
      </c>
      <c r="G431" s="129" t="n">
        <v>-2809.59</v>
      </c>
      <c r="H431" s="127" t="inlineStr">
        <is>
          <t>Imported</t>
        </is>
      </c>
    </row>
    <row r="432">
      <c r="A432" s="115" t="inlineStr">
        <is>
          <t>BANK-1326</t>
        </is>
      </c>
      <c r="B432" s="125" t="n">
        <v>46053</v>
      </c>
      <c r="C432" s="115" t="inlineStr">
        <is>
          <t>Deposit from Harbour Design Co.</t>
        </is>
      </c>
      <c r="D432" s="115" t="inlineStr">
        <is>
          <t>REF-100394</t>
        </is>
      </c>
      <c r="E432" s="126" t="n">
        <v>4872.34</v>
      </c>
      <c r="F432" s="126" t="n">
        <v>0</v>
      </c>
      <c r="G432" s="126" t="n">
        <v>4872.34</v>
      </c>
      <c r="H432" s="115" t="inlineStr">
        <is>
          <t>Imported</t>
        </is>
      </c>
    </row>
    <row r="433">
      <c r="A433" s="127" t="inlineStr">
        <is>
          <t>BANK-1359</t>
        </is>
      </c>
      <c r="B433" s="128" t="n">
        <v>46053</v>
      </c>
      <c r="C433" s="127" t="inlineStr">
        <is>
          <t>Payment to Pacific Office Supplies</t>
        </is>
      </c>
      <c r="D433" s="127" t="inlineStr">
        <is>
          <t>REF-100434</t>
        </is>
      </c>
      <c r="E433" s="129" t="n">
        <v>0</v>
      </c>
      <c r="F433" s="129" t="n">
        <v>1440.19</v>
      </c>
      <c r="G433" s="129" t="n">
        <v>-1440.19</v>
      </c>
      <c r="H433" s="127" t="inlineStr">
        <is>
          <t>Imported</t>
        </is>
      </c>
    </row>
    <row r="434">
      <c r="A434" s="115" t="inlineStr">
        <is>
          <t>BANK-1413</t>
        </is>
      </c>
      <c r="B434" s="125" t="n">
        <v>46053</v>
      </c>
      <c r="C434" s="115" t="inlineStr">
        <is>
          <t>Bank item not posted in ERP</t>
        </is>
      </c>
      <c r="D434" s="115" t="inlineStr">
        <is>
          <t>BANKONLY-0002</t>
        </is>
      </c>
      <c r="E434" s="126" t="n">
        <v>0</v>
      </c>
      <c r="F434" s="126" t="n">
        <v>1590.6</v>
      </c>
      <c r="G434" s="126" t="n">
        <v>-1590.6</v>
      </c>
      <c r="H434" s="115" t="inlineStr">
        <is>
          <t>Needs ERP Review</t>
        </is>
      </c>
    </row>
    <row r="435">
      <c r="A435" s="127" t="inlineStr">
        <is>
          <t>BANK-1415</t>
        </is>
      </c>
      <c r="B435" s="128" t="n">
        <v>46053</v>
      </c>
      <c r="C435" s="127" t="inlineStr">
        <is>
          <t>Bank item not posted in ERP</t>
        </is>
      </c>
      <c r="D435" s="127" t="inlineStr">
        <is>
          <t>BANKONLY-0004</t>
        </is>
      </c>
      <c r="E435" s="129" t="n">
        <v>2374.42</v>
      </c>
      <c r="F435" s="129" t="n">
        <v>0</v>
      </c>
      <c r="G435" s="129" t="n">
        <v>2374.42</v>
      </c>
      <c r="H435" s="127" t="inlineStr">
        <is>
          <t>Needs ERP Review</t>
        </is>
      </c>
    </row>
    <row r="436">
      <c r="A436" s="115" t="inlineStr">
        <is>
          <t>BANK-1426</t>
        </is>
      </c>
      <c r="B436" s="125" t="n">
        <v>46053</v>
      </c>
      <c r="C436" s="115" t="inlineStr">
        <is>
          <t>Bank item not posted in ERP</t>
        </is>
      </c>
      <c r="D436" s="115" t="inlineStr">
        <is>
          <t>BANKONLY-0015</t>
        </is>
      </c>
      <c r="E436" s="126" t="n">
        <v>837.16</v>
      </c>
      <c r="F436" s="126" t="n">
        <v>0</v>
      </c>
      <c r="G436" s="126" t="n">
        <v>837.16</v>
      </c>
      <c r="H436" s="115" t="inlineStr">
        <is>
          <t>Needs ERP Review</t>
        </is>
      </c>
    </row>
    <row r="437">
      <c r="A437" s="127" t="inlineStr">
        <is>
          <t>BANK-1432</t>
        </is>
      </c>
      <c r="B437" s="128" t="n">
        <v>46053</v>
      </c>
      <c r="C437" s="127" t="inlineStr">
        <is>
          <t>Bank item not posted in ERP</t>
        </is>
      </c>
      <c r="D437" s="127" t="inlineStr">
        <is>
          <t>BANKONLY-0021</t>
        </is>
      </c>
      <c r="E437" s="129" t="n">
        <v>1079.34</v>
      </c>
      <c r="F437" s="129" t="n">
        <v>0</v>
      </c>
      <c r="G437" s="129" t="n">
        <v>1079.34</v>
      </c>
      <c r="H437" s="127" t="inlineStr">
        <is>
          <t>Needs ERP Review</t>
        </is>
      </c>
    </row>
    <row r="438">
      <c r="A438" s="115" t="inlineStr">
        <is>
          <t>BANK-1047</t>
        </is>
      </c>
      <c r="B438" s="125" t="n">
        <v>46054</v>
      </c>
      <c r="C438" s="115" t="inlineStr">
        <is>
          <t>Payment to Metro Cleaning Ltd.</t>
        </is>
      </c>
      <c r="D438" s="115" t="inlineStr">
        <is>
          <t>REF-100053</t>
        </is>
      </c>
      <c r="E438" s="126" t="n">
        <v>0</v>
      </c>
      <c r="F438" s="126" t="n">
        <v>1366.32</v>
      </c>
      <c r="G438" s="126" t="n">
        <v>-1366.32</v>
      </c>
      <c r="H438" s="115" t="inlineStr">
        <is>
          <t>Imported</t>
        </is>
      </c>
    </row>
    <row r="439">
      <c r="A439" s="127" t="inlineStr">
        <is>
          <t>BANK-1066</t>
        </is>
      </c>
      <c r="B439" s="128" t="n">
        <v>46054</v>
      </c>
      <c r="C439" s="127" t="inlineStr">
        <is>
          <t>Deposit from Coastline Foods</t>
        </is>
      </c>
      <c r="D439" s="127" t="inlineStr">
        <is>
          <t>REF-100075</t>
        </is>
      </c>
      <c r="E439" s="129" t="n">
        <v>3786.32</v>
      </c>
      <c r="F439" s="129" t="n">
        <v>0</v>
      </c>
      <c r="G439" s="129" t="n">
        <v>3786.32</v>
      </c>
      <c r="H439" s="127" t="inlineStr">
        <is>
          <t>Imported</t>
        </is>
      </c>
    </row>
    <row r="440">
      <c r="A440" s="115" t="inlineStr">
        <is>
          <t>BANK-1067</t>
        </is>
      </c>
      <c r="B440" s="125" t="n">
        <v>46054</v>
      </c>
      <c r="C440" s="115" t="inlineStr">
        <is>
          <t>Manual GL entry</t>
        </is>
      </c>
      <c r="D440" s="115" t="inlineStr">
        <is>
          <t>REF-100076</t>
        </is>
      </c>
      <c r="E440" s="126" t="n">
        <v>1645.41</v>
      </c>
      <c r="F440" s="126" t="n">
        <v>0</v>
      </c>
      <c r="G440" s="126" t="n">
        <v>1645.41</v>
      </c>
      <c r="H440" s="115" t="inlineStr">
        <is>
          <t>Imported</t>
        </is>
      </c>
    </row>
    <row r="441">
      <c r="A441" s="127" t="inlineStr">
        <is>
          <t>BANK-1136</t>
        </is>
      </c>
      <c r="B441" s="128" t="n">
        <v>46054</v>
      </c>
      <c r="C441" s="127" t="inlineStr">
        <is>
          <t>Payroll payment</t>
        </is>
      </c>
      <c r="D441" s="127" t="inlineStr">
        <is>
          <t>REF-100162</t>
        </is>
      </c>
      <c r="E441" s="129" t="n">
        <v>0</v>
      </c>
      <c r="F441" s="129" t="n">
        <v>14318.04</v>
      </c>
      <c r="G441" s="129" t="n">
        <v>-14318.04</v>
      </c>
      <c r="H441" s="127" t="inlineStr">
        <is>
          <t>Imported</t>
        </is>
      </c>
    </row>
    <row r="442">
      <c r="A442" s="115" t="inlineStr">
        <is>
          <t>BANK-1345</t>
        </is>
      </c>
      <c r="B442" s="125" t="n">
        <v>46054</v>
      </c>
      <c r="C442" s="115" t="inlineStr">
        <is>
          <t>Deposit from Harbour Design Co.</t>
        </is>
      </c>
      <c r="D442" s="115" t="inlineStr">
        <is>
          <t>REF-100417</t>
        </is>
      </c>
      <c r="E442" s="126" t="n">
        <v>5868.51</v>
      </c>
      <c r="F442" s="126" t="n">
        <v>0</v>
      </c>
      <c r="G442" s="126" t="n">
        <v>5868.51</v>
      </c>
      <c r="H442" s="115" t="inlineStr">
        <is>
          <t>Imported</t>
        </is>
      </c>
    </row>
    <row r="443">
      <c r="A443" s="127" t="inlineStr">
        <is>
          <t>BANK-1208</t>
        </is>
      </c>
      <c r="B443" s="128" t="n">
        <v>46055</v>
      </c>
      <c r="C443" s="127" t="inlineStr">
        <is>
          <t>Deposit from Maple Retail Group</t>
        </is>
      </c>
      <c r="D443" s="127" t="inlineStr">
        <is>
          <t>REF-100256</t>
        </is>
      </c>
      <c r="E443" s="129" t="n">
        <v>5830.47</v>
      </c>
      <c r="F443" s="129" t="n">
        <v>0</v>
      </c>
      <c r="G443" s="129" t="n">
        <v>5830.47</v>
      </c>
      <c r="H443" s="127" t="inlineStr">
        <is>
          <t>Imported</t>
        </is>
      </c>
    </row>
    <row r="444">
      <c r="A444" s="115" t="inlineStr">
        <is>
          <t>BANK-1304</t>
        </is>
      </c>
      <c r="B444" s="125" t="n">
        <v>46055</v>
      </c>
      <c r="C444" s="115" t="inlineStr">
        <is>
          <t>Payment to Metro Cleaning Ltd.</t>
        </is>
      </c>
      <c r="D444" s="115" t="inlineStr">
        <is>
          <t>REF-100370</t>
        </is>
      </c>
      <c r="E444" s="126" t="n">
        <v>0</v>
      </c>
      <c r="F444" s="126" t="n">
        <v>1677.26</v>
      </c>
      <c r="G444" s="126" t="n">
        <v>-1677.26</v>
      </c>
      <c r="H444" s="115" t="inlineStr">
        <is>
          <t>Imported</t>
        </is>
      </c>
    </row>
    <row r="445">
      <c r="A445" s="127" t="inlineStr">
        <is>
          <t>BANK-1182</t>
        </is>
      </c>
      <c r="B445" s="128" t="n">
        <v>46056</v>
      </c>
      <c r="C445" s="127" t="inlineStr">
        <is>
          <t>Payment to Metro Cleaning Ltd.</t>
        </is>
      </c>
      <c r="D445" s="127" t="inlineStr">
        <is>
          <t>REF-100222</t>
        </is>
      </c>
      <c r="E445" s="129" t="n">
        <v>0</v>
      </c>
      <c r="F445" s="129" t="n">
        <v>5794.56</v>
      </c>
      <c r="G445" s="129" t="n">
        <v>-5794.56</v>
      </c>
      <c r="H445" s="127" t="inlineStr">
        <is>
          <t>Imported</t>
        </is>
      </c>
    </row>
    <row r="446">
      <c r="A446" s="115" t="inlineStr">
        <is>
          <t>BANK-1315</t>
        </is>
      </c>
      <c r="B446" s="125" t="n">
        <v>46056</v>
      </c>
      <c r="C446" s="115" t="inlineStr">
        <is>
          <t>Manual GL entry</t>
        </is>
      </c>
      <c r="D446" s="115" t="inlineStr">
        <is>
          <t>REF-100382</t>
        </is>
      </c>
      <c r="E446" s="126" t="n">
        <v>0</v>
      </c>
      <c r="F446" s="126" t="n">
        <v>3172.23</v>
      </c>
      <c r="G446" s="126" t="n">
        <v>-3172.23</v>
      </c>
      <c r="H446" s="115" t="inlineStr">
        <is>
          <t>Imported</t>
        </is>
      </c>
    </row>
    <row r="447">
      <c r="A447" s="127" t="inlineStr">
        <is>
          <t>BANK-1049</t>
        </is>
      </c>
      <c r="B447" s="128" t="n">
        <v>46058</v>
      </c>
      <c r="C447" s="127" t="inlineStr">
        <is>
          <t>Manual GL entry</t>
        </is>
      </c>
      <c r="D447" s="127" t="inlineStr">
        <is>
          <t>REF-100055</t>
        </is>
      </c>
      <c r="E447" s="129" t="n">
        <v>0</v>
      </c>
      <c r="F447" s="129" t="n">
        <v>1586.58</v>
      </c>
      <c r="G447" s="129" t="n">
        <v>-1586.58</v>
      </c>
      <c r="H447" s="127" t="inlineStr">
        <is>
          <t>Imported</t>
        </is>
      </c>
    </row>
    <row r="448">
      <c r="A448" s="115" t="inlineStr">
        <is>
          <t>BANK-1266</t>
        </is>
      </c>
      <c r="B448" s="125" t="n">
        <v>46058</v>
      </c>
      <c r="C448" s="115" t="inlineStr">
        <is>
          <t>Deposit from Harbour Design Co.</t>
        </is>
      </c>
      <c r="D448" s="115" t="inlineStr">
        <is>
          <t>REF-100325</t>
        </is>
      </c>
      <c r="E448" s="126" t="n">
        <v>4283</v>
      </c>
      <c r="F448" s="126" t="n">
        <v>0</v>
      </c>
      <c r="G448" s="126" t="n">
        <v>4283</v>
      </c>
      <c r="H448" s="115" t="inlineStr">
        <is>
          <t>Imported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S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1" customWidth="1" min="3" max="3"/>
    <col width="25" customWidth="1" min="4" max="4"/>
    <col width="14" customWidth="1" min="5" max="5"/>
    <col width="12" customWidth="1" min="6" max="6"/>
    <col width="28" customWidth="1" min="7" max="7"/>
    <col width="24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1" customWidth="1" min="15" max="15"/>
    <col width="23" customWidth="1" min="16" max="16"/>
    <col width="11" customWidth="1" min="17" max="17"/>
    <col width="14" customWidth="1" min="18" max="18"/>
    <col width="28" customWidth="1" min="19" max="19"/>
  </cols>
  <sheetData>
    <row r="1" ht="24" customHeight="1">
      <c r="A1" s="130" t="inlineStr">
        <is>
          <t>Reconciliation - ERP vs Bank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1" t="n"/>
      <c r="R1" s="131" t="n"/>
      <c r="S1" s="131" t="n"/>
    </row>
    <row r="2" ht="22" customHeight="1">
      <c r="A2" s="132" t="n"/>
      <c r="B2" s="132" t="n"/>
      <c r="C2" s="132" t="n"/>
      <c r="D2" s="132" t="n"/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2" t="n"/>
      <c r="Q2" s="132" t="n"/>
      <c r="R2" s="132" t="n"/>
      <c r="S2" s="132" t="n"/>
    </row>
    <row r="3" ht="22" customHeight="1">
      <c r="A3" s="133" t="inlineStr">
        <is>
          <t>Txn_ID</t>
        </is>
      </c>
      <c r="B3" s="133" t="inlineStr">
        <is>
          <t>Txn_Date</t>
        </is>
      </c>
      <c r="C3" s="133" t="inlineStr">
        <is>
          <t>Module</t>
        </is>
      </c>
      <c r="D3" s="133" t="inlineStr">
        <is>
          <t>Vendor_Customer</t>
        </is>
      </c>
      <c r="E3" s="133" t="inlineStr">
        <is>
          <t>Reference_No</t>
        </is>
      </c>
      <c r="F3" s="133" t="inlineStr">
        <is>
          <t>ERP_Amount</t>
        </is>
      </c>
      <c r="G3" s="133" t="inlineStr">
        <is>
          <t>Bank_Amount</t>
        </is>
      </c>
      <c r="H3" s="133" t="inlineStr">
        <is>
          <t>Amount_Difference</t>
        </is>
      </c>
      <c r="I3" s="133" t="inlineStr">
        <is>
          <t>Bank_Date</t>
        </is>
      </c>
      <c r="J3" s="133" t="inlineStr">
        <is>
          <t>Date_Difference</t>
        </is>
      </c>
      <c r="K3" s="133" t="inlineStr">
        <is>
          <t>Reconciliation_Status</t>
        </is>
      </c>
      <c r="L3" s="133" t="inlineStr">
        <is>
          <t>Exception_Type</t>
        </is>
      </c>
      <c r="M3" s="133" t="inlineStr">
        <is>
          <t>Priority</t>
        </is>
      </c>
      <c r="N3" s="133" t="inlineStr">
        <is>
          <t>Suggested_Action</t>
        </is>
      </c>
      <c r="O3" s="133" t="inlineStr">
        <is>
          <t>GL_Account</t>
        </is>
      </c>
      <c r="P3" s="133" t="inlineStr">
        <is>
          <t>Owner</t>
        </is>
      </c>
      <c r="Q3" s="133" t="inlineStr">
        <is>
          <t>Reviewed?</t>
        </is>
      </c>
      <c r="R3" s="133" t="inlineStr">
        <is>
          <t>Review_Notes</t>
        </is>
      </c>
      <c r="S3" s="133" t="inlineStr">
        <is>
          <t>Days_To_Close</t>
        </is>
      </c>
    </row>
    <row r="4">
      <c r="A4" s="115" t="inlineStr">
        <is>
          <t>ERP-00001</t>
        </is>
      </c>
      <c r="B4" s="125" t="n">
        <v>46043</v>
      </c>
      <c r="C4" s="115" t="inlineStr">
        <is>
          <t>AP</t>
        </is>
      </c>
      <c r="D4" s="115" t="inlineStr">
        <is>
          <t>Staples Canada</t>
        </is>
      </c>
      <c r="E4" s="115" t="inlineStr">
        <is>
          <t>REF-100001</t>
        </is>
      </c>
      <c r="F4" s="126" t="n">
        <v>-1763.18</v>
      </c>
      <c r="G4" s="134">
        <f>IFERROR(XLOOKUP(E4,Bank_Statement!$D$4:$D$448,Bank_Statement!$G$4:$G$448,""),"")</f>
        <v/>
      </c>
      <c r="H4" s="126">
        <f>IF(G4="","",F4-G4)</f>
        <v/>
      </c>
      <c r="I4" s="135">
        <f>IFERROR(XLOOKUP(E4,Bank_Statement!$D$4:$D$448,Bank_Statement!$B$4:$B$448,""),"")</f>
        <v/>
      </c>
      <c r="J4" s="136">
        <f>IF(I4="","",ABS(B4-I4))</f>
        <v/>
      </c>
      <c r="K4" s="137">
        <f>IF(G4="","Unmatched ERP",IF(AND(ABS(H4)&lt;=Mapping_Rules!$B$4,ABS(J4)&lt;=Mapping_Rules!$B$5),"Matched","Review"))</f>
        <v/>
      </c>
      <c r="L4" s="137">
        <f>IF(K4="Matched","None",IF(G4="","Missing from bank",IF(ABS(H4)&gt;Mapping_Rules!$B$4,"Amount variance","Date variance")))</f>
        <v/>
      </c>
      <c r="M4" s="137">
        <f>IF(K4="Matched","Low",IF(OR(IFERROR(ABS(H4),0)&gt;Mapping_Rules!$B$7,IFERROR(J4,0)&gt;Mapping_Rules!$B$8),"High","Medium"))</f>
        <v/>
      </c>
      <c r="N4" s="137">
        <f>IF(K4="Matched","No action needed",IF(L4="Missing from bank","Check bank date or posting",IF(L4="Amount variance","Check invoice/payment amount","Check timing difference")))</f>
        <v/>
      </c>
      <c r="O4" s="115" t="inlineStr">
        <is>
          <t>2000 AP</t>
        </is>
      </c>
      <c r="P4" s="115" t="inlineStr">
        <is>
          <t>AP Clerk</t>
        </is>
      </c>
      <c r="Q4" s="115" t="inlineStr">
        <is>
          <t>No</t>
        </is>
      </c>
      <c r="R4" s="138" t="str"/>
      <c r="S4" s="139">
        <f>IF(K4="Matched",0,Mapping_Rules!$B$6-B4)</f>
        <v/>
      </c>
    </row>
    <row r="5">
      <c r="A5" s="140" t="inlineStr">
        <is>
          <t>ERP-00002</t>
        </is>
      </c>
      <c r="B5" s="141" t="n">
        <v>46024</v>
      </c>
      <c r="C5" s="140" t="inlineStr">
        <is>
          <t>AP</t>
        </is>
      </c>
      <c r="D5" s="140" t="inlineStr">
        <is>
          <t>North Shore Telecom</t>
        </is>
      </c>
      <c r="E5" s="140" t="inlineStr">
        <is>
          <t>REF-100002</t>
        </is>
      </c>
      <c r="F5" s="142" t="n">
        <v>-1503.88</v>
      </c>
      <c r="G5" s="143">
        <f>IFERROR(XLOOKUP(E5,Bank_Statement!$D$4:$D$448,Bank_Statement!$G$4:$G$448,""),"")</f>
        <v/>
      </c>
      <c r="H5" s="142">
        <f>IF(G5="","",F5-G5)</f>
        <v/>
      </c>
      <c r="I5" s="144">
        <f>IFERROR(XLOOKUP(E5,Bank_Statement!$D$4:$D$448,Bank_Statement!$B$4:$B$448,""),"")</f>
        <v/>
      </c>
      <c r="J5" s="145">
        <f>IF(I5="","",ABS(B5-I5))</f>
        <v/>
      </c>
      <c r="K5" s="146">
        <f>IF(G5="","Unmatched ERP",IF(AND(ABS(H5)&lt;=Mapping_Rules!$B$4,ABS(J5)&lt;=Mapping_Rules!$B$5),"Matched","Review"))</f>
        <v/>
      </c>
      <c r="L5" s="146">
        <f>IF(K5="Matched","None",IF(G5="","Missing from bank",IF(ABS(H5)&gt;Mapping_Rules!$B$4,"Amount variance","Date variance")))</f>
        <v/>
      </c>
      <c r="M5" s="146">
        <f>IF(K5="Matched","Low",IF(OR(IFERROR(ABS(H5),0)&gt;Mapping_Rules!$B$7,IFERROR(J5,0)&gt;Mapping_Rules!$B$8),"High","Medium"))</f>
        <v/>
      </c>
      <c r="N5" s="146">
        <f>IF(K5="Matched","No action needed",IF(L5="Missing from bank","Check bank date or posting",IF(L5="Amount variance","Check invoice/payment amount","Check timing difference")))</f>
        <v/>
      </c>
      <c r="O5" s="140" t="inlineStr">
        <is>
          <t>2000 AP</t>
        </is>
      </c>
      <c r="P5" s="140" t="inlineStr">
        <is>
          <t>AP Clerk</t>
        </is>
      </c>
      <c r="Q5" s="140" t="inlineStr">
        <is>
          <t>No</t>
        </is>
      </c>
      <c r="R5" s="147" t="str"/>
      <c r="S5" s="148">
        <f>IF(K5="Matched",0,Mapping_Rules!$B$6-B5)</f>
        <v/>
      </c>
    </row>
    <row r="6">
      <c r="A6" s="115" t="inlineStr">
        <is>
          <t>ERP-00003</t>
        </is>
      </c>
      <c r="B6" s="125" t="n">
        <v>46041</v>
      </c>
      <c r="C6" s="115" t="inlineStr">
        <is>
          <t>AP</t>
        </is>
      </c>
      <c r="D6" s="115" t="inlineStr">
        <is>
          <t>Vancouver Courier</t>
        </is>
      </c>
      <c r="E6" s="115" t="inlineStr">
        <is>
          <t>REF-100003</t>
        </is>
      </c>
      <c r="F6" s="126" t="n">
        <v>-119.77</v>
      </c>
      <c r="G6" s="134">
        <f>IFERROR(XLOOKUP(E6,Bank_Statement!$D$4:$D$448,Bank_Statement!$G$4:$G$448,""),"")</f>
        <v/>
      </c>
      <c r="H6" s="126">
        <f>IF(G6="","",F6-G6)</f>
        <v/>
      </c>
      <c r="I6" s="135">
        <f>IFERROR(XLOOKUP(E6,Bank_Statement!$D$4:$D$448,Bank_Statement!$B$4:$B$448,""),"")</f>
        <v/>
      </c>
      <c r="J6" s="136">
        <f>IF(I6="","",ABS(B6-I6))</f>
        <v/>
      </c>
      <c r="K6" s="137">
        <f>IF(G6="","Unmatched ERP",IF(AND(ABS(H6)&lt;=Mapping_Rules!$B$4,ABS(J6)&lt;=Mapping_Rules!$B$5),"Matched","Review"))</f>
        <v/>
      </c>
      <c r="L6" s="137">
        <f>IF(K6="Matched","None",IF(G6="","Missing from bank",IF(ABS(H6)&gt;Mapping_Rules!$B$4,"Amount variance","Date variance")))</f>
        <v/>
      </c>
      <c r="M6" s="137">
        <f>IF(K6="Matched","Low",IF(OR(IFERROR(ABS(H6),0)&gt;Mapping_Rules!$B$7,IFERROR(J6,0)&gt;Mapping_Rules!$B$8),"High","Medium"))</f>
        <v/>
      </c>
      <c r="N6" s="137">
        <f>IF(K6="Matched","No action needed",IF(L6="Missing from bank","Check bank date or posting",IF(L6="Amount variance","Check invoice/payment amount","Check timing difference")))</f>
        <v/>
      </c>
      <c r="O6" s="115" t="inlineStr">
        <is>
          <t>2000 AP</t>
        </is>
      </c>
      <c r="P6" s="115" t="inlineStr">
        <is>
          <t>AP Clerk</t>
        </is>
      </c>
      <c r="Q6" s="115" t="inlineStr">
        <is>
          <t>No</t>
        </is>
      </c>
      <c r="R6" s="138" t="str"/>
      <c r="S6" s="139">
        <f>IF(K6="Matched",0,Mapping_Rules!$B$6-B6)</f>
        <v/>
      </c>
    </row>
    <row r="7">
      <c r="A7" s="140" t="inlineStr">
        <is>
          <t>ERP-00004</t>
        </is>
      </c>
      <c r="B7" s="141" t="n">
        <v>46047</v>
      </c>
      <c r="C7" s="140" t="inlineStr">
        <is>
          <t>AP</t>
        </is>
      </c>
      <c r="D7" s="140" t="inlineStr">
        <is>
          <t>Pacific Office Supplies</t>
        </is>
      </c>
      <c r="E7" s="140" t="inlineStr">
        <is>
          <t>REF-100004</t>
        </is>
      </c>
      <c r="F7" s="142" t="n">
        <v>-2405.16</v>
      </c>
      <c r="G7" s="143">
        <f>IFERROR(XLOOKUP(E7,Bank_Statement!$D$4:$D$448,Bank_Statement!$G$4:$G$448,""),"")</f>
        <v/>
      </c>
      <c r="H7" s="142">
        <f>IF(G7="","",F7-G7)</f>
        <v/>
      </c>
      <c r="I7" s="144">
        <f>IFERROR(XLOOKUP(E7,Bank_Statement!$D$4:$D$448,Bank_Statement!$B$4:$B$448,""),"")</f>
        <v/>
      </c>
      <c r="J7" s="145">
        <f>IF(I7="","",ABS(B7-I7))</f>
        <v/>
      </c>
      <c r="K7" s="146">
        <f>IF(G7="","Unmatched ERP",IF(AND(ABS(H7)&lt;=Mapping_Rules!$B$4,ABS(J7)&lt;=Mapping_Rules!$B$5),"Matched","Review"))</f>
        <v/>
      </c>
      <c r="L7" s="146">
        <f>IF(K7="Matched","None",IF(G7="","Missing from bank",IF(ABS(H7)&gt;Mapping_Rules!$B$4,"Amount variance","Date variance")))</f>
        <v/>
      </c>
      <c r="M7" s="146">
        <f>IF(K7="Matched","Low",IF(OR(IFERROR(ABS(H7),0)&gt;Mapping_Rules!$B$7,IFERROR(J7,0)&gt;Mapping_Rules!$B$8),"High","Medium"))</f>
        <v/>
      </c>
      <c r="N7" s="146">
        <f>IF(K7="Matched","No action needed",IF(L7="Missing from bank","Check bank date or posting",IF(L7="Amount variance","Check invoice/payment amount","Check timing difference")))</f>
        <v/>
      </c>
      <c r="O7" s="140" t="inlineStr">
        <is>
          <t>2000 AP</t>
        </is>
      </c>
      <c r="P7" s="140" t="inlineStr">
        <is>
          <t>AP Clerk</t>
        </is>
      </c>
      <c r="Q7" s="140" t="inlineStr">
        <is>
          <t>No</t>
        </is>
      </c>
      <c r="R7" s="147" t="str"/>
      <c r="S7" s="148">
        <f>IF(K7="Matched",0,Mapping_Rules!$B$6-B7)</f>
        <v/>
      </c>
    </row>
    <row r="8">
      <c r="A8" s="115" t="inlineStr">
        <is>
          <t>ERP-00005</t>
        </is>
      </c>
      <c r="B8" s="125" t="n">
        <v>46040</v>
      </c>
      <c r="C8" s="115" t="inlineStr">
        <is>
          <t>AP</t>
        </is>
      </c>
      <c r="D8" s="115" t="inlineStr">
        <is>
          <t>BC Hydro</t>
        </is>
      </c>
      <c r="E8" s="115" t="inlineStr">
        <is>
          <t>REF-100005</t>
        </is>
      </c>
      <c r="F8" s="126" t="n">
        <v>-562.26</v>
      </c>
      <c r="G8" s="134">
        <f>IFERROR(XLOOKUP(E8,Bank_Statement!$D$4:$D$448,Bank_Statement!$G$4:$G$448,""),"")</f>
        <v/>
      </c>
      <c r="H8" s="126">
        <f>IF(G8="","",F8-G8)</f>
        <v/>
      </c>
      <c r="I8" s="135">
        <f>IFERROR(XLOOKUP(E8,Bank_Statement!$D$4:$D$448,Bank_Statement!$B$4:$B$448,""),"")</f>
        <v/>
      </c>
      <c r="J8" s="136">
        <f>IF(I8="","",ABS(B8-I8))</f>
        <v/>
      </c>
      <c r="K8" s="137">
        <f>IF(G8="","Unmatched ERP",IF(AND(ABS(H8)&lt;=Mapping_Rules!$B$4,ABS(J8)&lt;=Mapping_Rules!$B$5),"Matched","Review"))</f>
        <v/>
      </c>
      <c r="L8" s="137">
        <f>IF(K8="Matched","None",IF(G8="","Missing from bank",IF(ABS(H8)&gt;Mapping_Rules!$B$4,"Amount variance","Date variance")))</f>
        <v/>
      </c>
      <c r="M8" s="137">
        <f>IF(K8="Matched","Low",IF(OR(IFERROR(ABS(H8),0)&gt;Mapping_Rules!$B$7,IFERROR(J8,0)&gt;Mapping_Rules!$B$8),"High","Medium"))</f>
        <v/>
      </c>
      <c r="N8" s="137">
        <f>IF(K8="Matched","No action needed",IF(L8="Missing from bank","Check bank date or posting",IF(L8="Amount variance","Check invoice/payment amount","Check timing difference")))</f>
        <v/>
      </c>
      <c r="O8" s="115" t="inlineStr">
        <is>
          <t>2000 AP</t>
        </is>
      </c>
      <c r="P8" s="115" t="inlineStr">
        <is>
          <t>AP Clerk</t>
        </is>
      </c>
      <c r="Q8" s="115" t="inlineStr">
        <is>
          <t>No</t>
        </is>
      </c>
      <c r="R8" s="138" t="str"/>
      <c r="S8" s="139">
        <f>IF(K8="Matched",0,Mapping_Rules!$B$6-B8)</f>
        <v/>
      </c>
    </row>
    <row r="9">
      <c r="A9" s="140" t="inlineStr">
        <is>
          <t>ERP-00006</t>
        </is>
      </c>
      <c r="B9" s="141" t="n">
        <v>46034</v>
      </c>
      <c r="C9" s="140" t="inlineStr">
        <is>
          <t>AR</t>
        </is>
      </c>
      <c r="D9" s="140" t="inlineStr">
        <is>
          <t>Harbour Design Co.</t>
        </is>
      </c>
      <c r="E9" s="140" t="inlineStr">
        <is>
          <t>REF-100006</t>
        </is>
      </c>
      <c r="F9" s="142" t="n">
        <v>730.79</v>
      </c>
      <c r="G9" s="143">
        <f>IFERROR(XLOOKUP(E9,Bank_Statement!$D$4:$D$448,Bank_Statement!$G$4:$G$448,""),"")</f>
        <v/>
      </c>
      <c r="H9" s="142">
        <f>IF(G9="","",F9-G9)</f>
        <v/>
      </c>
      <c r="I9" s="144">
        <f>IFERROR(XLOOKUP(E9,Bank_Statement!$D$4:$D$448,Bank_Statement!$B$4:$B$448,""),"")</f>
        <v/>
      </c>
      <c r="J9" s="145">
        <f>IF(I9="","",ABS(B9-I9))</f>
        <v/>
      </c>
      <c r="K9" s="146">
        <f>IF(G9="","Unmatched ERP",IF(AND(ABS(H9)&lt;=Mapping_Rules!$B$4,ABS(J9)&lt;=Mapping_Rules!$B$5),"Matched","Review"))</f>
        <v/>
      </c>
      <c r="L9" s="146">
        <f>IF(K9="Matched","None",IF(G9="","Missing from bank",IF(ABS(H9)&gt;Mapping_Rules!$B$4,"Amount variance","Date variance")))</f>
        <v/>
      </c>
      <c r="M9" s="146">
        <f>IF(K9="Matched","Low",IF(OR(IFERROR(ABS(H9),0)&gt;Mapping_Rules!$B$7,IFERROR(J9,0)&gt;Mapping_Rules!$B$8),"High","Medium"))</f>
        <v/>
      </c>
      <c r="N9" s="146">
        <f>IF(K9="Matched","No action needed",IF(L9="Missing from bank","Check bank date or posting",IF(L9="Amount variance","Check invoice/payment amount","Check timing difference")))</f>
        <v/>
      </c>
      <c r="O9" s="140" t="inlineStr">
        <is>
          <t>1200 AR</t>
        </is>
      </c>
      <c r="P9" s="140" t="inlineStr">
        <is>
          <t>AR Clerk</t>
        </is>
      </c>
      <c r="Q9" s="140" t="inlineStr">
        <is>
          <t>No</t>
        </is>
      </c>
      <c r="R9" s="147" t="str"/>
      <c r="S9" s="148">
        <f>IF(K9="Matched",0,Mapping_Rules!$B$6-B9)</f>
        <v/>
      </c>
    </row>
    <row r="10">
      <c r="A10" s="115" t="inlineStr">
        <is>
          <t>ERP-00007</t>
        </is>
      </c>
      <c r="B10" s="125" t="n">
        <v>46050</v>
      </c>
      <c r="C10" s="115" t="inlineStr">
        <is>
          <t>AP</t>
        </is>
      </c>
      <c r="D10" s="115" t="inlineStr">
        <is>
          <t>Pacific Office Supplies</t>
        </is>
      </c>
      <c r="E10" s="115" t="inlineStr">
        <is>
          <t>REF-100007</t>
        </is>
      </c>
      <c r="F10" s="126" t="n">
        <v>-2406.37</v>
      </c>
      <c r="G10" s="134">
        <f>IFERROR(XLOOKUP(E10,Bank_Statement!$D$4:$D$448,Bank_Statement!$G$4:$G$448,""),"")</f>
        <v/>
      </c>
      <c r="H10" s="126">
        <f>IF(G10="","",F10-G10)</f>
        <v/>
      </c>
      <c r="I10" s="135">
        <f>IFERROR(XLOOKUP(E10,Bank_Statement!$D$4:$D$448,Bank_Statement!$B$4:$B$448,""),"")</f>
        <v/>
      </c>
      <c r="J10" s="136">
        <f>IF(I10="","",ABS(B10-I10))</f>
        <v/>
      </c>
      <c r="K10" s="137">
        <f>IF(G10="","Unmatched ERP",IF(AND(ABS(H10)&lt;=Mapping_Rules!$B$4,ABS(J10)&lt;=Mapping_Rules!$B$5),"Matched","Review"))</f>
        <v/>
      </c>
      <c r="L10" s="137">
        <f>IF(K10="Matched","None",IF(G10="","Missing from bank",IF(ABS(H10)&gt;Mapping_Rules!$B$4,"Amount variance","Date variance")))</f>
        <v/>
      </c>
      <c r="M10" s="137">
        <f>IF(K10="Matched","Low",IF(OR(IFERROR(ABS(H10),0)&gt;Mapping_Rules!$B$7,IFERROR(J10,0)&gt;Mapping_Rules!$B$8),"High","Medium"))</f>
        <v/>
      </c>
      <c r="N10" s="137">
        <f>IF(K10="Matched","No action needed",IF(L10="Missing from bank","Check bank date or posting",IF(L10="Amount variance","Check invoice/payment amount","Check timing difference")))</f>
        <v/>
      </c>
      <c r="O10" s="115" t="inlineStr">
        <is>
          <t>2000 AP</t>
        </is>
      </c>
      <c r="P10" s="115" t="inlineStr">
        <is>
          <t>AP Clerk</t>
        </is>
      </c>
      <c r="Q10" s="115" t="inlineStr">
        <is>
          <t>No</t>
        </is>
      </c>
      <c r="R10" s="138" t="str"/>
      <c r="S10" s="139">
        <f>IF(K10="Matched",0,Mapping_Rules!$B$6-B10)</f>
        <v/>
      </c>
    </row>
    <row r="11">
      <c r="A11" s="140" t="inlineStr">
        <is>
          <t>ERP-00008</t>
        </is>
      </c>
      <c r="B11" s="141" t="n">
        <v>46031</v>
      </c>
      <c r="C11" s="140" t="inlineStr">
        <is>
          <t>GL</t>
        </is>
      </c>
      <c r="D11" s="140" t="inlineStr">
        <is>
          <t>Granville Medical</t>
        </is>
      </c>
      <c r="E11" s="140" t="inlineStr">
        <is>
          <t>REF-100008</t>
        </is>
      </c>
      <c r="F11" s="142" t="n">
        <v>-3257.78</v>
      </c>
      <c r="G11" s="143">
        <f>IFERROR(XLOOKUP(E11,Bank_Statement!$D$4:$D$448,Bank_Statement!$G$4:$G$448,""),"")</f>
        <v/>
      </c>
      <c r="H11" s="142">
        <f>IF(G11="","",F11-G11)</f>
        <v/>
      </c>
      <c r="I11" s="144">
        <f>IFERROR(XLOOKUP(E11,Bank_Statement!$D$4:$D$448,Bank_Statement!$B$4:$B$448,""),"")</f>
        <v/>
      </c>
      <c r="J11" s="145">
        <f>IF(I11="","",ABS(B11-I11))</f>
        <v/>
      </c>
      <c r="K11" s="146">
        <f>IF(G11="","Unmatched ERP",IF(AND(ABS(H11)&lt;=Mapping_Rules!$B$4,ABS(J11)&lt;=Mapping_Rules!$B$5),"Matched","Review"))</f>
        <v/>
      </c>
      <c r="L11" s="146">
        <f>IF(K11="Matched","None",IF(G11="","Missing from bank",IF(ABS(H11)&gt;Mapping_Rules!$B$4,"Amount variance","Date variance")))</f>
        <v/>
      </c>
      <c r="M11" s="146">
        <f>IF(K11="Matched","Low",IF(OR(IFERROR(ABS(H11),0)&gt;Mapping_Rules!$B$7,IFERROR(J11,0)&gt;Mapping_Rules!$B$8),"High","Medium"))</f>
        <v/>
      </c>
      <c r="N11" s="146">
        <f>IF(K11="Matched","No action needed",IF(L11="Missing from bank","Check bank date or posting",IF(L11="Amount variance","Check invoice/payment amount","Check timing difference")))</f>
        <v/>
      </c>
      <c r="O11" s="140" t="inlineStr">
        <is>
          <t>2000 AP</t>
        </is>
      </c>
      <c r="P11" s="140" t="inlineStr">
        <is>
          <t>Accounting Technician</t>
        </is>
      </c>
      <c r="Q11" s="140" t="inlineStr">
        <is>
          <t>No</t>
        </is>
      </c>
      <c r="R11" s="147" t="str"/>
      <c r="S11" s="148">
        <f>IF(K11="Matched",0,Mapping_Rules!$B$6-B11)</f>
        <v/>
      </c>
    </row>
    <row r="12">
      <c r="A12" s="115" t="inlineStr">
        <is>
          <t>ERP-00009</t>
        </is>
      </c>
      <c r="B12" s="125" t="n">
        <v>46052</v>
      </c>
      <c r="C12" s="115" t="inlineStr">
        <is>
          <t>AR</t>
        </is>
      </c>
      <c r="D12" s="115" t="inlineStr">
        <is>
          <t>West Van Fitness</t>
        </is>
      </c>
      <c r="E12" s="115" t="inlineStr">
        <is>
          <t>REF-100009</t>
        </is>
      </c>
      <c r="F12" s="126" t="n">
        <v>1983.79</v>
      </c>
      <c r="G12" s="134">
        <f>IFERROR(XLOOKUP(E12,Bank_Statement!$D$4:$D$448,Bank_Statement!$G$4:$G$448,""),"")</f>
        <v/>
      </c>
      <c r="H12" s="126">
        <f>IF(G12="","",F12-G12)</f>
        <v/>
      </c>
      <c r="I12" s="135">
        <f>IFERROR(XLOOKUP(E12,Bank_Statement!$D$4:$D$448,Bank_Statement!$B$4:$B$448,""),"")</f>
        <v/>
      </c>
      <c r="J12" s="136">
        <f>IF(I12="","",ABS(B12-I12))</f>
        <v/>
      </c>
      <c r="K12" s="137">
        <f>IF(G12="","Unmatched ERP",IF(AND(ABS(H12)&lt;=Mapping_Rules!$B$4,ABS(J12)&lt;=Mapping_Rules!$B$5),"Matched","Review"))</f>
        <v/>
      </c>
      <c r="L12" s="137">
        <f>IF(K12="Matched","None",IF(G12="","Missing from bank",IF(ABS(H12)&gt;Mapping_Rules!$B$4,"Amount variance","Date variance")))</f>
        <v/>
      </c>
      <c r="M12" s="137">
        <f>IF(K12="Matched","Low",IF(OR(IFERROR(ABS(H12),0)&gt;Mapping_Rules!$B$7,IFERROR(J12,0)&gt;Mapping_Rules!$B$8),"High","Medium"))</f>
        <v/>
      </c>
      <c r="N12" s="137">
        <f>IF(K12="Matched","No action needed",IF(L12="Missing from bank","Check bank date or posting",IF(L12="Amount variance","Check invoice/payment amount","Check timing difference")))</f>
        <v/>
      </c>
      <c r="O12" s="115" t="inlineStr">
        <is>
          <t>1200 AR</t>
        </is>
      </c>
      <c r="P12" s="115" t="inlineStr">
        <is>
          <t>AR Clerk</t>
        </is>
      </c>
      <c r="Q12" s="115" t="inlineStr">
        <is>
          <t>No</t>
        </is>
      </c>
      <c r="R12" s="138" t="str"/>
      <c r="S12" s="139">
        <f>IF(K12="Matched",0,Mapping_Rules!$B$6-B12)</f>
        <v/>
      </c>
    </row>
    <row r="13">
      <c r="A13" s="140" t="inlineStr">
        <is>
          <t>ERP-00010</t>
        </is>
      </c>
      <c r="B13" s="141" t="n">
        <v>46035</v>
      </c>
      <c r="C13" s="140" t="inlineStr">
        <is>
          <t>AP</t>
        </is>
      </c>
      <c r="D13" s="140" t="inlineStr">
        <is>
          <t>North Shore Telecom</t>
        </is>
      </c>
      <c r="E13" s="140" t="inlineStr">
        <is>
          <t>REF-100010</t>
        </is>
      </c>
      <c r="F13" s="142" t="n">
        <v>-5668.39</v>
      </c>
      <c r="G13" s="143">
        <f>IFERROR(XLOOKUP(E13,Bank_Statement!$D$4:$D$448,Bank_Statement!$G$4:$G$448,""),"")</f>
        <v/>
      </c>
      <c r="H13" s="142">
        <f>IF(G13="","",F13-G13)</f>
        <v/>
      </c>
      <c r="I13" s="144">
        <f>IFERROR(XLOOKUP(E13,Bank_Statement!$D$4:$D$448,Bank_Statement!$B$4:$B$448,""),"")</f>
        <v/>
      </c>
      <c r="J13" s="145">
        <f>IF(I13="","",ABS(B13-I13))</f>
        <v/>
      </c>
      <c r="K13" s="146">
        <f>IF(G13="","Unmatched ERP",IF(AND(ABS(H13)&lt;=Mapping_Rules!$B$4,ABS(J13)&lt;=Mapping_Rules!$B$5),"Matched","Review"))</f>
        <v/>
      </c>
      <c r="L13" s="146">
        <f>IF(K13="Matched","None",IF(G13="","Missing from bank",IF(ABS(H13)&gt;Mapping_Rules!$B$4,"Amount variance","Date variance")))</f>
        <v/>
      </c>
      <c r="M13" s="146">
        <f>IF(K13="Matched","Low",IF(OR(IFERROR(ABS(H13),0)&gt;Mapping_Rules!$B$7,IFERROR(J13,0)&gt;Mapping_Rules!$B$8),"High","Medium"))</f>
        <v/>
      </c>
      <c r="N13" s="146">
        <f>IF(K13="Matched","No action needed",IF(L13="Missing from bank","Check bank date or posting",IF(L13="Amount variance","Check invoice/payment amount","Check timing difference")))</f>
        <v/>
      </c>
      <c r="O13" s="140" t="inlineStr">
        <is>
          <t>2000 AP</t>
        </is>
      </c>
      <c r="P13" s="140" t="inlineStr">
        <is>
          <t>AP Clerk</t>
        </is>
      </c>
      <c r="Q13" s="140" t="inlineStr">
        <is>
          <t>No</t>
        </is>
      </c>
      <c r="R13" s="147" t="str"/>
      <c r="S13" s="148">
        <f>IF(K13="Matched",0,Mapping_Rules!$B$6-B13)</f>
        <v/>
      </c>
    </row>
    <row r="14">
      <c r="A14" s="115" t="inlineStr">
        <is>
          <t>ERP-00011</t>
        </is>
      </c>
      <c r="B14" s="125" t="n">
        <v>46052</v>
      </c>
      <c r="C14" s="115" t="inlineStr">
        <is>
          <t>AR</t>
        </is>
      </c>
      <c r="D14" s="115" t="inlineStr">
        <is>
          <t>Coastline Foods</t>
        </is>
      </c>
      <c r="E14" s="115" t="inlineStr">
        <is>
          <t>REF-100011</t>
        </is>
      </c>
      <c r="F14" s="126" t="n">
        <v>2361.75</v>
      </c>
      <c r="G14" s="134">
        <f>IFERROR(XLOOKUP(E14,Bank_Statement!$D$4:$D$448,Bank_Statement!$G$4:$G$448,""),"")</f>
        <v/>
      </c>
      <c r="H14" s="126">
        <f>IF(G14="","",F14-G14)</f>
        <v/>
      </c>
      <c r="I14" s="135">
        <f>IFERROR(XLOOKUP(E14,Bank_Statement!$D$4:$D$448,Bank_Statement!$B$4:$B$448,""),"")</f>
        <v/>
      </c>
      <c r="J14" s="136">
        <f>IF(I14="","",ABS(B14-I14))</f>
        <v/>
      </c>
      <c r="K14" s="137">
        <f>IF(G14="","Unmatched ERP",IF(AND(ABS(H14)&lt;=Mapping_Rules!$B$4,ABS(J14)&lt;=Mapping_Rules!$B$5),"Matched","Review"))</f>
        <v/>
      </c>
      <c r="L14" s="137">
        <f>IF(K14="Matched","None",IF(G14="","Missing from bank",IF(ABS(H14)&gt;Mapping_Rules!$B$4,"Amount variance","Date variance")))</f>
        <v/>
      </c>
      <c r="M14" s="137">
        <f>IF(K14="Matched","Low",IF(OR(IFERROR(ABS(H14),0)&gt;Mapping_Rules!$B$7,IFERROR(J14,0)&gt;Mapping_Rules!$B$8),"High","Medium"))</f>
        <v/>
      </c>
      <c r="N14" s="137">
        <f>IF(K14="Matched","No action needed",IF(L14="Missing from bank","Check bank date or posting",IF(L14="Amount variance","Check invoice/payment amount","Check timing difference")))</f>
        <v/>
      </c>
      <c r="O14" s="115" t="inlineStr">
        <is>
          <t>1200 AR</t>
        </is>
      </c>
      <c r="P14" s="115" t="inlineStr">
        <is>
          <t>AR Clerk</t>
        </is>
      </c>
      <c r="Q14" s="115" t="inlineStr">
        <is>
          <t>No</t>
        </is>
      </c>
      <c r="R14" s="138" t="str"/>
      <c r="S14" s="139">
        <f>IF(K14="Matched",0,Mapping_Rules!$B$6-B14)</f>
        <v/>
      </c>
    </row>
    <row r="15">
      <c r="A15" s="140" t="inlineStr">
        <is>
          <t>ERP-00012</t>
        </is>
      </c>
      <c r="B15" s="141" t="n">
        <v>46035</v>
      </c>
      <c r="C15" s="140" t="inlineStr">
        <is>
          <t>AR</t>
        </is>
      </c>
      <c r="D15" s="140" t="inlineStr">
        <is>
          <t>Coastline Foods</t>
        </is>
      </c>
      <c r="E15" s="140" t="inlineStr">
        <is>
          <t>REF-100012</t>
        </is>
      </c>
      <c r="F15" s="142" t="n">
        <v>4404.54</v>
      </c>
      <c r="G15" s="143">
        <f>IFERROR(XLOOKUP(E15,Bank_Statement!$D$4:$D$448,Bank_Statement!$G$4:$G$448,""),"")</f>
        <v/>
      </c>
      <c r="H15" s="142">
        <f>IF(G15="","",F15-G15)</f>
        <v/>
      </c>
      <c r="I15" s="144">
        <f>IFERROR(XLOOKUP(E15,Bank_Statement!$D$4:$D$448,Bank_Statement!$B$4:$B$448,""),"")</f>
        <v/>
      </c>
      <c r="J15" s="145">
        <f>IF(I15="","",ABS(B15-I15))</f>
        <v/>
      </c>
      <c r="K15" s="146">
        <f>IF(G15="","Unmatched ERP",IF(AND(ABS(H15)&lt;=Mapping_Rules!$B$4,ABS(J15)&lt;=Mapping_Rules!$B$5),"Matched","Review"))</f>
        <v/>
      </c>
      <c r="L15" s="146">
        <f>IF(K15="Matched","None",IF(G15="","Missing from bank",IF(ABS(H15)&gt;Mapping_Rules!$B$4,"Amount variance","Date variance")))</f>
        <v/>
      </c>
      <c r="M15" s="146">
        <f>IF(K15="Matched","Low",IF(OR(IFERROR(ABS(H15),0)&gt;Mapping_Rules!$B$7,IFERROR(J15,0)&gt;Mapping_Rules!$B$8),"High","Medium"))</f>
        <v/>
      </c>
      <c r="N15" s="146">
        <f>IF(K15="Matched","No action needed",IF(L15="Missing from bank","Check bank date or posting",IF(L15="Amount variance","Check invoice/payment amount","Check timing difference")))</f>
        <v/>
      </c>
      <c r="O15" s="140" t="inlineStr">
        <is>
          <t>1200 AR</t>
        </is>
      </c>
      <c r="P15" s="140" t="inlineStr">
        <is>
          <t>AR Clerk</t>
        </is>
      </c>
      <c r="Q15" s="140" t="inlineStr">
        <is>
          <t>No</t>
        </is>
      </c>
      <c r="R15" s="147" t="str"/>
      <c r="S15" s="148">
        <f>IF(K15="Matched",0,Mapping_Rules!$B$6-B15)</f>
        <v/>
      </c>
    </row>
    <row r="16">
      <c r="A16" s="115" t="inlineStr">
        <is>
          <t>ERP-00013</t>
        </is>
      </c>
      <c r="B16" s="125" t="n">
        <v>46027</v>
      </c>
      <c r="C16" s="115" t="inlineStr">
        <is>
          <t>AR</t>
        </is>
      </c>
      <c r="D16" s="115" t="inlineStr">
        <is>
          <t>Harbour Design Co.</t>
        </is>
      </c>
      <c r="E16" s="115" t="inlineStr">
        <is>
          <t>REF-100013</t>
        </is>
      </c>
      <c r="F16" s="126" t="n">
        <v>3675.04</v>
      </c>
      <c r="G16" s="134">
        <f>IFERROR(XLOOKUP(E16,Bank_Statement!$D$4:$D$448,Bank_Statement!$G$4:$G$448,""),"")</f>
        <v/>
      </c>
      <c r="H16" s="126">
        <f>IF(G16="","",F16-G16)</f>
        <v/>
      </c>
      <c r="I16" s="135">
        <f>IFERROR(XLOOKUP(E16,Bank_Statement!$D$4:$D$448,Bank_Statement!$B$4:$B$448,""),"")</f>
        <v/>
      </c>
      <c r="J16" s="136">
        <f>IF(I16="","",ABS(B16-I16))</f>
        <v/>
      </c>
      <c r="K16" s="137">
        <f>IF(G16="","Unmatched ERP",IF(AND(ABS(H16)&lt;=Mapping_Rules!$B$4,ABS(J16)&lt;=Mapping_Rules!$B$5),"Matched","Review"))</f>
        <v/>
      </c>
      <c r="L16" s="137">
        <f>IF(K16="Matched","None",IF(G16="","Missing from bank",IF(ABS(H16)&gt;Mapping_Rules!$B$4,"Amount variance","Date variance")))</f>
        <v/>
      </c>
      <c r="M16" s="137">
        <f>IF(K16="Matched","Low",IF(OR(IFERROR(ABS(H16),0)&gt;Mapping_Rules!$B$7,IFERROR(J16,0)&gt;Mapping_Rules!$B$8),"High","Medium"))</f>
        <v/>
      </c>
      <c r="N16" s="137">
        <f>IF(K16="Matched","No action needed",IF(L16="Missing from bank","Check bank date or posting",IF(L16="Amount variance","Check invoice/payment amount","Check timing difference")))</f>
        <v/>
      </c>
      <c r="O16" s="115" t="inlineStr">
        <is>
          <t>1200 AR</t>
        </is>
      </c>
      <c r="P16" s="115" t="inlineStr">
        <is>
          <t>AR Clerk</t>
        </is>
      </c>
      <c r="Q16" s="115" t="inlineStr">
        <is>
          <t>No</t>
        </is>
      </c>
      <c r="R16" s="138" t="str"/>
      <c r="S16" s="139">
        <f>IF(K16="Matched",0,Mapping_Rules!$B$6-B16)</f>
        <v/>
      </c>
    </row>
    <row r="17">
      <c r="A17" s="140" t="inlineStr">
        <is>
          <t>ERP-00014</t>
        </is>
      </c>
      <c r="B17" s="141" t="n">
        <v>46040</v>
      </c>
      <c r="C17" s="140" t="inlineStr">
        <is>
          <t>Payroll</t>
        </is>
      </c>
      <c r="D17" s="140" t="inlineStr">
        <is>
          <t>Payroll Batch</t>
        </is>
      </c>
      <c r="E17" s="140" t="inlineStr">
        <is>
          <t>REF-100014</t>
        </is>
      </c>
      <c r="F17" s="142" t="n">
        <v>-2666.47</v>
      </c>
      <c r="G17" s="143">
        <f>IFERROR(XLOOKUP(E17,Bank_Statement!$D$4:$D$448,Bank_Statement!$G$4:$G$448,""),"")</f>
        <v/>
      </c>
      <c r="H17" s="142">
        <f>IF(G17="","",F17-G17)</f>
        <v/>
      </c>
      <c r="I17" s="144">
        <f>IFERROR(XLOOKUP(E17,Bank_Statement!$D$4:$D$448,Bank_Statement!$B$4:$B$448,""),"")</f>
        <v/>
      </c>
      <c r="J17" s="145">
        <f>IF(I17="","",ABS(B17-I17))</f>
        <v/>
      </c>
      <c r="K17" s="146">
        <f>IF(G17="","Unmatched ERP",IF(AND(ABS(H17)&lt;=Mapping_Rules!$B$4,ABS(J17)&lt;=Mapping_Rules!$B$5),"Matched","Review"))</f>
        <v/>
      </c>
      <c r="L17" s="146">
        <f>IF(K17="Matched","None",IF(G17="","Missing from bank",IF(ABS(H17)&gt;Mapping_Rules!$B$4,"Amount variance","Date variance")))</f>
        <v/>
      </c>
      <c r="M17" s="146">
        <f>IF(K17="Matched","Low",IF(OR(IFERROR(ABS(H17),0)&gt;Mapping_Rules!$B$7,IFERROR(J17,0)&gt;Mapping_Rules!$B$8),"High","Medium"))</f>
        <v/>
      </c>
      <c r="N17" s="146">
        <f>IF(K17="Matched","No action needed",IF(L17="Missing from bank","Check bank date or posting",IF(L17="Amount variance","Check invoice/payment amount","Check timing difference")))</f>
        <v/>
      </c>
      <c r="O17" s="140" t="inlineStr">
        <is>
          <t>5300 Payroll</t>
        </is>
      </c>
      <c r="P17" s="140" t="inlineStr">
        <is>
          <t>Accounting Technician</t>
        </is>
      </c>
      <c r="Q17" s="140" t="inlineStr">
        <is>
          <t>No</t>
        </is>
      </c>
      <c r="R17" s="147" t="str"/>
      <c r="S17" s="148">
        <f>IF(K17="Matched",0,Mapping_Rules!$B$6-B17)</f>
        <v/>
      </c>
    </row>
    <row r="18">
      <c r="A18" s="115" t="inlineStr">
        <is>
          <t>ERP-00015</t>
        </is>
      </c>
      <c r="B18" s="125" t="n">
        <v>46036</v>
      </c>
      <c r="C18" s="115" t="inlineStr">
        <is>
          <t>AP</t>
        </is>
      </c>
      <c r="D18" s="115" t="inlineStr">
        <is>
          <t>Pacific Office Supplies</t>
        </is>
      </c>
      <c r="E18" s="115" t="inlineStr">
        <is>
          <t>REF-100015</t>
        </is>
      </c>
      <c r="F18" s="126" t="n">
        <v>-5917.35</v>
      </c>
      <c r="G18" s="134">
        <f>IFERROR(XLOOKUP(E18,Bank_Statement!$D$4:$D$448,Bank_Statement!$G$4:$G$448,""),"")</f>
        <v/>
      </c>
      <c r="H18" s="126">
        <f>IF(G18="","",F18-G18)</f>
        <v/>
      </c>
      <c r="I18" s="135">
        <f>IFERROR(XLOOKUP(E18,Bank_Statement!$D$4:$D$448,Bank_Statement!$B$4:$B$448,""),"")</f>
        <v/>
      </c>
      <c r="J18" s="136">
        <f>IF(I18="","",ABS(B18-I18))</f>
        <v/>
      </c>
      <c r="K18" s="137">
        <f>IF(G18="","Unmatched ERP",IF(AND(ABS(H18)&lt;=Mapping_Rules!$B$4,ABS(J18)&lt;=Mapping_Rules!$B$5),"Matched","Review"))</f>
        <v/>
      </c>
      <c r="L18" s="137">
        <f>IF(K18="Matched","None",IF(G18="","Missing from bank",IF(ABS(H18)&gt;Mapping_Rules!$B$4,"Amount variance","Date variance")))</f>
        <v/>
      </c>
      <c r="M18" s="137">
        <f>IF(K18="Matched","Low",IF(OR(IFERROR(ABS(H18),0)&gt;Mapping_Rules!$B$7,IFERROR(J18,0)&gt;Mapping_Rules!$B$8),"High","Medium"))</f>
        <v/>
      </c>
      <c r="N18" s="137">
        <f>IF(K18="Matched","No action needed",IF(L18="Missing from bank","Check bank date or posting",IF(L18="Amount variance","Check invoice/payment amount","Check timing difference")))</f>
        <v/>
      </c>
      <c r="O18" s="115" t="inlineStr">
        <is>
          <t>2000 AP</t>
        </is>
      </c>
      <c r="P18" s="115" t="inlineStr">
        <is>
          <t>AP Clerk</t>
        </is>
      </c>
      <c r="Q18" s="115" t="inlineStr">
        <is>
          <t>No</t>
        </is>
      </c>
      <c r="R18" s="138" t="str"/>
      <c r="S18" s="139">
        <f>IF(K18="Matched",0,Mapping_Rules!$B$6-B18)</f>
        <v/>
      </c>
    </row>
    <row r="19">
      <c r="A19" s="140" t="inlineStr">
        <is>
          <t>ERP-00016</t>
        </is>
      </c>
      <c r="B19" s="141" t="n">
        <v>46032</v>
      </c>
      <c r="C19" s="140" t="inlineStr">
        <is>
          <t>Payroll</t>
        </is>
      </c>
      <c r="D19" s="140" t="inlineStr">
        <is>
          <t>Payroll Batch</t>
        </is>
      </c>
      <c r="E19" s="140" t="inlineStr">
        <is>
          <t>REF-100016</t>
        </is>
      </c>
      <c r="F19" s="142" t="n">
        <v>-9861.110000000001</v>
      </c>
      <c r="G19" s="143">
        <f>IFERROR(XLOOKUP(E19,Bank_Statement!$D$4:$D$448,Bank_Statement!$G$4:$G$448,""),"")</f>
        <v/>
      </c>
      <c r="H19" s="142">
        <f>IF(G19="","",F19-G19)</f>
        <v/>
      </c>
      <c r="I19" s="144">
        <f>IFERROR(XLOOKUP(E19,Bank_Statement!$D$4:$D$448,Bank_Statement!$B$4:$B$448,""),"")</f>
        <v/>
      </c>
      <c r="J19" s="145">
        <f>IF(I19="","",ABS(B19-I19))</f>
        <v/>
      </c>
      <c r="K19" s="146">
        <f>IF(G19="","Unmatched ERP",IF(AND(ABS(H19)&lt;=Mapping_Rules!$B$4,ABS(J19)&lt;=Mapping_Rules!$B$5),"Matched","Review"))</f>
        <v/>
      </c>
      <c r="L19" s="146">
        <f>IF(K19="Matched","None",IF(G19="","Missing from bank",IF(ABS(H19)&gt;Mapping_Rules!$B$4,"Amount variance","Date variance")))</f>
        <v/>
      </c>
      <c r="M19" s="146">
        <f>IF(K19="Matched","Low",IF(OR(IFERROR(ABS(H19),0)&gt;Mapping_Rules!$B$7,IFERROR(J19,0)&gt;Mapping_Rules!$B$8),"High","Medium"))</f>
        <v/>
      </c>
      <c r="N19" s="146">
        <f>IF(K19="Matched","No action needed",IF(L19="Missing from bank","Check bank date or posting",IF(L19="Amount variance","Check invoice/payment amount","Check timing difference")))</f>
        <v/>
      </c>
      <c r="O19" s="140" t="inlineStr">
        <is>
          <t>5300 Payroll</t>
        </is>
      </c>
      <c r="P19" s="140" t="inlineStr">
        <is>
          <t>Accounting Technician</t>
        </is>
      </c>
      <c r="Q19" s="140" t="inlineStr">
        <is>
          <t>No</t>
        </is>
      </c>
      <c r="R19" s="147" t="str"/>
      <c r="S19" s="148">
        <f>IF(K19="Matched",0,Mapping_Rules!$B$6-B19)</f>
        <v/>
      </c>
    </row>
    <row r="20">
      <c r="A20" s="115" t="inlineStr">
        <is>
          <t>ERP-00017</t>
        </is>
      </c>
      <c r="B20" s="125" t="n">
        <v>46047</v>
      </c>
      <c r="C20" s="115" t="inlineStr">
        <is>
          <t>Bank Fees</t>
        </is>
      </c>
      <c r="D20" s="115" t="inlineStr">
        <is>
          <t>Bank</t>
        </is>
      </c>
      <c r="E20" s="115" t="inlineStr">
        <is>
          <t>REF-100017</t>
        </is>
      </c>
      <c r="F20" s="126" t="n">
        <v>-110.63</v>
      </c>
      <c r="G20" s="134">
        <f>IFERROR(XLOOKUP(E20,Bank_Statement!$D$4:$D$448,Bank_Statement!$G$4:$G$448,""),"")</f>
        <v/>
      </c>
      <c r="H20" s="126">
        <f>IF(G20="","",F20-G20)</f>
        <v/>
      </c>
      <c r="I20" s="135">
        <f>IFERROR(XLOOKUP(E20,Bank_Statement!$D$4:$D$448,Bank_Statement!$B$4:$B$448,""),"")</f>
        <v/>
      </c>
      <c r="J20" s="136">
        <f>IF(I20="","",ABS(B20-I20))</f>
        <v/>
      </c>
      <c r="K20" s="137">
        <f>IF(G20="","Unmatched ERP",IF(AND(ABS(H20)&lt;=Mapping_Rules!$B$4,ABS(J20)&lt;=Mapping_Rules!$B$5),"Matched","Review"))</f>
        <v/>
      </c>
      <c r="L20" s="137">
        <f>IF(K20="Matched","None",IF(G20="","Missing from bank",IF(ABS(H20)&gt;Mapping_Rules!$B$4,"Amount variance","Date variance")))</f>
        <v/>
      </c>
      <c r="M20" s="137">
        <f>IF(K20="Matched","Low",IF(OR(IFERROR(ABS(H20),0)&gt;Mapping_Rules!$B$7,IFERROR(J20,0)&gt;Mapping_Rules!$B$8),"High","Medium"))</f>
        <v/>
      </c>
      <c r="N20" s="137">
        <f>IF(K20="Matched","No action needed",IF(L20="Missing from bank","Check bank date or posting",IF(L20="Amount variance","Check invoice/payment amount","Check timing difference")))</f>
        <v/>
      </c>
      <c r="O20" s="115" t="inlineStr">
        <is>
          <t>6100 Bank Fees</t>
        </is>
      </c>
      <c r="P20" s="115" t="inlineStr">
        <is>
          <t>Accounting Technician</t>
        </is>
      </c>
      <c r="Q20" s="115" t="inlineStr">
        <is>
          <t>No</t>
        </is>
      </c>
      <c r="R20" s="138" t="str"/>
      <c r="S20" s="139">
        <f>IF(K20="Matched",0,Mapping_Rules!$B$6-B20)</f>
        <v/>
      </c>
    </row>
    <row r="21">
      <c r="A21" s="140" t="inlineStr">
        <is>
          <t>ERP-00018</t>
        </is>
      </c>
      <c r="B21" s="141" t="n">
        <v>46051</v>
      </c>
      <c r="C21" s="140" t="inlineStr">
        <is>
          <t>Bank Fees</t>
        </is>
      </c>
      <c r="D21" s="140" t="inlineStr">
        <is>
          <t>Bank</t>
        </is>
      </c>
      <c r="E21" s="140" t="inlineStr">
        <is>
          <t>REF-100018</t>
        </is>
      </c>
      <c r="F21" s="142" t="n">
        <v>-97.78</v>
      </c>
      <c r="G21" s="143">
        <f>IFERROR(XLOOKUP(E21,Bank_Statement!$D$4:$D$448,Bank_Statement!$G$4:$G$448,""),"")</f>
        <v/>
      </c>
      <c r="H21" s="142">
        <f>IF(G21="","",F21-G21)</f>
        <v/>
      </c>
      <c r="I21" s="144">
        <f>IFERROR(XLOOKUP(E21,Bank_Statement!$D$4:$D$448,Bank_Statement!$B$4:$B$448,""),"")</f>
        <v/>
      </c>
      <c r="J21" s="145">
        <f>IF(I21="","",ABS(B21-I21))</f>
        <v/>
      </c>
      <c r="K21" s="146">
        <f>IF(G21="","Unmatched ERP",IF(AND(ABS(H21)&lt;=Mapping_Rules!$B$4,ABS(J21)&lt;=Mapping_Rules!$B$5),"Matched","Review"))</f>
        <v/>
      </c>
      <c r="L21" s="146">
        <f>IF(K21="Matched","None",IF(G21="","Missing from bank",IF(ABS(H21)&gt;Mapping_Rules!$B$4,"Amount variance","Date variance")))</f>
        <v/>
      </c>
      <c r="M21" s="146">
        <f>IF(K21="Matched","Low",IF(OR(IFERROR(ABS(H21),0)&gt;Mapping_Rules!$B$7,IFERROR(J21,0)&gt;Mapping_Rules!$B$8),"High","Medium"))</f>
        <v/>
      </c>
      <c r="N21" s="146">
        <f>IF(K21="Matched","No action needed",IF(L21="Missing from bank","Check bank date or posting",IF(L21="Amount variance","Check invoice/payment amount","Check timing difference")))</f>
        <v/>
      </c>
      <c r="O21" s="140" t="inlineStr">
        <is>
          <t>6100 Bank Fees</t>
        </is>
      </c>
      <c r="P21" s="140" t="inlineStr">
        <is>
          <t>Accounting Technician</t>
        </is>
      </c>
      <c r="Q21" s="140" t="inlineStr">
        <is>
          <t>No</t>
        </is>
      </c>
      <c r="R21" s="147" t="str"/>
      <c r="S21" s="148">
        <f>IF(K21="Matched",0,Mapping_Rules!$B$6-B21)</f>
        <v/>
      </c>
    </row>
    <row r="22">
      <c r="A22" s="115" t="inlineStr">
        <is>
          <t>ERP-00019</t>
        </is>
      </c>
      <c r="B22" s="125" t="n">
        <v>46038</v>
      </c>
      <c r="C22" s="115" t="inlineStr">
        <is>
          <t>Payroll</t>
        </is>
      </c>
      <c r="D22" s="115" t="inlineStr">
        <is>
          <t>Payroll Batch</t>
        </is>
      </c>
      <c r="E22" s="115" t="inlineStr">
        <is>
          <t>REF-100019</t>
        </is>
      </c>
      <c r="F22" s="126" t="n">
        <v>-16680.78</v>
      </c>
      <c r="G22" s="134">
        <f>IFERROR(XLOOKUP(E22,Bank_Statement!$D$4:$D$448,Bank_Statement!$G$4:$G$448,""),"")</f>
        <v/>
      </c>
      <c r="H22" s="126">
        <f>IF(G22="","",F22-G22)</f>
        <v/>
      </c>
      <c r="I22" s="135">
        <f>IFERROR(XLOOKUP(E22,Bank_Statement!$D$4:$D$448,Bank_Statement!$B$4:$B$448,""),"")</f>
        <v/>
      </c>
      <c r="J22" s="136">
        <f>IF(I22="","",ABS(B22-I22))</f>
        <v/>
      </c>
      <c r="K22" s="137">
        <f>IF(G22="","Unmatched ERP",IF(AND(ABS(H22)&lt;=Mapping_Rules!$B$4,ABS(J22)&lt;=Mapping_Rules!$B$5),"Matched","Review"))</f>
        <v/>
      </c>
      <c r="L22" s="137">
        <f>IF(K22="Matched","None",IF(G22="","Missing from bank",IF(ABS(H22)&gt;Mapping_Rules!$B$4,"Amount variance","Date variance")))</f>
        <v/>
      </c>
      <c r="M22" s="137">
        <f>IF(K22="Matched","Low",IF(OR(IFERROR(ABS(H22),0)&gt;Mapping_Rules!$B$7,IFERROR(J22,0)&gt;Mapping_Rules!$B$8),"High","Medium"))</f>
        <v/>
      </c>
      <c r="N22" s="137">
        <f>IF(K22="Matched","No action needed",IF(L22="Missing from bank","Check bank date or posting",IF(L22="Amount variance","Check invoice/payment amount","Check timing difference")))</f>
        <v/>
      </c>
      <c r="O22" s="115" t="inlineStr">
        <is>
          <t>5300 Payroll</t>
        </is>
      </c>
      <c r="P22" s="115" t="inlineStr">
        <is>
          <t>Accounting Technician</t>
        </is>
      </c>
      <c r="Q22" s="115" t="inlineStr">
        <is>
          <t>No</t>
        </is>
      </c>
      <c r="R22" s="138" t="str"/>
      <c r="S22" s="139">
        <f>IF(K22="Matched",0,Mapping_Rules!$B$6-B22)</f>
        <v/>
      </c>
    </row>
    <row r="23">
      <c r="A23" s="140" t="inlineStr">
        <is>
          <t>ERP-00020</t>
        </is>
      </c>
      <c r="B23" s="141" t="n">
        <v>46028</v>
      </c>
      <c r="C23" s="140" t="inlineStr">
        <is>
          <t>AP</t>
        </is>
      </c>
      <c r="D23" s="140" t="inlineStr">
        <is>
          <t>Vancouver Courier</t>
        </is>
      </c>
      <c r="E23" s="140" t="inlineStr">
        <is>
          <t>REF-100020</t>
        </is>
      </c>
      <c r="F23" s="142" t="n">
        <v>-3792.35</v>
      </c>
      <c r="G23" s="143">
        <f>IFERROR(XLOOKUP(E23,Bank_Statement!$D$4:$D$448,Bank_Statement!$G$4:$G$448,""),"")</f>
        <v/>
      </c>
      <c r="H23" s="142">
        <f>IF(G23="","",F23-G23)</f>
        <v/>
      </c>
      <c r="I23" s="144">
        <f>IFERROR(XLOOKUP(E23,Bank_Statement!$D$4:$D$448,Bank_Statement!$B$4:$B$448,""),"")</f>
        <v/>
      </c>
      <c r="J23" s="145">
        <f>IF(I23="","",ABS(B23-I23))</f>
        <v/>
      </c>
      <c r="K23" s="146">
        <f>IF(G23="","Unmatched ERP",IF(AND(ABS(H23)&lt;=Mapping_Rules!$B$4,ABS(J23)&lt;=Mapping_Rules!$B$5),"Matched","Review"))</f>
        <v/>
      </c>
      <c r="L23" s="146">
        <f>IF(K23="Matched","None",IF(G23="","Missing from bank",IF(ABS(H23)&gt;Mapping_Rules!$B$4,"Amount variance","Date variance")))</f>
        <v/>
      </c>
      <c r="M23" s="146">
        <f>IF(K23="Matched","Low",IF(OR(IFERROR(ABS(H23),0)&gt;Mapping_Rules!$B$7,IFERROR(J23,0)&gt;Mapping_Rules!$B$8),"High","Medium"))</f>
        <v/>
      </c>
      <c r="N23" s="146">
        <f>IF(K23="Matched","No action needed",IF(L23="Missing from bank","Check bank date or posting",IF(L23="Amount variance","Check invoice/payment amount","Check timing difference")))</f>
        <v/>
      </c>
      <c r="O23" s="140" t="inlineStr">
        <is>
          <t>2000 AP</t>
        </is>
      </c>
      <c r="P23" s="140" t="inlineStr">
        <is>
          <t>AP Clerk</t>
        </is>
      </c>
      <c r="Q23" s="140" t="inlineStr">
        <is>
          <t>No</t>
        </is>
      </c>
      <c r="R23" s="147" t="str"/>
      <c r="S23" s="148">
        <f>IF(K23="Matched",0,Mapping_Rules!$B$6-B23)</f>
        <v/>
      </c>
    </row>
    <row r="24">
      <c r="A24" s="115" t="inlineStr">
        <is>
          <t>ERP-00021</t>
        </is>
      </c>
      <c r="B24" s="125" t="n">
        <v>46035</v>
      </c>
      <c r="C24" s="115" t="inlineStr">
        <is>
          <t>Bank Fees</t>
        </is>
      </c>
      <c r="D24" s="115" t="inlineStr">
        <is>
          <t>Bank</t>
        </is>
      </c>
      <c r="E24" s="115" t="inlineStr">
        <is>
          <t>REF-100021</t>
        </is>
      </c>
      <c r="F24" s="126" t="n">
        <v>-79.73999999999999</v>
      </c>
      <c r="G24" s="134">
        <f>IFERROR(XLOOKUP(E24,Bank_Statement!$D$4:$D$448,Bank_Statement!$G$4:$G$448,""),"")</f>
        <v/>
      </c>
      <c r="H24" s="126">
        <f>IF(G24="","",F24-G24)</f>
        <v/>
      </c>
      <c r="I24" s="135">
        <f>IFERROR(XLOOKUP(E24,Bank_Statement!$D$4:$D$448,Bank_Statement!$B$4:$B$448,""),"")</f>
        <v/>
      </c>
      <c r="J24" s="136">
        <f>IF(I24="","",ABS(B24-I24))</f>
        <v/>
      </c>
      <c r="K24" s="137">
        <f>IF(G24="","Unmatched ERP",IF(AND(ABS(H24)&lt;=Mapping_Rules!$B$4,ABS(J24)&lt;=Mapping_Rules!$B$5),"Matched","Review"))</f>
        <v/>
      </c>
      <c r="L24" s="137">
        <f>IF(K24="Matched","None",IF(G24="","Missing from bank",IF(ABS(H24)&gt;Mapping_Rules!$B$4,"Amount variance","Date variance")))</f>
        <v/>
      </c>
      <c r="M24" s="137">
        <f>IF(K24="Matched","Low",IF(OR(IFERROR(ABS(H24),0)&gt;Mapping_Rules!$B$7,IFERROR(J24,0)&gt;Mapping_Rules!$B$8),"High","Medium"))</f>
        <v/>
      </c>
      <c r="N24" s="137">
        <f>IF(K24="Matched","No action needed",IF(L24="Missing from bank","Check bank date or posting",IF(L24="Amount variance","Check invoice/payment amount","Check timing difference")))</f>
        <v/>
      </c>
      <c r="O24" s="115" t="inlineStr">
        <is>
          <t>6100 Bank Fees</t>
        </is>
      </c>
      <c r="P24" s="115" t="inlineStr">
        <is>
          <t>Accounting Technician</t>
        </is>
      </c>
      <c r="Q24" s="115" t="inlineStr">
        <is>
          <t>No</t>
        </is>
      </c>
      <c r="R24" s="138" t="str"/>
      <c r="S24" s="139">
        <f>IF(K24="Matched",0,Mapping_Rules!$B$6-B24)</f>
        <v/>
      </c>
    </row>
    <row r="25">
      <c r="A25" s="140" t="inlineStr">
        <is>
          <t>ERP-00022</t>
        </is>
      </c>
      <c r="B25" s="141" t="n">
        <v>46033</v>
      </c>
      <c r="C25" s="140" t="inlineStr">
        <is>
          <t>AP</t>
        </is>
      </c>
      <c r="D25" s="140" t="inlineStr">
        <is>
          <t>Amazon Business</t>
        </is>
      </c>
      <c r="E25" s="140" t="inlineStr">
        <is>
          <t>REF-100022</t>
        </is>
      </c>
      <c r="F25" s="142" t="n">
        <v>-1488.3</v>
      </c>
      <c r="G25" s="143">
        <f>IFERROR(XLOOKUP(E25,Bank_Statement!$D$4:$D$448,Bank_Statement!$G$4:$G$448,""),"")</f>
        <v/>
      </c>
      <c r="H25" s="142">
        <f>IF(G25="","",F25-G25)</f>
        <v/>
      </c>
      <c r="I25" s="144">
        <f>IFERROR(XLOOKUP(E25,Bank_Statement!$D$4:$D$448,Bank_Statement!$B$4:$B$448,""),"")</f>
        <v/>
      </c>
      <c r="J25" s="145">
        <f>IF(I25="","",ABS(B25-I25))</f>
        <v/>
      </c>
      <c r="K25" s="146">
        <f>IF(G25="","Unmatched ERP",IF(AND(ABS(H25)&lt;=Mapping_Rules!$B$4,ABS(J25)&lt;=Mapping_Rules!$B$5),"Matched","Review"))</f>
        <v/>
      </c>
      <c r="L25" s="146">
        <f>IF(K25="Matched","None",IF(G25="","Missing from bank",IF(ABS(H25)&gt;Mapping_Rules!$B$4,"Amount variance","Date variance")))</f>
        <v/>
      </c>
      <c r="M25" s="146">
        <f>IF(K25="Matched","Low",IF(OR(IFERROR(ABS(H25),0)&gt;Mapping_Rules!$B$7,IFERROR(J25,0)&gt;Mapping_Rules!$B$8),"High","Medium"))</f>
        <v/>
      </c>
      <c r="N25" s="146">
        <f>IF(K25="Matched","No action needed",IF(L25="Missing from bank","Check bank date or posting",IF(L25="Amount variance","Check invoice/payment amount","Check timing difference")))</f>
        <v/>
      </c>
      <c r="O25" s="140" t="inlineStr">
        <is>
          <t>2000 AP</t>
        </is>
      </c>
      <c r="P25" s="140" t="inlineStr">
        <is>
          <t>AP Clerk</t>
        </is>
      </c>
      <c r="Q25" s="140" t="inlineStr">
        <is>
          <t>No</t>
        </is>
      </c>
      <c r="R25" s="147" t="str"/>
      <c r="S25" s="148">
        <f>IF(K25="Matched",0,Mapping_Rules!$B$6-B25)</f>
        <v/>
      </c>
    </row>
    <row r="26">
      <c r="A26" s="115" t="inlineStr">
        <is>
          <t>ERP-00023</t>
        </is>
      </c>
      <c r="B26" s="125" t="n">
        <v>46051</v>
      </c>
      <c r="C26" s="115" t="inlineStr">
        <is>
          <t>AP</t>
        </is>
      </c>
      <c r="D26" s="115" t="inlineStr">
        <is>
          <t>Metro Cleaning Ltd.</t>
        </is>
      </c>
      <c r="E26" s="115" t="inlineStr">
        <is>
          <t>REF-100023</t>
        </is>
      </c>
      <c r="F26" s="126" t="n">
        <v>-513.65</v>
      </c>
      <c r="G26" s="134">
        <f>IFERROR(XLOOKUP(E26,Bank_Statement!$D$4:$D$448,Bank_Statement!$G$4:$G$448,""),"")</f>
        <v/>
      </c>
      <c r="H26" s="126">
        <f>IF(G26="","",F26-G26)</f>
        <v/>
      </c>
      <c r="I26" s="135">
        <f>IFERROR(XLOOKUP(E26,Bank_Statement!$D$4:$D$448,Bank_Statement!$B$4:$B$448,""),"")</f>
        <v/>
      </c>
      <c r="J26" s="136">
        <f>IF(I26="","",ABS(B26-I26))</f>
        <v/>
      </c>
      <c r="K26" s="137">
        <f>IF(G26="","Unmatched ERP",IF(AND(ABS(H26)&lt;=Mapping_Rules!$B$4,ABS(J26)&lt;=Mapping_Rules!$B$5),"Matched","Review"))</f>
        <v/>
      </c>
      <c r="L26" s="137">
        <f>IF(K26="Matched","None",IF(G26="","Missing from bank",IF(ABS(H26)&gt;Mapping_Rules!$B$4,"Amount variance","Date variance")))</f>
        <v/>
      </c>
      <c r="M26" s="137">
        <f>IF(K26="Matched","Low",IF(OR(IFERROR(ABS(H26),0)&gt;Mapping_Rules!$B$7,IFERROR(J26,0)&gt;Mapping_Rules!$B$8),"High","Medium"))</f>
        <v/>
      </c>
      <c r="N26" s="137">
        <f>IF(K26="Matched","No action needed",IF(L26="Missing from bank","Check bank date or posting",IF(L26="Amount variance","Check invoice/payment amount","Check timing difference")))</f>
        <v/>
      </c>
      <c r="O26" s="115" t="inlineStr">
        <is>
          <t>2000 AP</t>
        </is>
      </c>
      <c r="P26" s="115" t="inlineStr">
        <is>
          <t>AP Clerk</t>
        </is>
      </c>
      <c r="Q26" s="115" t="inlineStr">
        <is>
          <t>No</t>
        </is>
      </c>
      <c r="R26" s="138" t="str"/>
      <c r="S26" s="139">
        <f>IF(K26="Matched",0,Mapping_Rules!$B$6-B26)</f>
        <v/>
      </c>
    </row>
    <row r="27">
      <c r="A27" s="140" t="inlineStr">
        <is>
          <t>ERP-00024</t>
        </is>
      </c>
      <c r="B27" s="141" t="n">
        <v>46046</v>
      </c>
      <c r="C27" s="140" t="inlineStr">
        <is>
          <t>Bank Fees</t>
        </is>
      </c>
      <c r="D27" s="140" t="inlineStr">
        <is>
          <t>Bank</t>
        </is>
      </c>
      <c r="E27" s="140" t="inlineStr">
        <is>
          <t>REF-100024</t>
        </is>
      </c>
      <c r="F27" s="142" t="n">
        <v>-70.67</v>
      </c>
      <c r="G27" s="143">
        <f>IFERROR(XLOOKUP(E27,Bank_Statement!$D$4:$D$448,Bank_Statement!$G$4:$G$448,""),"")</f>
        <v/>
      </c>
      <c r="H27" s="142">
        <f>IF(G27="","",F27-G27)</f>
        <v/>
      </c>
      <c r="I27" s="144">
        <f>IFERROR(XLOOKUP(E27,Bank_Statement!$D$4:$D$448,Bank_Statement!$B$4:$B$448,""),"")</f>
        <v/>
      </c>
      <c r="J27" s="145">
        <f>IF(I27="","",ABS(B27-I27))</f>
        <v/>
      </c>
      <c r="K27" s="146">
        <f>IF(G27="","Unmatched ERP",IF(AND(ABS(H27)&lt;=Mapping_Rules!$B$4,ABS(J27)&lt;=Mapping_Rules!$B$5),"Matched","Review"))</f>
        <v/>
      </c>
      <c r="L27" s="146">
        <f>IF(K27="Matched","None",IF(G27="","Missing from bank",IF(ABS(H27)&gt;Mapping_Rules!$B$4,"Amount variance","Date variance")))</f>
        <v/>
      </c>
      <c r="M27" s="146">
        <f>IF(K27="Matched","Low",IF(OR(IFERROR(ABS(H27),0)&gt;Mapping_Rules!$B$7,IFERROR(J27,0)&gt;Mapping_Rules!$B$8),"High","Medium"))</f>
        <v/>
      </c>
      <c r="N27" s="146">
        <f>IF(K27="Matched","No action needed",IF(L27="Missing from bank","Check bank date or posting",IF(L27="Amount variance","Check invoice/payment amount","Check timing difference")))</f>
        <v/>
      </c>
      <c r="O27" s="140" t="inlineStr">
        <is>
          <t>6100 Bank Fees</t>
        </is>
      </c>
      <c r="P27" s="140" t="inlineStr">
        <is>
          <t>Accounting Technician</t>
        </is>
      </c>
      <c r="Q27" s="140" t="inlineStr">
        <is>
          <t>No</t>
        </is>
      </c>
      <c r="R27" s="147" t="str"/>
      <c r="S27" s="148">
        <f>IF(K27="Matched",0,Mapping_Rules!$B$6-B27)</f>
        <v/>
      </c>
    </row>
    <row r="28">
      <c r="A28" s="115" t="inlineStr">
        <is>
          <t>ERP-00025</t>
        </is>
      </c>
      <c r="B28" s="125" t="n">
        <v>46026</v>
      </c>
      <c r="C28" s="115" t="inlineStr">
        <is>
          <t>AR</t>
        </is>
      </c>
      <c r="D28" s="115" t="inlineStr">
        <is>
          <t>Raincity Tech</t>
        </is>
      </c>
      <c r="E28" s="115" t="inlineStr">
        <is>
          <t>REF-100025</t>
        </is>
      </c>
      <c r="F28" s="126" t="n">
        <v>3686.88</v>
      </c>
      <c r="G28" s="134">
        <f>IFERROR(XLOOKUP(E28,Bank_Statement!$D$4:$D$448,Bank_Statement!$G$4:$G$448,""),"")</f>
        <v/>
      </c>
      <c r="H28" s="126">
        <f>IF(G28="","",F28-G28)</f>
        <v/>
      </c>
      <c r="I28" s="135">
        <f>IFERROR(XLOOKUP(E28,Bank_Statement!$D$4:$D$448,Bank_Statement!$B$4:$B$448,""),"")</f>
        <v/>
      </c>
      <c r="J28" s="136">
        <f>IF(I28="","",ABS(B28-I28))</f>
        <v/>
      </c>
      <c r="K28" s="137">
        <f>IF(G28="","Unmatched ERP",IF(AND(ABS(H28)&lt;=Mapping_Rules!$B$4,ABS(J28)&lt;=Mapping_Rules!$B$5),"Matched","Review"))</f>
        <v/>
      </c>
      <c r="L28" s="137">
        <f>IF(K28="Matched","None",IF(G28="","Missing from bank",IF(ABS(H28)&gt;Mapping_Rules!$B$4,"Amount variance","Date variance")))</f>
        <v/>
      </c>
      <c r="M28" s="137">
        <f>IF(K28="Matched","Low",IF(OR(IFERROR(ABS(H28),0)&gt;Mapping_Rules!$B$7,IFERROR(J28,0)&gt;Mapping_Rules!$B$8),"High","Medium"))</f>
        <v/>
      </c>
      <c r="N28" s="137">
        <f>IF(K28="Matched","No action needed",IF(L28="Missing from bank","Check bank date or posting",IF(L28="Amount variance","Check invoice/payment amount","Check timing difference")))</f>
        <v/>
      </c>
      <c r="O28" s="115" t="inlineStr">
        <is>
          <t>1200 AR</t>
        </is>
      </c>
      <c r="P28" s="115" t="inlineStr">
        <is>
          <t>AR Clerk</t>
        </is>
      </c>
      <c r="Q28" s="115" t="inlineStr">
        <is>
          <t>No</t>
        </is>
      </c>
      <c r="R28" s="138" t="str"/>
      <c r="S28" s="139">
        <f>IF(K28="Matched",0,Mapping_Rules!$B$6-B28)</f>
        <v/>
      </c>
    </row>
    <row r="29">
      <c r="A29" s="140" t="inlineStr">
        <is>
          <t>ERP-00026</t>
        </is>
      </c>
      <c r="B29" s="141" t="n">
        <v>46046</v>
      </c>
      <c r="C29" s="140" t="inlineStr">
        <is>
          <t>AP</t>
        </is>
      </c>
      <c r="D29" s="140" t="inlineStr">
        <is>
          <t>Vancouver Courier</t>
        </is>
      </c>
      <c r="E29" s="140" t="inlineStr">
        <is>
          <t>REF-100026</t>
        </is>
      </c>
      <c r="F29" s="142" t="n">
        <v>-748.73</v>
      </c>
      <c r="G29" s="143">
        <f>IFERROR(XLOOKUP(E29,Bank_Statement!$D$4:$D$448,Bank_Statement!$G$4:$G$448,""),"")</f>
        <v/>
      </c>
      <c r="H29" s="142">
        <f>IF(G29="","",F29-G29)</f>
        <v/>
      </c>
      <c r="I29" s="144">
        <f>IFERROR(XLOOKUP(E29,Bank_Statement!$D$4:$D$448,Bank_Statement!$B$4:$B$448,""),"")</f>
        <v/>
      </c>
      <c r="J29" s="145">
        <f>IF(I29="","",ABS(B29-I29))</f>
        <v/>
      </c>
      <c r="K29" s="146">
        <f>IF(G29="","Unmatched ERP",IF(AND(ABS(H29)&lt;=Mapping_Rules!$B$4,ABS(J29)&lt;=Mapping_Rules!$B$5),"Matched","Review"))</f>
        <v/>
      </c>
      <c r="L29" s="146">
        <f>IF(K29="Matched","None",IF(G29="","Missing from bank",IF(ABS(H29)&gt;Mapping_Rules!$B$4,"Amount variance","Date variance")))</f>
        <v/>
      </c>
      <c r="M29" s="146">
        <f>IF(K29="Matched","Low",IF(OR(IFERROR(ABS(H29),0)&gt;Mapping_Rules!$B$7,IFERROR(J29,0)&gt;Mapping_Rules!$B$8),"High","Medium"))</f>
        <v/>
      </c>
      <c r="N29" s="146">
        <f>IF(K29="Matched","No action needed",IF(L29="Missing from bank","Check bank date or posting",IF(L29="Amount variance","Check invoice/payment amount","Check timing difference")))</f>
        <v/>
      </c>
      <c r="O29" s="140" t="inlineStr">
        <is>
          <t>2000 AP</t>
        </is>
      </c>
      <c r="P29" s="140" t="inlineStr">
        <is>
          <t>AP Clerk</t>
        </is>
      </c>
      <c r="Q29" s="140" t="inlineStr">
        <is>
          <t>No</t>
        </is>
      </c>
      <c r="R29" s="147" t="str"/>
      <c r="S29" s="148">
        <f>IF(K29="Matched",0,Mapping_Rules!$B$6-B29)</f>
        <v/>
      </c>
    </row>
    <row r="30">
      <c r="A30" s="115" t="inlineStr">
        <is>
          <t>ERP-00027</t>
        </is>
      </c>
      <c r="B30" s="125" t="n">
        <v>46031</v>
      </c>
      <c r="C30" s="115" t="inlineStr">
        <is>
          <t>AR</t>
        </is>
      </c>
      <c r="D30" s="115" t="inlineStr">
        <is>
          <t>Maple Retail Group</t>
        </is>
      </c>
      <c r="E30" s="115" t="inlineStr">
        <is>
          <t>REF-100027</t>
        </is>
      </c>
      <c r="F30" s="126" t="n">
        <v>3850.14</v>
      </c>
      <c r="G30" s="134">
        <f>IFERROR(XLOOKUP(E30,Bank_Statement!$D$4:$D$448,Bank_Statement!$G$4:$G$448,""),"")</f>
        <v/>
      </c>
      <c r="H30" s="126">
        <f>IF(G30="","",F30-G30)</f>
        <v/>
      </c>
      <c r="I30" s="135">
        <f>IFERROR(XLOOKUP(E30,Bank_Statement!$D$4:$D$448,Bank_Statement!$B$4:$B$448,""),"")</f>
        <v/>
      </c>
      <c r="J30" s="136">
        <f>IF(I30="","",ABS(B30-I30))</f>
        <v/>
      </c>
      <c r="K30" s="137">
        <f>IF(G30="","Unmatched ERP",IF(AND(ABS(H30)&lt;=Mapping_Rules!$B$4,ABS(J30)&lt;=Mapping_Rules!$B$5),"Matched","Review"))</f>
        <v/>
      </c>
      <c r="L30" s="137">
        <f>IF(K30="Matched","None",IF(G30="","Missing from bank",IF(ABS(H30)&gt;Mapping_Rules!$B$4,"Amount variance","Date variance")))</f>
        <v/>
      </c>
      <c r="M30" s="137">
        <f>IF(K30="Matched","Low",IF(OR(IFERROR(ABS(H30),0)&gt;Mapping_Rules!$B$7,IFERROR(J30,0)&gt;Mapping_Rules!$B$8),"High","Medium"))</f>
        <v/>
      </c>
      <c r="N30" s="137">
        <f>IF(K30="Matched","No action needed",IF(L30="Missing from bank","Check bank date or posting",IF(L30="Amount variance","Check invoice/payment amount","Check timing difference")))</f>
        <v/>
      </c>
      <c r="O30" s="115" t="inlineStr">
        <is>
          <t>1200 AR</t>
        </is>
      </c>
      <c r="P30" s="115" t="inlineStr">
        <is>
          <t>AR Clerk</t>
        </is>
      </c>
      <c r="Q30" s="115" t="inlineStr">
        <is>
          <t>No</t>
        </is>
      </c>
      <c r="R30" s="138" t="str"/>
      <c r="S30" s="139">
        <f>IF(K30="Matched",0,Mapping_Rules!$B$6-B30)</f>
        <v/>
      </c>
    </row>
    <row r="31">
      <c r="A31" s="140" t="inlineStr">
        <is>
          <t>ERP-00028</t>
        </is>
      </c>
      <c r="B31" s="141" t="n">
        <v>46052</v>
      </c>
      <c r="C31" s="140" t="inlineStr">
        <is>
          <t>GL</t>
        </is>
      </c>
      <c r="D31" s="140" t="inlineStr">
        <is>
          <t>BC Hydro</t>
        </is>
      </c>
      <c r="E31" s="140" t="inlineStr">
        <is>
          <t>REF-100028</t>
        </is>
      </c>
      <c r="F31" s="142" t="n">
        <v>873.24</v>
      </c>
      <c r="G31" s="143">
        <f>IFERROR(XLOOKUP(E31,Bank_Statement!$D$4:$D$448,Bank_Statement!$G$4:$G$448,""),"")</f>
        <v/>
      </c>
      <c r="H31" s="142">
        <f>IF(G31="","",F31-G31)</f>
        <v/>
      </c>
      <c r="I31" s="144">
        <f>IFERROR(XLOOKUP(E31,Bank_Statement!$D$4:$D$448,Bank_Statement!$B$4:$B$448,""),"")</f>
        <v/>
      </c>
      <c r="J31" s="145">
        <f>IF(I31="","",ABS(B31-I31))</f>
        <v/>
      </c>
      <c r="K31" s="146">
        <f>IF(G31="","Unmatched ERP",IF(AND(ABS(H31)&lt;=Mapping_Rules!$B$4,ABS(J31)&lt;=Mapping_Rules!$B$5),"Matched","Review"))</f>
        <v/>
      </c>
      <c r="L31" s="146">
        <f>IF(K31="Matched","None",IF(G31="","Missing from bank",IF(ABS(H31)&gt;Mapping_Rules!$B$4,"Amount variance","Date variance")))</f>
        <v/>
      </c>
      <c r="M31" s="146">
        <f>IF(K31="Matched","Low",IF(OR(IFERROR(ABS(H31),0)&gt;Mapping_Rules!$B$7,IFERROR(J31,0)&gt;Mapping_Rules!$B$8),"High","Medium"))</f>
        <v/>
      </c>
      <c r="N31" s="146">
        <f>IF(K31="Matched","No action needed",IF(L31="Missing from bank","Check bank date or posting",IF(L31="Amount variance","Check invoice/payment amount","Check timing difference")))</f>
        <v/>
      </c>
      <c r="O31" s="140" t="inlineStr">
        <is>
          <t>5000 Office Expense</t>
        </is>
      </c>
      <c r="P31" s="140" t="inlineStr">
        <is>
          <t>Accounting Technician</t>
        </is>
      </c>
      <c r="Q31" s="140" t="inlineStr">
        <is>
          <t>No</t>
        </is>
      </c>
      <c r="R31" s="147" t="str"/>
      <c r="S31" s="148">
        <f>IF(K31="Matched",0,Mapping_Rules!$B$6-B31)</f>
        <v/>
      </c>
    </row>
    <row r="32">
      <c r="A32" s="115" t="inlineStr">
        <is>
          <t>ERP-00029</t>
        </is>
      </c>
      <c r="B32" s="125" t="n">
        <v>46031</v>
      </c>
      <c r="C32" s="115" t="inlineStr">
        <is>
          <t>Bank Fees</t>
        </is>
      </c>
      <c r="D32" s="115" t="inlineStr">
        <is>
          <t>Bank</t>
        </is>
      </c>
      <c r="E32" s="115" t="inlineStr">
        <is>
          <t>REF-100029</t>
        </is>
      </c>
      <c r="F32" s="126" t="n">
        <v>-95.29000000000001</v>
      </c>
      <c r="G32" s="134">
        <f>IFERROR(XLOOKUP(E32,Bank_Statement!$D$4:$D$448,Bank_Statement!$G$4:$G$448,""),"")</f>
        <v/>
      </c>
      <c r="H32" s="126">
        <f>IF(G32="","",F32-G32)</f>
        <v/>
      </c>
      <c r="I32" s="135">
        <f>IFERROR(XLOOKUP(E32,Bank_Statement!$D$4:$D$448,Bank_Statement!$B$4:$B$448,""),"")</f>
        <v/>
      </c>
      <c r="J32" s="136">
        <f>IF(I32="","",ABS(B32-I32))</f>
        <v/>
      </c>
      <c r="K32" s="137">
        <f>IF(G32="","Unmatched ERP",IF(AND(ABS(H32)&lt;=Mapping_Rules!$B$4,ABS(J32)&lt;=Mapping_Rules!$B$5),"Matched","Review"))</f>
        <v/>
      </c>
      <c r="L32" s="137">
        <f>IF(K32="Matched","None",IF(G32="","Missing from bank",IF(ABS(H32)&gt;Mapping_Rules!$B$4,"Amount variance","Date variance")))</f>
        <v/>
      </c>
      <c r="M32" s="137">
        <f>IF(K32="Matched","Low",IF(OR(IFERROR(ABS(H32),0)&gt;Mapping_Rules!$B$7,IFERROR(J32,0)&gt;Mapping_Rules!$B$8),"High","Medium"))</f>
        <v/>
      </c>
      <c r="N32" s="137">
        <f>IF(K32="Matched","No action needed",IF(L32="Missing from bank","Check bank date or posting",IF(L32="Amount variance","Check invoice/payment amount","Check timing difference")))</f>
        <v/>
      </c>
      <c r="O32" s="115" t="inlineStr">
        <is>
          <t>6100 Bank Fees</t>
        </is>
      </c>
      <c r="P32" s="115" t="inlineStr">
        <is>
          <t>Accounting Technician</t>
        </is>
      </c>
      <c r="Q32" s="115" t="inlineStr">
        <is>
          <t>No</t>
        </is>
      </c>
      <c r="R32" s="138" t="str"/>
      <c r="S32" s="139">
        <f>IF(K32="Matched",0,Mapping_Rules!$B$6-B32)</f>
        <v/>
      </c>
    </row>
    <row r="33">
      <c r="A33" s="140" t="inlineStr">
        <is>
          <t>ERP-00030</t>
        </is>
      </c>
      <c r="B33" s="141" t="n">
        <v>46032</v>
      </c>
      <c r="C33" s="140" t="inlineStr">
        <is>
          <t>AP</t>
        </is>
      </c>
      <c r="D33" s="140" t="inlineStr">
        <is>
          <t>Pacific Office Supplies</t>
        </is>
      </c>
      <c r="E33" s="140" t="inlineStr">
        <is>
          <t>REF-100030</t>
        </is>
      </c>
      <c r="F33" s="142" t="n">
        <v>-3624.58</v>
      </c>
      <c r="G33" s="143">
        <f>IFERROR(XLOOKUP(E33,Bank_Statement!$D$4:$D$448,Bank_Statement!$G$4:$G$448,""),"")</f>
        <v/>
      </c>
      <c r="H33" s="142">
        <f>IF(G33="","",F33-G33)</f>
        <v/>
      </c>
      <c r="I33" s="144">
        <f>IFERROR(XLOOKUP(E33,Bank_Statement!$D$4:$D$448,Bank_Statement!$B$4:$B$448,""),"")</f>
        <v/>
      </c>
      <c r="J33" s="145">
        <f>IF(I33="","",ABS(B33-I33))</f>
        <v/>
      </c>
      <c r="K33" s="146">
        <f>IF(G33="","Unmatched ERP",IF(AND(ABS(H33)&lt;=Mapping_Rules!$B$4,ABS(J33)&lt;=Mapping_Rules!$B$5),"Matched","Review"))</f>
        <v/>
      </c>
      <c r="L33" s="146">
        <f>IF(K33="Matched","None",IF(G33="","Missing from bank",IF(ABS(H33)&gt;Mapping_Rules!$B$4,"Amount variance","Date variance")))</f>
        <v/>
      </c>
      <c r="M33" s="146">
        <f>IF(K33="Matched","Low",IF(OR(IFERROR(ABS(H33),0)&gt;Mapping_Rules!$B$7,IFERROR(J33,0)&gt;Mapping_Rules!$B$8),"High","Medium"))</f>
        <v/>
      </c>
      <c r="N33" s="146">
        <f>IF(K33="Matched","No action needed",IF(L33="Missing from bank","Check bank date or posting",IF(L33="Amount variance","Check invoice/payment amount","Check timing difference")))</f>
        <v/>
      </c>
      <c r="O33" s="140" t="inlineStr">
        <is>
          <t>2000 AP</t>
        </is>
      </c>
      <c r="P33" s="140" t="inlineStr">
        <is>
          <t>AP Clerk</t>
        </is>
      </c>
      <c r="Q33" s="140" t="inlineStr">
        <is>
          <t>No</t>
        </is>
      </c>
      <c r="R33" s="147" t="str"/>
      <c r="S33" s="148">
        <f>IF(K33="Matched",0,Mapping_Rules!$B$6-B33)</f>
        <v/>
      </c>
    </row>
    <row r="34">
      <c r="A34" s="115" t="inlineStr">
        <is>
          <t>ERP-00031</t>
        </is>
      </c>
      <c r="B34" s="125" t="n">
        <v>46039</v>
      </c>
      <c r="C34" s="115" t="inlineStr">
        <is>
          <t>Payroll</t>
        </is>
      </c>
      <c r="D34" s="115" t="inlineStr">
        <is>
          <t>Payroll Batch</t>
        </is>
      </c>
      <c r="E34" s="115" t="inlineStr">
        <is>
          <t>REF-100031</t>
        </is>
      </c>
      <c r="F34" s="126" t="n">
        <v>-10201.33</v>
      </c>
      <c r="G34" s="134">
        <f>IFERROR(XLOOKUP(E34,Bank_Statement!$D$4:$D$448,Bank_Statement!$G$4:$G$448,""),"")</f>
        <v/>
      </c>
      <c r="H34" s="126">
        <f>IF(G34="","",F34-G34)</f>
        <v/>
      </c>
      <c r="I34" s="135">
        <f>IFERROR(XLOOKUP(E34,Bank_Statement!$D$4:$D$448,Bank_Statement!$B$4:$B$448,""),"")</f>
        <v/>
      </c>
      <c r="J34" s="136">
        <f>IF(I34="","",ABS(B34-I34))</f>
        <v/>
      </c>
      <c r="K34" s="137">
        <f>IF(G34="","Unmatched ERP",IF(AND(ABS(H34)&lt;=Mapping_Rules!$B$4,ABS(J34)&lt;=Mapping_Rules!$B$5),"Matched","Review"))</f>
        <v/>
      </c>
      <c r="L34" s="137">
        <f>IF(K34="Matched","None",IF(G34="","Missing from bank",IF(ABS(H34)&gt;Mapping_Rules!$B$4,"Amount variance","Date variance")))</f>
        <v/>
      </c>
      <c r="M34" s="137">
        <f>IF(K34="Matched","Low",IF(OR(IFERROR(ABS(H34),0)&gt;Mapping_Rules!$B$7,IFERROR(J34,0)&gt;Mapping_Rules!$B$8),"High","Medium"))</f>
        <v/>
      </c>
      <c r="N34" s="137">
        <f>IF(K34="Matched","No action needed",IF(L34="Missing from bank","Check bank date or posting",IF(L34="Amount variance","Check invoice/payment amount","Check timing difference")))</f>
        <v/>
      </c>
      <c r="O34" s="115" t="inlineStr">
        <is>
          <t>5300 Payroll</t>
        </is>
      </c>
      <c r="P34" s="115" t="inlineStr">
        <is>
          <t>Accounting Technician</t>
        </is>
      </c>
      <c r="Q34" s="115" t="inlineStr">
        <is>
          <t>No</t>
        </is>
      </c>
      <c r="R34" s="138" t="str"/>
      <c r="S34" s="139">
        <f>IF(K34="Matched",0,Mapping_Rules!$B$6-B34)</f>
        <v/>
      </c>
    </row>
    <row r="35">
      <c r="A35" s="140" t="inlineStr">
        <is>
          <t>ERP-00032</t>
        </is>
      </c>
      <c r="B35" s="141" t="n">
        <v>46025</v>
      </c>
      <c r="C35" s="140" t="inlineStr">
        <is>
          <t>GL</t>
        </is>
      </c>
      <c r="D35" s="140" t="inlineStr">
        <is>
          <t>BC Hydro</t>
        </is>
      </c>
      <c r="E35" s="140" t="inlineStr">
        <is>
          <t>REF-100032</t>
        </is>
      </c>
      <c r="F35" s="142" t="n">
        <v>-2048.69</v>
      </c>
      <c r="G35" s="143">
        <f>IFERROR(XLOOKUP(E35,Bank_Statement!$D$4:$D$448,Bank_Statement!$G$4:$G$448,""),"")</f>
        <v/>
      </c>
      <c r="H35" s="142">
        <f>IF(G35="","",F35-G35)</f>
        <v/>
      </c>
      <c r="I35" s="144">
        <f>IFERROR(XLOOKUP(E35,Bank_Statement!$D$4:$D$448,Bank_Statement!$B$4:$B$448,""),"")</f>
        <v/>
      </c>
      <c r="J35" s="145">
        <f>IF(I35="","",ABS(B35-I35))</f>
        <v/>
      </c>
      <c r="K35" s="146">
        <f>IF(G35="","Unmatched ERP",IF(AND(ABS(H35)&lt;=Mapping_Rules!$B$4,ABS(J35)&lt;=Mapping_Rules!$B$5),"Matched","Review"))</f>
        <v/>
      </c>
      <c r="L35" s="146">
        <f>IF(K35="Matched","None",IF(G35="","Missing from bank",IF(ABS(H35)&gt;Mapping_Rules!$B$4,"Amount variance","Date variance")))</f>
        <v/>
      </c>
      <c r="M35" s="146">
        <f>IF(K35="Matched","Low",IF(OR(IFERROR(ABS(H35),0)&gt;Mapping_Rules!$B$7,IFERROR(J35,0)&gt;Mapping_Rules!$B$8),"High","Medium"))</f>
        <v/>
      </c>
      <c r="N35" s="146">
        <f>IF(K35="Matched","No action needed",IF(L35="Missing from bank","Check bank date or posting",IF(L35="Amount variance","Check invoice/payment amount","Check timing difference")))</f>
        <v/>
      </c>
      <c r="O35" s="140" t="inlineStr">
        <is>
          <t>5000 Office Expense</t>
        </is>
      </c>
      <c r="P35" s="140" t="inlineStr">
        <is>
          <t>Accounting Technician</t>
        </is>
      </c>
      <c r="Q35" s="140" t="inlineStr">
        <is>
          <t>No</t>
        </is>
      </c>
      <c r="R35" s="147" t="str"/>
      <c r="S35" s="148">
        <f>IF(K35="Matched",0,Mapping_Rules!$B$6-B35)</f>
        <v/>
      </c>
    </row>
    <row r="36">
      <c r="A36" s="115" t="inlineStr">
        <is>
          <t>ERP-00033</t>
        </is>
      </c>
      <c r="B36" s="125" t="n">
        <v>46041</v>
      </c>
      <c r="C36" s="115" t="inlineStr">
        <is>
          <t>AR</t>
        </is>
      </c>
      <c r="D36" s="115" t="inlineStr">
        <is>
          <t>Raincity Tech</t>
        </is>
      </c>
      <c r="E36" s="115" t="inlineStr">
        <is>
          <t>REF-100033</t>
        </is>
      </c>
      <c r="F36" s="126" t="n">
        <v>7954.8</v>
      </c>
      <c r="G36" s="134">
        <f>IFERROR(XLOOKUP(E36,Bank_Statement!$D$4:$D$448,Bank_Statement!$G$4:$G$448,""),"")</f>
        <v/>
      </c>
      <c r="H36" s="126">
        <f>IF(G36="","",F36-G36)</f>
        <v/>
      </c>
      <c r="I36" s="135">
        <f>IFERROR(XLOOKUP(E36,Bank_Statement!$D$4:$D$448,Bank_Statement!$B$4:$B$448,""),"")</f>
        <v/>
      </c>
      <c r="J36" s="136">
        <f>IF(I36="","",ABS(B36-I36))</f>
        <v/>
      </c>
      <c r="K36" s="137">
        <f>IF(G36="","Unmatched ERP",IF(AND(ABS(H36)&lt;=Mapping_Rules!$B$4,ABS(J36)&lt;=Mapping_Rules!$B$5),"Matched","Review"))</f>
        <v/>
      </c>
      <c r="L36" s="137">
        <f>IF(K36="Matched","None",IF(G36="","Missing from bank",IF(ABS(H36)&gt;Mapping_Rules!$B$4,"Amount variance","Date variance")))</f>
        <v/>
      </c>
      <c r="M36" s="137">
        <f>IF(K36="Matched","Low",IF(OR(IFERROR(ABS(H36),0)&gt;Mapping_Rules!$B$7,IFERROR(J36,0)&gt;Mapping_Rules!$B$8),"High","Medium"))</f>
        <v/>
      </c>
      <c r="N36" s="137">
        <f>IF(K36="Matched","No action needed",IF(L36="Missing from bank","Check bank date or posting",IF(L36="Amount variance","Check invoice/payment amount","Check timing difference")))</f>
        <v/>
      </c>
      <c r="O36" s="115" t="inlineStr">
        <is>
          <t>1200 AR</t>
        </is>
      </c>
      <c r="P36" s="115" t="inlineStr">
        <is>
          <t>AR Clerk</t>
        </is>
      </c>
      <c r="Q36" s="115" t="inlineStr">
        <is>
          <t>No</t>
        </is>
      </c>
      <c r="R36" s="138" t="str"/>
      <c r="S36" s="139">
        <f>IF(K36="Matched",0,Mapping_Rules!$B$6-B36)</f>
        <v/>
      </c>
    </row>
    <row r="37">
      <c r="A37" s="140" t="inlineStr">
        <is>
          <t>ERP-00034</t>
        </is>
      </c>
      <c r="B37" s="141" t="n">
        <v>46043</v>
      </c>
      <c r="C37" s="140" t="inlineStr">
        <is>
          <t>AP</t>
        </is>
      </c>
      <c r="D37" s="140" t="inlineStr">
        <is>
          <t>Metro Cleaning Ltd.</t>
        </is>
      </c>
      <c r="E37" s="140" t="inlineStr">
        <is>
          <t>REF-100034</t>
        </is>
      </c>
      <c r="F37" s="142" t="n">
        <v>-5765.59</v>
      </c>
      <c r="G37" s="143">
        <f>IFERROR(XLOOKUP(E37,Bank_Statement!$D$4:$D$448,Bank_Statement!$G$4:$G$448,""),"")</f>
        <v/>
      </c>
      <c r="H37" s="142">
        <f>IF(G37="","",F37-G37)</f>
        <v/>
      </c>
      <c r="I37" s="144">
        <f>IFERROR(XLOOKUP(E37,Bank_Statement!$D$4:$D$448,Bank_Statement!$B$4:$B$448,""),"")</f>
        <v/>
      </c>
      <c r="J37" s="145">
        <f>IF(I37="","",ABS(B37-I37))</f>
        <v/>
      </c>
      <c r="K37" s="146">
        <f>IF(G37="","Unmatched ERP",IF(AND(ABS(H37)&lt;=Mapping_Rules!$B$4,ABS(J37)&lt;=Mapping_Rules!$B$5),"Matched","Review"))</f>
        <v/>
      </c>
      <c r="L37" s="146">
        <f>IF(K37="Matched","None",IF(G37="","Missing from bank",IF(ABS(H37)&gt;Mapping_Rules!$B$4,"Amount variance","Date variance")))</f>
        <v/>
      </c>
      <c r="M37" s="146">
        <f>IF(K37="Matched","Low",IF(OR(IFERROR(ABS(H37),0)&gt;Mapping_Rules!$B$7,IFERROR(J37,0)&gt;Mapping_Rules!$B$8),"High","Medium"))</f>
        <v/>
      </c>
      <c r="N37" s="146">
        <f>IF(K37="Matched","No action needed",IF(L37="Missing from bank","Check bank date or posting",IF(L37="Amount variance","Check invoice/payment amount","Check timing difference")))</f>
        <v/>
      </c>
      <c r="O37" s="140" t="inlineStr">
        <is>
          <t>2000 AP</t>
        </is>
      </c>
      <c r="P37" s="140" t="inlineStr">
        <is>
          <t>AP Clerk</t>
        </is>
      </c>
      <c r="Q37" s="140" t="inlineStr">
        <is>
          <t>No</t>
        </is>
      </c>
      <c r="R37" s="147" t="str"/>
      <c r="S37" s="148">
        <f>IF(K37="Matched",0,Mapping_Rules!$B$6-B37)</f>
        <v/>
      </c>
    </row>
    <row r="38">
      <c r="A38" s="115" t="inlineStr">
        <is>
          <t>ERP-00035</t>
        </is>
      </c>
      <c r="B38" s="125" t="n">
        <v>46029</v>
      </c>
      <c r="C38" s="115" t="inlineStr">
        <is>
          <t>AR</t>
        </is>
      </c>
      <c r="D38" s="115" t="inlineStr">
        <is>
          <t>Coastline Foods</t>
        </is>
      </c>
      <c r="E38" s="115" t="inlineStr">
        <is>
          <t>REF-100035</t>
        </is>
      </c>
      <c r="F38" s="126" t="n">
        <v>7942.72</v>
      </c>
      <c r="G38" s="134">
        <f>IFERROR(XLOOKUP(E38,Bank_Statement!$D$4:$D$448,Bank_Statement!$G$4:$G$448,""),"")</f>
        <v/>
      </c>
      <c r="H38" s="126">
        <f>IF(G38="","",F38-G38)</f>
        <v/>
      </c>
      <c r="I38" s="135">
        <f>IFERROR(XLOOKUP(E38,Bank_Statement!$D$4:$D$448,Bank_Statement!$B$4:$B$448,""),"")</f>
        <v/>
      </c>
      <c r="J38" s="136">
        <f>IF(I38="","",ABS(B38-I38))</f>
        <v/>
      </c>
      <c r="K38" s="137">
        <f>IF(G38="","Unmatched ERP",IF(AND(ABS(H38)&lt;=Mapping_Rules!$B$4,ABS(J38)&lt;=Mapping_Rules!$B$5),"Matched","Review"))</f>
        <v/>
      </c>
      <c r="L38" s="137">
        <f>IF(K38="Matched","None",IF(G38="","Missing from bank",IF(ABS(H38)&gt;Mapping_Rules!$B$4,"Amount variance","Date variance")))</f>
        <v/>
      </c>
      <c r="M38" s="137">
        <f>IF(K38="Matched","Low",IF(OR(IFERROR(ABS(H38),0)&gt;Mapping_Rules!$B$7,IFERROR(J38,0)&gt;Mapping_Rules!$B$8),"High","Medium"))</f>
        <v/>
      </c>
      <c r="N38" s="137">
        <f>IF(K38="Matched","No action needed",IF(L38="Missing from bank","Check bank date or posting",IF(L38="Amount variance","Check invoice/payment amount","Check timing difference")))</f>
        <v/>
      </c>
      <c r="O38" s="115" t="inlineStr">
        <is>
          <t>1200 AR</t>
        </is>
      </c>
      <c r="P38" s="115" t="inlineStr">
        <is>
          <t>AR Clerk</t>
        </is>
      </c>
      <c r="Q38" s="115" t="inlineStr">
        <is>
          <t>No</t>
        </is>
      </c>
      <c r="R38" s="138" t="str"/>
      <c r="S38" s="139">
        <f>IF(K38="Matched",0,Mapping_Rules!$B$6-B38)</f>
        <v/>
      </c>
    </row>
    <row r="39">
      <c r="A39" s="140" t="inlineStr">
        <is>
          <t>ERP-00036</t>
        </is>
      </c>
      <c r="B39" s="141" t="n">
        <v>46040</v>
      </c>
      <c r="C39" s="140" t="inlineStr">
        <is>
          <t>GL</t>
        </is>
      </c>
      <c r="D39" s="140" t="inlineStr">
        <is>
          <t>Raincity Tech</t>
        </is>
      </c>
      <c r="E39" s="140" t="inlineStr">
        <is>
          <t>REF-100036</t>
        </is>
      </c>
      <c r="F39" s="142" t="n">
        <v>-4920.07</v>
      </c>
      <c r="G39" s="143">
        <f>IFERROR(XLOOKUP(E39,Bank_Statement!$D$4:$D$448,Bank_Statement!$G$4:$G$448,""),"")</f>
        <v/>
      </c>
      <c r="H39" s="142">
        <f>IF(G39="","",F39-G39)</f>
        <v/>
      </c>
      <c r="I39" s="144">
        <f>IFERROR(XLOOKUP(E39,Bank_Statement!$D$4:$D$448,Bank_Statement!$B$4:$B$448,""),"")</f>
        <v/>
      </c>
      <c r="J39" s="145">
        <f>IF(I39="","",ABS(B39-I39))</f>
        <v/>
      </c>
      <c r="K39" s="146">
        <f>IF(G39="","Unmatched ERP",IF(AND(ABS(H39)&lt;=Mapping_Rules!$B$4,ABS(J39)&lt;=Mapping_Rules!$B$5),"Matched","Review"))</f>
        <v/>
      </c>
      <c r="L39" s="146">
        <f>IF(K39="Matched","None",IF(G39="","Missing from bank",IF(ABS(H39)&gt;Mapping_Rules!$B$4,"Amount variance","Date variance")))</f>
        <v/>
      </c>
      <c r="M39" s="146">
        <f>IF(K39="Matched","Low",IF(OR(IFERROR(ABS(H39),0)&gt;Mapping_Rules!$B$7,IFERROR(J39,0)&gt;Mapping_Rules!$B$8),"High","Medium"))</f>
        <v/>
      </c>
      <c r="N39" s="146">
        <f>IF(K39="Matched","No action needed",IF(L39="Missing from bank","Check bank date or posting",IF(L39="Amount variance","Check invoice/payment amount","Check timing difference")))</f>
        <v/>
      </c>
      <c r="O39" s="140" t="inlineStr">
        <is>
          <t>1010 Cash</t>
        </is>
      </c>
      <c r="P39" s="140" t="inlineStr">
        <is>
          <t>Accounting Technician</t>
        </is>
      </c>
      <c r="Q39" s="140" t="inlineStr">
        <is>
          <t>No</t>
        </is>
      </c>
      <c r="R39" s="147" t="str"/>
      <c r="S39" s="148">
        <f>IF(K39="Matched",0,Mapping_Rules!$B$6-B39)</f>
        <v/>
      </c>
    </row>
    <row r="40">
      <c r="A40" s="115" t="inlineStr">
        <is>
          <t>ERP-00037</t>
        </is>
      </c>
      <c r="B40" s="125" t="n">
        <v>46026</v>
      </c>
      <c r="C40" s="115" t="inlineStr">
        <is>
          <t>Bank Fees</t>
        </is>
      </c>
      <c r="D40" s="115" t="inlineStr">
        <is>
          <t>Bank</t>
        </is>
      </c>
      <c r="E40" s="115" t="inlineStr">
        <is>
          <t>REF-100037</t>
        </is>
      </c>
      <c r="F40" s="126" t="n">
        <v>-20.44</v>
      </c>
      <c r="G40" s="134">
        <f>IFERROR(XLOOKUP(E40,Bank_Statement!$D$4:$D$448,Bank_Statement!$G$4:$G$448,""),"")</f>
        <v/>
      </c>
      <c r="H40" s="126">
        <f>IF(G40="","",F40-G40)</f>
        <v/>
      </c>
      <c r="I40" s="135">
        <f>IFERROR(XLOOKUP(E40,Bank_Statement!$D$4:$D$448,Bank_Statement!$B$4:$B$448,""),"")</f>
        <v/>
      </c>
      <c r="J40" s="136">
        <f>IF(I40="","",ABS(B40-I40))</f>
        <v/>
      </c>
      <c r="K40" s="137">
        <f>IF(G40="","Unmatched ERP",IF(AND(ABS(H40)&lt;=Mapping_Rules!$B$4,ABS(J40)&lt;=Mapping_Rules!$B$5),"Matched","Review"))</f>
        <v/>
      </c>
      <c r="L40" s="137">
        <f>IF(K40="Matched","None",IF(G40="","Missing from bank",IF(ABS(H40)&gt;Mapping_Rules!$B$4,"Amount variance","Date variance")))</f>
        <v/>
      </c>
      <c r="M40" s="137">
        <f>IF(K40="Matched","Low",IF(OR(IFERROR(ABS(H40),0)&gt;Mapping_Rules!$B$7,IFERROR(J40,0)&gt;Mapping_Rules!$B$8),"High","Medium"))</f>
        <v/>
      </c>
      <c r="N40" s="137">
        <f>IF(K40="Matched","No action needed",IF(L40="Missing from bank","Check bank date or posting",IF(L40="Amount variance","Check invoice/payment amount","Check timing difference")))</f>
        <v/>
      </c>
      <c r="O40" s="115" t="inlineStr">
        <is>
          <t>6100 Bank Fees</t>
        </is>
      </c>
      <c r="P40" s="115" t="inlineStr">
        <is>
          <t>Accounting Technician</t>
        </is>
      </c>
      <c r="Q40" s="115" t="inlineStr">
        <is>
          <t>No</t>
        </is>
      </c>
      <c r="R40" s="138" t="str"/>
      <c r="S40" s="139">
        <f>IF(K40="Matched",0,Mapping_Rules!$B$6-B40)</f>
        <v/>
      </c>
    </row>
    <row r="41">
      <c r="A41" s="140" t="inlineStr">
        <is>
          <t>ERP-00038</t>
        </is>
      </c>
      <c r="B41" s="141" t="n">
        <v>46042</v>
      </c>
      <c r="C41" s="140" t="inlineStr">
        <is>
          <t>AP</t>
        </is>
      </c>
      <c r="D41" s="140" t="inlineStr">
        <is>
          <t>Metro Cleaning Ltd.</t>
        </is>
      </c>
      <c r="E41" s="140" t="inlineStr">
        <is>
          <t>REF-100038</t>
        </is>
      </c>
      <c r="F41" s="142" t="n">
        <v>-1326.02</v>
      </c>
      <c r="G41" s="143">
        <f>IFERROR(XLOOKUP(E41,Bank_Statement!$D$4:$D$448,Bank_Statement!$G$4:$G$448,""),"")</f>
        <v/>
      </c>
      <c r="H41" s="142">
        <f>IF(G41="","",F41-G41)</f>
        <v/>
      </c>
      <c r="I41" s="144">
        <f>IFERROR(XLOOKUP(E41,Bank_Statement!$D$4:$D$448,Bank_Statement!$B$4:$B$448,""),"")</f>
        <v/>
      </c>
      <c r="J41" s="145">
        <f>IF(I41="","",ABS(B41-I41))</f>
        <v/>
      </c>
      <c r="K41" s="146">
        <f>IF(G41="","Unmatched ERP",IF(AND(ABS(H41)&lt;=Mapping_Rules!$B$4,ABS(J41)&lt;=Mapping_Rules!$B$5),"Matched","Review"))</f>
        <v/>
      </c>
      <c r="L41" s="146">
        <f>IF(K41="Matched","None",IF(G41="","Missing from bank",IF(ABS(H41)&gt;Mapping_Rules!$B$4,"Amount variance","Date variance")))</f>
        <v/>
      </c>
      <c r="M41" s="146">
        <f>IF(K41="Matched","Low",IF(OR(IFERROR(ABS(H41),0)&gt;Mapping_Rules!$B$7,IFERROR(J41,0)&gt;Mapping_Rules!$B$8),"High","Medium"))</f>
        <v/>
      </c>
      <c r="N41" s="146">
        <f>IF(K41="Matched","No action needed",IF(L41="Missing from bank","Check bank date or posting",IF(L41="Amount variance","Check invoice/payment amount","Check timing difference")))</f>
        <v/>
      </c>
      <c r="O41" s="140" t="inlineStr">
        <is>
          <t>2000 AP</t>
        </is>
      </c>
      <c r="P41" s="140" t="inlineStr">
        <is>
          <t>AP Clerk</t>
        </is>
      </c>
      <c r="Q41" s="140" t="inlineStr">
        <is>
          <t>No</t>
        </is>
      </c>
      <c r="R41" s="147" t="str"/>
      <c r="S41" s="148">
        <f>IF(K41="Matched",0,Mapping_Rules!$B$6-B41)</f>
        <v/>
      </c>
    </row>
    <row r="42">
      <c r="A42" s="115" t="inlineStr">
        <is>
          <t>ERP-00039</t>
        </is>
      </c>
      <c r="B42" s="125" t="n">
        <v>46036</v>
      </c>
      <c r="C42" s="115" t="inlineStr">
        <is>
          <t>Payroll</t>
        </is>
      </c>
      <c r="D42" s="115" t="inlineStr">
        <is>
          <t>Payroll Batch</t>
        </is>
      </c>
      <c r="E42" s="115" t="inlineStr">
        <is>
          <t>REF-100039</t>
        </is>
      </c>
      <c r="F42" s="126" t="n">
        <v>-3139.26</v>
      </c>
      <c r="G42" s="134">
        <f>IFERROR(XLOOKUP(E42,Bank_Statement!$D$4:$D$448,Bank_Statement!$G$4:$G$448,""),"")</f>
        <v/>
      </c>
      <c r="H42" s="126">
        <f>IF(G42="","",F42-G42)</f>
        <v/>
      </c>
      <c r="I42" s="135">
        <f>IFERROR(XLOOKUP(E42,Bank_Statement!$D$4:$D$448,Bank_Statement!$B$4:$B$448,""),"")</f>
        <v/>
      </c>
      <c r="J42" s="136">
        <f>IF(I42="","",ABS(B42-I42))</f>
        <v/>
      </c>
      <c r="K42" s="137">
        <f>IF(G42="","Unmatched ERP",IF(AND(ABS(H42)&lt;=Mapping_Rules!$B$4,ABS(J42)&lt;=Mapping_Rules!$B$5),"Matched","Review"))</f>
        <v/>
      </c>
      <c r="L42" s="137">
        <f>IF(K42="Matched","None",IF(G42="","Missing from bank",IF(ABS(H42)&gt;Mapping_Rules!$B$4,"Amount variance","Date variance")))</f>
        <v/>
      </c>
      <c r="M42" s="137">
        <f>IF(K42="Matched","Low",IF(OR(IFERROR(ABS(H42),0)&gt;Mapping_Rules!$B$7,IFERROR(J42,0)&gt;Mapping_Rules!$B$8),"High","Medium"))</f>
        <v/>
      </c>
      <c r="N42" s="137">
        <f>IF(K42="Matched","No action needed",IF(L42="Missing from bank","Check bank date or posting",IF(L42="Amount variance","Check invoice/payment amount","Check timing difference")))</f>
        <v/>
      </c>
      <c r="O42" s="115" t="inlineStr">
        <is>
          <t>5300 Payroll</t>
        </is>
      </c>
      <c r="P42" s="115" t="inlineStr">
        <is>
          <t>Accounting Technician</t>
        </is>
      </c>
      <c r="Q42" s="115" t="inlineStr">
        <is>
          <t>No</t>
        </is>
      </c>
      <c r="R42" s="138" t="str"/>
      <c r="S42" s="139">
        <f>IF(K42="Matched",0,Mapping_Rules!$B$6-B42)</f>
        <v/>
      </c>
    </row>
    <row r="43">
      <c r="A43" s="140" t="inlineStr">
        <is>
          <t>ERP-00040</t>
        </is>
      </c>
      <c r="B43" s="141" t="n">
        <v>46037</v>
      </c>
      <c r="C43" s="140" t="inlineStr">
        <is>
          <t>AR</t>
        </is>
      </c>
      <c r="D43" s="140" t="inlineStr">
        <is>
          <t>Granville Medical</t>
        </is>
      </c>
      <c r="E43" s="140" t="inlineStr">
        <is>
          <t>REF-100040</t>
        </is>
      </c>
      <c r="F43" s="142" t="n">
        <v>4833.57</v>
      </c>
      <c r="G43" s="143">
        <f>IFERROR(XLOOKUP(E43,Bank_Statement!$D$4:$D$448,Bank_Statement!$G$4:$G$448,""),"")</f>
        <v/>
      </c>
      <c r="H43" s="142">
        <f>IF(G43="","",F43-G43)</f>
        <v/>
      </c>
      <c r="I43" s="144">
        <f>IFERROR(XLOOKUP(E43,Bank_Statement!$D$4:$D$448,Bank_Statement!$B$4:$B$448,""),"")</f>
        <v/>
      </c>
      <c r="J43" s="145">
        <f>IF(I43="","",ABS(B43-I43))</f>
        <v/>
      </c>
      <c r="K43" s="146">
        <f>IF(G43="","Unmatched ERP",IF(AND(ABS(H43)&lt;=Mapping_Rules!$B$4,ABS(J43)&lt;=Mapping_Rules!$B$5),"Matched","Review"))</f>
        <v/>
      </c>
      <c r="L43" s="146">
        <f>IF(K43="Matched","None",IF(G43="","Missing from bank",IF(ABS(H43)&gt;Mapping_Rules!$B$4,"Amount variance","Date variance")))</f>
        <v/>
      </c>
      <c r="M43" s="146">
        <f>IF(K43="Matched","Low",IF(OR(IFERROR(ABS(H43),0)&gt;Mapping_Rules!$B$7,IFERROR(J43,0)&gt;Mapping_Rules!$B$8),"High","Medium"))</f>
        <v/>
      </c>
      <c r="N43" s="146">
        <f>IF(K43="Matched","No action needed",IF(L43="Missing from bank","Check bank date or posting",IF(L43="Amount variance","Check invoice/payment amount","Check timing difference")))</f>
        <v/>
      </c>
      <c r="O43" s="140" t="inlineStr">
        <is>
          <t>1200 AR</t>
        </is>
      </c>
      <c r="P43" s="140" t="inlineStr">
        <is>
          <t>AR Clerk</t>
        </is>
      </c>
      <c r="Q43" s="140" t="inlineStr">
        <is>
          <t>No</t>
        </is>
      </c>
      <c r="R43" s="147" t="str"/>
      <c r="S43" s="148">
        <f>IF(K43="Matched",0,Mapping_Rules!$B$6-B43)</f>
        <v/>
      </c>
    </row>
    <row r="44">
      <c r="A44" s="115" t="inlineStr">
        <is>
          <t>ERP-00041</t>
        </is>
      </c>
      <c r="B44" s="125" t="n">
        <v>46045</v>
      </c>
      <c r="C44" s="115" t="inlineStr">
        <is>
          <t>Payroll</t>
        </is>
      </c>
      <c r="D44" s="115" t="inlineStr">
        <is>
          <t>Payroll Batch</t>
        </is>
      </c>
      <c r="E44" s="115" t="inlineStr">
        <is>
          <t>REF-100041</t>
        </is>
      </c>
      <c r="F44" s="126" t="n">
        <v>-10411.06</v>
      </c>
      <c r="G44" s="134">
        <f>IFERROR(XLOOKUP(E44,Bank_Statement!$D$4:$D$448,Bank_Statement!$G$4:$G$448,""),"")</f>
        <v/>
      </c>
      <c r="H44" s="126">
        <f>IF(G44="","",F44-G44)</f>
        <v/>
      </c>
      <c r="I44" s="135">
        <f>IFERROR(XLOOKUP(E44,Bank_Statement!$D$4:$D$448,Bank_Statement!$B$4:$B$448,""),"")</f>
        <v/>
      </c>
      <c r="J44" s="136">
        <f>IF(I44="","",ABS(B44-I44))</f>
        <v/>
      </c>
      <c r="K44" s="137">
        <f>IF(G44="","Unmatched ERP",IF(AND(ABS(H44)&lt;=Mapping_Rules!$B$4,ABS(J44)&lt;=Mapping_Rules!$B$5),"Matched","Review"))</f>
        <v/>
      </c>
      <c r="L44" s="137">
        <f>IF(K44="Matched","None",IF(G44="","Missing from bank",IF(ABS(H44)&gt;Mapping_Rules!$B$4,"Amount variance","Date variance")))</f>
        <v/>
      </c>
      <c r="M44" s="137">
        <f>IF(K44="Matched","Low",IF(OR(IFERROR(ABS(H44),0)&gt;Mapping_Rules!$B$7,IFERROR(J44,0)&gt;Mapping_Rules!$B$8),"High","Medium"))</f>
        <v/>
      </c>
      <c r="N44" s="137">
        <f>IF(K44="Matched","No action needed",IF(L44="Missing from bank","Check bank date or posting",IF(L44="Amount variance","Check invoice/payment amount","Check timing difference")))</f>
        <v/>
      </c>
      <c r="O44" s="115" t="inlineStr">
        <is>
          <t>5300 Payroll</t>
        </is>
      </c>
      <c r="P44" s="115" t="inlineStr">
        <is>
          <t>Accounting Technician</t>
        </is>
      </c>
      <c r="Q44" s="115" t="inlineStr">
        <is>
          <t>No</t>
        </is>
      </c>
      <c r="R44" s="138" t="str"/>
      <c r="S44" s="139">
        <f>IF(K44="Matched",0,Mapping_Rules!$B$6-B44)</f>
        <v/>
      </c>
    </row>
    <row r="45">
      <c r="A45" s="140" t="inlineStr">
        <is>
          <t>ERP-00042</t>
        </is>
      </c>
      <c r="B45" s="141" t="n">
        <v>46032</v>
      </c>
      <c r="C45" s="140" t="inlineStr">
        <is>
          <t>AR</t>
        </is>
      </c>
      <c r="D45" s="140" t="inlineStr">
        <is>
          <t>Maple Retail Group</t>
        </is>
      </c>
      <c r="E45" s="140" t="inlineStr">
        <is>
          <t>REF-100042</t>
        </is>
      </c>
      <c r="F45" s="142" t="n">
        <v>7656.02</v>
      </c>
      <c r="G45" s="143">
        <f>IFERROR(XLOOKUP(E45,Bank_Statement!$D$4:$D$448,Bank_Statement!$G$4:$G$448,""),"")</f>
        <v/>
      </c>
      <c r="H45" s="142">
        <f>IF(G45="","",F45-G45)</f>
        <v/>
      </c>
      <c r="I45" s="144">
        <f>IFERROR(XLOOKUP(E45,Bank_Statement!$D$4:$D$448,Bank_Statement!$B$4:$B$448,""),"")</f>
        <v/>
      </c>
      <c r="J45" s="145">
        <f>IF(I45="","",ABS(B45-I45))</f>
        <v/>
      </c>
      <c r="K45" s="146">
        <f>IF(G45="","Unmatched ERP",IF(AND(ABS(H45)&lt;=Mapping_Rules!$B$4,ABS(J45)&lt;=Mapping_Rules!$B$5),"Matched","Review"))</f>
        <v/>
      </c>
      <c r="L45" s="146">
        <f>IF(K45="Matched","None",IF(G45="","Missing from bank",IF(ABS(H45)&gt;Mapping_Rules!$B$4,"Amount variance","Date variance")))</f>
        <v/>
      </c>
      <c r="M45" s="146">
        <f>IF(K45="Matched","Low",IF(OR(IFERROR(ABS(H45),0)&gt;Mapping_Rules!$B$7,IFERROR(J45,0)&gt;Mapping_Rules!$B$8),"High","Medium"))</f>
        <v/>
      </c>
      <c r="N45" s="146">
        <f>IF(K45="Matched","No action needed",IF(L45="Missing from bank","Check bank date or posting",IF(L45="Amount variance","Check invoice/payment amount","Check timing difference")))</f>
        <v/>
      </c>
      <c r="O45" s="140" t="inlineStr">
        <is>
          <t>1200 AR</t>
        </is>
      </c>
      <c r="P45" s="140" t="inlineStr">
        <is>
          <t>AR Clerk</t>
        </is>
      </c>
      <c r="Q45" s="140" t="inlineStr">
        <is>
          <t>No</t>
        </is>
      </c>
      <c r="R45" s="147" t="str"/>
      <c r="S45" s="148">
        <f>IF(K45="Matched",0,Mapping_Rules!$B$6-B45)</f>
        <v/>
      </c>
    </row>
    <row r="46">
      <c r="A46" s="115" t="inlineStr">
        <is>
          <t>ERP-00043</t>
        </is>
      </c>
      <c r="B46" s="125" t="n">
        <v>46051</v>
      </c>
      <c r="C46" s="115" t="inlineStr">
        <is>
          <t>Payroll</t>
        </is>
      </c>
      <c r="D46" s="115" t="inlineStr">
        <is>
          <t>Payroll Batch</t>
        </is>
      </c>
      <c r="E46" s="115" t="inlineStr">
        <is>
          <t>REF-100043</t>
        </is>
      </c>
      <c r="F46" s="126" t="n">
        <v>-16620.64</v>
      </c>
      <c r="G46" s="134">
        <f>IFERROR(XLOOKUP(E46,Bank_Statement!$D$4:$D$448,Bank_Statement!$G$4:$G$448,""),"")</f>
        <v/>
      </c>
      <c r="H46" s="126">
        <f>IF(G46="","",F46-G46)</f>
        <v/>
      </c>
      <c r="I46" s="135">
        <f>IFERROR(XLOOKUP(E46,Bank_Statement!$D$4:$D$448,Bank_Statement!$B$4:$B$448,""),"")</f>
        <v/>
      </c>
      <c r="J46" s="136">
        <f>IF(I46="","",ABS(B46-I46))</f>
        <v/>
      </c>
      <c r="K46" s="137">
        <f>IF(G46="","Unmatched ERP",IF(AND(ABS(H46)&lt;=Mapping_Rules!$B$4,ABS(J46)&lt;=Mapping_Rules!$B$5),"Matched","Review"))</f>
        <v/>
      </c>
      <c r="L46" s="137">
        <f>IF(K46="Matched","None",IF(G46="","Missing from bank",IF(ABS(H46)&gt;Mapping_Rules!$B$4,"Amount variance","Date variance")))</f>
        <v/>
      </c>
      <c r="M46" s="137">
        <f>IF(K46="Matched","Low",IF(OR(IFERROR(ABS(H46),0)&gt;Mapping_Rules!$B$7,IFERROR(J46,0)&gt;Mapping_Rules!$B$8),"High","Medium"))</f>
        <v/>
      </c>
      <c r="N46" s="137">
        <f>IF(K46="Matched","No action needed",IF(L46="Missing from bank","Check bank date or posting",IF(L46="Amount variance","Check invoice/payment amount","Check timing difference")))</f>
        <v/>
      </c>
      <c r="O46" s="115" t="inlineStr">
        <is>
          <t>5300 Payroll</t>
        </is>
      </c>
      <c r="P46" s="115" t="inlineStr">
        <is>
          <t>Accounting Technician</t>
        </is>
      </c>
      <c r="Q46" s="115" t="inlineStr">
        <is>
          <t>No</t>
        </is>
      </c>
      <c r="R46" s="138" t="str"/>
      <c r="S46" s="139">
        <f>IF(K46="Matched",0,Mapping_Rules!$B$6-B46)</f>
        <v/>
      </c>
    </row>
    <row r="47">
      <c r="A47" s="140" t="inlineStr">
        <is>
          <t>ERP-00044</t>
        </is>
      </c>
      <c r="B47" s="141" t="n">
        <v>46048</v>
      </c>
      <c r="C47" s="140" t="inlineStr">
        <is>
          <t>Payroll</t>
        </is>
      </c>
      <c r="D47" s="140" t="inlineStr">
        <is>
          <t>Payroll Batch</t>
        </is>
      </c>
      <c r="E47" s="140" t="inlineStr">
        <is>
          <t>REF-100044</t>
        </is>
      </c>
      <c r="F47" s="142" t="n">
        <v>-15280.53</v>
      </c>
      <c r="G47" s="143">
        <f>IFERROR(XLOOKUP(E47,Bank_Statement!$D$4:$D$448,Bank_Statement!$G$4:$G$448,""),"")</f>
        <v/>
      </c>
      <c r="H47" s="142">
        <f>IF(G47="","",F47-G47)</f>
        <v/>
      </c>
      <c r="I47" s="144">
        <f>IFERROR(XLOOKUP(E47,Bank_Statement!$D$4:$D$448,Bank_Statement!$B$4:$B$448,""),"")</f>
        <v/>
      </c>
      <c r="J47" s="145">
        <f>IF(I47="","",ABS(B47-I47))</f>
        <v/>
      </c>
      <c r="K47" s="146">
        <f>IF(G47="","Unmatched ERP",IF(AND(ABS(H47)&lt;=Mapping_Rules!$B$4,ABS(J47)&lt;=Mapping_Rules!$B$5),"Matched","Review"))</f>
        <v/>
      </c>
      <c r="L47" s="146">
        <f>IF(K47="Matched","None",IF(G47="","Missing from bank",IF(ABS(H47)&gt;Mapping_Rules!$B$4,"Amount variance","Date variance")))</f>
        <v/>
      </c>
      <c r="M47" s="146">
        <f>IF(K47="Matched","Low",IF(OR(IFERROR(ABS(H47),0)&gt;Mapping_Rules!$B$7,IFERROR(J47,0)&gt;Mapping_Rules!$B$8),"High","Medium"))</f>
        <v/>
      </c>
      <c r="N47" s="146">
        <f>IF(K47="Matched","No action needed",IF(L47="Missing from bank","Check bank date or posting",IF(L47="Amount variance","Check invoice/payment amount","Check timing difference")))</f>
        <v/>
      </c>
      <c r="O47" s="140" t="inlineStr">
        <is>
          <t>5300 Payroll</t>
        </is>
      </c>
      <c r="P47" s="140" t="inlineStr">
        <is>
          <t>Accounting Technician</t>
        </is>
      </c>
      <c r="Q47" s="140" t="inlineStr">
        <is>
          <t>No</t>
        </is>
      </c>
      <c r="R47" s="147" t="str"/>
      <c r="S47" s="148">
        <f>IF(K47="Matched",0,Mapping_Rules!$B$6-B47)</f>
        <v/>
      </c>
    </row>
    <row r="48">
      <c r="A48" s="115" t="inlineStr">
        <is>
          <t>ERP-00045</t>
        </is>
      </c>
      <c r="B48" s="125" t="n">
        <v>46036</v>
      </c>
      <c r="C48" s="115" t="inlineStr">
        <is>
          <t>Payroll</t>
        </is>
      </c>
      <c r="D48" s="115" t="inlineStr">
        <is>
          <t>Payroll Batch</t>
        </is>
      </c>
      <c r="E48" s="115" t="inlineStr">
        <is>
          <t>REF-100045</t>
        </is>
      </c>
      <c r="F48" s="126" t="n">
        <v>-15028.93</v>
      </c>
      <c r="G48" s="134">
        <f>IFERROR(XLOOKUP(E48,Bank_Statement!$D$4:$D$448,Bank_Statement!$G$4:$G$448,""),"")</f>
        <v/>
      </c>
      <c r="H48" s="126">
        <f>IF(G48="","",F48-G48)</f>
        <v/>
      </c>
      <c r="I48" s="135">
        <f>IFERROR(XLOOKUP(E48,Bank_Statement!$D$4:$D$448,Bank_Statement!$B$4:$B$448,""),"")</f>
        <v/>
      </c>
      <c r="J48" s="136">
        <f>IF(I48="","",ABS(B48-I48))</f>
        <v/>
      </c>
      <c r="K48" s="137">
        <f>IF(G48="","Unmatched ERP",IF(AND(ABS(H48)&lt;=Mapping_Rules!$B$4,ABS(J48)&lt;=Mapping_Rules!$B$5),"Matched","Review"))</f>
        <v/>
      </c>
      <c r="L48" s="137">
        <f>IF(K48="Matched","None",IF(G48="","Missing from bank",IF(ABS(H48)&gt;Mapping_Rules!$B$4,"Amount variance","Date variance")))</f>
        <v/>
      </c>
      <c r="M48" s="137">
        <f>IF(K48="Matched","Low",IF(OR(IFERROR(ABS(H48),0)&gt;Mapping_Rules!$B$7,IFERROR(J48,0)&gt;Mapping_Rules!$B$8),"High","Medium"))</f>
        <v/>
      </c>
      <c r="N48" s="137">
        <f>IF(K48="Matched","No action needed",IF(L48="Missing from bank","Check bank date or posting",IF(L48="Amount variance","Check invoice/payment amount","Check timing difference")))</f>
        <v/>
      </c>
      <c r="O48" s="115" t="inlineStr">
        <is>
          <t>5300 Payroll</t>
        </is>
      </c>
      <c r="P48" s="115" t="inlineStr">
        <is>
          <t>Accounting Technician</t>
        </is>
      </c>
      <c r="Q48" s="115" t="inlineStr">
        <is>
          <t>No</t>
        </is>
      </c>
      <c r="R48" s="138" t="str"/>
      <c r="S48" s="139">
        <f>IF(K48="Matched",0,Mapping_Rules!$B$6-B48)</f>
        <v/>
      </c>
    </row>
    <row r="49">
      <c r="A49" s="140" t="inlineStr">
        <is>
          <t>ERP-00046</t>
        </is>
      </c>
      <c r="B49" s="141" t="n">
        <v>46024</v>
      </c>
      <c r="C49" s="140" t="inlineStr">
        <is>
          <t>Payroll</t>
        </is>
      </c>
      <c r="D49" s="140" t="inlineStr">
        <is>
          <t>Payroll Batch</t>
        </is>
      </c>
      <c r="E49" s="140" t="inlineStr">
        <is>
          <t>REF-100046</t>
        </is>
      </c>
      <c r="F49" s="142" t="n">
        <v>-5725.29</v>
      </c>
      <c r="G49" s="143">
        <f>IFERROR(XLOOKUP(E49,Bank_Statement!$D$4:$D$448,Bank_Statement!$G$4:$G$448,""),"")</f>
        <v/>
      </c>
      <c r="H49" s="142">
        <f>IF(G49="","",F49-G49)</f>
        <v/>
      </c>
      <c r="I49" s="144">
        <f>IFERROR(XLOOKUP(E49,Bank_Statement!$D$4:$D$448,Bank_Statement!$B$4:$B$448,""),"")</f>
        <v/>
      </c>
      <c r="J49" s="145">
        <f>IF(I49="","",ABS(B49-I49))</f>
        <v/>
      </c>
      <c r="K49" s="146">
        <f>IF(G49="","Unmatched ERP",IF(AND(ABS(H49)&lt;=Mapping_Rules!$B$4,ABS(J49)&lt;=Mapping_Rules!$B$5),"Matched","Review"))</f>
        <v/>
      </c>
      <c r="L49" s="146">
        <f>IF(K49="Matched","None",IF(G49="","Missing from bank",IF(ABS(H49)&gt;Mapping_Rules!$B$4,"Amount variance","Date variance")))</f>
        <v/>
      </c>
      <c r="M49" s="146">
        <f>IF(K49="Matched","Low",IF(OR(IFERROR(ABS(H49),0)&gt;Mapping_Rules!$B$7,IFERROR(J49,0)&gt;Mapping_Rules!$B$8),"High","Medium"))</f>
        <v/>
      </c>
      <c r="N49" s="146">
        <f>IF(K49="Matched","No action needed",IF(L49="Missing from bank","Check bank date or posting",IF(L49="Amount variance","Check invoice/payment amount","Check timing difference")))</f>
        <v/>
      </c>
      <c r="O49" s="140" t="inlineStr">
        <is>
          <t>5300 Payroll</t>
        </is>
      </c>
      <c r="P49" s="140" t="inlineStr">
        <is>
          <t>Accounting Technician</t>
        </is>
      </c>
      <c r="Q49" s="140" t="inlineStr">
        <is>
          <t>No</t>
        </is>
      </c>
      <c r="R49" s="147" t="str"/>
      <c r="S49" s="148">
        <f>IF(K49="Matched",0,Mapping_Rules!$B$6-B49)</f>
        <v/>
      </c>
    </row>
    <row r="50">
      <c r="A50" s="115" t="inlineStr">
        <is>
          <t>ERP-00047</t>
        </is>
      </c>
      <c r="B50" s="125" t="n">
        <v>46044</v>
      </c>
      <c r="C50" s="115" t="inlineStr">
        <is>
          <t>AP</t>
        </is>
      </c>
      <c r="D50" s="115" t="inlineStr">
        <is>
          <t>Metro Cleaning Ltd.</t>
        </is>
      </c>
      <c r="E50" s="115" t="inlineStr">
        <is>
          <t>REF-100047</t>
        </is>
      </c>
      <c r="F50" s="126" t="n">
        <v>-1785.05</v>
      </c>
      <c r="G50" s="134">
        <f>IFERROR(XLOOKUP(E50,Bank_Statement!$D$4:$D$448,Bank_Statement!$G$4:$G$448,""),"")</f>
        <v/>
      </c>
      <c r="H50" s="126">
        <f>IF(G50="","",F50-G50)</f>
        <v/>
      </c>
      <c r="I50" s="135">
        <f>IFERROR(XLOOKUP(E50,Bank_Statement!$D$4:$D$448,Bank_Statement!$B$4:$B$448,""),"")</f>
        <v/>
      </c>
      <c r="J50" s="136">
        <f>IF(I50="","",ABS(B50-I50))</f>
        <v/>
      </c>
      <c r="K50" s="137">
        <f>IF(G50="","Unmatched ERP",IF(AND(ABS(H50)&lt;=Mapping_Rules!$B$4,ABS(J50)&lt;=Mapping_Rules!$B$5),"Matched","Review"))</f>
        <v/>
      </c>
      <c r="L50" s="137">
        <f>IF(K50="Matched","None",IF(G50="","Missing from bank",IF(ABS(H50)&gt;Mapping_Rules!$B$4,"Amount variance","Date variance")))</f>
        <v/>
      </c>
      <c r="M50" s="137">
        <f>IF(K50="Matched","Low",IF(OR(IFERROR(ABS(H50),0)&gt;Mapping_Rules!$B$7,IFERROR(J50,0)&gt;Mapping_Rules!$B$8),"High","Medium"))</f>
        <v/>
      </c>
      <c r="N50" s="137">
        <f>IF(K50="Matched","No action needed",IF(L50="Missing from bank","Check bank date or posting",IF(L50="Amount variance","Check invoice/payment amount","Check timing difference")))</f>
        <v/>
      </c>
      <c r="O50" s="115" t="inlineStr">
        <is>
          <t>2000 AP</t>
        </is>
      </c>
      <c r="P50" s="115" t="inlineStr">
        <is>
          <t>AP Clerk</t>
        </is>
      </c>
      <c r="Q50" s="115" t="inlineStr">
        <is>
          <t>No</t>
        </is>
      </c>
      <c r="R50" s="138" t="str"/>
      <c r="S50" s="139">
        <f>IF(K50="Matched",0,Mapping_Rules!$B$6-B50)</f>
        <v/>
      </c>
    </row>
    <row r="51">
      <c r="A51" s="140" t="inlineStr">
        <is>
          <t>ERP-00048</t>
        </is>
      </c>
      <c r="B51" s="141" t="n">
        <v>46049</v>
      </c>
      <c r="C51" s="140" t="inlineStr">
        <is>
          <t>AR</t>
        </is>
      </c>
      <c r="D51" s="140" t="inlineStr">
        <is>
          <t>Maple Retail Group</t>
        </is>
      </c>
      <c r="E51" s="140" t="inlineStr">
        <is>
          <t>REF-100048</t>
        </is>
      </c>
      <c r="F51" s="142" t="n">
        <v>1113.1</v>
      </c>
      <c r="G51" s="143">
        <f>IFERROR(XLOOKUP(E51,Bank_Statement!$D$4:$D$448,Bank_Statement!$G$4:$G$448,""),"")</f>
        <v/>
      </c>
      <c r="H51" s="142">
        <f>IF(G51="","",F51-G51)</f>
        <v/>
      </c>
      <c r="I51" s="144">
        <f>IFERROR(XLOOKUP(E51,Bank_Statement!$D$4:$D$448,Bank_Statement!$B$4:$B$448,""),"")</f>
        <v/>
      </c>
      <c r="J51" s="145">
        <f>IF(I51="","",ABS(B51-I51))</f>
        <v/>
      </c>
      <c r="K51" s="146">
        <f>IF(G51="","Unmatched ERP",IF(AND(ABS(H51)&lt;=Mapping_Rules!$B$4,ABS(J51)&lt;=Mapping_Rules!$B$5),"Matched","Review"))</f>
        <v/>
      </c>
      <c r="L51" s="146">
        <f>IF(K51="Matched","None",IF(G51="","Missing from bank",IF(ABS(H51)&gt;Mapping_Rules!$B$4,"Amount variance","Date variance")))</f>
        <v/>
      </c>
      <c r="M51" s="146">
        <f>IF(K51="Matched","Low",IF(OR(IFERROR(ABS(H51),0)&gt;Mapping_Rules!$B$7,IFERROR(J51,0)&gt;Mapping_Rules!$B$8),"High","Medium"))</f>
        <v/>
      </c>
      <c r="N51" s="146">
        <f>IF(K51="Matched","No action needed",IF(L51="Missing from bank","Check bank date or posting",IF(L51="Amount variance","Check invoice/payment amount","Check timing difference")))</f>
        <v/>
      </c>
      <c r="O51" s="140" t="inlineStr">
        <is>
          <t>1200 AR</t>
        </is>
      </c>
      <c r="P51" s="140" t="inlineStr">
        <is>
          <t>AR Clerk</t>
        </is>
      </c>
      <c r="Q51" s="140" t="inlineStr">
        <is>
          <t>No</t>
        </is>
      </c>
      <c r="R51" s="147" t="str"/>
      <c r="S51" s="148">
        <f>IF(K51="Matched",0,Mapping_Rules!$B$6-B51)</f>
        <v/>
      </c>
    </row>
    <row r="52">
      <c r="A52" s="115" t="inlineStr">
        <is>
          <t>ERP-00049</t>
        </is>
      </c>
      <c r="B52" s="125" t="n">
        <v>46036</v>
      </c>
      <c r="C52" s="115" t="inlineStr">
        <is>
          <t>AP</t>
        </is>
      </c>
      <c r="D52" s="115" t="inlineStr">
        <is>
          <t>Vancouver Courier</t>
        </is>
      </c>
      <c r="E52" s="115" t="inlineStr">
        <is>
          <t>REF-100049</t>
        </is>
      </c>
      <c r="F52" s="126" t="n">
        <v>-1999.71</v>
      </c>
      <c r="G52" s="134">
        <f>IFERROR(XLOOKUP(E52,Bank_Statement!$D$4:$D$448,Bank_Statement!$G$4:$G$448,""),"")</f>
        <v/>
      </c>
      <c r="H52" s="126">
        <f>IF(G52="","",F52-G52)</f>
        <v/>
      </c>
      <c r="I52" s="135">
        <f>IFERROR(XLOOKUP(E52,Bank_Statement!$D$4:$D$448,Bank_Statement!$B$4:$B$448,""),"")</f>
        <v/>
      </c>
      <c r="J52" s="136">
        <f>IF(I52="","",ABS(B52-I52))</f>
        <v/>
      </c>
      <c r="K52" s="137">
        <f>IF(G52="","Unmatched ERP",IF(AND(ABS(H52)&lt;=Mapping_Rules!$B$4,ABS(J52)&lt;=Mapping_Rules!$B$5),"Matched","Review"))</f>
        <v/>
      </c>
      <c r="L52" s="137">
        <f>IF(K52="Matched","None",IF(G52="","Missing from bank",IF(ABS(H52)&gt;Mapping_Rules!$B$4,"Amount variance","Date variance")))</f>
        <v/>
      </c>
      <c r="M52" s="137">
        <f>IF(K52="Matched","Low",IF(OR(IFERROR(ABS(H52),0)&gt;Mapping_Rules!$B$7,IFERROR(J52,0)&gt;Mapping_Rules!$B$8),"High","Medium"))</f>
        <v/>
      </c>
      <c r="N52" s="137">
        <f>IF(K52="Matched","No action needed",IF(L52="Missing from bank","Check bank date or posting",IF(L52="Amount variance","Check invoice/payment amount","Check timing difference")))</f>
        <v/>
      </c>
      <c r="O52" s="115" t="inlineStr">
        <is>
          <t>2000 AP</t>
        </is>
      </c>
      <c r="P52" s="115" t="inlineStr">
        <is>
          <t>AP Clerk</t>
        </is>
      </c>
      <c r="Q52" s="115" t="inlineStr">
        <is>
          <t>No</t>
        </is>
      </c>
      <c r="R52" s="138" t="str"/>
      <c r="S52" s="139">
        <f>IF(K52="Matched",0,Mapping_Rules!$B$6-B52)</f>
        <v/>
      </c>
    </row>
    <row r="53">
      <c r="A53" s="140" t="inlineStr">
        <is>
          <t>ERP-00050</t>
        </is>
      </c>
      <c r="B53" s="141" t="n">
        <v>46045</v>
      </c>
      <c r="C53" s="140" t="inlineStr">
        <is>
          <t>AR</t>
        </is>
      </c>
      <c r="D53" s="140" t="inlineStr">
        <is>
          <t>West Van Fitness</t>
        </is>
      </c>
      <c r="E53" s="140" t="inlineStr">
        <is>
          <t>REF-100050</t>
        </is>
      </c>
      <c r="F53" s="142" t="n">
        <v>7878.55</v>
      </c>
      <c r="G53" s="143">
        <f>IFERROR(XLOOKUP(E53,Bank_Statement!$D$4:$D$448,Bank_Statement!$G$4:$G$448,""),"")</f>
        <v/>
      </c>
      <c r="H53" s="142">
        <f>IF(G53="","",F53-G53)</f>
        <v/>
      </c>
      <c r="I53" s="144">
        <f>IFERROR(XLOOKUP(E53,Bank_Statement!$D$4:$D$448,Bank_Statement!$B$4:$B$448,""),"")</f>
        <v/>
      </c>
      <c r="J53" s="145">
        <f>IF(I53="","",ABS(B53-I53))</f>
        <v/>
      </c>
      <c r="K53" s="146">
        <f>IF(G53="","Unmatched ERP",IF(AND(ABS(H53)&lt;=Mapping_Rules!$B$4,ABS(J53)&lt;=Mapping_Rules!$B$5),"Matched","Review"))</f>
        <v/>
      </c>
      <c r="L53" s="146">
        <f>IF(K53="Matched","None",IF(G53="","Missing from bank",IF(ABS(H53)&gt;Mapping_Rules!$B$4,"Amount variance","Date variance")))</f>
        <v/>
      </c>
      <c r="M53" s="146">
        <f>IF(K53="Matched","Low",IF(OR(IFERROR(ABS(H53),0)&gt;Mapping_Rules!$B$7,IFERROR(J53,0)&gt;Mapping_Rules!$B$8),"High","Medium"))</f>
        <v/>
      </c>
      <c r="N53" s="146">
        <f>IF(K53="Matched","No action needed",IF(L53="Missing from bank","Check bank date or posting",IF(L53="Amount variance","Check invoice/payment amount","Check timing difference")))</f>
        <v/>
      </c>
      <c r="O53" s="140" t="inlineStr">
        <is>
          <t>1200 AR</t>
        </is>
      </c>
      <c r="P53" s="140" t="inlineStr">
        <is>
          <t>AR Clerk</t>
        </is>
      </c>
      <c r="Q53" s="140" t="inlineStr">
        <is>
          <t>No</t>
        </is>
      </c>
      <c r="R53" s="147" t="str"/>
      <c r="S53" s="148">
        <f>IF(K53="Matched",0,Mapping_Rules!$B$6-B53)</f>
        <v/>
      </c>
    </row>
    <row r="54">
      <c r="A54" s="115" t="inlineStr">
        <is>
          <t>ERP-00051</t>
        </is>
      </c>
      <c r="B54" s="125" t="n">
        <v>46052</v>
      </c>
      <c r="C54" s="115" t="inlineStr">
        <is>
          <t>AP</t>
        </is>
      </c>
      <c r="D54" s="115" t="inlineStr">
        <is>
          <t>Metro Cleaning Ltd.</t>
        </is>
      </c>
      <c r="E54" s="115" t="inlineStr">
        <is>
          <t>REF-100051</t>
        </is>
      </c>
      <c r="F54" s="126" t="n">
        <v>-4139.93</v>
      </c>
      <c r="G54" s="134">
        <f>IFERROR(XLOOKUP(E54,Bank_Statement!$D$4:$D$448,Bank_Statement!$G$4:$G$448,""),"")</f>
        <v/>
      </c>
      <c r="H54" s="126">
        <f>IF(G54="","",F54-G54)</f>
        <v/>
      </c>
      <c r="I54" s="135">
        <f>IFERROR(XLOOKUP(E54,Bank_Statement!$D$4:$D$448,Bank_Statement!$B$4:$B$448,""),"")</f>
        <v/>
      </c>
      <c r="J54" s="136">
        <f>IF(I54="","",ABS(B54-I54))</f>
        <v/>
      </c>
      <c r="K54" s="137">
        <f>IF(G54="","Unmatched ERP",IF(AND(ABS(H54)&lt;=Mapping_Rules!$B$4,ABS(J54)&lt;=Mapping_Rules!$B$5),"Matched","Review"))</f>
        <v/>
      </c>
      <c r="L54" s="137">
        <f>IF(K54="Matched","None",IF(G54="","Missing from bank",IF(ABS(H54)&gt;Mapping_Rules!$B$4,"Amount variance","Date variance")))</f>
        <v/>
      </c>
      <c r="M54" s="137">
        <f>IF(K54="Matched","Low",IF(OR(IFERROR(ABS(H54),0)&gt;Mapping_Rules!$B$7,IFERROR(J54,0)&gt;Mapping_Rules!$B$8),"High","Medium"))</f>
        <v/>
      </c>
      <c r="N54" s="137">
        <f>IF(K54="Matched","No action needed",IF(L54="Missing from bank","Check bank date or posting",IF(L54="Amount variance","Check invoice/payment amount","Check timing difference")))</f>
        <v/>
      </c>
      <c r="O54" s="115" t="inlineStr">
        <is>
          <t>2000 AP</t>
        </is>
      </c>
      <c r="P54" s="115" t="inlineStr">
        <is>
          <t>AP Clerk</t>
        </is>
      </c>
      <c r="Q54" s="115" t="inlineStr">
        <is>
          <t>No</t>
        </is>
      </c>
      <c r="R54" s="138" t="str"/>
      <c r="S54" s="139">
        <f>IF(K54="Matched",0,Mapping_Rules!$B$6-B54)</f>
        <v/>
      </c>
    </row>
    <row r="55">
      <c r="A55" s="140" t="inlineStr">
        <is>
          <t>ERP-00052</t>
        </is>
      </c>
      <c r="B55" s="141" t="n">
        <v>46045</v>
      </c>
      <c r="C55" s="140" t="inlineStr">
        <is>
          <t>AP</t>
        </is>
      </c>
      <c r="D55" s="140" t="inlineStr">
        <is>
          <t>North Shore Telecom</t>
        </is>
      </c>
      <c r="E55" s="140" t="inlineStr">
        <is>
          <t>REF-100052</t>
        </is>
      </c>
      <c r="F55" s="142" t="n">
        <v>-1254.06</v>
      </c>
      <c r="G55" s="143">
        <f>IFERROR(XLOOKUP(E55,Bank_Statement!$D$4:$D$448,Bank_Statement!$G$4:$G$448,""),"")</f>
        <v/>
      </c>
      <c r="H55" s="142">
        <f>IF(G55="","",F55-G55)</f>
        <v/>
      </c>
      <c r="I55" s="144">
        <f>IFERROR(XLOOKUP(E55,Bank_Statement!$D$4:$D$448,Bank_Statement!$B$4:$B$448,""),"")</f>
        <v/>
      </c>
      <c r="J55" s="145">
        <f>IF(I55="","",ABS(B55-I55))</f>
        <v/>
      </c>
      <c r="K55" s="146">
        <f>IF(G55="","Unmatched ERP",IF(AND(ABS(H55)&lt;=Mapping_Rules!$B$4,ABS(J55)&lt;=Mapping_Rules!$B$5),"Matched","Review"))</f>
        <v/>
      </c>
      <c r="L55" s="146">
        <f>IF(K55="Matched","None",IF(G55="","Missing from bank",IF(ABS(H55)&gt;Mapping_Rules!$B$4,"Amount variance","Date variance")))</f>
        <v/>
      </c>
      <c r="M55" s="146">
        <f>IF(K55="Matched","Low",IF(OR(IFERROR(ABS(H55),0)&gt;Mapping_Rules!$B$7,IFERROR(J55,0)&gt;Mapping_Rules!$B$8),"High","Medium"))</f>
        <v/>
      </c>
      <c r="N55" s="146">
        <f>IF(K55="Matched","No action needed",IF(L55="Missing from bank","Check bank date or posting",IF(L55="Amount variance","Check invoice/payment amount","Check timing difference")))</f>
        <v/>
      </c>
      <c r="O55" s="140" t="inlineStr">
        <is>
          <t>2000 AP</t>
        </is>
      </c>
      <c r="P55" s="140" t="inlineStr">
        <is>
          <t>AP Clerk</t>
        </is>
      </c>
      <c r="Q55" s="140" t="inlineStr">
        <is>
          <t>No</t>
        </is>
      </c>
      <c r="R55" s="147" t="str"/>
      <c r="S55" s="148">
        <f>IF(K55="Matched",0,Mapping_Rules!$B$6-B55)</f>
        <v/>
      </c>
    </row>
    <row r="56">
      <c r="A56" s="115" t="inlineStr">
        <is>
          <t>ERP-00053</t>
        </is>
      </c>
      <c r="B56" s="125" t="n">
        <v>46049</v>
      </c>
      <c r="C56" s="115" t="inlineStr">
        <is>
          <t>AP</t>
        </is>
      </c>
      <c r="D56" s="115" t="inlineStr">
        <is>
          <t>Metro Cleaning Ltd.</t>
        </is>
      </c>
      <c r="E56" s="115" t="inlineStr">
        <is>
          <t>REF-100053</t>
        </is>
      </c>
      <c r="F56" s="126" t="n">
        <v>-1366.32</v>
      </c>
      <c r="G56" s="134">
        <f>IFERROR(XLOOKUP(E56,Bank_Statement!$D$4:$D$448,Bank_Statement!$G$4:$G$448,""),"")</f>
        <v/>
      </c>
      <c r="H56" s="126">
        <f>IF(G56="","",F56-G56)</f>
        <v/>
      </c>
      <c r="I56" s="135">
        <f>IFERROR(XLOOKUP(E56,Bank_Statement!$D$4:$D$448,Bank_Statement!$B$4:$B$448,""),"")</f>
        <v/>
      </c>
      <c r="J56" s="136">
        <f>IF(I56="","",ABS(B56-I56))</f>
        <v/>
      </c>
      <c r="K56" s="137">
        <f>IF(G56="","Unmatched ERP",IF(AND(ABS(H56)&lt;=Mapping_Rules!$B$4,ABS(J56)&lt;=Mapping_Rules!$B$5),"Matched","Review"))</f>
        <v/>
      </c>
      <c r="L56" s="137">
        <f>IF(K56="Matched","None",IF(G56="","Missing from bank",IF(ABS(H56)&gt;Mapping_Rules!$B$4,"Amount variance","Date variance")))</f>
        <v/>
      </c>
      <c r="M56" s="137">
        <f>IF(K56="Matched","Low",IF(OR(IFERROR(ABS(H56),0)&gt;Mapping_Rules!$B$7,IFERROR(J56,0)&gt;Mapping_Rules!$B$8),"High","Medium"))</f>
        <v/>
      </c>
      <c r="N56" s="137">
        <f>IF(K56="Matched","No action needed",IF(L56="Missing from bank","Check bank date or posting",IF(L56="Amount variance","Check invoice/payment amount","Check timing difference")))</f>
        <v/>
      </c>
      <c r="O56" s="115" t="inlineStr">
        <is>
          <t>2000 AP</t>
        </is>
      </c>
      <c r="P56" s="115" t="inlineStr">
        <is>
          <t>AP Clerk</t>
        </is>
      </c>
      <c r="Q56" s="115" t="inlineStr">
        <is>
          <t>No</t>
        </is>
      </c>
      <c r="R56" s="138" t="str"/>
      <c r="S56" s="139">
        <f>IF(K56="Matched",0,Mapping_Rules!$B$6-B56)</f>
        <v/>
      </c>
    </row>
    <row r="57">
      <c r="A57" s="140" t="inlineStr">
        <is>
          <t>ERP-00054</t>
        </is>
      </c>
      <c r="B57" s="141" t="n">
        <v>46044</v>
      </c>
      <c r="C57" s="140" t="inlineStr">
        <is>
          <t>AP</t>
        </is>
      </c>
      <c r="D57" s="140" t="inlineStr">
        <is>
          <t>BC Hydro</t>
        </is>
      </c>
      <c r="E57" s="140" t="inlineStr">
        <is>
          <t>REF-100054</t>
        </is>
      </c>
      <c r="F57" s="142" t="n">
        <v>-4937.66</v>
      </c>
      <c r="G57" s="143">
        <f>IFERROR(XLOOKUP(E57,Bank_Statement!$D$4:$D$448,Bank_Statement!$G$4:$G$448,""),"")</f>
        <v/>
      </c>
      <c r="H57" s="142">
        <f>IF(G57="","",F57-G57)</f>
        <v/>
      </c>
      <c r="I57" s="144">
        <f>IFERROR(XLOOKUP(E57,Bank_Statement!$D$4:$D$448,Bank_Statement!$B$4:$B$448,""),"")</f>
        <v/>
      </c>
      <c r="J57" s="145">
        <f>IF(I57="","",ABS(B57-I57))</f>
        <v/>
      </c>
      <c r="K57" s="146">
        <f>IF(G57="","Unmatched ERP",IF(AND(ABS(H57)&lt;=Mapping_Rules!$B$4,ABS(J57)&lt;=Mapping_Rules!$B$5),"Matched","Review"))</f>
        <v/>
      </c>
      <c r="L57" s="146">
        <f>IF(K57="Matched","None",IF(G57="","Missing from bank",IF(ABS(H57)&gt;Mapping_Rules!$B$4,"Amount variance","Date variance")))</f>
        <v/>
      </c>
      <c r="M57" s="146">
        <f>IF(K57="Matched","Low",IF(OR(IFERROR(ABS(H57),0)&gt;Mapping_Rules!$B$7,IFERROR(J57,0)&gt;Mapping_Rules!$B$8),"High","Medium"))</f>
        <v/>
      </c>
      <c r="N57" s="146">
        <f>IF(K57="Matched","No action needed",IF(L57="Missing from bank","Check bank date or posting",IF(L57="Amount variance","Check invoice/payment amount","Check timing difference")))</f>
        <v/>
      </c>
      <c r="O57" s="140" t="inlineStr">
        <is>
          <t>2000 AP</t>
        </is>
      </c>
      <c r="P57" s="140" t="inlineStr">
        <is>
          <t>AP Clerk</t>
        </is>
      </c>
      <c r="Q57" s="140" t="inlineStr">
        <is>
          <t>No</t>
        </is>
      </c>
      <c r="R57" s="147" t="str"/>
      <c r="S57" s="148">
        <f>IF(K57="Matched",0,Mapping_Rules!$B$6-B57)</f>
        <v/>
      </c>
    </row>
    <row r="58">
      <c r="A58" s="115" t="inlineStr">
        <is>
          <t>ERP-00055</t>
        </is>
      </c>
      <c r="B58" s="125" t="n">
        <v>46053</v>
      </c>
      <c r="C58" s="115" t="inlineStr">
        <is>
          <t>GL</t>
        </is>
      </c>
      <c r="D58" s="115" t="inlineStr">
        <is>
          <t>Granville Medical</t>
        </is>
      </c>
      <c r="E58" s="115" t="inlineStr">
        <is>
          <t>REF-100055</t>
        </is>
      </c>
      <c r="F58" s="126" t="n">
        <v>-1586.58</v>
      </c>
      <c r="G58" s="134">
        <f>IFERROR(XLOOKUP(E58,Bank_Statement!$D$4:$D$448,Bank_Statement!$G$4:$G$448,""),"")</f>
        <v/>
      </c>
      <c r="H58" s="126">
        <f>IF(G58="","",F58-G58)</f>
        <v/>
      </c>
      <c r="I58" s="135">
        <f>IFERROR(XLOOKUP(E58,Bank_Statement!$D$4:$D$448,Bank_Statement!$B$4:$B$448,""),"")</f>
        <v/>
      </c>
      <c r="J58" s="136">
        <f>IF(I58="","",ABS(B58-I58))</f>
        <v/>
      </c>
      <c r="K58" s="137">
        <f>IF(G58="","Unmatched ERP",IF(AND(ABS(H58)&lt;=Mapping_Rules!$B$4,ABS(J58)&lt;=Mapping_Rules!$B$5),"Matched","Review"))</f>
        <v/>
      </c>
      <c r="L58" s="137">
        <f>IF(K58="Matched","None",IF(G58="","Missing from bank",IF(ABS(H58)&gt;Mapping_Rules!$B$4,"Amount variance","Date variance")))</f>
        <v/>
      </c>
      <c r="M58" s="137">
        <f>IF(K58="Matched","Low",IF(OR(IFERROR(ABS(H58),0)&gt;Mapping_Rules!$B$7,IFERROR(J58,0)&gt;Mapping_Rules!$B$8),"High","Medium"))</f>
        <v/>
      </c>
      <c r="N58" s="137">
        <f>IF(K58="Matched","No action needed",IF(L58="Missing from bank","Check bank date or posting",IF(L58="Amount variance","Check invoice/payment amount","Check timing difference")))</f>
        <v/>
      </c>
      <c r="O58" s="115" t="inlineStr">
        <is>
          <t>2000 AP</t>
        </is>
      </c>
      <c r="P58" s="115" t="inlineStr">
        <is>
          <t>Accounting Technician</t>
        </is>
      </c>
      <c r="Q58" s="115" t="inlineStr">
        <is>
          <t>No</t>
        </is>
      </c>
      <c r="R58" s="138" t="str"/>
      <c r="S58" s="139">
        <f>IF(K58="Matched",0,Mapping_Rules!$B$6-B58)</f>
        <v/>
      </c>
    </row>
    <row r="59">
      <c r="A59" s="140" t="inlineStr">
        <is>
          <t>ERP-00056</t>
        </is>
      </c>
      <c r="B59" s="141" t="n">
        <v>46047</v>
      </c>
      <c r="C59" s="140" t="inlineStr">
        <is>
          <t>AP</t>
        </is>
      </c>
      <c r="D59" s="140" t="inlineStr">
        <is>
          <t>BC Hydro</t>
        </is>
      </c>
      <c r="E59" s="140" t="inlineStr">
        <is>
          <t>REF-100056</t>
        </is>
      </c>
      <c r="F59" s="142" t="n">
        <v>-5503.16</v>
      </c>
      <c r="G59" s="143">
        <f>IFERROR(XLOOKUP(E59,Bank_Statement!$D$4:$D$448,Bank_Statement!$G$4:$G$448,""),"")</f>
        <v/>
      </c>
      <c r="H59" s="142">
        <f>IF(G59="","",F59-G59)</f>
        <v/>
      </c>
      <c r="I59" s="144">
        <f>IFERROR(XLOOKUP(E59,Bank_Statement!$D$4:$D$448,Bank_Statement!$B$4:$B$448,""),"")</f>
        <v/>
      </c>
      <c r="J59" s="145">
        <f>IF(I59="","",ABS(B59-I59))</f>
        <v/>
      </c>
      <c r="K59" s="146">
        <f>IF(G59="","Unmatched ERP",IF(AND(ABS(H59)&lt;=Mapping_Rules!$B$4,ABS(J59)&lt;=Mapping_Rules!$B$5),"Matched","Review"))</f>
        <v/>
      </c>
      <c r="L59" s="146">
        <f>IF(K59="Matched","None",IF(G59="","Missing from bank",IF(ABS(H59)&gt;Mapping_Rules!$B$4,"Amount variance","Date variance")))</f>
        <v/>
      </c>
      <c r="M59" s="146">
        <f>IF(K59="Matched","Low",IF(OR(IFERROR(ABS(H59),0)&gt;Mapping_Rules!$B$7,IFERROR(J59,0)&gt;Mapping_Rules!$B$8),"High","Medium"))</f>
        <v/>
      </c>
      <c r="N59" s="146">
        <f>IF(K59="Matched","No action needed",IF(L59="Missing from bank","Check bank date or posting",IF(L59="Amount variance","Check invoice/payment amount","Check timing difference")))</f>
        <v/>
      </c>
      <c r="O59" s="140" t="inlineStr">
        <is>
          <t>2000 AP</t>
        </is>
      </c>
      <c r="P59" s="140" t="inlineStr">
        <is>
          <t>AP Clerk</t>
        </is>
      </c>
      <c r="Q59" s="140" t="inlineStr">
        <is>
          <t>No</t>
        </is>
      </c>
      <c r="R59" s="147" t="str"/>
      <c r="S59" s="148">
        <f>IF(K59="Matched",0,Mapping_Rules!$B$6-B59)</f>
        <v/>
      </c>
    </row>
    <row r="60">
      <c r="A60" s="115" t="inlineStr">
        <is>
          <t>ERP-00057</t>
        </is>
      </c>
      <c r="B60" s="125" t="n">
        <v>46030</v>
      </c>
      <c r="C60" s="115" t="inlineStr">
        <is>
          <t>AP</t>
        </is>
      </c>
      <c r="D60" s="115" t="inlineStr">
        <is>
          <t>Staples Canada</t>
        </is>
      </c>
      <c r="E60" s="115" t="inlineStr">
        <is>
          <t>REF-100057</t>
        </is>
      </c>
      <c r="F60" s="126" t="n">
        <v>-113.93</v>
      </c>
      <c r="G60" s="134">
        <f>IFERROR(XLOOKUP(E60,Bank_Statement!$D$4:$D$448,Bank_Statement!$G$4:$G$448,""),"")</f>
        <v/>
      </c>
      <c r="H60" s="126">
        <f>IF(G60="","",F60-G60)</f>
        <v/>
      </c>
      <c r="I60" s="135">
        <f>IFERROR(XLOOKUP(E60,Bank_Statement!$D$4:$D$448,Bank_Statement!$B$4:$B$448,""),"")</f>
        <v/>
      </c>
      <c r="J60" s="136">
        <f>IF(I60="","",ABS(B60-I60))</f>
        <v/>
      </c>
      <c r="K60" s="137">
        <f>IF(G60="","Unmatched ERP",IF(AND(ABS(H60)&lt;=Mapping_Rules!$B$4,ABS(J60)&lt;=Mapping_Rules!$B$5),"Matched","Review"))</f>
        <v/>
      </c>
      <c r="L60" s="137">
        <f>IF(K60="Matched","None",IF(G60="","Missing from bank",IF(ABS(H60)&gt;Mapping_Rules!$B$4,"Amount variance","Date variance")))</f>
        <v/>
      </c>
      <c r="M60" s="137">
        <f>IF(K60="Matched","Low",IF(OR(IFERROR(ABS(H60),0)&gt;Mapping_Rules!$B$7,IFERROR(J60,0)&gt;Mapping_Rules!$B$8),"High","Medium"))</f>
        <v/>
      </c>
      <c r="N60" s="137">
        <f>IF(K60="Matched","No action needed",IF(L60="Missing from bank","Check bank date or posting",IF(L60="Amount variance","Check invoice/payment amount","Check timing difference")))</f>
        <v/>
      </c>
      <c r="O60" s="115" t="inlineStr">
        <is>
          <t>2000 AP</t>
        </is>
      </c>
      <c r="P60" s="115" t="inlineStr">
        <is>
          <t>AP Clerk</t>
        </is>
      </c>
      <c r="Q60" s="115" t="inlineStr">
        <is>
          <t>No</t>
        </is>
      </c>
      <c r="R60" s="138" t="str"/>
      <c r="S60" s="139">
        <f>IF(K60="Matched",0,Mapping_Rules!$B$6-B60)</f>
        <v/>
      </c>
    </row>
    <row r="61">
      <c r="A61" s="140" t="inlineStr">
        <is>
          <t>ERP-00058</t>
        </is>
      </c>
      <c r="B61" s="141" t="n">
        <v>46052</v>
      </c>
      <c r="C61" s="140" t="inlineStr">
        <is>
          <t>Payroll</t>
        </is>
      </c>
      <c r="D61" s="140" t="inlineStr">
        <is>
          <t>Payroll Batch</t>
        </is>
      </c>
      <c r="E61" s="140" t="inlineStr">
        <is>
          <t>REF-100058</t>
        </is>
      </c>
      <c r="F61" s="142" t="n">
        <v>-9118.700000000001</v>
      </c>
      <c r="G61" s="143">
        <f>IFERROR(XLOOKUP(E61,Bank_Statement!$D$4:$D$448,Bank_Statement!$G$4:$G$448,""),"")</f>
        <v/>
      </c>
      <c r="H61" s="142">
        <f>IF(G61="","",F61-G61)</f>
        <v/>
      </c>
      <c r="I61" s="144">
        <f>IFERROR(XLOOKUP(E61,Bank_Statement!$D$4:$D$448,Bank_Statement!$B$4:$B$448,""),"")</f>
        <v/>
      </c>
      <c r="J61" s="145">
        <f>IF(I61="","",ABS(B61-I61))</f>
        <v/>
      </c>
      <c r="K61" s="146">
        <f>IF(G61="","Unmatched ERP",IF(AND(ABS(H61)&lt;=Mapping_Rules!$B$4,ABS(J61)&lt;=Mapping_Rules!$B$5),"Matched","Review"))</f>
        <v/>
      </c>
      <c r="L61" s="146">
        <f>IF(K61="Matched","None",IF(G61="","Missing from bank",IF(ABS(H61)&gt;Mapping_Rules!$B$4,"Amount variance","Date variance")))</f>
        <v/>
      </c>
      <c r="M61" s="146">
        <f>IF(K61="Matched","Low",IF(OR(IFERROR(ABS(H61),0)&gt;Mapping_Rules!$B$7,IFERROR(J61,0)&gt;Mapping_Rules!$B$8),"High","Medium"))</f>
        <v/>
      </c>
      <c r="N61" s="146">
        <f>IF(K61="Matched","No action needed",IF(L61="Missing from bank","Check bank date or posting",IF(L61="Amount variance","Check invoice/payment amount","Check timing difference")))</f>
        <v/>
      </c>
      <c r="O61" s="140" t="inlineStr">
        <is>
          <t>5300 Payroll</t>
        </is>
      </c>
      <c r="P61" s="140" t="inlineStr">
        <is>
          <t>Accounting Technician</t>
        </is>
      </c>
      <c r="Q61" s="140" t="inlineStr">
        <is>
          <t>No</t>
        </is>
      </c>
      <c r="R61" s="147" t="str"/>
      <c r="S61" s="148">
        <f>IF(K61="Matched",0,Mapping_Rules!$B$6-B61)</f>
        <v/>
      </c>
    </row>
    <row r="62">
      <c r="A62" s="115" t="inlineStr">
        <is>
          <t>ERP-00059</t>
        </is>
      </c>
      <c r="B62" s="125" t="n">
        <v>46042</v>
      </c>
      <c r="C62" s="115" t="inlineStr">
        <is>
          <t>AP</t>
        </is>
      </c>
      <c r="D62" s="115" t="inlineStr">
        <is>
          <t>Vancouver Courier</t>
        </is>
      </c>
      <c r="E62" s="115" t="inlineStr">
        <is>
          <t>REF-100059</t>
        </is>
      </c>
      <c r="F62" s="126" t="n">
        <v>-5535.53</v>
      </c>
      <c r="G62" s="134">
        <f>IFERROR(XLOOKUP(E62,Bank_Statement!$D$4:$D$448,Bank_Statement!$G$4:$G$448,""),"")</f>
        <v/>
      </c>
      <c r="H62" s="126">
        <f>IF(G62="","",F62-G62)</f>
        <v/>
      </c>
      <c r="I62" s="135">
        <f>IFERROR(XLOOKUP(E62,Bank_Statement!$D$4:$D$448,Bank_Statement!$B$4:$B$448,""),"")</f>
        <v/>
      </c>
      <c r="J62" s="136">
        <f>IF(I62="","",ABS(B62-I62))</f>
        <v/>
      </c>
      <c r="K62" s="137">
        <f>IF(G62="","Unmatched ERP",IF(AND(ABS(H62)&lt;=Mapping_Rules!$B$4,ABS(J62)&lt;=Mapping_Rules!$B$5),"Matched","Review"))</f>
        <v/>
      </c>
      <c r="L62" s="137">
        <f>IF(K62="Matched","None",IF(G62="","Missing from bank",IF(ABS(H62)&gt;Mapping_Rules!$B$4,"Amount variance","Date variance")))</f>
        <v/>
      </c>
      <c r="M62" s="137">
        <f>IF(K62="Matched","Low",IF(OR(IFERROR(ABS(H62),0)&gt;Mapping_Rules!$B$7,IFERROR(J62,0)&gt;Mapping_Rules!$B$8),"High","Medium"))</f>
        <v/>
      </c>
      <c r="N62" s="137">
        <f>IF(K62="Matched","No action needed",IF(L62="Missing from bank","Check bank date or posting",IF(L62="Amount variance","Check invoice/payment amount","Check timing difference")))</f>
        <v/>
      </c>
      <c r="O62" s="115" t="inlineStr">
        <is>
          <t>2000 AP</t>
        </is>
      </c>
      <c r="P62" s="115" t="inlineStr">
        <is>
          <t>AP Clerk</t>
        </is>
      </c>
      <c r="Q62" s="115" t="inlineStr">
        <is>
          <t>No</t>
        </is>
      </c>
      <c r="R62" s="138" t="str"/>
      <c r="S62" s="139">
        <f>IF(K62="Matched",0,Mapping_Rules!$B$6-B62)</f>
        <v/>
      </c>
    </row>
    <row r="63">
      <c r="A63" s="140" t="inlineStr">
        <is>
          <t>ERP-00060</t>
        </is>
      </c>
      <c r="B63" s="141" t="n">
        <v>46046</v>
      </c>
      <c r="C63" s="140" t="inlineStr">
        <is>
          <t>Payroll</t>
        </is>
      </c>
      <c r="D63" s="140" t="inlineStr">
        <is>
          <t>Payroll Batch</t>
        </is>
      </c>
      <c r="E63" s="140" t="inlineStr">
        <is>
          <t>REF-100060</t>
        </is>
      </c>
      <c r="F63" s="142" t="n">
        <v>-9026.01</v>
      </c>
      <c r="G63" s="143">
        <f>IFERROR(XLOOKUP(E63,Bank_Statement!$D$4:$D$448,Bank_Statement!$G$4:$G$448,""),"")</f>
        <v/>
      </c>
      <c r="H63" s="142">
        <f>IF(G63="","",F63-G63)</f>
        <v/>
      </c>
      <c r="I63" s="144">
        <f>IFERROR(XLOOKUP(E63,Bank_Statement!$D$4:$D$448,Bank_Statement!$B$4:$B$448,""),"")</f>
        <v/>
      </c>
      <c r="J63" s="145">
        <f>IF(I63="","",ABS(B63-I63))</f>
        <v/>
      </c>
      <c r="K63" s="146">
        <f>IF(G63="","Unmatched ERP",IF(AND(ABS(H63)&lt;=Mapping_Rules!$B$4,ABS(J63)&lt;=Mapping_Rules!$B$5),"Matched","Review"))</f>
        <v/>
      </c>
      <c r="L63" s="146">
        <f>IF(K63="Matched","None",IF(G63="","Missing from bank",IF(ABS(H63)&gt;Mapping_Rules!$B$4,"Amount variance","Date variance")))</f>
        <v/>
      </c>
      <c r="M63" s="146">
        <f>IF(K63="Matched","Low",IF(OR(IFERROR(ABS(H63),0)&gt;Mapping_Rules!$B$7,IFERROR(J63,0)&gt;Mapping_Rules!$B$8),"High","Medium"))</f>
        <v/>
      </c>
      <c r="N63" s="146">
        <f>IF(K63="Matched","No action needed",IF(L63="Missing from bank","Check bank date or posting",IF(L63="Amount variance","Check invoice/payment amount","Check timing difference")))</f>
        <v/>
      </c>
      <c r="O63" s="140" t="inlineStr">
        <is>
          <t>5300 Payroll</t>
        </is>
      </c>
      <c r="P63" s="140" t="inlineStr">
        <is>
          <t>Accounting Technician</t>
        </is>
      </c>
      <c r="Q63" s="140" t="inlineStr">
        <is>
          <t>No</t>
        </is>
      </c>
      <c r="R63" s="147" t="str"/>
      <c r="S63" s="148">
        <f>IF(K63="Matched",0,Mapping_Rules!$B$6-B63)</f>
        <v/>
      </c>
    </row>
    <row r="64">
      <c r="A64" s="115" t="inlineStr">
        <is>
          <t>ERP-00061</t>
        </is>
      </c>
      <c r="B64" s="125" t="n">
        <v>46031</v>
      </c>
      <c r="C64" s="115" t="inlineStr">
        <is>
          <t>AR</t>
        </is>
      </c>
      <c r="D64" s="115" t="inlineStr">
        <is>
          <t>Harbour Design Co.</t>
        </is>
      </c>
      <c r="E64" s="115" t="inlineStr">
        <is>
          <t>REF-100061</t>
        </is>
      </c>
      <c r="F64" s="126" t="n">
        <v>2535.83</v>
      </c>
      <c r="G64" s="134">
        <f>IFERROR(XLOOKUP(E64,Bank_Statement!$D$4:$D$448,Bank_Statement!$G$4:$G$448,""),"")</f>
        <v/>
      </c>
      <c r="H64" s="126">
        <f>IF(G64="","",F64-G64)</f>
        <v/>
      </c>
      <c r="I64" s="135">
        <f>IFERROR(XLOOKUP(E64,Bank_Statement!$D$4:$D$448,Bank_Statement!$B$4:$B$448,""),"")</f>
        <v/>
      </c>
      <c r="J64" s="136">
        <f>IF(I64="","",ABS(B64-I64))</f>
        <v/>
      </c>
      <c r="K64" s="137">
        <f>IF(G64="","Unmatched ERP",IF(AND(ABS(H64)&lt;=Mapping_Rules!$B$4,ABS(J64)&lt;=Mapping_Rules!$B$5),"Matched","Review"))</f>
        <v/>
      </c>
      <c r="L64" s="137">
        <f>IF(K64="Matched","None",IF(G64="","Missing from bank",IF(ABS(H64)&gt;Mapping_Rules!$B$4,"Amount variance","Date variance")))</f>
        <v/>
      </c>
      <c r="M64" s="137">
        <f>IF(K64="Matched","Low",IF(OR(IFERROR(ABS(H64),0)&gt;Mapping_Rules!$B$7,IFERROR(J64,0)&gt;Mapping_Rules!$B$8),"High","Medium"))</f>
        <v/>
      </c>
      <c r="N64" s="137">
        <f>IF(K64="Matched","No action needed",IF(L64="Missing from bank","Check bank date or posting",IF(L64="Amount variance","Check invoice/payment amount","Check timing difference")))</f>
        <v/>
      </c>
      <c r="O64" s="115" t="inlineStr">
        <is>
          <t>1200 AR</t>
        </is>
      </c>
      <c r="P64" s="115" t="inlineStr">
        <is>
          <t>AR Clerk</t>
        </is>
      </c>
      <c r="Q64" s="115" t="inlineStr">
        <is>
          <t>No</t>
        </is>
      </c>
      <c r="R64" s="138" t="str"/>
      <c r="S64" s="139">
        <f>IF(K64="Matched",0,Mapping_Rules!$B$6-B64)</f>
        <v/>
      </c>
    </row>
    <row r="65">
      <c r="A65" s="140" t="inlineStr">
        <is>
          <t>ERP-00062</t>
        </is>
      </c>
      <c r="B65" s="141" t="n">
        <v>46030</v>
      </c>
      <c r="C65" s="140" t="inlineStr">
        <is>
          <t>AR</t>
        </is>
      </c>
      <c r="D65" s="140" t="inlineStr">
        <is>
          <t>Coastline Foods</t>
        </is>
      </c>
      <c r="E65" s="140" t="inlineStr">
        <is>
          <t>REF-100062</t>
        </is>
      </c>
      <c r="F65" s="142" t="n">
        <v>6048.6</v>
      </c>
      <c r="G65" s="143">
        <f>IFERROR(XLOOKUP(E65,Bank_Statement!$D$4:$D$448,Bank_Statement!$G$4:$G$448,""),"")</f>
        <v/>
      </c>
      <c r="H65" s="142">
        <f>IF(G65="","",F65-G65)</f>
        <v/>
      </c>
      <c r="I65" s="144">
        <f>IFERROR(XLOOKUP(E65,Bank_Statement!$D$4:$D$448,Bank_Statement!$B$4:$B$448,""),"")</f>
        <v/>
      </c>
      <c r="J65" s="145">
        <f>IF(I65="","",ABS(B65-I65))</f>
        <v/>
      </c>
      <c r="K65" s="146">
        <f>IF(G65="","Unmatched ERP",IF(AND(ABS(H65)&lt;=Mapping_Rules!$B$4,ABS(J65)&lt;=Mapping_Rules!$B$5),"Matched","Review"))</f>
        <v/>
      </c>
      <c r="L65" s="146">
        <f>IF(K65="Matched","None",IF(G65="","Missing from bank",IF(ABS(H65)&gt;Mapping_Rules!$B$4,"Amount variance","Date variance")))</f>
        <v/>
      </c>
      <c r="M65" s="146">
        <f>IF(K65="Matched","Low",IF(OR(IFERROR(ABS(H65),0)&gt;Mapping_Rules!$B$7,IFERROR(J65,0)&gt;Mapping_Rules!$B$8),"High","Medium"))</f>
        <v/>
      </c>
      <c r="N65" s="146">
        <f>IF(K65="Matched","No action needed",IF(L65="Missing from bank","Check bank date or posting",IF(L65="Amount variance","Check invoice/payment amount","Check timing difference")))</f>
        <v/>
      </c>
      <c r="O65" s="140" t="inlineStr">
        <is>
          <t>1200 AR</t>
        </is>
      </c>
      <c r="P65" s="140" t="inlineStr">
        <is>
          <t>AR Clerk</t>
        </is>
      </c>
      <c r="Q65" s="140" t="inlineStr">
        <is>
          <t>No</t>
        </is>
      </c>
      <c r="R65" s="147" t="str"/>
      <c r="S65" s="148">
        <f>IF(K65="Matched",0,Mapping_Rules!$B$6-B65)</f>
        <v/>
      </c>
    </row>
    <row r="66">
      <c r="A66" s="115" t="inlineStr">
        <is>
          <t>ERP-00063</t>
        </is>
      </c>
      <c r="B66" s="125" t="n">
        <v>46029</v>
      </c>
      <c r="C66" s="115" t="inlineStr">
        <is>
          <t>Payroll</t>
        </is>
      </c>
      <c r="D66" s="115" t="inlineStr">
        <is>
          <t>Payroll Batch</t>
        </is>
      </c>
      <c r="E66" s="115" t="inlineStr">
        <is>
          <t>REF-100063</t>
        </is>
      </c>
      <c r="F66" s="126" t="n">
        <v>-8147.41</v>
      </c>
      <c r="G66" s="134">
        <f>IFERROR(XLOOKUP(E66,Bank_Statement!$D$4:$D$448,Bank_Statement!$G$4:$G$448,""),"")</f>
        <v/>
      </c>
      <c r="H66" s="126">
        <f>IF(G66="","",F66-G66)</f>
        <v/>
      </c>
      <c r="I66" s="135">
        <f>IFERROR(XLOOKUP(E66,Bank_Statement!$D$4:$D$448,Bank_Statement!$B$4:$B$448,""),"")</f>
        <v/>
      </c>
      <c r="J66" s="136">
        <f>IF(I66="","",ABS(B66-I66))</f>
        <v/>
      </c>
      <c r="K66" s="137">
        <f>IF(G66="","Unmatched ERP",IF(AND(ABS(H66)&lt;=Mapping_Rules!$B$4,ABS(J66)&lt;=Mapping_Rules!$B$5),"Matched","Review"))</f>
        <v/>
      </c>
      <c r="L66" s="137">
        <f>IF(K66="Matched","None",IF(G66="","Missing from bank",IF(ABS(H66)&gt;Mapping_Rules!$B$4,"Amount variance","Date variance")))</f>
        <v/>
      </c>
      <c r="M66" s="137">
        <f>IF(K66="Matched","Low",IF(OR(IFERROR(ABS(H66),0)&gt;Mapping_Rules!$B$7,IFERROR(J66,0)&gt;Mapping_Rules!$B$8),"High","Medium"))</f>
        <v/>
      </c>
      <c r="N66" s="137">
        <f>IF(K66="Matched","No action needed",IF(L66="Missing from bank","Check bank date or posting",IF(L66="Amount variance","Check invoice/payment amount","Check timing difference")))</f>
        <v/>
      </c>
      <c r="O66" s="115" t="inlineStr">
        <is>
          <t>5300 Payroll</t>
        </is>
      </c>
      <c r="P66" s="115" t="inlineStr">
        <is>
          <t>Accounting Technician</t>
        </is>
      </c>
      <c r="Q66" s="115" t="inlineStr">
        <is>
          <t>No</t>
        </is>
      </c>
      <c r="R66" s="138" t="str"/>
      <c r="S66" s="139">
        <f>IF(K66="Matched",0,Mapping_Rules!$B$6-B66)</f>
        <v/>
      </c>
    </row>
    <row r="67">
      <c r="A67" s="140" t="inlineStr">
        <is>
          <t>ERP-00064</t>
        </is>
      </c>
      <c r="B67" s="141" t="n">
        <v>46047</v>
      </c>
      <c r="C67" s="140" t="inlineStr">
        <is>
          <t>AR</t>
        </is>
      </c>
      <c r="D67" s="140" t="inlineStr">
        <is>
          <t>Granville Medical</t>
        </is>
      </c>
      <c r="E67" s="140" t="inlineStr">
        <is>
          <t>REF-100064</t>
        </is>
      </c>
      <c r="F67" s="142" t="n">
        <v>199.23</v>
      </c>
      <c r="G67" s="143">
        <f>IFERROR(XLOOKUP(E67,Bank_Statement!$D$4:$D$448,Bank_Statement!$G$4:$G$448,""),"")</f>
        <v/>
      </c>
      <c r="H67" s="142">
        <f>IF(G67="","",F67-G67)</f>
        <v/>
      </c>
      <c r="I67" s="144">
        <f>IFERROR(XLOOKUP(E67,Bank_Statement!$D$4:$D$448,Bank_Statement!$B$4:$B$448,""),"")</f>
        <v/>
      </c>
      <c r="J67" s="145">
        <f>IF(I67="","",ABS(B67-I67))</f>
        <v/>
      </c>
      <c r="K67" s="146">
        <f>IF(G67="","Unmatched ERP",IF(AND(ABS(H67)&lt;=Mapping_Rules!$B$4,ABS(J67)&lt;=Mapping_Rules!$B$5),"Matched","Review"))</f>
        <v/>
      </c>
      <c r="L67" s="146">
        <f>IF(K67="Matched","None",IF(G67="","Missing from bank",IF(ABS(H67)&gt;Mapping_Rules!$B$4,"Amount variance","Date variance")))</f>
        <v/>
      </c>
      <c r="M67" s="146">
        <f>IF(K67="Matched","Low",IF(OR(IFERROR(ABS(H67),0)&gt;Mapping_Rules!$B$7,IFERROR(J67,0)&gt;Mapping_Rules!$B$8),"High","Medium"))</f>
        <v/>
      </c>
      <c r="N67" s="146">
        <f>IF(K67="Matched","No action needed",IF(L67="Missing from bank","Check bank date or posting",IF(L67="Amount variance","Check invoice/payment amount","Check timing difference")))</f>
        <v/>
      </c>
      <c r="O67" s="140" t="inlineStr">
        <is>
          <t>1200 AR</t>
        </is>
      </c>
      <c r="P67" s="140" t="inlineStr">
        <is>
          <t>AR Clerk</t>
        </is>
      </c>
      <c r="Q67" s="140" t="inlineStr">
        <is>
          <t>No</t>
        </is>
      </c>
      <c r="R67" s="147" t="str"/>
      <c r="S67" s="148">
        <f>IF(K67="Matched",0,Mapping_Rules!$B$6-B67)</f>
        <v/>
      </c>
    </row>
    <row r="68">
      <c r="A68" s="115" t="inlineStr">
        <is>
          <t>ERP-00065</t>
        </is>
      </c>
      <c r="B68" s="125" t="n">
        <v>46046</v>
      </c>
      <c r="C68" s="115" t="inlineStr">
        <is>
          <t>AR</t>
        </is>
      </c>
      <c r="D68" s="115" t="inlineStr">
        <is>
          <t>West Van Fitness</t>
        </is>
      </c>
      <c r="E68" s="115" t="inlineStr">
        <is>
          <t>REF-100065</t>
        </is>
      </c>
      <c r="F68" s="126" t="n">
        <v>7646.72</v>
      </c>
      <c r="G68" s="134">
        <f>IFERROR(XLOOKUP(E68,Bank_Statement!$D$4:$D$448,Bank_Statement!$G$4:$G$448,""),"")</f>
        <v/>
      </c>
      <c r="H68" s="126">
        <f>IF(G68="","",F68-G68)</f>
        <v/>
      </c>
      <c r="I68" s="135">
        <f>IFERROR(XLOOKUP(E68,Bank_Statement!$D$4:$D$448,Bank_Statement!$B$4:$B$448,""),"")</f>
        <v/>
      </c>
      <c r="J68" s="136">
        <f>IF(I68="","",ABS(B68-I68))</f>
        <v/>
      </c>
      <c r="K68" s="137">
        <f>IF(G68="","Unmatched ERP",IF(AND(ABS(H68)&lt;=Mapping_Rules!$B$4,ABS(J68)&lt;=Mapping_Rules!$B$5),"Matched","Review"))</f>
        <v/>
      </c>
      <c r="L68" s="137">
        <f>IF(K68="Matched","None",IF(G68="","Missing from bank",IF(ABS(H68)&gt;Mapping_Rules!$B$4,"Amount variance","Date variance")))</f>
        <v/>
      </c>
      <c r="M68" s="137">
        <f>IF(K68="Matched","Low",IF(OR(IFERROR(ABS(H68),0)&gt;Mapping_Rules!$B$7,IFERROR(J68,0)&gt;Mapping_Rules!$B$8),"High","Medium"))</f>
        <v/>
      </c>
      <c r="N68" s="137">
        <f>IF(K68="Matched","No action needed",IF(L68="Missing from bank","Check bank date or posting",IF(L68="Amount variance","Check invoice/payment amount","Check timing difference")))</f>
        <v/>
      </c>
      <c r="O68" s="115" t="inlineStr">
        <is>
          <t>1200 AR</t>
        </is>
      </c>
      <c r="P68" s="115" t="inlineStr">
        <is>
          <t>AR Clerk</t>
        </is>
      </c>
      <c r="Q68" s="115" t="inlineStr">
        <is>
          <t>No</t>
        </is>
      </c>
      <c r="R68" s="138" t="str"/>
      <c r="S68" s="139">
        <f>IF(K68="Matched",0,Mapping_Rules!$B$6-B68)</f>
        <v/>
      </c>
    </row>
    <row r="69">
      <c r="A69" s="140" t="inlineStr">
        <is>
          <t>ERP-00066</t>
        </is>
      </c>
      <c r="B69" s="141" t="n">
        <v>46044</v>
      </c>
      <c r="C69" s="140" t="inlineStr">
        <is>
          <t>GL</t>
        </is>
      </c>
      <c r="D69" s="140" t="inlineStr">
        <is>
          <t>Vancouver Courier</t>
        </is>
      </c>
      <c r="E69" s="140" t="inlineStr">
        <is>
          <t>REF-100066</t>
        </is>
      </c>
      <c r="F69" s="142" t="n">
        <v>-3634.7</v>
      </c>
      <c r="G69" s="143">
        <f>IFERROR(XLOOKUP(E69,Bank_Statement!$D$4:$D$448,Bank_Statement!$G$4:$G$448,""),"")</f>
        <v/>
      </c>
      <c r="H69" s="142">
        <f>IF(G69="","",F69-G69)</f>
        <v/>
      </c>
      <c r="I69" s="144">
        <f>IFERROR(XLOOKUP(E69,Bank_Statement!$D$4:$D$448,Bank_Statement!$B$4:$B$448,""),"")</f>
        <v/>
      </c>
      <c r="J69" s="145">
        <f>IF(I69="","",ABS(B69-I69))</f>
        <v/>
      </c>
      <c r="K69" s="146">
        <f>IF(G69="","Unmatched ERP",IF(AND(ABS(H69)&lt;=Mapping_Rules!$B$4,ABS(J69)&lt;=Mapping_Rules!$B$5),"Matched","Review"))</f>
        <v/>
      </c>
      <c r="L69" s="146">
        <f>IF(K69="Matched","None",IF(G69="","Missing from bank",IF(ABS(H69)&gt;Mapping_Rules!$B$4,"Amount variance","Date variance")))</f>
        <v/>
      </c>
      <c r="M69" s="146">
        <f>IF(K69="Matched","Low",IF(OR(IFERROR(ABS(H69),0)&gt;Mapping_Rules!$B$7,IFERROR(J69,0)&gt;Mapping_Rules!$B$8),"High","Medium"))</f>
        <v/>
      </c>
      <c r="N69" s="146">
        <f>IF(K69="Matched","No action needed",IF(L69="Missing from bank","Check bank date or posting",IF(L69="Amount variance","Check invoice/payment amount","Check timing difference")))</f>
        <v/>
      </c>
      <c r="O69" s="140" t="inlineStr">
        <is>
          <t>2000 AP</t>
        </is>
      </c>
      <c r="P69" s="140" t="inlineStr">
        <is>
          <t>Accounting Technician</t>
        </is>
      </c>
      <c r="Q69" s="140" t="inlineStr">
        <is>
          <t>No</t>
        </is>
      </c>
      <c r="R69" s="147" t="str"/>
      <c r="S69" s="148">
        <f>IF(K69="Matched",0,Mapping_Rules!$B$6-B69)</f>
        <v/>
      </c>
    </row>
    <row r="70">
      <c r="A70" s="115" t="inlineStr">
        <is>
          <t>ERP-00067</t>
        </is>
      </c>
      <c r="B70" s="125" t="n">
        <v>46044</v>
      </c>
      <c r="C70" s="115" t="inlineStr">
        <is>
          <t>AP</t>
        </is>
      </c>
      <c r="D70" s="115" t="inlineStr">
        <is>
          <t>Staples Canada</t>
        </is>
      </c>
      <c r="E70" s="115" t="inlineStr">
        <is>
          <t>REF-100067</t>
        </is>
      </c>
      <c r="F70" s="126" t="n">
        <v>-2703.11</v>
      </c>
      <c r="G70" s="134">
        <f>IFERROR(XLOOKUP(E70,Bank_Statement!$D$4:$D$448,Bank_Statement!$G$4:$G$448,""),"")</f>
        <v/>
      </c>
      <c r="H70" s="126">
        <f>IF(G70="","",F70-G70)</f>
        <v/>
      </c>
      <c r="I70" s="135">
        <f>IFERROR(XLOOKUP(E70,Bank_Statement!$D$4:$D$448,Bank_Statement!$B$4:$B$448,""),"")</f>
        <v/>
      </c>
      <c r="J70" s="136">
        <f>IF(I70="","",ABS(B70-I70))</f>
        <v/>
      </c>
      <c r="K70" s="137">
        <f>IF(G70="","Unmatched ERP",IF(AND(ABS(H70)&lt;=Mapping_Rules!$B$4,ABS(J70)&lt;=Mapping_Rules!$B$5),"Matched","Review"))</f>
        <v/>
      </c>
      <c r="L70" s="137">
        <f>IF(K70="Matched","None",IF(G70="","Missing from bank",IF(ABS(H70)&gt;Mapping_Rules!$B$4,"Amount variance","Date variance")))</f>
        <v/>
      </c>
      <c r="M70" s="137">
        <f>IF(K70="Matched","Low",IF(OR(IFERROR(ABS(H70),0)&gt;Mapping_Rules!$B$7,IFERROR(J70,0)&gt;Mapping_Rules!$B$8),"High","Medium"))</f>
        <v/>
      </c>
      <c r="N70" s="137">
        <f>IF(K70="Matched","No action needed",IF(L70="Missing from bank","Check bank date or posting",IF(L70="Amount variance","Check invoice/payment amount","Check timing difference")))</f>
        <v/>
      </c>
      <c r="O70" s="115" t="inlineStr">
        <is>
          <t>2000 AP</t>
        </is>
      </c>
      <c r="P70" s="115" t="inlineStr">
        <is>
          <t>AP Clerk</t>
        </is>
      </c>
      <c r="Q70" s="115" t="inlineStr">
        <is>
          <t>No</t>
        </is>
      </c>
      <c r="R70" s="138" t="str"/>
      <c r="S70" s="139">
        <f>IF(K70="Matched",0,Mapping_Rules!$B$6-B70)</f>
        <v/>
      </c>
    </row>
    <row r="71">
      <c r="A71" s="140" t="inlineStr">
        <is>
          <t>ERP-00068</t>
        </is>
      </c>
      <c r="B71" s="141" t="n">
        <v>46037</v>
      </c>
      <c r="C71" s="140" t="inlineStr">
        <is>
          <t>AP</t>
        </is>
      </c>
      <c r="D71" s="140" t="inlineStr">
        <is>
          <t>Vancouver Courier</t>
        </is>
      </c>
      <c r="E71" s="140" t="inlineStr">
        <is>
          <t>REF-100068</t>
        </is>
      </c>
      <c r="F71" s="142" t="n">
        <v>-5463.4</v>
      </c>
      <c r="G71" s="143">
        <f>IFERROR(XLOOKUP(E71,Bank_Statement!$D$4:$D$448,Bank_Statement!$G$4:$G$448,""),"")</f>
        <v/>
      </c>
      <c r="H71" s="142">
        <f>IF(G71="","",F71-G71)</f>
        <v/>
      </c>
      <c r="I71" s="144">
        <f>IFERROR(XLOOKUP(E71,Bank_Statement!$D$4:$D$448,Bank_Statement!$B$4:$B$448,""),"")</f>
        <v/>
      </c>
      <c r="J71" s="145">
        <f>IF(I71="","",ABS(B71-I71))</f>
        <v/>
      </c>
      <c r="K71" s="146">
        <f>IF(G71="","Unmatched ERP",IF(AND(ABS(H71)&lt;=Mapping_Rules!$B$4,ABS(J71)&lt;=Mapping_Rules!$B$5),"Matched","Review"))</f>
        <v/>
      </c>
      <c r="L71" s="146">
        <f>IF(K71="Matched","None",IF(G71="","Missing from bank",IF(ABS(H71)&gt;Mapping_Rules!$B$4,"Amount variance","Date variance")))</f>
        <v/>
      </c>
      <c r="M71" s="146">
        <f>IF(K71="Matched","Low",IF(OR(IFERROR(ABS(H71),0)&gt;Mapping_Rules!$B$7,IFERROR(J71,0)&gt;Mapping_Rules!$B$8),"High","Medium"))</f>
        <v/>
      </c>
      <c r="N71" s="146">
        <f>IF(K71="Matched","No action needed",IF(L71="Missing from bank","Check bank date or posting",IF(L71="Amount variance","Check invoice/payment amount","Check timing difference")))</f>
        <v/>
      </c>
      <c r="O71" s="140" t="inlineStr">
        <is>
          <t>2000 AP</t>
        </is>
      </c>
      <c r="P71" s="140" t="inlineStr">
        <is>
          <t>AP Clerk</t>
        </is>
      </c>
      <c r="Q71" s="140" t="inlineStr">
        <is>
          <t>No</t>
        </is>
      </c>
      <c r="R71" s="147" t="str"/>
      <c r="S71" s="148">
        <f>IF(K71="Matched",0,Mapping_Rules!$B$6-B71)</f>
        <v/>
      </c>
    </row>
    <row r="72">
      <c r="A72" s="115" t="inlineStr">
        <is>
          <t>ERP-00069</t>
        </is>
      </c>
      <c r="B72" s="125" t="n">
        <v>46046</v>
      </c>
      <c r="C72" s="115" t="inlineStr">
        <is>
          <t>AR</t>
        </is>
      </c>
      <c r="D72" s="115" t="inlineStr">
        <is>
          <t>Raincity Tech</t>
        </is>
      </c>
      <c r="E72" s="115" t="inlineStr">
        <is>
          <t>REF-100069</t>
        </is>
      </c>
      <c r="F72" s="126" t="n">
        <v>2022.26</v>
      </c>
      <c r="G72" s="134">
        <f>IFERROR(XLOOKUP(E72,Bank_Statement!$D$4:$D$448,Bank_Statement!$G$4:$G$448,""),"")</f>
        <v/>
      </c>
      <c r="H72" s="126">
        <f>IF(G72="","",F72-G72)</f>
        <v/>
      </c>
      <c r="I72" s="135">
        <f>IFERROR(XLOOKUP(E72,Bank_Statement!$D$4:$D$448,Bank_Statement!$B$4:$B$448,""),"")</f>
        <v/>
      </c>
      <c r="J72" s="136">
        <f>IF(I72="","",ABS(B72-I72))</f>
        <v/>
      </c>
      <c r="K72" s="137">
        <f>IF(G72="","Unmatched ERP",IF(AND(ABS(H72)&lt;=Mapping_Rules!$B$4,ABS(J72)&lt;=Mapping_Rules!$B$5),"Matched","Review"))</f>
        <v/>
      </c>
      <c r="L72" s="137">
        <f>IF(K72="Matched","None",IF(G72="","Missing from bank",IF(ABS(H72)&gt;Mapping_Rules!$B$4,"Amount variance","Date variance")))</f>
        <v/>
      </c>
      <c r="M72" s="137">
        <f>IF(K72="Matched","Low",IF(OR(IFERROR(ABS(H72),0)&gt;Mapping_Rules!$B$7,IFERROR(J72,0)&gt;Mapping_Rules!$B$8),"High","Medium"))</f>
        <v/>
      </c>
      <c r="N72" s="137">
        <f>IF(K72="Matched","No action needed",IF(L72="Missing from bank","Check bank date or posting",IF(L72="Amount variance","Check invoice/payment amount","Check timing difference")))</f>
        <v/>
      </c>
      <c r="O72" s="115" t="inlineStr">
        <is>
          <t>1200 AR</t>
        </is>
      </c>
      <c r="P72" s="115" t="inlineStr">
        <is>
          <t>AR Clerk</t>
        </is>
      </c>
      <c r="Q72" s="115" t="inlineStr">
        <is>
          <t>No</t>
        </is>
      </c>
      <c r="R72" s="138" t="str"/>
      <c r="S72" s="139">
        <f>IF(K72="Matched",0,Mapping_Rules!$B$6-B72)</f>
        <v/>
      </c>
    </row>
    <row r="73">
      <c r="A73" s="140" t="inlineStr">
        <is>
          <t>ERP-00070</t>
        </is>
      </c>
      <c r="B73" s="141" t="n">
        <v>46023</v>
      </c>
      <c r="C73" s="140" t="inlineStr">
        <is>
          <t>AR</t>
        </is>
      </c>
      <c r="D73" s="140" t="inlineStr">
        <is>
          <t>Coastline Foods</t>
        </is>
      </c>
      <c r="E73" s="140" t="inlineStr">
        <is>
          <t>REF-100070</t>
        </is>
      </c>
      <c r="F73" s="142" t="n">
        <v>1203.95</v>
      </c>
      <c r="G73" s="143">
        <f>IFERROR(XLOOKUP(E73,Bank_Statement!$D$4:$D$448,Bank_Statement!$G$4:$G$448,""),"")</f>
        <v/>
      </c>
      <c r="H73" s="142">
        <f>IF(G73="","",F73-G73)</f>
        <v/>
      </c>
      <c r="I73" s="144">
        <f>IFERROR(XLOOKUP(E73,Bank_Statement!$D$4:$D$448,Bank_Statement!$B$4:$B$448,""),"")</f>
        <v/>
      </c>
      <c r="J73" s="145">
        <f>IF(I73="","",ABS(B73-I73))</f>
        <v/>
      </c>
      <c r="K73" s="146">
        <f>IF(G73="","Unmatched ERP",IF(AND(ABS(H73)&lt;=Mapping_Rules!$B$4,ABS(J73)&lt;=Mapping_Rules!$B$5),"Matched","Review"))</f>
        <v/>
      </c>
      <c r="L73" s="146">
        <f>IF(K73="Matched","None",IF(G73="","Missing from bank",IF(ABS(H73)&gt;Mapping_Rules!$B$4,"Amount variance","Date variance")))</f>
        <v/>
      </c>
      <c r="M73" s="146">
        <f>IF(K73="Matched","Low",IF(OR(IFERROR(ABS(H73),0)&gt;Mapping_Rules!$B$7,IFERROR(J73,0)&gt;Mapping_Rules!$B$8),"High","Medium"))</f>
        <v/>
      </c>
      <c r="N73" s="146">
        <f>IF(K73="Matched","No action needed",IF(L73="Missing from bank","Check bank date or posting",IF(L73="Amount variance","Check invoice/payment amount","Check timing difference")))</f>
        <v/>
      </c>
      <c r="O73" s="140" t="inlineStr">
        <is>
          <t>1200 AR</t>
        </is>
      </c>
      <c r="P73" s="140" t="inlineStr">
        <is>
          <t>AR Clerk</t>
        </is>
      </c>
      <c r="Q73" s="140" t="inlineStr">
        <is>
          <t>No</t>
        </is>
      </c>
      <c r="R73" s="147" t="str"/>
      <c r="S73" s="148">
        <f>IF(K73="Matched",0,Mapping_Rules!$B$6-B73)</f>
        <v/>
      </c>
    </row>
    <row r="74">
      <c r="A74" s="115" t="inlineStr">
        <is>
          <t>ERP-00071</t>
        </is>
      </c>
      <c r="B74" s="125" t="n">
        <v>46037</v>
      </c>
      <c r="C74" s="115" t="inlineStr">
        <is>
          <t>GL</t>
        </is>
      </c>
      <c r="D74" s="115" t="inlineStr">
        <is>
          <t>Harbour Design Co.</t>
        </is>
      </c>
      <c r="E74" s="115" t="inlineStr">
        <is>
          <t>REF-100071</t>
        </is>
      </c>
      <c r="F74" s="126" t="n">
        <v>-1876.03</v>
      </c>
      <c r="G74" s="134">
        <f>IFERROR(XLOOKUP(E74,Bank_Statement!$D$4:$D$448,Bank_Statement!$G$4:$G$448,""),"")</f>
        <v/>
      </c>
      <c r="H74" s="126">
        <f>IF(G74="","",F74-G74)</f>
        <v/>
      </c>
      <c r="I74" s="135">
        <f>IFERROR(XLOOKUP(E74,Bank_Statement!$D$4:$D$448,Bank_Statement!$B$4:$B$448,""),"")</f>
        <v/>
      </c>
      <c r="J74" s="136">
        <f>IF(I74="","",ABS(B74-I74))</f>
        <v/>
      </c>
      <c r="K74" s="137">
        <f>IF(G74="","Unmatched ERP",IF(AND(ABS(H74)&lt;=Mapping_Rules!$B$4,ABS(J74)&lt;=Mapping_Rules!$B$5),"Matched","Review"))</f>
        <v/>
      </c>
      <c r="L74" s="137">
        <f>IF(K74="Matched","None",IF(G74="","Missing from bank",IF(ABS(H74)&gt;Mapping_Rules!$B$4,"Amount variance","Date variance")))</f>
        <v/>
      </c>
      <c r="M74" s="137">
        <f>IF(K74="Matched","Low",IF(OR(IFERROR(ABS(H74),0)&gt;Mapping_Rules!$B$7,IFERROR(J74,0)&gt;Mapping_Rules!$B$8),"High","Medium"))</f>
        <v/>
      </c>
      <c r="N74" s="137">
        <f>IF(K74="Matched","No action needed",IF(L74="Missing from bank","Check bank date or posting",IF(L74="Amount variance","Check invoice/payment amount","Check timing difference")))</f>
        <v/>
      </c>
      <c r="O74" s="115" t="inlineStr">
        <is>
          <t>1200 AR</t>
        </is>
      </c>
      <c r="P74" s="115" t="inlineStr">
        <is>
          <t>Accounting Technician</t>
        </is>
      </c>
      <c r="Q74" s="115" t="inlineStr">
        <is>
          <t>No</t>
        </is>
      </c>
      <c r="R74" s="138" t="str"/>
      <c r="S74" s="139">
        <f>IF(K74="Matched",0,Mapping_Rules!$B$6-B74)</f>
        <v/>
      </c>
    </row>
    <row r="75">
      <c r="A75" s="140" t="inlineStr">
        <is>
          <t>ERP-00072</t>
        </is>
      </c>
      <c r="B75" s="141" t="n">
        <v>46041</v>
      </c>
      <c r="C75" s="140" t="inlineStr">
        <is>
          <t>GL</t>
        </is>
      </c>
      <c r="D75" s="140" t="inlineStr">
        <is>
          <t>Vancouver Courier</t>
        </is>
      </c>
      <c r="E75" s="140" t="inlineStr">
        <is>
          <t>REF-100072</t>
        </is>
      </c>
      <c r="F75" s="142" t="n">
        <v>-2013.44</v>
      </c>
      <c r="G75" s="143">
        <f>IFERROR(XLOOKUP(E75,Bank_Statement!$D$4:$D$448,Bank_Statement!$G$4:$G$448,""),"")</f>
        <v/>
      </c>
      <c r="H75" s="142">
        <f>IF(G75="","",F75-G75)</f>
        <v/>
      </c>
      <c r="I75" s="144">
        <f>IFERROR(XLOOKUP(E75,Bank_Statement!$D$4:$D$448,Bank_Statement!$B$4:$B$448,""),"")</f>
        <v/>
      </c>
      <c r="J75" s="145">
        <f>IF(I75="","",ABS(B75-I75))</f>
        <v/>
      </c>
      <c r="K75" s="146">
        <f>IF(G75="","Unmatched ERP",IF(AND(ABS(H75)&lt;=Mapping_Rules!$B$4,ABS(J75)&lt;=Mapping_Rules!$B$5),"Matched","Review"))</f>
        <v/>
      </c>
      <c r="L75" s="146">
        <f>IF(K75="Matched","None",IF(G75="","Missing from bank",IF(ABS(H75)&gt;Mapping_Rules!$B$4,"Amount variance","Date variance")))</f>
        <v/>
      </c>
      <c r="M75" s="146">
        <f>IF(K75="Matched","Low",IF(OR(IFERROR(ABS(H75),0)&gt;Mapping_Rules!$B$7,IFERROR(J75,0)&gt;Mapping_Rules!$B$8),"High","Medium"))</f>
        <v/>
      </c>
      <c r="N75" s="146">
        <f>IF(K75="Matched","No action needed",IF(L75="Missing from bank","Check bank date or posting",IF(L75="Amount variance","Check invoice/payment amount","Check timing difference")))</f>
        <v/>
      </c>
      <c r="O75" s="140" t="inlineStr">
        <is>
          <t>1200 AR</t>
        </is>
      </c>
      <c r="P75" s="140" t="inlineStr">
        <is>
          <t>Accounting Technician</t>
        </is>
      </c>
      <c r="Q75" s="140" t="inlineStr">
        <is>
          <t>No</t>
        </is>
      </c>
      <c r="R75" s="147" t="str"/>
      <c r="S75" s="148">
        <f>IF(K75="Matched",0,Mapping_Rules!$B$6-B75)</f>
        <v/>
      </c>
    </row>
    <row r="76">
      <c r="A76" s="115" t="inlineStr">
        <is>
          <t>ERP-00073</t>
        </is>
      </c>
      <c r="B76" s="125" t="n">
        <v>46042</v>
      </c>
      <c r="C76" s="115" t="inlineStr">
        <is>
          <t>Payroll</t>
        </is>
      </c>
      <c r="D76" s="115" t="inlineStr">
        <is>
          <t>Payroll Batch</t>
        </is>
      </c>
      <c r="E76" s="115" t="inlineStr">
        <is>
          <t>REF-100073</t>
        </is>
      </c>
      <c r="F76" s="126" t="n">
        <v>-14045.29</v>
      </c>
      <c r="G76" s="134">
        <f>IFERROR(XLOOKUP(E76,Bank_Statement!$D$4:$D$448,Bank_Statement!$G$4:$G$448,""),"")</f>
        <v/>
      </c>
      <c r="H76" s="126">
        <f>IF(G76="","",F76-G76)</f>
        <v/>
      </c>
      <c r="I76" s="135">
        <f>IFERROR(XLOOKUP(E76,Bank_Statement!$D$4:$D$448,Bank_Statement!$B$4:$B$448,""),"")</f>
        <v/>
      </c>
      <c r="J76" s="136">
        <f>IF(I76="","",ABS(B76-I76))</f>
        <v/>
      </c>
      <c r="K76" s="137">
        <f>IF(G76="","Unmatched ERP",IF(AND(ABS(H76)&lt;=Mapping_Rules!$B$4,ABS(J76)&lt;=Mapping_Rules!$B$5),"Matched","Review"))</f>
        <v/>
      </c>
      <c r="L76" s="137">
        <f>IF(K76="Matched","None",IF(G76="","Missing from bank",IF(ABS(H76)&gt;Mapping_Rules!$B$4,"Amount variance","Date variance")))</f>
        <v/>
      </c>
      <c r="M76" s="137">
        <f>IF(K76="Matched","Low",IF(OR(IFERROR(ABS(H76),0)&gt;Mapping_Rules!$B$7,IFERROR(J76,0)&gt;Mapping_Rules!$B$8),"High","Medium"))</f>
        <v/>
      </c>
      <c r="N76" s="137">
        <f>IF(K76="Matched","No action needed",IF(L76="Missing from bank","Check bank date or posting",IF(L76="Amount variance","Check invoice/payment amount","Check timing difference")))</f>
        <v/>
      </c>
      <c r="O76" s="115" t="inlineStr">
        <is>
          <t>5300 Payroll</t>
        </is>
      </c>
      <c r="P76" s="115" t="inlineStr">
        <is>
          <t>Accounting Technician</t>
        </is>
      </c>
      <c r="Q76" s="115" t="inlineStr">
        <is>
          <t>No</t>
        </is>
      </c>
      <c r="R76" s="138" t="str"/>
      <c r="S76" s="139">
        <f>IF(K76="Matched",0,Mapping_Rules!$B$6-B76)</f>
        <v/>
      </c>
    </row>
    <row r="77">
      <c r="A77" s="140" t="inlineStr">
        <is>
          <t>ERP-00074</t>
        </is>
      </c>
      <c r="B77" s="141" t="n">
        <v>46025</v>
      </c>
      <c r="C77" s="140" t="inlineStr">
        <is>
          <t>AR</t>
        </is>
      </c>
      <c r="D77" s="140" t="inlineStr">
        <is>
          <t>Raincity Tech</t>
        </is>
      </c>
      <c r="E77" s="140" t="inlineStr">
        <is>
          <t>REF-100074</t>
        </is>
      </c>
      <c r="F77" s="142" t="n">
        <v>255.65</v>
      </c>
      <c r="G77" s="143">
        <f>IFERROR(XLOOKUP(E77,Bank_Statement!$D$4:$D$448,Bank_Statement!$G$4:$G$448,""),"")</f>
        <v/>
      </c>
      <c r="H77" s="142">
        <f>IF(G77="","",F77-G77)</f>
        <v/>
      </c>
      <c r="I77" s="144">
        <f>IFERROR(XLOOKUP(E77,Bank_Statement!$D$4:$D$448,Bank_Statement!$B$4:$B$448,""),"")</f>
        <v/>
      </c>
      <c r="J77" s="145">
        <f>IF(I77="","",ABS(B77-I77))</f>
        <v/>
      </c>
      <c r="K77" s="146">
        <f>IF(G77="","Unmatched ERP",IF(AND(ABS(H77)&lt;=Mapping_Rules!$B$4,ABS(J77)&lt;=Mapping_Rules!$B$5),"Matched","Review"))</f>
        <v/>
      </c>
      <c r="L77" s="146">
        <f>IF(K77="Matched","None",IF(G77="","Missing from bank",IF(ABS(H77)&gt;Mapping_Rules!$B$4,"Amount variance","Date variance")))</f>
        <v/>
      </c>
      <c r="M77" s="146">
        <f>IF(K77="Matched","Low",IF(OR(IFERROR(ABS(H77),0)&gt;Mapping_Rules!$B$7,IFERROR(J77,0)&gt;Mapping_Rules!$B$8),"High","Medium"))</f>
        <v/>
      </c>
      <c r="N77" s="146">
        <f>IF(K77="Matched","No action needed",IF(L77="Missing from bank","Check bank date or posting",IF(L77="Amount variance","Check invoice/payment amount","Check timing difference")))</f>
        <v/>
      </c>
      <c r="O77" s="140" t="inlineStr">
        <is>
          <t>1200 AR</t>
        </is>
      </c>
      <c r="P77" s="140" t="inlineStr">
        <is>
          <t>AR Clerk</t>
        </is>
      </c>
      <c r="Q77" s="140" t="inlineStr">
        <is>
          <t>No</t>
        </is>
      </c>
      <c r="R77" s="147" t="str"/>
      <c r="S77" s="148">
        <f>IF(K77="Matched",0,Mapping_Rules!$B$6-B77)</f>
        <v/>
      </c>
    </row>
    <row r="78">
      <c r="A78" s="115" t="inlineStr">
        <is>
          <t>ERP-00075</t>
        </is>
      </c>
      <c r="B78" s="125" t="n">
        <v>46049</v>
      </c>
      <c r="C78" s="115" t="inlineStr">
        <is>
          <t>AR</t>
        </is>
      </c>
      <c r="D78" s="115" t="inlineStr">
        <is>
          <t>Coastline Foods</t>
        </is>
      </c>
      <c r="E78" s="115" t="inlineStr">
        <is>
          <t>REF-100075</t>
        </is>
      </c>
      <c r="F78" s="126" t="n">
        <v>3786.32</v>
      </c>
      <c r="G78" s="134">
        <f>IFERROR(XLOOKUP(E78,Bank_Statement!$D$4:$D$448,Bank_Statement!$G$4:$G$448,""),"")</f>
        <v/>
      </c>
      <c r="H78" s="126">
        <f>IF(G78="","",F78-G78)</f>
        <v/>
      </c>
      <c r="I78" s="135">
        <f>IFERROR(XLOOKUP(E78,Bank_Statement!$D$4:$D$448,Bank_Statement!$B$4:$B$448,""),"")</f>
        <v/>
      </c>
      <c r="J78" s="136">
        <f>IF(I78="","",ABS(B78-I78))</f>
        <v/>
      </c>
      <c r="K78" s="137">
        <f>IF(G78="","Unmatched ERP",IF(AND(ABS(H78)&lt;=Mapping_Rules!$B$4,ABS(J78)&lt;=Mapping_Rules!$B$5),"Matched","Review"))</f>
        <v/>
      </c>
      <c r="L78" s="137">
        <f>IF(K78="Matched","None",IF(G78="","Missing from bank",IF(ABS(H78)&gt;Mapping_Rules!$B$4,"Amount variance","Date variance")))</f>
        <v/>
      </c>
      <c r="M78" s="137">
        <f>IF(K78="Matched","Low",IF(OR(IFERROR(ABS(H78),0)&gt;Mapping_Rules!$B$7,IFERROR(J78,0)&gt;Mapping_Rules!$B$8),"High","Medium"))</f>
        <v/>
      </c>
      <c r="N78" s="137">
        <f>IF(K78="Matched","No action needed",IF(L78="Missing from bank","Check bank date or posting",IF(L78="Amount variance","Check invoice/payment amount","Check timing difference")))</f>
        <v/>
      </c>
      <c r="O78" s="115" t="inlineStr">
        <is>
          <t>1200 AR</t>
        </is>
      </c>
      <c r="P78" s="115" t="inlineStr">
        <is>
          <t>AR Clerk</t>
        </is>
      </c>
      <c r="Q78" s="115" t="inlineStr">
        <is>
          <t>No</t>
        </is>
      </c>
      <c r="R78" s="138" t="str"/>
      <c r="S78" s="139">
        <f>IF(K78="Matched",0,Mapping_Rules!$B$6-B78)</f>
        <v/>
      </c>
    </row>
    <row r="79">
      <c r="A79" s="140" t="inlineStr">
        <is>
          <t>ERP-00076</t>
        </is>
      </c>
      <c r="B79" s="141" t="n">
        <v>46049</v>
      </c>
      <c r="C79" s="140" t="inlineStr">
        <is>
          <t>GL</t>
        </is>
      </c>
      <c r="D79" s="140" t="inlineStr">
        <is>
          <t>Amazon Business</t>
        </is>
      </c>
      <c r="E79" s="140" t="inlineStr">
        <is>
          <t>REF-100076</t>
        </is>
      </c>
      <c r="F79" s="142" t="n">
        <v>1645.41</v>
      </c>
      <c r="G79" s="143">
        <f>IFERROR(XLOOKUP(E79,Bank_Statement!$D$4:$D$448,Bank_Statement!$G$4:$G$448,""),"")</f>
        <v/>
      </c>
      <c r="H79" s="142">
        <f>IF(G79="","",F79-G79)</f>
        <v/>
      </c>
      <c r="I79" s="144">
        <f>IFERROR(XLOOKUP(E79,Bank_Statement!$D$4:$D$448,Bank_Statement!$B$4:$B$448,""),"")</f>
        <v/>
      </c>
      <c r="J79" s="145">
        <f>IF(I79="","",ABS(B79-I79))</f>
        <v/>
      </c>
      <c r="K79" s="146">
        <f>IF(G79="","Unmatched ERP",IF(AND(ABS(H79)&lt;=Mapping_Rules!$B$4,ABS(J79)&lt;=Mapping_Rules!$B$5),"Matched","Review"))</f>
        <v/>
      </c>
      <c r="L79" s="146">
        <f>IF(K79="Matched","None",IF(G79="","Missing from bank",IF(ABS(H79)&gt;Mapping_Rules!$B$4,"Amount variance","Date variance")))</f>
        <v/>
      </c>
      <c r="M79" s="146">
        <f>IF(K79="Matched","Low",IF(OR(IFERROR(ABS(H79),0)&gt;Mapping_Rules!$B$7,IFERROR(J79,0)&gt;Mapping_Rules!$B$8),"High","Medium"))</f>
        <v/>
      </c>
      <c r="N79" s="146">
        <f>IF(K79="Matched","No action needed",IF(L79="Missing from bank","Check bank date or posting",IF(L79="Amount variance","Check invoice/payment amount","Check timing difference")))</f>
        <v/>
      </c>
      <c r="O79" s="140" t="inlineStr">
        <is>
          <t>1200 AR</t>
        </is>
      </c>
      <c r="P79" s="140" t="inlineStr">
        <is>
          <t>Accounting Technician</t>
        </is>
      </c>
      <c r="Q79" s="140" t="inlineStr">
        <is>
          <t>No</t>
        </is>
      </c>
      <c r="R79" s="147" t="str"/>
      <c r="S79" s="148">
        <f>IF(K79="Matched",0,Mapping_Rules!$B$6-B79)</f>
        <v/>
      </c>
    </row>
    <row r="80">
      <c r="A80" s="115" t="inlineStr">
        <is>
          <t>ERP-00077</t>
        </is>
      </c>
      <c r="B80" s="125" t="n">
        <v>46044</v>
      </c>
      <c r="C80" s="115" t="inlineStr">
        <is>
          <t>AR</t>
        </is>
      </c>
      <c r="D80" s="115" t="inlineStr">
        <is>
          <t>Maple Retail Group</t>
        </is>
      </c>
      <c r="E80" s="115" t="inlineStr">
        <is>
          <t>REF-100077</t>
        </is>
      </c>
      <c r="F80" s="126" t="n">
        <v>4277.46</v>
      </c>
      <c r="G80" s="134">
        <f>IFERROR(XLOOKUP(E80,Bank_Statement!$D$4:$D$448,Bank_Statement!$G$4:$G$448,""),"")</f>
        <v/>
      </c>
      <c r="H80" s="126">
        <f>IF(G80="","",F80-G80)</f>
        <v/>
      </c>
      <c r="I80" s="135">
        <f>IFERROR(XLOOKUP(E80,Bank_Statement!$D$4:$D$448,Bank_Statement!$B$4:$B$448,""),"")</f>
        <v/>
      </c>
      <c r="J80" s="136">
        <f>IF(I80="","",ABS(B80-I80))</f>
        <v/>
      </c>
      <c r="K80" s="137">
        <f>IF(G80="","Unmatched ERP",IF(AND(ABS(H80)&lt;=Mapping_Rules!$B$4,ABS(J80)&lt;=Mapping_Rules!$B$5),"Matched","Review"))</f>
        <v/>
      </c>
      <c r="L80" s="137">
        <f>IF(K80="Matched","None",IF(G80="","Missing from bank",IF(ABS(H80)&gt;Mapping_Rules!$B$4,"Amount variance","Date variance")))</f>
        <v/>
      </c>
      <c r="M80" s="137">
        <f>IF(K80="Matched","Low",IF(OR(IFERROR(ABS(H80),0)&gt;Mapping_Rules!$B$7,IFERROR(J80,0)&gt;Mapping_Rules!$B$8),"High","Medium"))</f>
        <v/>
      </c>
      <c r="N80" s="137">
        <f>IF(K80="Matched","No action needed",IF(L80="Missing from bank","Check bank date or posting",IF(L80="Amount variance","Check invoice/payment amount","Check timing difference")))</f>
        <v/>
      </c>
      <c r="O80" s="115" t="inlineStr">
        <is>
          <t>1200 AR</t>
        </is>
      </c>
      <c r="P80" s="115" t="inlineStr">
        <is>
          <t>AR Clerk</t>
        </is>
      </c>
      <c r="Q80" s="115" t="inlineStr">
        <is>
          <t>No</t>
        </is>
      </c>
      <c r="R80" s="138" t="str"/>
      <c r="S80" s="139">
        <f>IF(K80="Matched",0,Mapping_Rules!$B$6-B80)</f>
        <v/>
      </c>
    </row>
    <row r="81">
      <c r="A81" s="140" t="inlineStr">
        <is>
          <t>ERP-00078</t>
        </is>
      </c>
      <c r="B81" s="141" t="n">
        <v>46033</v>
      </c>
      <c r="C81" s="140" t="inlineStr">
        <is>
          <t>AP</t>
        </is>
      </c>
      <c r="D81" s="140" t="inlineStr">
        <is>
          <t>Amazon Business</t>
        </is>
      </c>
      <c r="E81" s="140" t="inlineStr">
        <is>
          <t>REF-100078</t>
        </is>
      </c>
      <c r="F81" s="142" t="n">
        <v>-4371.24</v>
      </c>
      <c r="G81" s="143">
        <f>IFERROR(XLOOKUP(E81,Bank_Statement!$D$4:$D$448,Bank_Statement!$G$4:$G$448,""),"")</f>
        <v/>
      </c>
      <c r="H81" s="142">
        <f>IF(G81="","",F81-G81)</f>
        <v/>
      </c>
      <c r="I81" s="144">
        <f>IFERROR(XLOOKUP(E81,Bank_Statement!$D$4:$D$448,Bank_Statement!$B$4:$B$448,""),"")</f>
        <v/>
      </c>
      <c r="J81" s="145">
        <f>IF(I81="","",ABS(B81-I81))</f>
        <v/>
      </c>
      <c r="K81" s="146">
        <f>IF(G81="","Unmatched ERP",IF(AND(ABS(H81)&lt;=Mapping_Rules!$B$4,ABS(J81)&lt;=Mapping_Rules!$B$5),"Matched","Review"))</f>
        <v/>
      </c>
      <c r="L81" s="146">
        <f>IF(K81="Matched","None",IF(G81="","Missing from bank",IF(ABS(H81)&gt;Mapping_Rules!$B$4,"Amount variance","Date variance")))</f>
        <v/>
      </c>
      <c r="M81" s="146">
        <f>IF(K81="Matched","Low",IF(OR(IFERROR(ABS(H81),0)&gt;Mapping_Rules!$B$7,IFERROR(J81,0)&gt;Mapping_Rules!$B$8),"High","Medium"))</f>
        <v/>
      </c>
      <c r="N81" s="146">
        <f>IF(K81="Matched","No action needed",IF(L81="Missing from bank","Check bank date or posting",IF(L81="Amount variance","Check invoice/payment amount","Check timing difference")))</f>
        <v/>
      </c>
      <c r="O81" s="140" t="inlineStr">
        <is>
          <t>2000 AP</t>
        </is>
      </c>
      <c r="P81" s="140" t="inlineStr">
        <is>
          <t>AP Clerk</t>
        </is>
      </c>
      <c r="Q81" s="140" t="inlineStr">
        <is>
          <t>No</t>
        </is>
      </c>
      <c r="R81" s="147" t="str"/>
      <c r="S81" s="148">
        <f>IF(K81="Matched",0,Mapping_Rules!$B$6-B81)</f>
        <v/>
      </c>
    </row>
    <row r="82">
      <c r="A82" s="115" t="inlineStr">
        <is>
          <t>ERP-00079</t>
        </is>
      </c>
      <c r="B82" s="125" t="n">
        <v>46046</v>
      </c>
      <c r="C82" s="115" t="inlineStr">
        <is>
          <t>AR</t>
        </is>
      </c>
      <c r="D82" s="115" t="inlineStr">
        <is>
          <t>West Van Fitness</t>
        </is>
      </c>
      <c r="E82" s="115" t="inlineStr">
        <is>
          <t>REF-100079</t>
        </is>
      </c>
      <c r="F82" s="126" t="n">
        <v>6480.67</v>
      </c>
      <c r="G82" s="134">
        <f>IFERROR(XLOOKUP(E82,Bank_Statement!$D$4:$D$448,Bank_Statement!$G$4:$G$448,""),"")</f>
        <v/>
      </c>
      <c r="H82" s="126">
        <f>IF(G82="","",F82-G82)</f>
        <v/>
      </c>
      <c r="I82" s="135">
        <f>IFERROR(XLOOKUP(E82,Bank_Statement!$D$4:$D$448,Bank_Statement!$B$4:$B$448,""),"")</f>
        <v/>
      </c>
      <c r="J82" s="136">
        <f>IF(I82="","",ABS(B82-I82))</f>
        <v/>
      </c>
      <c r="K82" s="137">
        <f>IF(G82="","Unmatched ERP",IF(AND(ABS(H82)&lt;=Mapping_Rules!$B$4,ABS(J82)&lt;=Mapping_Rules!$B$5),"Matched","Review"))</f>
        <v/>
      </c>
      <c r="L82" s="137">
        <f>IF(K82="Matched","None",IF(G82="","Missing from bank",IF(ABS(H82)&gt;Mapping_Rules!$B$4,"Amount variance","Date variance")))</f>
        <v/>
      </c>
      <c r="M82" s="137">
        <f>IF(K82="Matched","Low",IF(OR(IFERROR(ABS(H82),0)&gt;Mapping_Rules!$B$7,IFERROR(J82,0)&gt;Mapping_Rules!$B$8),"High","Medium"))</f>
        <v/>
      </c>
      <c r="N82" s="137">
        <f>IF(K82="Matched","No action needed",IF(L82="Missing from bank","Check bank date or posting",IF(L82="Amount variance","Check invoice/payment amount","Check timing difference")))</f>
        <v/>
      </c>
      <c r="O82" s="115" t="inlineStr">
        <is>
          <t>1200 AR</t>
        </is>
      </c>
      <c r="P82" s="115" t="inlineStr">
        <is>
          <t>AR Clerk</t>
        </is>
      </c>
      <c r="Q82" s="115" t="inlineStr">
        <is>
          <t>No</t>
        </is>
      </c>
      <c r="R82" s="138" t="str"/>
      <c r="S82" s="139">
        <f>IF(K82="Matched",0,Mapping_Rules!$B$6-B82)</f>
        <v/>
      </c>
    </row>
    <row r="83">
      <c r="A83" s="140" t="inlineStr">
        <is>
          <t>ERP-00080</t>
        </is>
      </c>
      <c r="B83" s="141" t="n">
        <v>46030</v>
      </c>
      <c r="C83" s="140" t="inlineStr">
        <is>
          <t>AR</t>
        </is>
      </c>
      <c r="D83" s="140" t="inlineStr">
        <is>
          <t>Coastline Foods</t>
        </is>
      </c>
      <c r="E83" s="140" t="inlineStr">
        <is>
          <t>REF-100080</t>
        </is>
      </c>
      <c r="F83" s="142" t="n">
        <v>2706.82</v>
      </c>
      <c r="G83" s="143">
        <f>IFERROR(XLOOKUP(E83,Bank_Statement!$D$4:$D$448,Bank_Statement!$G$4:$G$448,""),"")</f>
        <v/>
      </c>
      <c r="H83" s="142">
        <f>IF(G83="","",F83-G83)</f>
        <v/>
      </c>
      <c r="I83" s="144">
        <f>IFERROR(XLOOKUP(E83,Bank_Statement!$D$4:$D$448,Bank_Statement!$B$4:$B$448,""),"")</f>
        <v/>
      </c>
      <c r="J83" s="145">
        <f>IF(I83="","",ABS(B83-I83))</f>
        <v/>
      </c>
      <c r="K83" s="146">
        <f>IF(G83="","Unmatched ERP",IF(AND(ABS(H83)&lt;=Mapping_Rules!$B$4,ABS(J83)&lt;=Mapping_Rules!$B$5),"Matched","Review"))</f>
        <v/>
      </c>
      <c r="L83" s="146">
        <f>IF(K83="Matched","None",IF(G83="","Missing from bank",IF(ABS(H83)&gt;Mapping_Rules!$B$4,"Amount variance","Date variance")))</f>
        <v/>
      </c>
      <c r="M83" s="146">
        <f>IF(K83="Matched","Low",IF(OR(IFERROR(ABS(H83),0)&gt;Mapping_Rules!$B$7,IFERROR(J83,0)&gt;Mapping_Rules!$B$8),"High","Medium"))</f>
        <v/>
      </c>
      <c r="N83" s="146">
        <f>IF(K83="Matched","No action needed",IF(L83="Missing from bank","Check bank date or posting",IF(L83="Amount variance","Check invoice/payment amount","Check timing difference")))</f>
        <v/>
      </c>
      <c r="O83" s="140" t="inlineStr">
        <is>
          <t>1200 AR</t>
        </is>
      </c>
      <c r="P83" s="140" t="inlineStr">
        <is>
          <t>AR Clerk</t>
        </is>
      </c>
      <c r="Q83" s="140" t="inlineStr">
        <is>
          <t>No</t>
        </is>
      </c>
      <c r="R83" s="147" t="str"/>
      <c r="S83" s="148">
        <f>IF(K83="Matched",0,Mapping_Rules!$B$6-B83)</f>
        <v/>
      </c>
    </row>
    <row r="84">
      <c r="A84" s="115" t="inlineStr">
        <is>
          <t>ERP-00081</t>
        </is>
      </c>
      <c r="B84" s="125" t="n">
        <v>46046</v>
      </c>
      <c r="C84" s="115" t="inlineStr">
        <is>
          <t>AR</t>
        </is>
      </c>
      <c r="D84" s="115" t="inlineStr">
        <is>
          <t>Raincity Tech</t>
        </is>
      </c>
      <c r="E84" s="115" t="inlineStr">
        <is>
          <t>REF-100081</t>
        </is>
      </c>
      <c r="F84" s="126" t="n">
        <v>6018.84</v>
      </c>
      <c r="G84" s="134">
        <f>IFERROR(XLOOKUP(E84,Bank_Statement!$D$4:$D$448,Bank_Statement!$G$4:$G$448,""),"")</f>
        <v/>
      </c>
      <c r="H84" s="126">
        <f>IF(G84="","",F84-G84)</f>
        <v/>
      </c>
      <c r="I84" s="135">
        <f>IFERROR(XLOOKUP(E84,Bank_Statement!$D$4:$D$448,Bank_Statement!$B$4:$B$448,""),"")</f>
        <v/>
      </c>
      <c r="J84" s="136">
        <f>IF(I84="","",ABS(B84-I84))</f>
        <v/>
      </c>
      <c r="K84" s="137">
        <f>IF(G84="","Unmatched ERP",IF(AND(ABS(H84)&lt;=Mapping_Rules!$B$4,ABS(J84)&lt;=Mapping_Rules!$B$5),"Matched","Review"))</f>
        <v/>
      </c>
      <c r="L84" s="137">
        <f>IF(K84="Matched","None",IF(G84="","Missing from bank",IF(ABS(H84)&gt;Mapping_Rules!$B$4,"Amount variance","Date variance")))</f>
        <v/>
      </c>
      <c r="M84" s="137">
        <f>IF(K84="Matched","Low",IF(OR(IFERROR(ABS(H84),0)&gt;Mapping_Rules!$B$7,IFERROR(J84,0)&gt;Mapping_Rules!$B$8),"High","Medium"))</f>
        <v/>
      </c>
      <c r="N84" s="137">
        <f>IF(K84="Matched","No action needed",IF(L84="Missing from bank","Check bank date or posting",IF(L84="Amount variance","Check invoice/payment amount","Check timing difference")))</f>
        <v/>
      </c>
      <c r="O84" s="115" t="inlineStr">
        <is>
          <t>1200 AR</t>
        </is>
      </c>
      <c r="P84" s="115" t="inlineStr">
        <is>
          <t>AR Clerk</t>
        </is>
      </c>
      <c r="Q84" s="115" t="inlineStr">
        <is>
          <t>No</t>
        </is>
      </c>
      <c r="R84" s="138" t="str"/>
      <c r="S84" s="139">
        <f>IF(K84="Matched",0,Mapping_Rules!$B$6-B84)</f>
        <v/>
      </c>
    </row>
    <row r="85">
      <c r="A85" s="140" t="inlineStr">
        <is>
          <t>ERP-00082</t>
        </is>
      </c>
      <c r="B85" s="141" t="n">
        <v>46033</v>
      </c>
      <c r="C85" s="140" t="inlineStr">
        <is>
          <t>AP</t>
        </is>
      </c>
      <c r="D85" s="140" t="inlineStr">
        <is>
          <t>Amazon Business</t>
        </is>
      </c>
      <c r="E85" s="140" t="inlineStr">
        <is>
          <t>REF-100082</t>
        </is>
      </c>
      <c r="F85" s="142" t="n">
        <v>-5899.37</v>
      </c>
      <c r="G85" s="143">
        <f>IFERROR(XLOOKUP(E85,Bank_Statement!$D$4:$D$448,Bank_Statement!$G$4:$G$448,""),"")</f>
        <v/>
      </c>
      <c r="H85" s="142">
        <f>IF(G85="","",F85-G85)</f>
        <v/>
      </c>
      <c r="I85" s="144">
        <f>IFERROR(XLOOKUP(E85,Bank_Statement!$D$4:$D$448,Bank_Statement!$B$4:$B$448,""),"")</f>
        <v/>
      </c>
      <c r="J85" s="145">
        <f>IF(I85="","",ABS(B85-I85))</f>
        <v/>
      </c>
      <c r="K85" s="146">
        <f>IF(G85="","Unmatched ERP",IF(AND(ABS(H85)&lt;=Mapping_Rules!$B$4,ABS(J85)&lt;=Mapping_Rules!$B$5),"Matched","Review"))</f>
        <v/>
      </c>
      <c r="L85" s="146">
        <f>IF(K85="Matched","None",IF(G85="","Missing from bank",IF(ABS(H85)&gt;Mapping_Rules!$B$4,"Amount variance","Date variance")))</f>
        <v/>
      </c>
      <c r="M85" s="146">
        <f>IF(K85="Matched","Low",IF(OR(IFERROR(ABS(H85),0)&gt;Mapping_Rules!$B$7,IFERROR(J85,0)&gt;Mapping_Rules!$B$8),"High","Medium"))</f>
        <v/>
      </c>
      <c r="N85" s="146">
        <f>IF(K85="Matched","No action needed",IF(L85="Missing from bank","Check bank date or posting",IF(L85="Amount variance","Check invoice/payment amount","Check timing difference")))</f>
        <v/>
      </c>
      <c r="O85" s="140" t="inlineStr">
        <is>
          <t>2000 AP</t>
        </is>
      </c>
      <c r="P85" s="140" t="inlineStr">
        <is>
          <t>AP Clerk</t>
        </is>
      </c>
      <c r="Q85" s="140" t="inlineStr">
        <is>
          <t>No</t>
        </is>
      </c>
      <c r="R85" s="147" t="str"/>
      <c r="S85" s="148">
        <f>IF(K85="Matched",0,Mapping_Rules!$B$6-B85)</f>
        <v/>
      </c>
    </row>
    <row r="86">
      <c r="A86" s="115" t="inlineStr">
        <is>
          <t>ERP-00083</t>
        </is>
      </c>
      <c r="B86" s="125" t="n">
        <v>46041</v>
      </c>
      <c r="C86" s="115" t="inlineStr">
        <is>
          <t>Bank Fees</t>
        </is>
      </c>
      <c r="D86" s="115" t="inlineStr">
        <is>
          <t>Bank</t>
        </is>
      </c>
      <c r="E86" s="115" t="inlineStr">
        <is>
          <t>REF-100083</t>
        </is>
      </c>
      <c r="F86" s="126" t="n">
        <v>-65.33</v>
      </c>
      <c r="G86" s="134">
        <f>IFERROR(XLOOKUP(E86,Bank_Statement!$D$4:$D$448,Bank_Statement!$G$4:$G$448,""),"")</f>
        <v/>
      </c>
      <c r="H86" s="126">
        <f>IF(G86="","",F86-G86)</f>
        <v/>
      </c>
      <c r="I86" s="135">
        <f>IFERROR(XLOOKUP(E86,Bank_Statement!$D$4:$D$448,Bank_Statement!$B$4:$B$448,""),"")</f>
        <v/>
      </c>
      <c r="J86" s="136">
        <f>IF(I86="","",ABS(B86-I86))</f>
        <v/>
      </c>
      <c r="K86" s="137">
        <f>IF(G86="","Unmatched ERP",IF(AND(ABS(H86)&lt;=Mapping_Rules!$B$4,ABS(J86)&lt;=Mapping_Rules!$B$5),"Matched","Review"))</f>
        <v/>
      </c>
      <c r="L86" s="137">
        <f>IF(K86="Matched","None",IF(G86="","Missing from bank",IF(ABS(H86)&gt;Mapping_Rules!$B$4,"Amount variance","Date variance")))</f>
        <v/>
      </c>
      <c r="M86" s="137">
        <f>IF(K86="Matched","Low",IF(OR(IFERROR(ABS(H86),0)&gt;Mapping_Rules!$B$7,IFERROR(J86,0)&gt;Mapping_Rules!$B$8),"High","Medium"))</f>
        <v/>
      </c>
      <c r="N86" s="137">
        <f>IF(K86="Matched","No action needed",IF(L86="Missing from bank","Check bank date or posting",IF(L86="Amount variance","Check invoice/payment amount","Check timing difference")))</f>
        <v/>
      </c>
      <c r="O86" s="115" t="inlineStr">
        <is>
          <t>6100 Bank Fees</t>
        </is>
      </c>
      <c r="P86" s="115" t="inlineStr">
        <is>
          <t>Accounting Technician</t>
        </is>
      </c>
      <c r="Q86" s="115" t="inlineStr">
        <is>
          <t>No</t>
        </is>
      </c>
      <c r="R86" s="138" t="str"/>
      <c r="S86" s="139">
        <f>IF(K86="Matched",0,Mapping_Rules!$B$6-B86)</f>
        <v/>
      </c>
    </row>
    <row r="87">
      <c r="A87" s="140" t="inlineStr">
        <is>
          <t>ERP-00084</t>
        </is>
      </c>
      <c r="B87" s="141" t="n">
        <v>46032</v>
      </c>
      <c r="C87" s="140" t="inlineStr">
        <is>
          <t>AP</t>
        </is>
      </c>
      <c r="D87" s="140" t="inlineStr">
        <is>
          <t>North Shore Telecom</t>
        </is>
      </c>
      <c r="E87" s="140" t="inlineStr">
        <is>
          <t>REF-100084</t>
        </is>
      </c>
      <c r="F87" s="142" t="n">
        <v>-1929.88</v>
      </c>
      <c r="G87" s="143">
        <f>IFERROR(XLOOKUP(E87,Bank_Statement!$D$4:$D$448,Bank_Statement!$G$4:$G$448,""),"")</f>
        <v/>
      </c>
      <c r="H87" s="142">
        <f>IF(G87="","",F87-G87)</f>
        <v/>
      </c>
      <c r="I87" s="144">
        <f>IFERROR(XLOOKUP(E87,Bank_Statement!$D$4:$D$448,Bank_Statement!$B$4:$B$448,""),"")</f>
        <v/>
      </c>
      <c r="J87" s="145">
        <f>IF(I87="","",ABS(B87-I87))</f>
        <v/>
      </c>
      <c r="K87" s="146">
        <f>IF(G87="","Unmatched ERP",IF(AND(ABS(H87)&lt;=Mapping_Rules!$B$4,ABS(J87)&lt;=Mapping_Rules!$B$5),"Matched","Review"))</f>
        <v/>
      </c>
      <c r="L87" s="146">
        <f>IF(K87="Matched","None",IF(G87="","Missing from bank",IF(ABS(H87)&gt;Mapping_Rules!$B$4,"Amount variance","Date variance")))</f>
        <v/>
      </c>
      <c r="M87" s="146">
        <f>IF(K87="Matched","Low",IF(OR(IFERROR(ABS(H87),0)&gt;Mapping_Rules!$B$7,IFERROR(J87,0)&gt;Mapping_Rules!$B$8),"High","Medium"))</f>
        <v/>
      </c>
      <c r="N87" s="146">
        <f>IF(K87="Matched","No action needed",IF(L87="Missing from bank","Check bank date or posting",IF(L87="Amount variance","Check invoice/payment amount","Check timing difference")))</f>
        <v/>
      </c>
      <c r="O87" s="140" t="inlineStr">
        <is>
          <t>2000 AP</t>
        </is>
      </c>
      <c r="P87" s="140" t="inlineStr">
        <is>
          <t>AP Clerk</t>
        </is>
      </c>
      <c r="Q87" s="140" t="inlineStr">
        <is>
          <t>No</t>
        </is>
      </c>
      <c r="R87" s="147" t="str"/>
      <c r="S87" s="148">
        <f>IF(K87="Matched",0,Mapping_Rules!$B$6-B87)</f>
        <v/>
      </c>
    </row>
    <row r="88">
      <c r="A88" s="115" t="inlineStr">
        <is>
          <t>ERP-00085</t>
        </is>
      </c>
      <c r="B88" s="125" t="n">
        <v>46045</v>
      </c>
      <c r="C88" s="115" t="inlineStr">
        <is>
          <t>Bank Fees</t>
        </is>
      </c>
      <c r="D88" s="115" t="inlineStr">
        <is>
          <t>Bank</t>
        </is>
      </c>
      <c r="E88" s="115" t="inlineStr">
        <is>
          <t>REF-100085</t>
        </is>
      </c>
      <c r="F88" s="126" t="n">
        <v>-78.36</v>
      </c>
      <c r="G88" s="134">
        <f>IFERROR(XLOOKUP(E88,Bank_Statement!$D$4:$D$448,Bank_Statement!$G$4:$G$448,""),"")</f>
        <v/>
      </c>
      <c r="H88" s="126">
        <f>IF(G88="","",F88-G88)</f>
        <v/>
      </c>
      <c r="I88" s="135">
        <f>IFERROR(XLOOKUP(E88,Bank_Statement!$D$4:$D$448,Bank_Statement!$B$4:$B$448,""),"")</f>
        <v/>
      </c>
      <c r="J88" s="136">
        <f>IF(I88="","",ABS(B88-I88))</f>
        <v/>
      </c>
      <c r="K88" s="137">
        <f>IF(G88="","Unmatched ERP",IF(AND(ABS(H88)&lt;=Mapping_Rules!$B$4,ABS(J88)&lt;=Mapping_Rules!$B$5),"Matched","Review"))</f>
        <v/>
      </c>
      <c r="L88" s="137">
        <f>IF(K88="Matched","None",IF(G88="","Missing from bank",IF(ABS(H88)&gt;Mapping_Rules!$B$4,"Amount variance","Date variance")))</f>
        <v/>
      </c>
      <c r="M88" s="137">
        <f>IF(K88="Matched","Low",IF(OR(IFERROR(ABS(H88),0)&gt;Mapping_Rules!$B$7,IFERROR(J88,0)&gt;Mapping_Rules!$B$8),"High","Medium"))</f>
        <v/>
      </c>
      <c r="N88" s="137">
        <f>IF(K88="Matched","No action needed",IF(L88="Missing from bank","Check bank date or posting",IF(L88="Amount variance","Check invoice/payment amount","Check timing difference")))</f>
        <v/>
      </c>
      <c r="O88" s="115" t="inlineStr">
        <is>
          <t>6100 Bank Fees</t>
        </is>
      </c>
      <c r="P88" s="115" t="inlineStr">
        <is>
          <t>Accounting Technician</t>
        </is>
      </c>
      <c r="Q88" s="115" t="inlineStr">
        <is>
          <t>No</t>
        </is>
      </c>
      <c r="R88" s="138" t="str"/>
      <c r="S88" s="139">
        <f>IF(K88="Matched",0,Mapping_Rules!$B$6-B88)</f>
        <v/>
      </c>
    </row>
    <row r="89">
      <c r="A89" s="140" t="inlineStr">
        <is>
          <t>ERP-00086</t>
        </is>
      </c>
      <c r="B89" s="141" t="n">
        <v>46041</v>
      </c>
      <c r="C89" s="140" t="inlineStr">
        <is>
          <t>AP</t>
        </is>
      </c>
      <c r="D89" s="140" t="inlineStr">
        <is>
          <t>BC Hydro</t>
        </is>
      </c>
      <c r="E89" s="140" t="inlineStr">
        <is>
          <t>REF-100086</t>
        </is>
      </c>
      <c r="F89" s="142" t="n">
        <v>-2775.67</v>
      </c>
      <c r="G89" s="143">
        <f>IFERROR(XLOOKUP(E89,Bank_Statement!$D$4:$D$448,Bank_Statement!$G$4:$G$448,""),"")</f>
        <v/>
      </c>
      <c r="H89" s="142">
        <f>IF(G89="","",F89-G89)</f>
        <v/>
      </c>
      <c r="I89" s="144">
        <f>IFERROR(XLOOKUP(E89,Bank_Statement!$D$4:$D$448,Bank_Statement!$B$4:$B$448,""),"")</f>
        <v/>
      </c>
      <c r="J89" s="145">
        <f>IF(I89="","",ABS(B89-I89))</f>
        <v/>
      </c>
      <c r="K89" s="146">
        <f>IF(G89="","Unmatched ERP",IF(AND(ABS(H89)&lt;=Mapping_Rules!$B$4,ABS(J89)&lt;=Mapping_Rules!$B$5),"Matched","Review"))</f>
        <v/>
      </c>
      <c r="L89" s="146">
        <f>IF(K89="Matched","None",IF(G89="","Missing from bank",IF(ABS(H89)&gt;Mapping_Rules!$B$4,"Amount variance","Date variance")))</f>
        <v/>
      </c>
      <c r="M89" s="146">
        <f>IF(K89="Matched","Low",IF(OR(IFERROR(ABS(H89),0)&gt;Mapping_Rules!$B$7,IFERROR(J89,0)&gt;Mapping_Rules!$B$8),"High","Medium"))</f>
        <v/>
      </c>
      <c r="N89" s="146">
        <f>IF(K89="Matched","No action needed",IF(L89="Missing from bank","Check bank date or posting",IF(L89="Amount variance","Check invoice/payment amount","Check timing difference")))</f>
        <v/>
      </c>
      <c r="O89" s="140" t="inlineStr">
        <is>
          <t>2000 AP</t>
        </is>
      </c>
      <c r="P89" s="140" t="inlineStr">
        <is>
          <t>AP Clerk</t>
        </is>
      </c>
      <c r="Q89" s="140" t="inlineStr">
        <is>
          <t>No</t>
        </is>
      </c>
      <c r="R89" s="147" t="str"/>
      <c r="S89" s="148">
        <f>IF(K89="Matched",0,Mapping_Rules!$B$6-B89)</f>
        <v/>
      </c>
    </row>
    <row r="90">
      <c r="A90" s="115" t="inlineStr">
        <is>
          <t>ERP-00087</t>
        </is>
      </c>
      <c r="B90" s="125" t="n">
        <v>46025</v>
      </c>
      <c r="C90" s="115" t="inlineStr">
        <is>
          <t>AR</t>
        </is>
      </c>
      <c r="D90" s="115" t="inlineStr">
        <is>
          <t>Maple Retail Group</t>
        </is>
      </c>
      <c r="E90" s="115" t="inlineStr">
        <is>
          <t>REF-100087</t>
        </is>
      </c>
      <c r="F90" s="126" t="n">
        <v>4968.13</v>
      </c>
      <c r="G90" s="134">
        <f>IFERROR(XLOOKUP(E90,Bank_Statement!$D$4:$D$448,Bank_Statement!$G$4:$G$448,""),"")</f>
        <v/>
      </c>
      <c r="H90" s="126">
        <f>IF(G90="","",F90-G90)</f>
        <v/>
      </c>
      <c r="I90" s="135">
        <f>IFERROR(XLOOKUP(E90,Bank_Statement!$D$4:$D$448,Bank_Statement!$B$4:$B$448,""),"")</f>
        <v/>
      </c>
      <c r="J90" s="136">
        <f>IF(I90="","",ABS(B90-I90))</f>
        <v/>
      </c>
      <c r="K90" s="137">
        <f>IF(G90="","Unmatched ERP",IF(AND(ABS(H90)&lt;=Mapping_Rules!$B$4,ABS(J90)&lt;=Mapping_Rules!$B$5),"Matched","Review"))</f>
        <v/>
      </c>
      <c r="L90" s="137">
        <f>IF(K90="Matched","None",IF(G90="","Missing from bank",IF(ABS(H90)&gt;Mapping_Rules!$B$4,"Amount variance","Date variance")))</f>
        <v/>
      </c>
      <c r="M90" s="137">
        <f>IF(K90="Matched","Low",IF(OR(IFERROR(ABS(H90),0)&gt;Mapping_Rules!$B$7,IFERROR(J90,0)&gt;Mapping_Rules!$B$8),"High","Medium"))</f>
        <v/>
      </c>
      <c r="N90" s="137">
        <f>IF(K90="Matched","No action needed",IF(L90="Missing from bank","Check bank date or posting",IF(L90="Amount variance","Check invoice/payment amount","Check timing difference")))</f>
        <v/>
      </c>
      <c r="O90" s="115" t="inlineStr">
        <is>
          <t>1200 AR</t>
        </is>
      </c>
      <c r="P90" s="115" t="inlineStr">
        <is>
          <t>AR Clerk</t>
        </is>
      </c>
      <c r="Q90" s="115" t="inlineStr">
        <is>
          <t>No</t>
        </is>
      </c>
      <c r="R90" s="138" t="str"/>
      <c r="S90" s="139">
        <f>IF(K90="Matched",0,Mapping_Rules!$B$6-B90)</f>
        <v/>
      </c>
    </row>
    <row r="91">
      <c r="A91" s="140" t="inlineStr">
        <is>
          <t>ERP-00088</t>
        </is>
      </c>
      <c r="B91" s="141" t="n">
        <v>46030</v>
      </c>
      <c r="C91" s="140" t="inlineStr">
        <is>
          <t>AP</t>
        </is>
      </c>
      <c r="D91" s="140" t="inlineStr">
        <is>
          <t>Vancouver Courier</t>
        </is>
      </c>
      <c r="E91" s="140" t="inlineStr">
        <is>
          <t>REF-100088</t>
        </is>
      </c>
      <c r="F91" s="142" t="n">
        <v>-2626.99</v>
      </c>
      <c r="G91" s="143">
        <f>IFERROR(XLOOKUP(E91,Bank_Statement!$D$4:$D$448,Bank_Statement!$G$4:$G$448,""),"")</f>
        <v/>
      </c>
      <c r="H91" s="142">
        <f>IF(G91="","",F91-G91)</f>
        <v/>
      </c>
      <c r="I91" s="144">
        <f>IFERROR(XLOOKUP(E91,Bank_Statement!$D$4:$D$448,Bank_Statement!$B$4:$B$448,""),"")</f>
        <v/>
      </c>
      <c r="J91" s="145">
        <f>IF(I91="","",ABS(B91-I91))</f>
        <v/>
      </c>
      <c r="K91" s="146">
        <f>IF(G91="","Unmatched ERP",IF(AND(ABS(H91)&lt;=Mapping_Rules!$B$4,ABS(J91)&lt;=Mapping_Rules!$B$5),"Matched","Review"))</f>
        <v/>
      </c>
      <c r="L91" s="146">
        <f>IF(K91="Matched","None",IF(G91="","Missing from bank",IF(ABS(H91)&gt;Mapping_Rules!$B$4,"Amount variance","Date variance")))</f>
        <v/>
      </c>
      <c r="M91" s="146">
        <f>IF(K91="Matched","Low",IF(OR(IFERROR(ABS(H91),0)&gt;Mapping_Rules!$B$7,IFERROR(J91,0)&gt;Mapping_Rules!$B$8),"High","Medium"))</f>
        <v/>
      </c>
      <c r="N91" s="146">
        <f>IF(K91="Matched","No action needed",IF(L91="Missing from bank","Check bank date or posting",IF(L91="Amount variance","Check invoice/payment amount","Check timing difference")))</f>
        <v/>
      </c>
      <c r="O91" s="140" t="inlineStr">
        <is>
          <t>2000 AP</t>
        </is>
      </c>
      <c r="P91" s="140" t="inlineStr">
        <is>
          <t>AP Clerk</t>
        </is>
      </c>
      <c r="Q91" s="140" t="inlineStr">
        <is>
          <t>No</t>
        </is>
      </c>
      <c r="R91" s="147" t="str"/>
      <c r="S91" s="148">
        <f>IF(K91="Matched",0,Mapping_Rules!$B$6-B91)</f>
        <v/>
      </c>
    </row>
    <row r="92">
      <c r="A92" s="115" t="inlineStr">
        <is>
          <t>ERP-00089</t>
        </is>
      </c>
      <c r="B92" s="125" t="n">
        <v>46037</v>
      </c>
      <c r="C92" s="115" t="inlineStr">
        <is>
          <t>AP</t>
        </is>
      </c>
      <c r="D92" s="115" t="inlineStr">
        <is>
          <t>Amazon Business</t>
        </is>
      </c>
      <c r="E92" s="115" t="inlineStr">
        <is>
          <t>REF-100089</t>
        </is>
      </c>
      <c r="F92" s="126" t="n">
        <v>-6138.99</v>
      </c>
      <c r="G92" s="134">
        <f>IFERROR(XLOOKUP(E92,Bank_Statement!$D$4:$D$448,Bank_Statement!$G$4:$G$448,""),"")</f>
        <v/>
      </c>
      <c r="H92" s="126">
        <f>IF(G92="","",F92-G92)</f>
        <v/>
      </c>
      <c r="I92" s="135">
        <f>IFERROR(XLOOKUP(E92,Bank_Statement!$D$4:$D$448,Bank_Statement!$B$4:$B$448,""),"")</f>
        <v/>
      </c>
      <c r="J92" s="136">
        <f>IF(I92="","",ABS(B92-I92))</f>
        <v/>
      </c>
      <c r="K92" s="137">
        <f>IF(G92="","Unmatched ERP",IF(AND(ABS(H92)&lt;=Mapping_Rules!$B$4,ABS(J92)&lt;=Mapping_Rules!$B$5),"Matched","Review"))</f>
        <v/>
      </c>
      <c r="L92" s="137">
        <f>IF(K92="Matched","None",IF(G92="","Missing from bank",IF(ABS(H92)&gt;Mapping_Rules!$B$4,"Amount variance","Date variance")))</f>
        <v/>
      </c>
      <c r="M92" s="137">
        <f>IF(K92="Matched","Low",IF(OR(IFERROR(ABS(H92),0)&gt;Mapping_Rules!$B$7,IFERROR(J92,0)&gt;Mapping_Rules!$B$8),"High","Medium"))</f>
        <v/>
      </c>
      <c r="N92" s="137">
        <f>IF(K92="Matched","No action needed",IF(L92="Missing from bank","Check bank date or posting",IF(L92="Amount variance","Check invoice/payment amount","Check timing difference")))</f>
        <v/>
      </c>
      <c r="O92" s="115" t="inlineStr">
        <is>
          <t>2000 AP</t>
        </is>
      </c>
      <c r="P92" s="115" t="inlineStr">
        <is>
          <t>AP Clerk</t>
        </is>
      </c>
      <c r="Q92" s="115" t="inlineStr">
        <is>
          <t>No</t>
        </is>
      </c>
      <c r="R92" s="138" t="str"/>
      <c r="S92" s="139">
        <f>IF(K92="Matched",0,Mapping_Rules!$B$6-B92)</f>
        <v/>
      </c>
    </row>
    <row r="93">
      <c r="A93" s="140" t="inlineStr">
        <is>
          <t>ERP-00090</t>
        </is>
      </c>
      <c r="B93" s="141" t="n">
        <v>46029</v>
      </c>
      <c r="C93" s="140" t="inlineStr">
        <is>
          <t>AR</t>
        </is>
      </c>
      <c r="D93" s="140" t="inlineStr">
        <is>
          <t>Raincity Tech</t>
        </is>
      </c>
      <c r="E93" s="140" t="inlineStr">
        <is>
          <t>REF-100090</t>
        </is>
      </c>
      <c r="F93" s="142" t="n">
        <v>5664.57</v>
      </c>
      <c r="G93" s="143">
        <f>IFERROR(XLOOKUP(E93,Bank_Statement!$D$4:$D$448,Bank_Statement!$G$4:$G$448,""),"")</f>
        <v/>
      </c>
      <c r="H93" s="142">
        <f>IF(G93="","",F93-G93)</f>
        <v/>
      </c>
      <c r="I93" s="144">
        <f>IFERROR(XLOOKUP(E93,Bank_Statement!$D$4:$D$448,Bank_Statement!$B$4:$B$448,""),"")</f>
        <v/>
      </c>
      <c r="J93" s="145">
        <f>IF(I93="","",ABS(B93-I93))</f>
        <v/>
      </c>
      <c r="K93" s="146">
        <f>IF(G93="","Unmatched ERP",IF(AND(ABS(H93)&lt;=Mapping_Rules!$B$4,ABS(J93)&lt;=Mapping_Rules!$B$5),"Matched","Review"))</f>
        <v/>
      </c>
      <c r="L93" s="146">
        <f>IF(K93="Matched","None",IF(G93="","Missing from bank",IF(ABS(H93)&gt;Mapping_Rules!$B$4,"Amount variance","Date variance")))</f>
        <v/>
      </c>
      <c r="M93" s="146">
        <f>IF(K93="Matched","Low",IF(OR(IFERROR(ABS(H93),0)&gt;Mapping_Rules!$B$7,IFERROR(J93,0)&gt;Mapping_Rules!$B$8),"High","Medium"))</f>
        <v/>
      </c>
      <c r="N93" s="146">
        <f>IF(K93="Matched","No action needed",IF(L93="Missing from bank","Check bank date or posting",IF(L93="Amount variance","Check invoice/payment amount","Check timing difference")))</f>
        <v/>
      </c>
      <c r="O93" s="140" t="inlineStr">
        <is>
          <t>1200 AR</t>
        </is>
      </c>
      <c r="P93" s="140" t="inlineStr">
        <is>
          <t>AR Clerk</t>
        </is>
      </c>
      <c r="Q93" s="140" t="inlineStr">
        <is>
          <t>No</t>
        </is>
      </c>
      <c r="R93" s="147" t="str"/>
      <c r="S93" s="148">
        <f>IF(K93="Matched",0,Mapping_Rules!$B$6-B93)</f>
        <v/>
      </c>
    </row>
    <row r="94">
      <c r="A94" s="115" t="inlineStr">
        <is>
          <t>ERP-00091</t>
        </is>
      </c>
      <c r="B94" s="125" t="n">
        <v>46036</v>
      </c>
      <c r="C94" s="115" t="inlineStr">
        <is>
          <t>AR</t>
        </is>
      </c>
      <c r="D94" s="115" t="inlineStr">
        <is>
          <t>West Van Fitness</t>
        </is>
      </c>
      <c r="E94" s="115" t="inlineStr">
        <is>
          <t>REF-100091</t>
        </is>
      </c>
      <c r="F94" s="126" t="n">
        <v>4073.77</v>
      </c>
      <c r="G94" s="134">
        <f>IFERROR(XLOOKUP(E94,Bank_Statement!$D$4:$D$448,Bank_Statement!$G$4:$G$448,""),"")</f>
        <v/>
      </c>
      <c r="H94" s="126">
        <f>IF(G94="","",F94-G94)</f>
        <v/>
      </c>
      <c r="I94" s="135">
        <f>IFERROR(XLOOKUP(E94,Bank_Statement!$D$4:$D$448,Bank_Statement!$B$4:$B$448,""),"")</f>
        <v/>
      </c>
      <c r="J94" s="136">
        <f>IF(I94="","",ABS(B94-I94))</f>
        <v/>
      </c>
      <c r="K94" s="137">
        <f>IF(G94="","Unmatched ERP",IF(AND(ABS(H94)&lt;=Mapping_Rules!$B$4,ABS(J94)&lt;=Mapping_Rules!$B$5),"Matched","Review"))</f>
        <v/>
      </c>
      <c r="L94" s="137">
        <f>IF(K94="Matched","None",IF(G94="","Missing from bank",IF(ABS(H94)&gt;Mapping_Rules!$B$4,"Amount variance","Date variance")))</f>
        <v/>
      </c>
      <c r="M94" s="137">
        <f>IF(K94="Matched","Low",IF(OR(IFERROR(ABS(H94),0)&gt;Mapping_Rules!$B$7,IFERROR(J94,0)&gt;Mapping_Rules!$B$8),"High","Medium"))</f>
        <v/>
      </c>
      <c r="N94" s="137">
        <f>IF(K94="Matched","No action needed",IF(L94="Missing from bank","Check bank date or posting",IF(L94="Amount variance","Check invoice/payment amount","Check timing difference")))</f>
        <v/>
      </c>
      <c r="O94" s="115" t="inlineStr">
        <is>
          <t>1200 AR</t>
        </is>
      </c>
      <c r="P94" s="115" t="inlineStr">
        <is>
          <t>AR Clerk</t>
        </is>
      </c>
      <c r="Q94" s="115" t="inlineStr">
        <is>
          <t>No</t>
        </is>
      </c>
      <c r="R94" s="138" t="str"/>
      <c r="S94" s="139">
        <f>IF(K94="Matched",0,Mapping_Rules!$B$6-B94)</f>
        <v/>
      </c>
    </row>
    <row r="95">
      <c r="A95" s="140" t="inlineStr">
        <is>
          <t>ERP-00092</t>
        </is>
      </c>
      <c r="B95" s="141" t="n">
        <v>46037</v>
      </c>
      <c r="C95" s="140" t="inlineStr">
        <is>
          <t>AP</t>
        </is>
      </c>
      <c r="D95" s="140" t="inlineStr">
        <is>
          <t>North Shore Telecom</t>
        </is>
      </c>
      <c r="E95" s="140" t="inlineStr">
        <is>
          <t>REF-100092</t>
        </is>
      </c>
      <c r="F95" s="142" t="n">
        <v>-5734.34</v>
      </c>
      <c r="G95" s="143">
        <f>IFERROR(XLOOKUP(E95,Bank_Statement!$D$4:$D$448,Bank_Statement!$G$4:$G$448,""),"")</f>
        <v/>
      </c>
      <c r="H95" s="142">
        <f>IF(G95="","",F95-G95)</f>
        <v/>
      </c>
      <c r="I95" s="144">
        <f>IFERROR(XLOOKUP(E95,Bank_Statement!$D$4:$D$448,Bank_Statement!$B$4:$B$448,""),"")</f>
        <v/>
      </c>
      <c r="J95" s="145">
        <f>IF(I95="","",ABS(B95-I95))</f>
        <v/>
      </c>
      <c r="K95" s="146">
        <f>IF(G95="","Unmatched ERP",IF(AND(ABS(H95)&lt;=Mapping_Rules!$B$4,ABS(J95)&lt;=Mapping_Rules!$B$5),"Matched","Review"))</f>
        <v/>
      </c>
      <c r="L95" s="146">
        <f>IF(K95="Matched","None",IF(G95="","Missing from bank",IF(ABS(H95)&gt;Mapping_Rules!$B$4,"Amount variance","Date variance")))</f>
        <v/>
      </c>
      <c r="M95" s="146">
        <f>IF(K95="Matched","Low",IF(OR(IFERROR(ABS(H95),0)&gt;Mapping_Rules!$B$7,IFERROR(J95,0)&gt;Mapping_Rules!$B$8),"High","Medium"))</f>
        <v/>
      </c>
      <c r="N95" s="146">
        <f>IF(K95="Matched","No action needed",IF(L95="Missing from bank","Check bank date or posting",IF(L95="Amount variance","Check invoice/payment amount","Check timing difference")))</f>
        <v/>
      </c>
      <c r="O95" s="140" t="inlineStr">
        <is>
          <t>2000 AP</t>
        </is>
      </c>
      <c r="P95" s="140" t="inlineStr">
        <is>
          <t>AP Clerk</t>
        </is>
      </c>
      <c r="Q95" s="140" t="inlineStr">
        <is>
          <t>No</t>
        </is>
      </c>
      <c r="R95" s="147" t="str"/>
      <c r="S95" s="148">
        <f>IF(K95="Matched",0,Mapping_Rules!$B$6-B95)</f>
        <v/>
      </c>
    </row>
    <row r="96">
      <c r="A96" s="115" t="inlineStr">
        <is>
          <t>ERP-00093</t>
        </is>
      </c>
      <c r="B96" s="125" t="n">
        <v>46052</v>
      </c>
      <c r="C96" s="115" t="inlineStr">
        <is>
          <t>AP</t>
        </is>
      </c>
      <c r="D96" s="115" t="inlineStr">
        <is>
          <t>North Shore Telecom</t>
        </is>
      </c>
      <c r="E96" s="115" t="inlineStr">
        <is>
          <t>REF-100093</t>
        </is>
      </c>
      <c r="F96" s="126" t="n">
        <v>-517.03</v>
      </c>
      <c r="G96" s="134">
        <f>IFERROR(XLOOKUP(E96,Bank_Statement!$D$4:$D$448,Bank_Statement!$G$4:$G$448,""),"")</f>
        <v/>
      </c>
      <c r="H96" s="126">
        <f>IF(G96="","",F96-G96)</f>
        <v/>
      </c>
      <c r="I96" s="135">
        <f>IFERROR(XLOOKUP(E96,Bank_Statement!$D$4:$D$448,Bank_Statement!$B$4:$B$448,""),"")</f>
        <v/>
      </c>
      <c r="J96" s="136">
        <f>IF(I96="","",ABS(B96-I96))</f>
        <v/>
      </c>
      <c r="K96" s="137">
        <f>IF(G96="","Unmatched ERP",IF(AND(ABS(H96)&lt;=Mapping_Rules!$B$4,ABS(J96)&lt;=Mapping_Rules!$B$5),"Matched","Review"))</f>
        <v/>
      </c>
      <c r="L96" s="137">
        <f>IF(K96="Matched","None",IF(G96="","Missing from bank",IF(ABS(H96)&gt;Mapping_Rules!$B$4,"Amount variance","Date variance")))</f>
        <v/>
      </c>
      <c r="M96" s="137">
        <f>IF(K96="Matched","Low",IF(OR(IFERROR(ABS(H96),0)&gt;Mapping_Rules!$B$7,IFERROR(J96,0)&gt;Mapping_Rules!$B$8),"High","Medium"))</f>
        <v/>
      </c>
      <c r="N96" s="137">
        <f>IF(K96="Matched","No action needed",IF(L96="Missing from bank","Check bank date or posting",IF(L96="Amount variance","Check invoice/payment amount","Check timing difference")))</f>
        <v/>
      </c>
      <c r="O96" s="115" t="inlineStr">
        <is>
          <t>2000 AP</t>
        </is>
      </c>
      <c r="P96" s="115" t="inlineStr">
        <is>
          <t>AP Clerk</t>
        </is>
      </c>
      <c r="Q96" s="115" t="inlineStr">
        <is>
          <t>No</t>
        </is>
      </c>
      <c r="R96" s="138" t="str"/>
      <c r="S96" s="139">
        <f>IF(K96="Matched",0,Mapping_Rules!$B$6-B96)</f>
        <v/>
      </c>
    </row>
    <row r="97">
      <c r="A97" s="140" t="inlineStr">
        <is>
          <t>ERP-00094</t>
        </is>
      </c>
      <c r="B97" s="141" t="n">
        <v>46037</v>
      </c>
      <c r="C97" s="140" t="inlineStr">
        <is>
          <t>GL</t>
        </is>
      </c>
      <c r="D97" s="140" t="inlineStr">
        <is>
          <t>West Van Fitness</t>
        </is>
      </c>
      <c r="E97" s="140" t="inlineStr">
        <is>
          <t>REF-100094</t>
        </is>
      </c>
      <c r="F97" s="142" t="n">
        <v>2042.42</v>
      </c>
      <c r="G97" s="143">
        <f>IFERROR(XLOOKUP(E97,Bank_Statement!$D$4:$D$448,Bank_Statement!$G$4:$G$448,""),"")</f>
        <v/>
      </c>
      <c r="H97" s="142">
        <f>IF(G97="","",F97-G97)</f>
        <v/>
      </c>
      <c r="I97" s="144">
        <f>IFERROR(XLOOKUP(E97,Bank_Statement!$D$4:$D$448,Bank_Statement!$B$4:$B$448,""),"")</f>
        <v/>
      </c>
      <c r="J97" s="145">
        <f>IF(I97="","",ABS(B97-I97))</f>
        <v/>
      </c>
      <c r="K97" s="146">
        <f>IF(G97="","Unmatched ERP",IF(AND(ABS(H97)&lt;=Mapping_Rules!$B$4,ABS(J97)&lt;=Mapping_Rules!$B$5),"Matched","Review"))</f>
        <v/>
      </c>
      <c r="L97" s="146">
        <f>IF(K97="Matched","None",IF(G97="","Missing from bank",IF(ABS(H97)&gt;Mapping_Rules!$B$4,"Amount variance","Date variance")))</f>
        <v/>
      </c>
      <c r="M97" s="146">
        <f>IF(K97="Matched","Low",IF(OR(IFERROR(ABS(H97),0)&gt;Mapping_Rules!$B$7,IFERROR(J97,0)&gt;Mapping_Rules!$B$8),"High","Medium"))</f>
        <v/>
      </c>
      <c r="N97" s="146">
        <f>IF(K97="Matched","No action needed",IF(L97="Missing from bank","Check bank date or posting",IF(L97="Amount variance","Check invoice/payment amount","Check timing difference")))</f>
        <v/>
      </c>
      <c r="O97" s="140" t="inlineStr">
        <is>
          <t>6100 Bank Fees</t>
        </is>
      </c>
      <c r="P97" s="140" t="inlineStr">
        <is>
          <t>Accounting Technician</t>
        </is>
      </c>
      <c r="Q97" s="140" t="inlineStr">
        <is>
          <t>No</t>
        </is>
      </c>
      <c r="R97" s="147" t="str"/>
      <c r="S97" s="148">
        <f>IF(K97="Matched",0,Mapping_Rules!$B$6-B97)</f>
        <v/>
      </c>
    </row>
    <row r="98">
      <c r="A98" s="115" t="inlineStr">
        <is>
          <t>ERP-00095</t>
        </is>
      </c>
      <c r="B98" s="125" t="n">
        <v>46042</v>
      </c>
      <c r="C98" s="115" t="inlineStr">
        <is>
          <t>AP</t>
        </is>
      </c>
      <c r="D98" s="115" t="inlineStr">
        <is>
          <t>Pacific Office Supplies</t>
        </is>
      </c>
      <c r="E98" s="115" t="inlineStr">
        <is>
          <t>REF-100095</t>
        </is>
      </c>
      <c r="F98" s="126" t="n">
        <v>-1481.02</v>
      </c>
      <c r="G98" s="134">
        <f>IFERROR(XLOOKUP(E98,Bank_Statement!$D$4:$D$448,Bank_Statement!$G$4:$G$448,""),"")</f>
        <v/>
      </c>
      <c r="H98" s="126">
        <f>IF(G98="","",F98-G98)</f>
        <v/>
      </c>
      <c r="I98" s="135">
        <f>IFERROR(XLOOKUP(E98,Bank_Statement!$D$4:$D$448,Bank_Statement!$B$4:$B$448,""),"")</f>
        <v/>
      </c>
      <c r="J98" s="136">
        <f>IF(I98="","",ABS(B98-I98))</f>
        <v/>
      </c>
      <c r="K98" s="137">
        <f>IF(G98="","Unmatched ERP",IF(AND(ABS(H98)&lt;=Mapping_Rules!$B$4,ABS(J98)&lt;=Mapping_Rules!$B$5),"Matched","Review"))</f>
        <v/>
      </c>
      <c r="L98" s="137">
        <f>IF(K98="Matched","None",IF(G98="","Missing from bank",IF(ABS(H98)&gt;Mapping_Rules!$B$4,"Amount variance","Date variance")))</f>
        <v/>
      </c>
      <c r="M98" s="137">
        <f>IF(K98="Matched","Low",IF(OR(IFERROR(ABS(H98),0)&gt;Mapping_Rules!$B$7,IFERROR(J98,0)&gt;Mapping_Rules!$B$8),"High","Medium"))</f>
        <v/>
      </c>
      <c r="N98" s="137">
        <f>IF(K98="Matched","No action needed",IF(L98="Missing from bank","Check bank date or posting",IF(L98="Amount variance","Check invoice/payment amount","Check timing difference")))</f>
        <v/>
      </c>
      <c r="O98" s="115" t="inlineStr">
        <is>
          <t>2000 AP</t>
        </is>
      </c>
      <c r="P98" s="115" t="inlineStr">
        <is>
          <t>AP Clerk</t>
        </is>
      </c>
      <c r="Q98" s="115" t="inlineStr">
        <is>
          <t>No</t>
        </is>
      </c>
      <c r="R98" s="138" t="str"/>
      <c r="S98" s="139">
        <f>IF(K98="Matched",0,Mapping_Rules!$B$6-B98)</f>
        <v/>
      </c>
    </row>
    <row r="99">
      <c r="A99" s="140" t="inlineStr">
        <is>
          <t>ERP-00096</t>
        </is>
      </c>
      <c r="B99" s="141" t="n">
        <v>46047</v>
      </c>
      <c r="C99" s="140" t="inlineStr">
        <is>
          <t>GL</t>
        </is>
      </c>
      <c r="D99" s="140" t="inlineStr">
        <is>
          <t>Amazon Business</t>
        </is>
      </c>
      <c r="E99" s="140" t="inlineStr">
        <is>
          <t>REF-100096</t>
        </is>
      </c>
      <c r="F99" s="142" t="n">
        <v>-2902.42</v>
      </c>
      <c r="G99" s="143">
        <f>IFERROR(XLOOKUP(E99,Bank_Statement!$D$4:$D$448,Bank_Statement!$G$4:$G$448,""),"")</f>
        <v/>
      </c>
      <c r="H99" s="142">
        <f>IF(G99="","",F99-G99)</f>
        <v/>
      </c>
      <c r="I99" s="144">
        <f>IFERROR(XLOOKUP(E99,Bank_Statement!$D$4:$D$448,Bank_Statement!$B$4:$B$448,""),"")</f>
        <v/>
      </c>
      <c r="J99" s="145">
        <f>IF(I99="","",ABS(B99-I99))</f>
        <v/>
      </c>
      <c r="K99" s="146">
        <f>IF(G99="","Unmatched ERP",IF(AND(ABS(H99)&lt;=Mapping_Rules!$B$4,ABS(J99)&lt;=Mapping_Rules!$B$5),"Matched","Review"))</f>
        <v/>
      </c>
      <c r="L99" s="146">
        <f>IF(K99="Matched","None",IF(G99="","Missing from bank",IF(ABS(H99)&gt;Mapping_Rules!$B$4,"Amount variance","Date variance")))</f>
        <v/>
      </c>
      <c r="M99" s="146">
        <f>IF(K99="Matched","Low",IF(OR(IFERROR(ABS(H99),0)&gt;Mapping_Rules!$B$7,IFERROR(J99,0)&gt;Mapping_Rules!$B$8),"High","Medium"))</f>
        <v/>
      </c>
      <c r="N99" s="146">
        <f>IF(K99="Matched","No action needed",IF(L99="Missing from bank","Check bank date or posting",IF(L99="Amount variance","Check invoice/payment amount","Check timing difference")))</f>
        <v/>
      </c>
      <c r="O99" s="140" t="inlineStr">
        <is>
          <t>2000 AP</t>
        </is>
      </c>
      <c r="P99" s="140" t="inlineStr">
        <is>
          <t>Accounting Technician</t>
        </is>
      </c>
      <c r="Q99" s="140" t="inlineStr">
        <is>
          <t>No</t>
        </is>
      </c>
      <c r="R99" s="147" t="str"/>
      <c r="S99" s="148">
        <f>IF(K99="Matched",0,Mapping_Rules!$B$6-B99)</f>
        <v/>
      </c>
    </row>
    <row r="100">
      <c r="A100" s="115" t="inlineStr">
        <is>
          <t>ERP-00097</t>
        </is>
      </c>
      <c r="B100" s="125" t="n">
        <v>46041</v>
      </c>
      <c r="C100" s="115" t="inlineStr">
        <is>
          <t>AR</t>
        </is>
      </c>
      <c r="D100" s="115" t="inlineStr">
        <is>
          <t>Granville Medical</t>
        </is>
      </c>
      <c r="E100" s="115" t="inlineStr">
        <is>
          <t>REF-100097</t>
        </is>
      </c>
      <c r="F100" s="126" t="n">
        <v>8241.610000000001</v>
      </c>
      <c r="G100" s="134">
        <f>IFERROR(XLOOKUP(E100,Bank_Statement!$D$4:$D$448,Bank_Statement!$G$4:$G$448,""),"")</f>
        <v/>
      </c>
      <c r="H100" s="126">
        <f>IF(G100="","",F100-G100)</f>
        <v/>
      </c>
      <c r="I100" s="135">
        <f>IFERROR(XLOOKUP(E100,Bank_Statement!$D$4:$D$448,Bank_Statement!$B$4:$B$448,""),"")</f>
        <v/>
      </c>
      <c r="J100" s="136">
        <f>IF(I100="","",ABS(B100-I100))</f>
        <v/>
      </c>
      <c r="K100" s="137">
        <f>IF(G100="","Unmatched ERP",IF(AND(ABS(H100)&lt;=Mapping_Rules!$B$4,ABS(J100)&lt;=Mapping_Rules!$B$5),"Matched","Review"))</f>
        <v/>
      </c>
      <c r="L100" s="137">
        <f>IF(K100="Matched","None",IF(G100="","Missing from bank",IF(ABS(H100)&gt;Mapping_Rules!$B$4,"Amount variance","Date variance")))</f>
        <v/>
      </c>
      <c r="M100" s="137">
        <f>IF(K100="Matched","Low",IF(OR(IFERROR(ABS(H100),0)&gt;Mapping_Rules!$B$7,IFERROR(J100,0)&gt;Mapping_Rules!$B$8),"High","Medium"))</f>
        <v/>
      </c>
      <c r="N100" s="137">
        <f>IF(K100="Matched","No action needed",IF(L100="Missing from bank","Check bank date or posting",IF(L100="Amount variance","Check invoice/payment amount","Check timing difference")))</f>
        <v/>
      </c>
      <c r="O100" s="115" t="inlineStr">
        <is>
          <t>1200 AR</t>
        </is>
      </c>
      <c r="P100" s="115" t="inlineStr">
        <is>
          <t>AR Clerk</t>
        </is>
      </c>
      <c r="Q100" s="115" t="inlineStr">
        <is>
          <t>No</t>
        </is>
      </c>
      <c r="R100" s="138" t="str"/>
      <c r="S100" s="139">
        <f>IF(K100="Matched",0,Mapping_Rules!$B$6-B100)</f>
        <v/>
      </c>
    </row>
    <row r="101">
      <c r="A101" s="140" t="inlineStr">
        <is>
          <t>ERP-00098</t>
        </is>
      </c>
      <c r="B101" s="141" t="n">
        <v>46050</v>
      </c>
      <c r="C101" s="140" t="inlineStr">
        <is>
          <t>AP</t>
        </is>
      </c>
      <c r="D101" s="140" t="inlineStr">
        <is>
          <t>BC Hydro</t>
        </is>
      </c>
      <c r="E101" s="140" t="inlineStr">
        <is>
          <t>REF-100098</t>
        </is>
      </c>
      <c r="F101" s="142" t="n">
        <v>-4325.28</v>
      </c>
      <c r="G101" s="143">
        <f>IFERROR(XLOOKUP(E101,Bank_Statement!$D$4:$D$448,Bank_Statement!$G$4:$G$448,""),"")</f>
        <v/>
      </c>
      <c r="H101" s="142">
        <f>IF(G101="","",F101-G101)</f>
        <v/>
      </c>
      <c r="I101" s="144">
        <f>IFERROR(XLOOKUP(E101,Bank_Statement!$D$4:$D$448,Bank_Statement!$B$4:$B$448,""),"")</f>
        <v/>
      </c>
      <c r="J101" s="145">
        <f>IF(I101="","",ABS(B101-I101))</f>
        <v/>
      </c>
      <c r="K101" s="146">
        <f>IF(G101="","Unmatched ERP",IF(AND(ABS(H101)&lt;=Mapping_Rules!$B$4,ABS(J101)&lt;=Mapping_Rules!$B$5),"Matched","Review"))</f>
        <v/>
      </c>
      <c r="L101" s="146">
        <f>IF(K101="Matched","None",IF(G101="","Missing from bank",IF(ABS(H101)&gt;Mapping_Rules!$B$4,"Amount variance","Date variance")))</f>
        <v/>
      </c>
      <c r="M101" s="146">
        <f>IF(K101="Matched","Low",IF(OR(IFERROR(ABS(H101),0)&gt;Mapping_Rules!$B$7,IFERROR(J101,0)&gt;Mapping_Rules!$B$8),"High","Medium"))</f>
        <v/>
      </c>
      <c r="N101" s="146">
        <f>IF(K101="Matched","No action needed",IF(L101="Missing from bank","Check bank date or posting",IF(L101="Amount variance","Check invoice/payment amount","Check timing difference")))</f>
        <v/>
      </c>
      <c r="O101" s="140" t="inlineStr">
        <is>
          <t>2000 AP</t>
        </is>
      </c>
      <c r="P101" s="140" t="inlineStr">
        <is>
          <t>AP Clerk</t>
        </is>
      </c>
      <c r="Q101" s="140" t="inlineStr">
        <is>
          <t>No</t>
        </is>
      </c>
      <c r="R101" s="147" t="str"/>
      <c r="S101" s="148">
        <f>IF(K101="Matched",0,Mapping_Rules!$B$6-B101)</f>
        <v/>
      </c>
    </row>
    <row r="102">
      <c r="A102" s="115" t="inlineStr">
        <is>
          <t>ERP-00099</t>
        </is>
      </c>
      <c r="B102" s="125" t="n">
        <v>46033</v>
      </c>
      <c r="C102" s="115" t="inlineStr">
        <is>
          <t>AP</t>
        </is>
      </c>
      <c r="D102" s="115" t="inlineStr">
        <is>
          <t>Pacific Office Supplies</t>
        </is>
      </c>
      <c r="E102" s="115" t="inlineStr">
        <is>
          <t>REF-100099</t>
        </is>
      </c>
      <c r="F102" s="126" t="n">
        <v>-6017.53</v>
      </c>
      <c r="G102" s="134">
        <f>IFERROR(XLOOKUP(E102,Bank_Statement!$D$4:$D$448,Bank_Statement!$G$4:$G$448,""),"")</f>
        <v/>
      </c>
      <c r="H102" s="126">
        <f>IF(G102="","",F102-G102)</f>
        <v/>
      </c>
      <c r="I102" s="135">
        <f>IFERROR(XLOOKUP(E102,Bank_Statement!$D$4:$D$448,Bank_Statement!$B$4:$B$448,""),"")</f>
        <v/>
      </c>
      <c r="J102" s="136">
        <f>IF(I102="","",ABS(B102-I102))</f>
        <v/>
      </c>
      <c r="K102" s="137">
        <f>IF(G102="","Unmatched ERP",IF(AND(ABS(H102)&lt;=Mapping_Rules!$B$4,ABS(J102)&lt;=Mapping_Rules!$B$5),"Matched","Review"))</f>
        <v/>
      </c>
      <c r="L102" s="137">
        <f>IF(K102="Matched","None",IF(G102="","Missing from bank",IF(ABS(H102)&gt;Mapping_Rules!$B$4,"Amount variance","Date variance")))</f>
        <v/>
      </c>
      <c r="M102" s="137">
        <f>IF(K102="Matched","Low",IF(OR(IFERROR(ABS(H102),0)&gt;Mapping_Rules!$B$7,IFERROR(J102,0)&gt;Mapping_Rules!$B$8),"High","Medium"))</f>
        <v/>
      </c>
      <c r="N102" s="137">
        <f>IF(K102="Matched","No action needed",IF(L102="Missing from bank","Check bank date or posting",IF(L102="Amount variance","Check invoice/payment amount","Check timing difference")))</f>
        <v/>
      </c>
      <c r="O102" s="115" t="inlineStr">
        <is>
          <t>2000 AP</t>
        </is>
      </c>
      <c r="P102" s="115" t="inlineStr">
        <is>
          <t>AP Clerk</t>
        </is>
      </c>
      <c r="Q102" s="115" t="inlineStr">
        <is>
          <t>No</t>
        </is>
      </c>
      <c r="R102" s="138" t="str"/>
      <c r="S102" s="139">
        <f>IF(K102="Matched",0,Mapping_Rules!$B$6-B102)</f>
        <v/>
      </c>
    </row>
    <row r="103">
      <c r="A103" s="140" t="inlineStr">
        <is>
          <t>ERP-00100</t>
        </is>
      </c>
      <c r="B103" s="141" t="n">
        <v>46023</v>
      </c>
      <c r="C103" s="140" t="inlineStr">
        <is>
          <t>AR</t>
        </is>
      </c>
      <c r="D103" s="140" t="inlineStr">
        <is>
          <t>West Van Fitness</t>
        </is>
      </c>
      <c r="E103" s="140" t="inlineStr">
        <is>
          <t>REF-100100</t>
        </is>
      </c>
      <c r="F103" s="142" t="n">
        <v>4007.5</v>
      </c>
      <c r="G103" s="143">
        <f>IFERROR(XLOOKUP(E103,Bank_Statement!$D$4:$D$448,Bank_Statement!$G$4:$G$448,""),"")</f>
        <v/>
      </c>
      <c r="H103" s="142">
        <f>IF(G103="","",F103-G103)</f>
        <v/>
      </c>
      <c r="I103" s="144">
        <f>IFERROR(XLOOKUP(E103,Bank_Statement!$D$4:$D$448,Bank_Statement!$B$4:$B$448,""),"")</f>
        <v/>
      </c>
      <c r="J103" s="145">
        <f>IF(I103="","",ABS(B103-I103))</f>
        <v/>
      </c>
      <c r="K103" s="146">
        <f>IF(G103="","Unmatched ERP",IF(AND(ABS(H103)&lt;=Mapping_Rules!$B$4,ABS(J103)&lt;=Mapping_Rules!$B$5),"Matched","Review"))</f>
        <v/>
      </c>
      <c r="L103" s="146">
        <f>IF(K103="Matched","None",IF(G103="","Missing from bank",IF(ABS(H103)&gt;Mapping_Rules!$B$4,"Amount variance","Date variance")))</f>
        <v/>
      </c>
      <c r="M103" s="146">
        <f>IF(K103="Matched","Low",IF(OR(IFERROR(ABS(H103),0)&gt;Mapping_Rules!$B$7,IFERROR(J103,0)&gt;Mapping_Rules!$B$8),"High","Medium"))</f>
        <v/>
      </c>
      <c r="N103" s="146">
        <f>IF(K103="Matched","No action needed",IF(L103="Missing from bank","Check bank date or posting",IF(L103="Amount variance","Check invoice/payment amount","Check timing difference")))</f>
        <v/>
      </c>
      <c r="O103" s="140" t="inlineStr">
        <is>
          <t>1200 AR</t>
        </is>
      </c>
      <c r="P103" s="140" t="inlineStr">
        <is>
          <t>AR Clerk</t>
        </is>
      </c>
      <c r="Q103" s="140" t="inlineStr">
        <is>
          <t>No</t>
        </is>
      </c>
      <c r="R103" s="147" t="str"/>
      <c r="S103" s="148">
        <f>IF(K103="Matched",0,Mapping_Rules!$B$6-B103)</f>
        <v/>
      </c>
    </row>
    <row r="104">
      <c r="A104" s="115" t="inlineStr">
        <is>
          <t>ERP-00101</t>
        </is>
      </c>
      <c r="B104" s="125" t="n">
        <v>46047</v>
      </c>
      <c r="C104" s="115" t="inlineStr">
        <is>
          <t>AP</t>
        </is>
      </c>
      <c r="D104" s="115" t="inlineStr">
        <is>
          <t>Metro Cleaning Ltd.</t>
        </is>
      </c>
      <c r="E104" s="115" t="inlineStr">
        <is>
          <t>REF-100101</t>
        </is>
      </c>
      <c r="F104" s="126" t="n">
        <v>-3441.22</v>
      </c>
      <c r="G104" s="134">
        <f>IFERROR(XLOOKUP(E104,Bank_Statement!$D$4:$D$448,Bank_Statement!$G$4:$G$448,""),"")</f>
        <v/>
      </c>
      <c r="H104" s="126">
        <f>IF(G104="","",F104-G104)</f>
        <v/>
      </c>
      <c r="I104" s="135">
        <f>IFERROR(XLOOKUP(E104,Bank_Statement!$D$4:$D$448,Bank_Statement!$B$4:$B$448,""),"")</f>
        <v/>
      </c>
      <c r="J104" s="136">
        <f>IF(I104="","",ABS(B104-I104))</f>
        <v/>
      </c>
      <c r="K104" s="137">
        <f>IF(G104="","Unmatched ERP",IF(AND(ABS(H104)&lt;=Mapping_Rules!$B$4,ABS(J104)&lt;=Mapping_Rules!$B$5),"Matched","Review"))</f>
        <v/>
      </c>
      <c r="L104" s="137">
        <f>IF(K104="Matched","None",IF(G104="","Missing from bank",IF(ABS(H104)&gt;Mapping_Rules!$B$4,"Amount variance","Date variance")))</f>
        <v/>
      </c>
      <c r="M104" s="137">
        <f>IF(K104="Matched","Low",IF(OR(IFERROR(ABS(H104),0)&gt;Mapping_Rules!$B$7,IFERROR(J104,0)&gt;Mapping_Rules!$B$8),"High","Medium"))</f>
        <v/>
      </c>
      <c r="N104" s="137">
        <f>IF(K104="Matched","No action needed",IF(L104="Missing from bank","Check bank date or posting",IF(L104="Amount variance","Check invoice/payment amount","Check timing difference")))</f>
        <v/>
      </c>
      <c r="O104" s="115" t="inlineStr">
        <is>
          <t>2000 AP</t>
        </is>
      </c>
      <c r="P104" s="115" t="inlineStr">
        <is>
          <t>AP Clerk</t>
        </is>
      </c>
      <c r="Q104" s="115" t="inlineStr">
        <is>
          <t>No</t>
        </is>
      </c>
      <c r="R104" s="138" t="str"/>
      <c r="S104" s="139">
        <f>IF(K104="Matched",0,Mapping_Rules!$B$6-B104)</f>
        <v/>
      </c>
    </row>
    <row r="105">
      <c r="A105" s="140" t="inlineStr">
        <is>
          <t>ERP-00102</t>
        </is>
      </c>
      <c r="B105" s="141" t="n">
        <v>46038</v>
      </c>
      <c r="C105" s="140" t="inlineStr">
        <is>
          <t>AP</t>
        </is>
      </c>
      <c r="D105" s="140" t="inlineStr">
        <is>
          <t>Staples Canada</t>
        </is>
      </c>
      <c r="E105" s="140" t="inlineStr">
        <is>
          <t>REF-100102</t>
        </is>
      </c>
      <c r="F105" s="142" t="n">
        <v>-3806.29</v>
      </c>
      <c r="G105" s="143">
        <f>IFERROR(XLOOKUP(E105,Bank_Statement!$D$4:$D$448,Bank_Statement!$G$4:$G$448,""),"")</f>
        <v/>
      </c>
      <c r="H105" s="142">
        <f>IF(G105="","",F105-G105)</f>
        <v/>
      </c>
      <c r="I105" s="144">
        <f>IFERROR(XLOOKUP(E105,Bank_Statement!$D$4:$D$448,Bank_Statement!$B$4:$B$448,""),"")</f>
        <v/>
      </c>
      <c r="J105" s="145">
        <f>IF(I105="","",ABS(B105-I105))</f>
        <v/>
      </c>
      <c r="K105" s="146">
        <f>IF(G105="","Unmatched ERP",IF(AND(ABS(H105)&lt;=Mapping_Rules!$B$4,ABS(J105)&lt;=Mapping_Rules!$B$5),"Matched","Review"))</f>
        <v/>
      </c>
      <c r="L105" s="146">
        <f>IF(K105="Matched","None",IF(G105="","Missing from bank",IF(ABS(H105)&gt;Mapping_Rules!$B$4,"Amount variance","Date variance")))</f>
        <v/>
      </c>
      <c r="M105" s="146">
        <f>IF(K105="Matched","Low",IF(OR(IFERROR(ABS(H105),0)&gt;Mapping_Rules!$B$7,IFERROR(J105,0)&gt;Mapping_Rules!$B$8),"High","Medium"))</f>
        <v/>
      </c>
      <c r="N105" s="146">
        <f>IF(K105="Matched","No action needed",IF(L105="Missing from bank","Check bank date or posting",IF(L105="Amount variance","Check invoice/payment amount","Check timing difference")))</f>
        <v/>
      </c>
      <c r="O105" s="140" t="inlineStr">
        <is>
          <t>2000 AP</t>
        </is>
      </c>
      <c r="P105" s="140" t="inlineStr">
        <is>
          <t>AP Clerk</t>
        </is>
      </c>
      <c r="Q105" s="140" t="inlineStr">
        <is>
          <t>No</t>
        </is>
      </c>
      <c r="R105" s="147" t="str"/>
      <c r="S105" s="148">
        <f>IF(K105="Matched",0,Mapping_Rules!$B$6-B105)</f>
        <v/>
      </c>
    </row>
    <row r="106">
      <c r="A106" s="115" t="inlineStr">
        <is>
          <t>ERP-00103</t>
        </is>
      </c>
      <c r="B106" s="125" t="n">
        <v>46025</v>
      </c>
      <c r="C106" s="115" t="inlineStr">
        <is>
          <t>AP</t>
        </is>
      </c>
      <c r="D106" s="115" t="inlineStr">
        <is>
          <t>Vancouver Courier</t>
        </is>
      </c>
      <c r="E106" s="115" t="inlineStr">
        <is>
          <t>REF-100103</t>
        </is>
      </c>
      <c r="F106" s="126" t="n">
        <v>-5667.13</v>
      </c>
      <c r="G106" s="134">
        <f>IFERROR(XLOOKUP(E106,Bank_Statement!$D$4:$D$448,Bank_Statement!$G$4:$G$448,""),"")</f>
        <v/>
      </c>
      <c r="H106" s="126">
        <f>IF(G106="","",F106-G106)</f>
        <v/>
      </c>
      <c r="I106" s="135">
        <f>IFERROR(XLOOKUP(E106,Bank_Statement!$D$4:$D$448,Bank_Statement!$B$4:$B$448,""),"")</f>
        <v/>
      </c>
      <c r="J106" s="136">
        <f>IF(I106="","",ABS(B106-I106))</f>
        <v/>
      </c>
      <c r="K106" s="137">
        <f>IF(G106="","Unmatched ERP",IF(AND(ABS(H106)&lt;=Mapping_Rules!$B$4,ABS(J106)&lt;=Mapping_Rules!$B$5),"Matched","Review"))</f>
        <v/>
      </c>
      <c r="L106" s="137">
        <f>IF(K106="Matched","None",IF(G106="","Missing from bank",IF(ABS(H106)&gt;Mapping_Rules!$B$4,"Amount variance","Date variance")))</f>
        <v/>
      </c>
      <c r="M106" s="137">
        <f>IF(K106="Matched","Low",IF(OR(IFERROR(ABS(H106),0)&gt;Mapping_Rules!$B$7,IFERROR(J106,0)&gt;Mapping_Rules!$B$8),"High","Medium"))</f>
        <v/>
      </c>
      <c r="N106" s="137">
        <f>IF(K106="Matched","No action needed",IF(L106="Missing from bank","Check bank date or posting",IF(L106="Amount variance","Check invoice/payment amount","Check timing difference")))</f>
        <v/>
      </c>
      <c r="O106" s="115" t="inlineStr">
        <is>
          <t>2000 AP</t>
        </is>
      </c>
      <c r="P106" s="115" t="inlineStr">
        <is>
          <t>AP Clerk</t>
        </is>
      </c>
      <c r="Q106" s="115" t="inlineStr">
        <is>
          <t>No</t>
        </is>
      </c>
      <c r="R106" s="138" t="str"/>
      <c r="S106" s="139">
        <f>IF(K106="Matched",0,Mapping_Rules!$B$6-B106)</f>
        <v/>
      </c>
    </row>
    <row r="107">
      <c r="A107" s="140" t="inlineStr">
        <is>
          <t>ERP-00104</t>
        </is>
      </c>
      <c r="B107" s="141" t="n">
        <v>46045</v>
      </c>
      <c r="C107" s="140" t="inlineStr">
        <is>
          <t>AP</t>
        </is>
      </c>
      <c r="D107" s="140" t="inlineStr">
        <is>
          <t>Staples Canada</t>
        </is>
      </c>
      <c r="E107" s="140" t="inlineStr">
        <is>
          <t>REF-100104</t>
        </is>
      </c>
      <c r="F107" s="142" t="n">
        <v>-1753.36</v>
      </c>
      <c r="G107" s="143">
        <f>IFERROR(XLOOKUP(E107,Bank_Statement!$D$4:$D$448,Bank_Statement!$G$4:$G$448,""),"")</f>
        <v/>
      </c>
      <c r="H107" s="142">
        <f>IF(G107="","",F107-G107)</f>
        <v/>
      </c>
      <c r="I107" s="144">
        <f>IFERROR(XLOOKUP(E107,Bank_Statement!$D$4:$D$448,Bank_Statement!$B$4:$B$448,""),"")</f>
        <v/>
      </c>
      <c r="J107" s="145">
        <f>IF(I107="","",ABS(B107-I107))</f>
        <v/>
      </c>
      <c r="K107" s="146">
        <f>IF(G107="","Unmatched ERP",IF(AND(ABS(H107)&lt;=Mapping_Rules!$B$4,ABS(J107)&lt;=Mapping_Rules!$B$5),"Matched","Review"))</f>
        <v/>
      </c>
      <c r="L107" s="146">
        <f>IF(K107="Matched","None",IF(G107="","Missing from bank",IF(ABS(H107)&gt;Mapping_Rules!$B$4,"Amount variance","Date variance")))</f>
        <v/>
      </c>
      <c r="M107" s="146">
        <f>IF(K107="Matched","Low",IF(OR(IFERROR(ABS(H107),0)&gt;Mapping_Rules!$B$7,IFERROR(J107,0)&gt;Mapping_Rules!$B$8),"High","Medium"))</f>
        <v/>
      </c>
      <c r="N107" s="146">
        <f>IF(K107="Matched","No action needed",IF(L107="Missing from bank","Check bank date or posting",IF(L107="Amount variance","Check invoice/payment amount","Check timing difference")))</f>
        <v/>
      </c>
      <c r="O107" s="140" t="inlineStr">
        <is>
          <t>2000 AP</t>
        </is>
      </c>
      <c r="P107" s="140" t="inlineStr">
        <is>
          <t>AP Clerk</t>
        </is>
      </c>
      <c r="Q107" s="140" t="inlineStr">
        <is>
          <t>No</t>
        </is>
      </c>
      <c r="R107" s="147" t="str"/>
      <c r="S107" s="148">
        <f>IF(K107="Matched",0,Mapping_Rules!$B$6-B107)</f>
        <v/>
      </c>
    </row>
    <row r="108">
      <c r="A108" s="115" t="inlineStr">
        <is>
          <t>ERP-00105</t>
        </is>
      </c>
      <c r="B108" s="125" t="n">
        <v>46052</v>
      </c>
      <c r="C108" s="115" t="inlineStr">
        <is>
          <t>AR</t>
        </is>
      </c>
      <c r="D108" s="115" t="inlineStr">
        <is>
          <t>Harbour Design Co.</t>
        </is>
      </c>
      <c r="E108" s="115" t="inlineStr">
        <is>
          <t>REF-100105</t>
        </is>
      </c>
      <c r="F108" s="126" t="n">
        <v>7492.37</v>
      </c>
      <c r="G108" s="134">
        <f>IFERROR(XLOOKUP(E108,Bank_Statement!$D$4:$D$448,Bank_Statement!$G$4:$G$448,""),"")</f>
        <v/>
      </c>
      <c r="H108" s="126">
        <f>IF(G108="","",F108-G108)</f>
        <v/>
      </c>
      <c r="I108" s="135">
        <f>IFERROR(XLOOKUP(E108,Bank_Statement!$D$4:$D$448,Bank_Statement!$B$4:$B$448,""),"")</f>
        <v/>
      </c>
      <c r="J108" s="136">
        <f>IF(I108="","",ABS(B108-I108))</f>
        <v/>
      </c>
      <c r="K108" s="137">
        <f>IF(G108="","Unmatched ERP",IF(AND(ABS(H108)&lt;=Mapping_Rules!$B$4,ABS(J108)&lt;=Mapping_Rules!$B$5),"Matched","Review"))</f>
        <v/>
      </c>
      <c r="L108" s="137">
        <f>IF(K108="Matched","None",IF(G108="","Missing from bank",IF(ABS(H108)&gt;Mapping_Rules!$B$4,"Amount variance","Date variance")))</f>
        <v/>
      </c>
      <c r="M108" s="137">
        <f>IF(K108="Matched","Low",IF(OR(IFERROR(ABS(H108),0)&gt;Mapping_Rules!$B$7,IFERROR(J108,0)&gt;Mapping_Rules!$B$8),"High","Medium"))</f>
        <v/>
      </c>
      <c r="N108" s="137">
        <f>IF(K108="Matched","No action needed",IF(L108="Missing from bank","Check bank date or posting",IF(L108="Amount variance","Check invoice/payment amount","Check timing difference")))</f>
        <v/>
      </c>
      <c r="O108" s="115" t="inlineStr">
        <is>
          <t>1200 AR</t>
        </is>
      </c>
      <c r="P108" s="115" t="inlineStr">
        <is>
          <t>AR Clerk</t>
        </is>
      </c>
      <c r="Q108" s="115" t="inlineStr">
        <is>
          <t>No</t>
        </is>
      </c>
      <c r="R108" s="138" t="str"/>
      <c r="S108" s="139">
        <f>IF(K108="Matched",0,Mapping_Rules!$B$6-B108)</f>
        <v/>
      </c>
    </row>
    <row r="109">
      <c r="A109" s="140" t="inlineStr">
        <is>
          <t>ERP-00106</t>
        </is>
      </c>
      <c r="B109" s="141" t="n">
        <v>46048</v>
      </c>
      <c r="C109" s="140" t="inlineStr">
        <is>
          <t>AR</t>
        </is>
      </c>
      <c r="D109" s="140" t="inlineStr">
        <is>
          <t>Maple Retail Group</t>
        </is>
      </c>
      <c r="E109" s="140" t="inlineStr">
        <is>
          <t>REF-100106</t>
        </is>
      </c>
      <c r="F109" s="142" t="n">
        <v>2511.71</v>
      </c>
      <c r="G109" s="143">
        <f>IFERROR(XLOOKUP(E109,Bank_Statement!$D$4:$D$448,Bank_Statement!$G$4:$G$448,""),"")</f>
        <v/>
      </c>
      <c r="H109" s="142">
        <f>IF(G109="","",F109-G109)</f>
        <v/>
      </c>
      <c r="I109" s="144">
        <f>IFERROR(XLOOKUP(E109,Bank_Statement!$D$4:$D$448,Bank_Statement!$B$4:$B$448,""),"")</f>
        <v/>
      </c>
      <c r="J109" s="145">
        <f>IF(I109="","",ABS(B109-I109))</f>
        <v/>
      </c>
      <c r="K109" s="146">
        <f>IF(G109="","Unmatched ERP",IF(AND(ABS(H109)&lt;=Mapping_Rules!$B$4,ABS(J109)&lt;=Mapping_Rules!$B$5),"Matched","Review"))</f>
        <v/>
      </c>
      <c r="L109" s="146">
        <f>IF(K109="Matched","None",IF(G109="","Missing from bank",IF(ABS(H109)&gt;Mapping_Rules!$B$4,"Amount variance","Date variance")))</f>
        <v/>
      </c>
      <c r="M109" s="146">
        <f>IF(K109="Matched","Low",IF(OR(IFERROR(ABS(H109),0)&gt;Mapping_Rules!$B$7,IFERROR(J109,0)&gt;Mapping_Rules!$B$8),"High","Medium"))</f>
        <v/>
      </c>
      <c r="N109" s="146">
        <f>IF(K109="Matched","No action needed",IF(L109="Missing from bank","Check bank date or posting",IF(L109="Amount variance","Check invoice/payment amount","Check timing difference")))</f>
        <v/>
      </c>
      <c r="O109" s="140" t="inlineStr">
        <is>
          <t>1200 AR</t>
        </is>
      </c>
      <c r="P109" s="140" t="inlineStr">
        <is>
          <t>AR Clerk</t>
        </is>
      </c>
      <c r="Q109" s="140" t="inlineStr">
        <is>
          <t>No</t>
        </is>
      </c>
      <c r="R109" s="147" t="str"/>
      <c r="S109" s="148">
        <f>IF(K109="Matched",0,Mapping_Rules!$B$6-B109)</f>
        <v/>
      </c>
    </row>
    <row r="110">
      <c r="A110" s="115" t="inlineStr">
        <is>
          <t>ERP-00107</t>
        </is>
      </c>
      <c r="B110" s="125" t="n">
        <v>46037</v>
      </c>
      <c r="C110" s="115" t="inlineStr">
        <is>
          <t>AR</t>
        </is>
      </c>
      <c r="D110" s="115" t="inlineStr">
        <is>
          <t>Raincity Tech</t>
        </is>
      </c>
      <c r="E110" s="115" t="inlineStr">
        <is>
          <t>REF-100107</t>
        </is>
      </c>
      <c r="F110" s="126" t="n">
        <v>2925.87</v>
      </c>
      <c r="G110" s="134">
        <f>IFERROR(XLOOKUP(E110,Bank_Statement!$D$4:$D$448,Bank_Statement!$G$4:$G$448,""),"")</f>
        <v/>
      </c>
      <c r="H110" s="126">
        <f>IF(G110="","",F110-G110)</f>
        <v/>
      </c>
      <c r="I110" s="135">
        <f>IFERROR(XLOOKUP(E110,Bank_Statement!$D$4:$D$448,Bank_Statement!$B$4:$B$448,""),"")</f>
        <v/>
      </c>
      <c r="J110" s="136">
        <f>IF(I110="","",ABS(B110-I110))</f>
        <v/>
      </c>
      <c r="K110" s="137">
        <f>IF(G110="","Unmatched ERP",IF(AND(ABS(H110)&lt;=Mapping_Rules!$B$4,ABS(J110)&lt;=Mapping_Rules!$B$5),"Matched","Review"))</f>
        <v/>
      </c>
      <c r="L110" s="137">
        <f>IF(K110="Matched","None",IF(G110="","Missing from bank",IF(ABS(H110)&gt;Mapping_Rules!$B$4,"Amount variance","Date variance")))</f>
        <v/>
      </c>
      <c r="M110" s="137">
        <f>IF(K110="Matched","Low",IF(OR(IFERROR(ABS(H110),0)&gt;Mapping_Rules!$B$7,IFERROR(J110,0)&gt;Mapping_Rules!$B$8),"High","Medium"))</f>
        <v/>
      </c>
      <c r="N110" s="137">
        <f>IF(K110="Matched","No action needed",IF(L110="Missing from bank","Check bank date or posting",IF(L110="Amount variance","Check invoice/payment amount","Check timing difference")))</f>
        <v/>
      </c>
      <c r="O110" s="115" t="inlineStr">
        <is>
          <t>1200 AR</t>
        </is>
      </c>
      <c r="P110" s="115" t="inlineStr">
        <is>
          <t>AR Clerk</t>
        </is>
      </c>
      <c r="Q110" s="115" t="inlineStr">
        <is>
          <t>No</t>
        </is>
      </c>
      <c r="R110" s="138" t="str"/>
      <c r="S110" s="139">
        <f>IF(K110="Matched",0,Mapping_Rules!$B$6-B110)</f>
        <v/>
      </c>
    </row>
    <row r="111">
      <c r="A111" s="140" t="inlineStr">
        <is>
          <t>ERP-00108</t>
        </is>
      </c>
      <c r="B111" s="141" t="n">
        <v>46045</v>
      </c>
      <c r="C111" s="140" t="inlineStr">
        <is>
          <t>AP</t>
        </is>
      </c>
      <c r="D111" s="140" t="inlineStr">
        <is>
          <t>BC Hydro</t>
        </is>
      </c>
      <c r="E111" s="140" t="inlineStr">
        <is>
          <t>REF-100108</t>
        </is>
      </c>
      <c r="F111" s="142" t="n">
        <v>-1509.4</v>
      </c>
      <c r="G111" s="143">
        <f>IFERROR(XLOOKUP(E111,Bank_Statement!$D$4:$D$448,Bank_Statement!$G$4:$G$448,""),"")</f>
        <v/>
      </c>
      <c r="H111" s="142">
        <f>IF(G111="","",F111-G111)</f>
        <v/>
      </c>
      <c r="I111" s="144">
        <f>IFERROR(XLOOKUP(E111,Bank_Statement!$D$4:$D$448,Bank_Statement!$B$4:$B$448,""),"")</f>
        <v/>
      </c>
      <c r="J111" s="145">
        <f>IF(I111="","",ABS(B111-I111))</f>
        <v/>
      </c>
      <c r="K111" s="146">
        <f>IF(G111="","Unmatched ERP",IF(AND(ABS(H111)&lt;=Mapping_Rules!$B$4,ABS(J111)&lt;=Mapping_Rules!$B$5),"Matched","Review"))</f>
        <v/>
      </c>
      <c r="L111" s="146">
        <f>IF(K111="Matched","None",IF(G111="","Missing from bank",IF(ABS(H111)&gt;Mapping_Rules!$B$4,"Amount variance","Date variance")))</f>
        <v/>
      </c>
      <c r="M111" s="146">
        <f>IF(K111="Matched","Low",IF(OR(IFERROR(ABS(H111),0)&gt;Mapping_Rules!$B$7,IFERROR(J111,0)&gt;Mapping_Rules!$B$8),"High","Medium"))</f>
        <v/>
      </c>
      <c r="N111" s="146">
        <f>IF(K111="Matched","No action needed",IF(L111="Missing from bank","Check bank date or posting",IF(L111="Amount variance","Check invoice/payment amount","Check timing difference")))</f>
        <v/>
      </c>
      <c r="O111" s="140" t="inlineStr">
        <is>
          <t>2000 AP</t>
        </is>
      </c>
      <c r="P111" s="140" t="inlineStr">
        <is>
          <t>AP Clerk</t>
        </is>
      </c>
      <c r="Q111" s="140" t="inlineStr">
        <is>
          <t>No</t>
        </is>
      </c>
      <c r="R111" s="147" t="str"/>
      <c r="S111" s="148">
        <f>IF(K111="Matched",0,Mapping_Rules!$B$6-B111)</f>
        <v/>
      </c>
    </row>
    <row r="112">
      <c r="A112" s="115" t="inlineStr">
        <is>
          <t>ERP-00109</t>
        </is>
      </c>
      <c r="B112" s="125" t="n">
        <v>46048</v>
      </c>
      <c r="C112" s="115" t="inlineStr">
        <is>
          <t>AR</t>
        </is>
      </c>
      <c r="D112" s="115" t="inlineStr">
        <is>
          <t>Harbour Design Co.</t>
        </is>
      </c>
      <c r="E112" s="115" t="inlineStr">
        <is>
          <t>REF-100109</t>
        </is>
      </c>
      <c r="F112" s="126" t="n">
        <v>6766.49</v>
      </c>
      <c r="G112" s="134">
        <f>IFERROR(XLOOKUP(E112,Bank_Statement!$D$4:$D$448,Bank_Statement!$G$4:$G$448,""),"")</f>
        <v/>
      </c>
      <c r="H112" s="126">
        <f>IF(G112="","",F112-G112)</f>
        <v/>
      </c>
      <c r="I112" s="135">
        <f>IFERROR(XLOOKUP(E112,Bank_Statement!$D$4:$D$448,Bank_Statement!$B$4:$B$448,""),"")</f>
        <v/>
      </c>
      <c r="J112" s="136">
        <f>IF(I112="","",ABS(B112-I112))</f>
        <v/>
      </c>
      <c r="K112" s="137">
        <f>IF(G112="","Unmatched ERP",IF(AND(ABS(H112)&lt;=Mapping_Rules!$B$4,ABS(J112)&lt;=Mapping_Rules!$B$5),"Matched","Review"))</f>
        <v/>
      </c>
      <c r="L112" s="137">
        <f>IF(K112="Matched","None",IF(G112="","Missing from bank",IF(ABS(H112)&gt;Mapping_Rules!$B$4,"Amount variance","Date variance")))</f>
        <v/>
      </c>
      <c r="M112" s="137">
        <f>IF(K112="Matched","Low",IF(OR(IFERROR(ABS(H112),0)&gt;Mapping_Rules!$B$7,IFERROR(J112,0)&gt;Mapping_Rules!$B$8),"High","Medium"))</f>
        <v/>
      </c>
      <c r="N112" s="137">
        <f>IF(K112="Matched","No action needed",IF(L112="Missing from bank","Check bank date or posting",IF(L112="Amount variance","Check invoice/payment amount","Check timing difference")))</f>
        <v/>
      </c>
      <c r="O112" s="115" t="inlineStr">
        <is>
          <t>1200 AR</t>
        </is>
      </c>
      <c r="P112" s="115" t="inlineStr">
        <is>
          <t>AR Clerk</t>
        </is>
      </c>
      <c r="Q112" s="115" t="inlineStr">
        <is>
          <t>No</t>
        </is>
      </c>
      <c r="R112" s="138" t="str"/>
      <c r="S112" s="139">
        <f>IF(K112="Matched",0,Mapping_Rules!$B$6-B112)</f>
        <v/>
      </c>
    </row>
    <row r="113">
      <c r="A113" s="140" t="inlineStr">
        <is>
          <t>ERP-00110</t>
        </is>
      </c>
      <c r="B113" s="141" t="n">
        <v>46027</v>
      </c>
      <c r="C113" s="140" t="inlineStr">
        <is>
          <t>AR</t>
        </is>
      </c>
      <c r="D113" s="140" t="inlineStr">
        <is>
          <t>West Van Fitness</t>
        </is>
      </c>
      <c r="E113" s="140" t="inlineStr">
        <is>
          <t>REF-100110</t>
        </is>
      </c>
      <c r="F113" s="142" t="n">
        <v>2922.16</v>
      </c>
      <c r="G113" s="143">
        <f>IFERROR(XLOOKUP(E113,Bank_Statement!$D$4:$D$448,Bank_Statement!$G$4:$G$448,""),"")</f>
        <v/>
      </c>
      <c r="H113" s="142">
        <f>IF(G113="","",F113-G113)</f>
        <v/>
      </c>
      <c r="I113" s="144">
        <f>IFERROR(XLOOKUP(E113,Bank_Statement!$D$4:$D$448,Bank_Statement!$B$4:$B$448,""),"")</f>
        <v/>
      </c>
      <c r="J113" s="145">
        <f>IF(I113="","",ABS(B113-I113))</f>
        <v/>
      </c>
      <c r="K113" s="146">
        <f>IF(G113="","Unmatched ERP",IF(AND(ABS(H113)&lt;=Mapping_Rules!$B$4,ABS(J113)&lt;=Mapping_Rules!$B$5),"Matched","Review"))</f>
        <v/>
      </c>
      <c r="L113" s="146">
        <f>IF(K113="Matched","None",IF(G113="","Missing from bank",IF(ABS(H113)&gt;Mapping_Rules!$B$4,"Amount variance","Date variance")))</f>
        <v/>
      </c>
      <c r="M113" s="146">
        <f>IF(K113="Matched","Low",IF(OR(IFERROR(ABS(H113),0)&gt;Mapping_Rules!$B$7,IFERROR(J113,0)&gt;Mapping_Rules!$B$8),"High","Medium"))</f>
        <v/>
      </c>
      <c r="N113" s="146">
        <f>IF(K113="Matched","No action needed",IF(L113="Missing from bank","Check bank date or posting",IF(L113="Amount variance","Check invoice/payment amount","Check timing difference")))</f>
        <v/>
      </c>
      <c r="O113" s="140" t="inlineStr">
        <is>
          <t>1200 AR</t>
        </is>
      </c>
      <c r="P113" s="140" t="inlineStr">
        <is>
          <t>AR Clerk</t>
        </is>
      </c>
      <c r="Q113" s="140" t="inlineStr">
        <is>
          <t>No</t>
        </is>
      </c>
      <c r="R113" s="147" t="str"/>
      <c r="S113" s="148">
        <f>IF(K113="Matched",0,Mapping_Rules!$B$6-B113)</f>
        <v/>
      </c>
    </row>
    <row r="114">
      <c r="A114" s="115" t="inlineStr">
        <is>
          <t>ERP-00111</t>
        </is>
      </c>
      <c r="B114" s="125" t="n">
        <v>46036</v>
      </c>
      <c r="C114" s="115" t="inlineStr">
        <is>
          <t>Payroll</t>
        </is>
      </c>
      <c r="D114" s="115" t="inlineStr">
        <is>
          <t>Payroll Batch</t>
        </is>
      </c>
      <c r="E114" s="115" t="inlineStr">
        <is>
          <t>REF-100111</t>
        </is>
      </c>
      <c r="F114" s="126" t="n">
        <v>-16564.37</v>
      </c>
      <c r="G114" s="134">
        <f>IFERROR(XLOOKUP(E114,Bank_Statement!$D$4:$D$448,Bank_Statement!$G$4:$G$448,""),"")</f>
        <v/>
      </c>
      <c r="H114" s="126">
        <f>IF(G114="","",F114-G114)</f>
        <v/>
      </c>
      <c r="I114" s="135">
        <f>IFERROR(XLOOKUP(E114,Bank_Statement!$D$4:$D$448,Bank_Statement!$B$4:$B$448,""),"")</f>
        <v/>
      </c>
      <c r="J114" s="136">
        <f>IF(I114="","",ABS(B114-I114))</f>
        <v/>
      </c>
      <c r="K114" s="137">
        <f>IF(G114="","Unmatched ERP",IF(AND(ABS(H114)&lt;=Mapping_Rules!$B$4,ABS(J114)&lt;=Mapping_Rules!$B$5),"Matched","Review"))</f>
        <v/>
      </c>
      <c r="L114" s="137">
        <f>IF(K114="Matched","None",IF(G114="","Missing from bank",IF(ABS(H114)&gt;Mapping_Rules!$B$4,"Amount variance","Date variance")))</f>
        <v/>
      </c>
      <c r="M114" s="137">
        <f>IF(K114="Matched","Low",IF(OR(IFERROR(ABS(H114),0)&gt;Mapping_Rules!$B$7,IFERROR(J114,0)&gt;Mapping_Rules!$B$8),"High","Medium"))</f>
        <v/>
      </c>
      <c r="N114" s="137">
        <f>IF(K114="Matched","No action needed",IF(L114="Missing from bank","Check bank date or posting",IF(L114="Amount variance","Check invoice/payment amount","Check timing difference")))</f>
        <v/>
      </c>
      <c r="O114" s="115" t="inlineStr">
        <is>
          <t>5300 Payroll</t>
        </is>
      </c>
      <c r="P114" s="115" t="inlineStr">
        <is>
          <t>Accounting Technician</t>
        </is>
      </c>
      <c r="Q114" s="115" t="inlineStr">
        <is>
          <t>No</t>
        </is>
      </c>
      <c r="R114" s="138" t="str"/>
      <c r="S114" s="139">
        <f>IF(K114="Matched",0,Mapping_Rules!$B$6-B114)</f>
        <v/>
      </c>
    </row>
    <row r="115">
      <c r="A115" s="140" t="inlineStr">
        <is>
          <t>ERP-00112</t>
        </is>
      </c>
      <c r="B115" s="141" t="n">
        <v>46045</v>
      </c>
      <c r="C115" s="140" t="inlineStr">
        <is>
          <t>AR</t>
        </is>
      </c>
      <c r="D115" s="140" t="inlineStr">
        <is>
          <t>Maple Retail Group</t>
        </is>
      </c>
      <c r="E115" s="140" t="inlineStr">
        <is>
          <t>REF-100112</t>
        </is>
      </c>
      <c r="F115" s="142" t="n">
        <v>7262.24</v>
      </c>
      <c r="G115" s="143">
        <f>IFERROR(XLOOKUP(E115,Bank_Statement!$D$4:$D$448,Bank_Statement!$G$4:$G$448,""),"")</f>
        <v/>
      </c>
      <c r="H115" s="142">
        <f>IF(G115="","",F115-G115)</f>
        <v/>
      </c>
      <c r="I115" s="144">
        <f>IFERROR(XLOOKUP(E115,Bank_Statement!$D$4:$D$448,Bank_Statement!$B$4:$B$448,""),"")</f>
        <v/>
      </c>
      <c r="J115" s="145">
        <f>IF(I115="","",ABS(B115-I115))</f>
        <v/>
      </c>
      <c r="K115" s="146">
        <f>IF(G115="","Unmatched ERP",IF(AND(ABS(H115)&lt;=Mapping_Rules!$B$4,ABS(J115)&lt;=Mapping_Rules!$B$5),"Matched","Review"))</f>
        <v/>
      </c>
      <c r="L115" s="146">
        <f>IF(K115="Matched","None",IF(G115="","Missing from bank",IF(ABS(H115)&gt;Mapping_Rules!$B$4,"Amount variance","Date variance")))</f>
        <v/>
      </c>
      <c r="M115" s="146">
        <f>IF(K115="Matched","Low",IF(OR(IFERROR(ABS(H115),0)&gt;Mapping_Rules!$B$7,IFERROR(J115,0)&gt;Mapping_Rules!$B$8),"High","Medium"))</f>
        <v/>
      </c>
      <c r="N115" s="146">
        <f>IF(K115="Matched","No action needed",IF(L115="Missing from bank","Check bank date or posting",IF(L115="Amount variance","Check invoice/payment amount","Check timing difference")))</f>
        <v/>
      </c>
      <c r="O115" s="140" t="inlineStr">
        <is>
          <t>1200 AR</t>
        </is>
      </c>
      <c r="P115" s="140" t="inlineStr">
        <is>
          <t>AR Clerk</t>
        </is>
      </c>
      <c r="Q115" s="140" t="inlineStr">
        <is>
          <t>No</t>
        </is>
      </c>
      <c r="R115" s="147" t="str"/>
      <c r="S115" s="148">
        <f>IF(K115="Matched",0,Mapping_Rules!$B$6-B115)</f>
        <v/>
      </c>
    </row>
    <row r="116">
      <c r="A116" s="115" t="inlineStr">
        <is>
          <t>ERP-00113</t>
        </is>
      </c>
      <c r="B116" s="125" t="n">
        <v>46043</v>
      </c>
      <c r="C116" s="115" t="inlineStr">
        <is>
          <t>GL</t>
        </is>
      </c>
      <c r="D116" s="115" t="inlineStr">
        <is>
          <t>Harbour Design Co.</t>
        </is>
      </c>
      <c r="E116" s="115" t="inlineStr">
        <is>
          <t>REF-100113</t>
        </is>
      </c>
      <c r="F116" s="126" t="n">
        <v>-2465.34</v>
      </c>
      <c r="G116" s="134">
        <f>IFERROR(XLOOKUP(E116,Bank_Statement!$D$4:$D$448,Bank_Statement!$G$4:$G$448,""),"")</f>
        <v/>
      </c>
      <c r="H116" s="126">
        <f>IF(G116="","",F116-G116)</f>
        <v/>
      </c>
      <c r="I116" s="135">
        <f>IFERROR(XLOOKUP(E116,Bank_Statement!$D$4:$D$448,Bank_Statement!$B$4:$B$448,""),"")</f>
        <v/>
      </c>
      <c r="J116" s="136">
        <f>IF(I116="","",ABS(B116-I116))</f>
        <v/>
      </c>
      <c r="K116" s="137">
        <f>IF(G116="","Unmatched ERP",IF(AND(ABS(H116)&lt;=Mapping_Rules!$B$4,ABS(J116)&lt;=Mapping_Rules!$B$5),"Matched","Review"))</f>
        <v/>
      </c>
      <c r="L116" s="137">
        <f>IF(K116="Matched","None",IF(G116="","Missing from bank",IF(ABS(H116)&gt;Mapping_Rules!$B$4,"Amount variance","Date variance")))</f>
        <v/>
      </c>
      <c r="M116" s="137">
        <f>IF(K116="Matched","Low",IF(OR(IFERROR(ABS(H116),0)&gt;Mapping_Rules!$B$7,IFERROR(J116,0)&gt;Mapping_Rules!$B$8),"High","Medium"))</f>
        <v/>
      </c>
      <c r="N116" s="137">
        <f>IF(K116="Matched","No action needed",IF(L116="Missing from bank","Check bank date or posting",IF(L116="Amount variance","Check invoice/payment amount","Check timing difference")))</f>
        <v/>
      </c>
      <c r="O116" s="115" t="inlineStr">
        <is>
          <t>1200 AR</t>
        </is>
      </c>
      <c r="P116" s="115" t="inlineStr">
        <is>
          <t>Accounting Technician</t>
        </is>
      </c>
      <c r="Q116" s="115" t="inlineStr">
        <is>
          <t>No</t>
        </is>
      </c>
      <c r="R116" s="138" t="str"/>
      <c r="S116" s="139">
        <f>IF(K116="Matched",0,Mapping_Rules!$B$6-B116)</f>
        <v/>
      </c>
    </row>
    <row r="117">
      <c r="A117" s="140" t="inlineStr">
        <is>
          <t>ERP-00114</t>
        </is>
      </c>
      <c r="B117" s="141" t="n">
        <v>46046</v>
      </c>
      <c r="C117" s="140" t="inlineStr">
        <is>
          <t>AP</t>
        </is>
      </c>
      <c r="D117" s="140" t="inlineStr">
        <is>
          <t>Pacific Office Supplies</t>
        </is>
      </c>
      <c r="E117" s="140" t="inlineStr">
        <is>
          <t>REF-100114</t>
        </is>
      </c>
      <c r="F117" s="142" t="n">
        <v>-4733.46</v>
      </c>
      <c r="G117" s="143">
        <f>IFERROR(XLOOKUP(E117,Bank_Statement!$D$4:$D$448,Bank_Statement!$G$4:$G$448,""),"")</f>
        <v/>
      </c>
      <c r="H117" s="142">
        <f>IF(G117="","",F117-G117)</f>
        <v/>
      </c>
      <c r="I117" s="144">
        <f>IFERROR(XLOOKUP(E117,Bank_Statement!$D$4:$D$448,Bank_Statement!$B$4:$B$448,""),"")</f>
        <v/>
      </c>
      <c r="J117" s="145">
        <f>IF(I117="","",ABS(B117-I117))</f>
        <v/>
      </c>
      <c r="K117" s="146">
        <f>IF(G117="","Unmatched ERP",IF(AND(ABS(H117)&lt;=Mapping_Rules!$B$4,ABS(J117)&lt;=Mapping_Rules!$B$5),"Matched","Review"))</f>
        <v/>
      </c>
      <c r="L117" s="146">
        <f>IF(K117="Matched","None",IF(G117="","Missing from bank",IF(ABS(H117)&gt;Mapping_Rules!$B$4,"Amount variance","Date variance")))</f>
        <v/>
      </c>
      <c r="M117" s="146">
        <f>IF(K117="Matched","Low",IF(OR(IFERROR(ABS(H117),0)&gt;Mapping_Rules!$B$7,IFERROR(J117,0)&gt;Mapping_Rules!$B$8),"High","Medium"))</f>
        <v/>
      </c>
      <c r="N117" s="146">
        <f>IF(K117="Matched","No action needed",IF(L117="Missing from bank","Check bank date or posting",IF(L117="Amount variance","Check invoice/payment amount","Check timing difference")))</f>
        <v/>
      </c>
      <c r="O117" s="140" t="inlineStr">
        <is>
          <t>2000 AP</t>
        </is>
      </c>
      <c r="P117" s="140" t="inlineStr">
        <is>
          <t>AP Clerk</t>
        </is>
      </c>
      <c r="Q117" s="140" t="inlineStr">
        <is>
          <t>No</t>
        </is>
      </c>
      <c r="R117" s="147" t="str"/>
      <c r="S117" s="148">
        <f>IF(K117="Matched",0,Mapping_Rules!$B$6-B117)</f>
        <v/>
      </c>
    </row>
    <row r="118">
      <c r="A118" s="115" t="inlineStr">
        <is>
          <t>ERP-00115</t>
        </is>
      </c>
      <c r="B118" s="125" t="n">
        <v>46024</v>
      </c>
      <c r="C118" s="115" t="inlineStr">
        <is>
          <t>AP</t>
        </is>
      </c>
      <c r="D118" s="115" t="inlineStr">
        <is>
          <t>Pacific Office Supplies</t>
        </is>
      </c>
      <c r="E118" s="115" t="inlineStr">
        <is>
          <t>REF-100115</t>
        </is>
      </c>
      <c r="F118" s="126" t="n">
        <v>-1875.41</v>
      </c>
      <c r="G118" s="134">
        <f>IFERROR(XLOOKUP(E118,Bank_Statement!$D$4:$D$448,Bank_Statement!$G$4:$G$448,""),"")</f>
        <v/>
      </c>
      <c r="H118" s="126">
        <f>IF(G118="","",F118-G118)</f>
        <v/>
      </c>
      <c r="I118" s="135">
        <f>IFERROR(XLOOKUP(E118,Bank_Statement!$D$4:$D$448,Bank_Statement!$B$4:$B$448,""),"")</f>
        <v/>
      </c>
      <c r="J118" s="136">
        <f>IF(I118="","",ABS(B118-I118))</f>
        <v/>
      </c>
      <c r="K118" s="137">
        <f>IF(G118="","Unmatched ERP",IF(AND(ABS(H118)&lt;=Mapping_Rules!$B$4,ABS(J118)&lt;=Mapping_Rules!$B$5),"Matched","Review"))</f>
        <v/>
      </c>
      <c r="L118" s="137">
        <f>IF(K118="Matched","None",IF(G118="","Missing from bank",IF(ABS(H118)&gt;Mapping_Rules!$B$4,"Amount variance","Date variance")))</f>
        <v/>
      </c>
      <c r="M118" s="137">
        <f>IF(K118="Matched","Low",IF(OR(IFERROR(ABS(H118),0)&gt;Mapping_Rules!$B$7,IFERROR(J118,0)&gt;Mapping_Rules!$B$8),"High","Medium"))</f>
        <v/>
      </c>
      <c r="N118" s="137">
        <f>IF(K118="Matched","No action needed",IF(L118="Missing from bank","Check bank date or posting",IF(L118="Amount variance","Check invoice/payment amount","Check timing difference")))</f>
        <v/>
      </c>
      <c r="O118" s="115" t="inlineStr">
        <is>
          <t>2000 AP</t>
        </is>
      </c>
      <c r="P118" s="115" t="inlineStr">
        <is>
          <t>AP Clerk</t>
        </is>
      </c>
      <c r="Q118" s="115" t="inlineStr">
        <is>
          <t>No</t>
        </is>
      </c>
      <c r="R118" s="138" t="str"/>
      <c r="S118" s="139">
        <f>IF(K118="Matched",0,Mapping_Rules!$B$6-B118)</f>
        <v/>
      </c>
    </row>
    <row r="119">
      <c r="A119" s="140" t="inlineStr">
        <is>
          <t>ERP-00116</t>
        </is>
      </c>
      <c r="B119" s="141" t="n">
        <v>46048</v>
      </c>
      <c r="C119" s="140" t="inlineStr">
        <is>
          <t>AP</t>
        </is>
      </c>
      <c r="D119" s="140" t="inlineStr">
        <is>
          <t>North Shore Telecom</t>
        </is>
      </c>
      <c r="E119" s="140" t="inlineStr">
        <is>
          <t>REF-100116</t>
        </is>
      </c>
      <c r="F119" s="142" t="n">
        <v>-563.29</v>
      </c>
      <c r="G119" s="143">
        <f>IFERROR(XLOOKUP(E119,Bank_Statement!$D$4:$D$448,Bank_Statement!$G$4:$G$448,""),"")</f>
        <v/>
      </c>
      <c r="H119" s="142">
        <f>IF(G119="","",F119-G119)</f>
        <v/>
      </c>
      <c r="I119" s="144">
        <f>IFERROR(XLOOKUP(E119,Bank_Statement!$D$4:$D$448,Bank_Statement!$B$4:$B$448,""),"")</f>
        <v/>
      </c>
      <c r="J119" s="145">
        <f>IF(I119="","",ABS(B119-I119))</f>
        <v/>
      </c>
      <c r="K119" s="146">
        <f>IF(G119="","Unmatched ERP",IF(AND(ABS(H119)&lt;=Mapping_Rules!$B$4,ABS(J119)&lt;=Mapping_Rules!$B$5),"Matched","Review"))</f>
        <v/>
      </c>
      <c r="L119" s="146">
        <f>IF(K119="Matched","None",IF(G119="","Missing from bank",IF(ABS(H119)&gt;Mapping_Rules!$B$4,"Amount variance","Date variance")))</f>
        <v/>
      </c>
      <c r="M119" s="146">
        <f>IF(K119="Matched","Low",IF(OR(IFERROR(ABS(H119),0)&gt;Mapping_Rules!$B$7,IFERROR(J119,0)&gt;Mapping_Rules!$B$8),"High","Medium"))</f>
        <v/>
      </c>
      <c r="N119" s="146">
        <f>IF(K119="Matched","No action needed",IF(L119="Missing from bank","Check bank date or posting",IF(L119="Amount variance","Check invoice/payment amount","Check timing difference")))</f>
        <v/>
      </c>
      <c r="O119" s="140" t="inlineStr">
        <is>
          <t>2000 AP</t>
        </is>
      </c>
      <c r="P119" s="140" t="inlineStr">
        <is>
          <t>AP Clerk</t>
        </is>
      </c>
      <c r="Q119" s="140" t="inlineStr">
        <is>
          <t>No</t>
        </is>
      </c>
      <c r="R119" s="147" t="str"/>
      <c r="S119" s="148">
        <f>IF(K119="Matched",0,Mapping_Rules!$B$6-B119)</f>
        <v/>
      </c>
    </row>
    <row r="120">
      <c r="A120" s="115" t="inlineStr">
        <is>
          <t>ERP-00117</t>
        </is>
      </c>
      <c r="B120" s="125" t="n">
        <v>46027</v>
      </c>
      <c r="C120" s="115" t="inlineStr">
        <is>
          <t>AP</t>
        </is>
      </c>
      <c r="D120" s="115" t="inlineStr">
        <is>
          <t>Staples Canada</t>
        </is>
      </c>
      <c r="E120" s="115" t="inlineStr">
        <is>
          <t>REF-100117</t>
        </is>
      </c>
      <c r="F120" s="126" t="n">
        <v>-1634.34</v>
      </c>
      <c r="G120" s="134">
        <f>IFERROR(XLOOKUP(E120,Bank_Statement!$D$4:$D$448,Bank_Statement!$G$4:$G$448,""),"")</f>
        <v/>
      </c>
      <c r="H120" s="126">
        <f>IF(G120="","",F120-G120)</f>
        <v/>
      </c>
      <c r="I120" s="135">
        <f>IFERROR(XLOOKUP(E120,Bank_Statement!$D$4:$D$448,Bank_Statement!$B$4:$B$448,""),"")</f>
        <v/>
      </c>
      <c r="J120" s="136">
        <f>IF(I120="","",ABS(B120-I120))</f>
        <v/>
      </c>
      <c r="K120" s="137">
        <f>IF(G120="","Unmatched ERP",IF(AND(ABS(H120)&lt;=Mapping_Rules!$B$4,ABS(J120)&lt;=Mapping_Rules!$B$5),"Matched","Review"))</f>
        <v/>
      </c>
      <c r="L120" s="137">
        <f>IF(K120="Matched","None",IF(G120="","Missing from bank",IF(ABS(H120)&gt;Mapping_Rules!$B$4,"Amount variance","Date variance")))</f>
        <v/>
      </c>
      <c r="M120" s="137">
        <f>IF(K120="Matched","Low",IF(OR(IFERROR(ABS(H120),0)&gt;Mapping_Rules!$B$7,IFERROR(J120,0)&gt;Mapping_Rules!$B$8),"High","Medium"))</f>
        <v/>
      </c>
      <c r="N120" s="137">
        <f>IF(K120="Matched","No action needed",IF(L120="Missing from bank","Check bank date or posting",IF(L120="Amount variance","Check invoice/payment amount","Check timing difference")))</f>
        <v/>
      </c>
      <c r="O120" s="115" t="inlineStr">
        <is>
          <t>2000 AP</t>
        </is>
      </c>
      <c r="P120" s="115" t="inlineStr">
        <is>
          <t>AP Clerk</t>
        </is>
      </c>
      <c r="Q120" s="115" t="inlineStr">
        <is>
          <t>No</t>
        </is>
      </c>
      <c r="R120" s="138" t="str"/>
      <c r="S120" s="139">
        <f>IF(K120="Matched",0,Mapping_Rules!$B$6-B120)</f>
        <v/>
      </c>
    </row>
    <row r="121">
      <c r="A121" s="140" t="inlineStr">
        <is>
          <t>ERP-00118</t>
        </is>
      </c>
      <c r="B121" s="141" t="n">
        <v>46037</v>
      </c>
      <c r="C121" s="140" t="inlineStr">
        <is>
          <t>Payroll</t>
        </is>
      </c>
      <c r="D121" s="140" t="inlineStr">
        <is>
          <t>Payroll Batch</t>
        </is>
      </c>
      <c r="E121" s="140" t="inlineStr">
        <is>
          <t>REF-100118</t>
        </is>
      </c>
      <c r="F121" s="142" t="n">
        <v>-12325.36</v>
      </c>
      <c r="G121" s="143">
        <f>IFERROR(XLOOKUP(E121,Bank_Statement!$D$4:$D$448,Bank_Statement!$G$4:$G$448,""),"")</f>
        <v/>
      </c>
      <c r="H121" s="142">
        <f>IF(G121="","",F121-G121)</f>
        <v/>
      </c>
      <c r="I121" s="144">
        <f>IFERROR(XLOOKUP(E121,Bank_Statement!$D$4:$D$448,Bank_Statement!$B$4:$B$448,""),"")</f>
        <v/>
      </c>
      <c r="J121" s="145">
        <f>IF(I121="","",ABS(B121-I121))</f>
        <v/>
      </c>
      <c r="K121" s="146">
        <f>IF(G121="","Unmatched ERP",IF(AND(ABS(H121)&lt;=Mapping_Rules!$B$4,ABS(J121)&lt;=Mapping_Rules!$B$5),"Matched","Review"))</f>
        <v/>
      </c>
      <c r="L121" s="146">
        <f>IF(K121="Matched","None",IF(G121="","Missing from bank",IF(ABS(H121)&gt;Mapping_Rules!$B$4,"Amount variance","Date variance")))</f>
        <v/>
      </c>
      <c r="M121" s="146">
        <f>IF(K121="Matched","Low",IF(OR(IFERROR(ABS(H121),0)&gt;Mapping_Rules!$B$7,IFERROR(J121,0)&gt;Mapping_Rules!$B$8),"High","Medium"))</f>
        <v/>
      </c>
      <c r="N121" s="146">
        <f>IF(K121="Matched","No action needed",IF(L121="Missing from bank","Check bank date or posting",IF(L121="Amount variance","Check invoice/payment amount","Check timing difference")))</f>
        <v/>
      </c>
      <c r="O121" s="140" t="inlineStr">
        <is>
          <t>5300 Payroll</t>
        </is>
      </c>
      <c r="P121" s="140" t="inlineStr">
        <is>
          <t>Accounting Technician</t>
        </is>
      </c>
      <c r="Q121" s="140" t="inlineStr">
        <is>
          <t>No</t>
        </is>
      </c>
      <c r="R121" s="147" t="str"/>
      <c r="S121" s="148">
        <f>IF(K121="Matched",0,Mapping_Rules!$B$6-B121)</f>
        <v/>
      </c>
    </row>
    <row r="122">
      <c r="A122" s="115" t="inlineStr">
        <is>
          <t>ERP-00119</t>
        </is>
      </c>
      <c r="B122" s="125" t="n">
        <v>46032</v>
      </c>
      <c r="C122" s="115" t="inlineStr">
        <is>
          <t>AR</t>
        </is>
      </c>
      <c r="D122" s="115" t="inlineStr">
        <is>
          <t>Granville Medical</t>
        </is>
      </c>
      <c r="E122" s="115" t="inlineStr">
        <is>
          <t>REF-100119</t>
        </is>
      </c>
      <c r="F122" s="126" t="n">
        <v>5914.12</v>
      </c>
      <c r="G122" s="134">
        <f>IFERROR(XLOOKUP(E122,Bank_Statement!$D$4:$D$448,Bank_Statement!$G$4:$G$448,""),"")</f>
        <v/>
      </c>
      <c r="H122" s="126">
        <f>IF(G122="","",F122-G122)</f>
        <v/>
      </c>
      <c r="I122" s="135">
        <f>IFERROR(XLOOKUP(E122,Bank_Statement!$D$4:$D$448,Bank_Statement!$B$4:$B$448,""),"")</f>
        <v/>
      </c>
      <c r="J122" s="136">
        <f>IF(I122="","",ABS(B122-I122))</f>
        <v/>
      </c>
      <c r="K122" s="137">
        <f>IF(G122="","Unmatched ERP",IF(AND(ABS(H122)&lt;=Mapping_Rules!$B$4,ABS(J122)&lt;=Mapping_Rules!$B$5),"Matched","Review"))</f>
        <v/>
      </c>
      <c r="L122" s="137">
        <f>IF(K122="Matched","None",IF(G122="","Missing from bank",IF(ABS(H122)&gt;Mapping_Rules!$B$4,"Amount variance","Date variance")))</f>
        <v/>
      </c>
      <c r="M122" s="137">
        <f>IF(K122="Matched","Low",IF(OR(IFERROR(ABS(H122),0)&gt;Mapping_Rules!$B$7,IFERROR(J122,0)&gt;Mapping_Rules!$B$8),"High","Medium"))</f>
        <v/>
      </c>
      <c r="N122" s="137">
        <f>IF(K122="Matched","No action needed",IF(L122="Missing from bank","Check bank date or posting",IF(L122="Amount variance","Check invoice/payment amount","Check timing difference")))</f>
        <v/>
      </c>
      <c r="O122" s="115" t="inlineStr">
        <is>
          <t>1200 AR</t>
        </is>
      </c>
      <c r="P122" s="115" t="inlineStr">
        <is>
          <t>AR Clerk</t>
        </is>
      </c>
      <c r="Q122" s="115" t="inlineStr">
        <is>
          <t>No</t>
        </is>
      </c>
      <c r="R122" s="138" t="str"/>
      <c r="S122" s="139">
        <f>IF(K122="Matched",0,Mapping_Rules!$B$6-B122)</f>
        <v/>
      </c>
    </row>
    <row r="123">
      <c r="A123" s="140" t="inlineStr">
        <is>
          <t>ERP-00120</t>
        </is>
      </c>
      <c r="B123" s="141" t="n">
        <v>46026</v>
      </c>
      <c r="C123" s="140" t="inlineStr">
        <is>
          <t>AP</t>
        </is>
      </c>
      <c r="D123" s="140" t="inlineStr">
        <is>
          <t>Amazon Business</t>
        </is>
      </c>
      <c r="E123" s="140" t="inlineStr">
        <is>
          <t>REF-100120</t>
        </is>
      </c>
      <c r="F123" s="142" t="n">
        <v>-2276.83</v>
      </c>
      <c r="G123" s="143">
        <f>IFERROR(XLOOKUP(E123,Bank_Statement!$D$4:$D$448,Bank_Statement!$G$4:$G$448,""),"")</f>
        <v/>
      </c>
      <c r="H123" s="142">
        <f>IF(G123="","",F123-G123)</f>
        <v/>
      </c>
      <c r="I123" s="144">
        <f>IFERROR(XLOOKUP(E123,Bank_Statement!$D$4:$D$448,Bank_Statement!$B$4:$B$448,""),"")</f>
        <v/>
      </c>
      <c r="J123" s="145">
        <f>IF(I123="","",ABS(B123-I123))</f>
        <v/>
      </c>
      <c r="K123" s="146">
        <f>IF(G123="","Unmatched ERP",IF(AND(ABS(H123)&lt;=Mapping_Rules!$B$4,ABS(J123)&lt;=Mapping_Rules!$B$5),"Matched","Review"))</f>
        <v/>
      </c>
      <c r="L123" s="146">
        <f>IF(K123="Matched","None",IF(G123="","Missing from bank",IF(ABS(H123)&gt;Mapping_Rules!$B$4,"Amount variance","Date variance")))</f>
        <v/>
      </c>
      <c r="M123" s="146">
        <f>IF(K123="Matched","Low",IF(OR(IFERROR(ABS(H123),0)&gt;Mapping_Rules!$B$7,IFERROR(J123,0)&gt;Mapping_Rules!$B$8),"High","Medium"))</f>
        <v/>
      </c>
      <c r="N123" s="146">
        <f>IF(K123="Matched","No action needed",IF(L123="Missing from bank","Check bank date or posting",IF(L123="Amount variance","Check invoice/payment amount","Check timing difference")))</f>
        <v/>
      </c>
      <c r="O123" s="140" t="inlineStr">
        <is>
          <t>2000 AP</t>
        </is>
      </c>
      <c r="P123" s="140" t="inlineStr">
        <is>
          <t>AP Clerk</t>
        </is>
      </c>
      <c r="Q123" s="140" t="inlineStr">
        <is>
          <t>No</t>
        </is>
      </c>
      <c r="R123" s="147" t="str"/>
      <c r="S123" s="148">
        <f>IF(K123="Matched",0,Mapping_Rules!$B$6-B123)</f>
        <v/>
      </c>
    </row>
    <row r="124">
      <c r="A124" s="115" t="inlineStr">
        <is>
          <t>ERP-00121</t>
        </is>
      </c>
      <c r="B124" s="125" t="n">
        <v>46041</v>
      </c>
      <c r="C124" s="115" t="inlineStr">
        <is>
          <t>Payroll</t>
        </is>
      </c>
      <c r="D124" s="115" t="inlineStr">
        <is>
          <t>Payroll Batch</t>
        </is>
      </c>
      <c r="E124" s="115" t="inlineStr">
        <is>
          <t>REF-100121</t>
        </is>
      </c>
      <c r="F124" s="126" t="n">
        <v>-13785.52</v>
      </c>
      <c r="G124" s="134">
        <f>IFERROR(XLOOKUP(E124,Bank_Statement!$D$4:$D$448,Bank_Statement!$G$4:$G$448,""),"")</f>
        <v/>
      </c>
      <c r="H124" s="126">
        <f>IF(G124="","",F124-G124)</f>
        <v/>
      </c>
      <c r="I124" s="135">
        <f>IFERROR(XLOOKUP(E124,Bank_Statement!$D$4:$D$448,Bank_Statement!$B$4:$B$448,""),"")</f>
        <v/>
      </c>
      <c r="J124" s="136">
        <f>IF(I124="","",ABS(B124-I124))</f>
        <v/>
      </c>
      <c r="K124" s="137">
        <f>IF(G124="","Unmatched ERP",IF(AND(ABS(H124)&lt;=Mapping_Rules!$B$4,ABS(J124)&lt;=Mapping_Rules!$B$5),"Matched","Review"))</f>
        <v/>
      </c>
      <c r="L124" s="137">
        <f>IF(K124="Matched","None",IF(G124="","Missing from bank",IF(ABS(H124)&gt;Mapping_Rules!$B$4,"Amount variance","Date variance")))</f>
        <v/>
      </c>
      <c r="M124" s="137">
        <f>IF(K124="Matched","Low",IF(OR(IFERROR(ABS(H124),0)&gt;Mapping_Rules!$B$7,IFERROR(J124,0)&gt;Mapping_Rules!$B$8),"High","Medium"))</f>
        <v/>
      </c>
      <c r="N124" s="137">
        <f>IF(K124="Matched","No action needed",IF(L124="Missing from bank","Check bank date or posting",IF(L124="Amount variance","Check invoice/payment amount","Check timing difference")))</f>
        <v/>
      </c>
      <c r="O124" s="115" t="inlineStr">
        <is>
          <t>5300 Payroll</t>
        </is>
      </c>
      <c r="P124" s="115" t="inlineStr">
        <is>
          <t>Accounting Technician</t>
        </is>
      </c>
      <c r="Q124" s="115" t="inlineStr">
        <is>
          <t>No</t>
        </is>
      </c>
      <c r="R124" s="138" t="str"/>
      <c r="S124" s="139">
        <f>IF(K124="Matched",0,Mapping_Rules!$B$6-B124)</f>
        <v/>
      </c>
    </row>
    <row r="125">
      <c r="A125" s="140" t="inlineStr">
        <is>
          <t>ERP-00122</t>
        </is>
      </c>
      <c r="B125" s="141" t="n">
        <v>46030</v>
      </c>
      <c r="C125" s="140" t="inlineStr">
        <is>
          <t>AR</t>
        </is>
      </c>
      <c r="D125" s="140" t="inlineStr">
        <is>
          <t>Raincity Tech</t>
        </is>
      </c>
      <c r="E125" s="140" t="inlineStr">
        <is>
          <t>REF-100122</t>
        </is>
      </c>
      <c r="F125" s="142" t="n">
        <v>1978.69</v>
      </c>
      <c r="G125" s="143">
        <f>IFERROR(XLOOKUP(E125,Bank_Statement!$D$4:$D$448,Bank_Statement!$G$4:$G$448,""),"")</f>
        <v/>
      </c>
      <c r="H125" s="142">
        <f>IF(G125="","",F125-G125)</f>
        <v/>
      </c>
      <c r="I125" s="144">
        <f>IFERROR(XLOOKUP(E125,Bank_Statement!$D$4:$D$448,Bank_Statement!$B$4:$B$448,""),"")</f>
        <v/>
      </c>
      <c r="J125" s="145">
        <f>IF(I125="","",ABS(B125-I125))</f>
        <v/>
      </c>
      <c r="K125" s="146">
        <f>IF(G125="","Unmatched ERP",IF(AND(ABS(H125)&lt;=Mapping_Rules!$B$4,ABS(J125)&lt;=Mapping_Rules!$B$5),"Matched","Review"))</f>
        <v/>
      </c>
      <c r="L125" s="146">
        <f>IF(K125="Matched","None",IF(G125="","Missing from bank",IF(ABS(H125)&gt;Mapping_Rules!$B$4,"Amount variance","Date variance")))</f>
        <v/>
      </c>
      <c r="M125" s="146">
        <f>IF(K125="Matched","Low",IF(OR(IFERROR(ABS(H125),0)&gt;Mapping_Rules!$B$7,IFERROR(J125,0)&gt;Mapping_Rules!$B$8),"High","Medium"))</f>
        <v/>
      </c>
      <c r="N125" s="146">
        <f>IF(K125="Matched","No action needed",IF(L125="Missing from bank","Check bank date or posting",IF(L125="Amount variance","Check invoice/payment amount","Check timing difference")))</f>
        <v/>
      </c>
      <c r="O125" s="140" t="inlineStr">
        <is>
          <t>1200 AR</t>
        </is>
      </c>
      <c r="P125" s="140" t="inlineStr">
        <is>
          <t>AR Clerk</t>
        </is>
      </c>
      <c r="Q125" s="140" t="inlineStr">
        <is>
          <t>No</t>
        </is>
      </c>
      <c r="R125" s="147" t="str"/>
      <c r="S125" s="148">
        <f>IF(K125="Matched",0,Mapping_Rules!$B$6-B125)</f>
        <v/>
      </c>
    </row>
    <row r="126">
      <c r="A126" s="115" t="inlineStr">
        <is>
          <t>ERP-00123</t>
        </is>
      </c>
      <c r="B126" s="125" t="n">
        <v>46051</v>
      </c>
      <c r="C126" s="115" t="inlineStr">
        <is>
          <t>AR</t>
        </is>
      </c>
      <c r="D126" s="115" t="inlineStr">
        <is>
          <t>Maple Retail Group</t>
        </is>
      </c>
      <c r="E126" s="115" t="inlineStr">
        <is>
          <t>REF-100123</t>
        </is>
      </c>
      <c r="F126" s="126" t="n">
        <v>2729.59</v>
      </c>
      <c r="G126" s="134">
        <f>IFERROR(XLOOKUP(E126,Bank_Statement!$D$4:$D$448,Bank_Statement!$G$4:$G$448,""),"")</f>
        <v/>
      </c>
      <c r="H126" s="126">
        <f>IF(G126="","",F126-G126)</f>
        <v/>
      </c>
      <c r="I126" s="135">
        <f>IFERROR(XLOOKUP(E126,Bank_Statement!$D$4:$D$448,Bank_Statement!$B$4:$B$448,""),"")</f>
        <v/>
      </c>
      <c r="J126" s="136">
        <f>IF(I126="","",ABS(B126-I126))</f>
        <v/>
      </c>
      <c r="K126" s="137">
        <f>IF(G126="","Unmatched ERP",IF(AND(ABS(H126)&lt;=Mapping_Rules!$B$4,ABS(J126)&lt;=Mapping_Rules!$B$5),"Matched","Review"))</f>
        <v/>
      </c>
      <c r="L126" s="137">
        <f>IF(K126="Matched","None",IF(G126="","Missing from bank",IF(ABS(H126)&gt;Mapping_Rules!$B$4,"Amount variance","Date variance")))</f>
        <v/>
      </c>
      <c r="M126" s="137">
        <f>IF(K126="Matched","Low",IF(OR(IFERROR(ABS(H126),0)&gt;Mapping_Rules!$B$7,IFERROR(J126,0)&gt;Mapping_Rules!$B$8),"High","Medium"))</f>
        <v/>
      </c>
      <c r="N126" s="137">
        <f>IF(K126="Matched","No action needed",IF(L126="Missing from bank","Check bank date or posting",IF(L126="Amount variance","Check invoice/payment amount","Check timing difference")))</f>
        <v/>
      </c>
      <c r="O126" s="115" t="inlineStr">
        <is>
          <t>1200 AR</t>
        </is>
      </c>
      <c r="P126" s="115" t="inlineStr">
        <is>
          <t>AR Clerk</t>
        </is>
      </c>
      <c r="Q126" s="115" t="inlineStr">
        <is>
          <t>No</t>
        </is>
      </c>
      <c r="R126" s="138" t="str"/>
      <c r="S126" s="139">
        <f>IF(K126="Matched",0,Mapping_Rules!$B$6-B126)</f>
        <v/>
      </c>
    </row>
    <row r="127">
      <c r="A127" s="140" t="inlineStr">
        <is>
          <t>ERP-00124</t>
        </is>
      </c>
      <c r="B127" s="141" t="n">
        <v>46032</v>
      </c>
      <c r="C127" s="140" t="inlineStr">
        <is>
          <t>AP</t>
        </is>
      </c>
      <c r="D127" s="140" t="inlineStr">
        <is>
          <t>BC Hydro</t>
        </is>
      </c>
      <c r="E127" s="140" t="inlineStr">
        <is>
          <t>REF-100124</t>
        </is>
      </c>
      <c r="F127" s="142" t="n">
        <v>-1154.92</v>
      </c>
      <c r="G127" s="143">
        <f>IFERROR(XLOOKUP(E127,Bank_Statement!$D$4:$D$448,Bank_Statement!$G$4:$G$448,""),"")</f>
        <v/>
      </c>
      <c r="H127" s="142">
        <f>IF(G127="","",F127-G127)</f>
        <v/>
      </c>
      <c r="I127" s="144">
        <f>IFERROR(XLOOKUP(E127,Bank_Statement!$D$4:$D$448,Bank_Statement!$B$4:$B$448,""),"")</f>
        <v/>
      </c>
      <c r="J127" s="145">
        <f>IF(I127="","",ABS(B127-I127))</f>
        <v/>
      </c>
      <c r="K127" s="146">
        <f>IF(G127="","Unmatched ERP",IF(AND(ABS(H127)&lt;=Mapping_Rules!$B$4,ABS(J127)&lt;=Mapping_Rules!$B$5),"Matched","Review"))</f>
        <v/>
      </c>
      <c r="L127" s="146">
        <f>IF(K127="Matched","None",IF(G127="","Missing from bank",IF(ABS(H127)&gt;Mapping_Rules!$B$4,"Amount variance","Date variance")))</f>
        <v/>
      </c>
      <c r="M127" s="146">
        <f>IF(K127="Matched","Low",IF(OR(IFERROR(ABS(H127),0)&gt;Mapping_Rules!$B$7,IFERROR(J127,0)&gt;Mapping_Rules!$B$8),"High","Medium"))</f>
        <v/>
      </c>
      <c r="N127" s="146">
        <f>IF(K127="Matched","No action needed",IF(L127="Missing from bank","Check bank date or posting",IF(L127="Amount variance","Check invoice/payment amount","Check timing difference")))</f>
        <v/>
      </c>
      <c r="O127" s="140" t="inlineStr">
        <is>
          <t>2000 AP</t>
        </is>
      </c>
      <c r="P127" s="140" t="inlineStr">
        <is>
          <t>AP Clerk</t>
        </is>
      </c>
      <c r="Q127" s="140" t="inlineStr">
        <is>
          <t>No</t>
        </is>
      </c>
      <c r="R127" s="147" t="str"/>
      <c r="S127" s="148">
        <f>IF(K127="Matched",0,Mapping_Rules!$B$6-B127)</f>
        <v/>
      </c>
    </row>
    <row r="128">
      <c r="A128" s="115" t="inlineStr">
        <is>
          <t>ERP-00125</t>
        </is>
      </c>
      <c r="B128" s="125" t="n">
        <v>46034</v>
      </c>
      <c r="C128" s="115" t="inlineStr">
        <is>
          <t>AR</t>
        </is>
      </c>
      <c r="D128" s="115" t="inlineStr">
        <is>
          <t>Raincity Tech</t>
        </is>
      </c>
      <c r="E128" s="115" t="inlineStr">
        <is>
          <t>REF-100125</t>
        </is>
      </c>
      <c r="F128" s="126" t="n">
        <v>7084.45</v>
      </c>
      <c r="G128" s="134">
        <f>IFERROR(XLOOKUP(E128,Bank_Statement!$D$4:$D$448,Bank_Statement!$G$4:$G$448,""),"")</f>
        <v/>
      </c>
      <c r="H128" s="126">
        <f>IF(G128="","",F128-G128)</f>
        <v/>
      </c>
      <c r="I128" s="135">
        <f>IFERROR(XLOOKUP(E128,Bank_Statement!$D$4:$D$448,Bank_Statement!$B$4:$B$448,""),"")</f>
        <v/>
      </c>
      <c r="J128" s="136">
        <f>IF(I128="","",ABS(B128-I128))</f>
        <v/>
      </c>
      <c r="K128" s="137">
        <f>IF(G128="","Unmatched ERP",IF(AND(ABS(H128)&lt;=Mapping_Rules!$B$4,ABS(J128)&lt;=Mapping_Rules!$B$5),"Matched","Review"))</f>
        <v/>
      </c>
      <c r="L128" s="137">
        <f>IF(K128="Matched","None",IF(G128="","Missing from bank",IF(ABS(H128)&gt;Mapping_Rules!$B$4,"Amount variance","Date variance")))</f>
        <v/>
      </c>
      <c r="M128" s="137">
        <f>IF(K128="Matched","Low",IF(OR(IFERROR(ABS(H128),0)&gt;Mapping_Rules!$B$7,IFERROR(J128,0)&gt;Mapping_Rules!$B$8),"High","Medium"))</f>
        <v/>
      </c>
      <c r="N128" s="137">
        <f>IF(K128="Matched","No action needed",IF(L128="Missing from bank","Check bank date or posting",IF(L128="Amount variance","Check invoice/payment amount","Check timing difference")))</f>
        <v/>
      </c>
      <c r="O128" s="115" t="inlineStr">
        <is>
          <t>1200 AR</t>
        </is>
      </c>
      <c r="P128" s="115" t="inlineStr">
        <is>
          <t>AR Clerk</t>
        </is>
      </c>
      <c r="Q128" s="115" t="inlineStr">
        <is>
          <t>No</t>
        </is>
      </c>
      <c r="R128" s="138" t="str"/>
      <c r="S128" s="139">
        <f>IF(K128="Matched",0,Mapping_Rules!$B$6-B128)</f>
        <v/>
      </c>
    </row>
    <row r="129">
      <c r="A129" s="140" t="inlineStr">
        <is>
          <t>ERP-00126</t>
        </is>
      </c>
      <c r="B129" s="141" t="n">
        <v>46032</v>
      </c>
      <c r="C129" s="140" t="inlineStr">
        <is>
          <t>GL</t>
        </is>
      </c>
      <c r="D129" s="140" t="inlineStr">
        <is>
          <t>Staples Canada</t>
        </is>
      </c>
      <c r="E129" s="140" t="inlineStr">
        <is>
          <t>REF-100126</t>
        </is>
      </c>
      <c r="F129" s="142" t="n">
        <v>4030.95</v>
      </c>
      <c r="G129" s="143">
        <f>IFERROR(XLOOKUP(E129,Bank_Statement!$D$4:$D$448,Bank_Statement!$G$4:$G$448,""),"")</f>
        <v/>
      </c>
      <c r="H129" s="142">
        <f>IF(G129="","",F129-G129)</f>
        <v/>
      </c>
      <c r="I129" s="144">
        <f>IFERROR(XLOOKUP(E129,Bank_Statement!$D$4:$D$448,Bank_Statement!$B$4:$B$448,""),"")</f>
        <v/>
      </c>
      <c r="J129" s="145">
        <f>IF(I129="","",ABS(B129-I129))</f>
        <v/>
      </c>
      <c r="K129" s="146">
        <f>IF(G129="","Unmatched ERP",IF(AND(ABS(H129)&lt;=Mapping_Rules!$B$4,ABS(J129)&lt;=Mapping_Rules!$B$5),"Matched","Review"))</f>
        <v/>
      </c>
      <c r="L129" s="146">
        <f>IF(K129="Matched","None",IF(G129="","Missing from bank",IF(ABS(H129)&gt;Mapping_Rules!$B$4,"Amount variance","Date variance")))</f>
        <v/>
      </c>
      <c r="M129" s="146">
        <f>IF(K129="Matched","Low",IF(OR(IFERROR(ABS(H129),0)&gt;Mapping_Rules!$B$7,IFERROR(J129,0)&gt;Mapping_Rules!$B$8),"High","Medium"))</f>
        <v/>
      </c>
      <c r="N129" s="146">
        <f>IF(K129="Matched","No action needed",IF(L129="Missing from bank","Check bank date or posting",IF(L129="Amount variance","Check invoice/payment amount","Check timing difference")))</f>
        <v/>
      </c>
      <c r="O129" s="140" t="inlineStr">
        <is>
          <t>1200 AR</t>
        </is>
      </c>
      <c r="P129" s="140" t="inlineStr">
        <is>
          <t>Accounting Technician</t>
        </is>
      </c>
      <c r="Q129" s="140" t="inlineStr">
        <is>
          <t>No</t>
        </is>
      </c>
      <c r="R129" s="147" t="str"/>
      <c r="S129" s="148">
        <f>IF(K129="Matched",0,Mapping_Rules!$B$6-B129)</f>
        <v/>
      </c>
    </row>
    <row r="130">
      <c r="A130" s="115" t="inlineStr">
        <is>
          <t>ERP-00127</t>
        </is>
      </c>
      <c r="B130" s="125" t="n">
        <v>46046</v>
      </c>
      <c r="C130" s="115" t="inlineStr">
        <is>
          <t>GL</t>
        </is>
      </c>
      <c r="D130" s="115" t="inlineStr">
        <is>
          <t>Vancouver Courier</t>
        </is>
      </c>
      <c r="E130" s="115" t="inlineStr">
        <is>
          <t>REF-100127</t>
        </is>
      </c>
      <c r="F130" s="126" t="n">
        <v>-4837.99</v>
      </c>
      <c r="G130" s="134">
        <f>IFERROR(XLOOKUP(E130,Bank_Statement!$D$4:$D$448,Bank_Statement!$G$4:$G$448,""),"")</f>
        <v/>
      </c>
      <c r="H130" s="126">
        <f>IF(G130="","",F130-G130)</f>
        <v/>
      </c>
      <c r="I130" s="135">
        <f>IFERROR(XLOOKUP(E130,Bank_Statement!$D$4:$D$448,Bank_Statement!$B$4:$B$448,""),"")</f>
        <v/>
      </c>
      <c r="J130" s="136">
        <f>IF(I130="","",ABS(B130-I130))</f>
        <v/>
      </c>
      <c r="K130" s="137">
        <f>IF(G130="","Unmatched ERP",IF(AND(ABS(H130)&lt;=Mapping_Rules!$B$4,ABS(J130)&lt;=Mapping_Rules!$B$5),"Matched","Review"))</f>
        <v/>
      </c>
      <c r="L130" s="137">
        <f>IF(K130="Matched","None",IF(G130="","Missing from bank",IF(ABS(H130)&gt;Mapping_Rules!$B$4,"Amount variance","Date variance")))</f>
        <v/>
      </c>
      <c r="M130" s="137">
        <f>IF(K130="Matched","Low",IF(OR(IFERROR(ABS(H130),0)&gt;Mapping_Rules!$B$7,IFERROR(J130,0)&gt;Mapping_Rules!$B$8),"High","Medium"))</f>
        <v/>
      </c>
      <c r="N130" s="137">
        <f>IF(K130="Matched","No action needed",IF(L130="Missing from bank","Check bank date or posting",IF(L130="Amount variance","Check invoice/payment amount","Check timing difference")))</f>
        <v/>
      </c>
      <c r="O130" s="115" t="inlineStr">
        <is>
          <t>5200 Software</t>
        </is>
      </c>
      <c r="P130" s="115" t="inlineStr">
        <is>
          <t>Accounting Technician</t>
        </is>
      </c>
      <c r="Q130" s="115" t="inlineStr">
        <is>
          <t>No</t>
        </is>
      </c>
      <c r="R130" s="138" t="str"/>
      <c r="S130" s="139">
        <f>IF(K130="Matched",0,Mapping_Rules!$B$6-B130)</f>
        <v/>
      </c>
    </row>
    <row r="131">
      <c r="A131" s="140" t="inlineStr">
        <is>
          <t>ERP-00128</t>
        </is>
      </c>
      <c r="B131" s="141" t="n">
        <v>46044</v>
      </c>
      <c r="C131" s="140" t="inlineStr">
        <is>
          <t>GL</t>
        </is>
      </c>
      <c r="D131" s="140" t="inlineStr">
        <is>
          <t>Amazon Business</t>
        </is>
      </c>
      <c r="E131" s="140" t="inlineStr">
        <is>
          <t>REF-100128</t>
        </is>
      </c>
      <c r="F131" s="142" t="n">
        <v>-2943.57</v>
      </c>
      <c r="G131" s="143">
        <f>IFERROR(XLOOKUP(E131,Bank_Statement!$D$4:$D$448,Bank_Statement!$G$4:$G$448,""),"")</f>
        <v/>
      </c>
      <c r="H131" s="142">
        <f>IF(G131="","",F131-G131)</f>
        <v/>
      </c>
      <c r="I131" s="144">
        <f>IFERROR(XLOOKUP(E131,Bank_Statement!$D$4:$D$448,Bank_Statement!$B$4:$B$448,""),"")</f>
        <v/>
      </c>
      <c r="J131" s="145">
        <f>IF(I131="","",ABS(B131-I131))</f>
        <v/>
      </c>
      <c r="K131" s="146">
        <f>IF(G131="","Unmatched ERP",IF(AND(ABS(H131)&lt;=Mapping_Rules!$B$4,ABS(J131)&lt;=Mapping_Rules!$B$5),"Matched","Review"))</f>
        <v/>
      </c>
      <c r="L131" s="146">
        <f>IF(K131="Matched","None",IF(G131="","Missing from bank",IF(ABS(H131)&gt;Mapping_Rules!$B$4,"Amount variance","Date variance")))</f>
        <v/>
      </c>
      <c r="M131" s="146">
        <f>IF(K131="Matched","Low",IF(OR(IFERROR(ABS(H131),0)&gt;Mapping_Rules!$B$7,IFERROR(J131,0)&gt;Mapping_Rules!$B$8),"High","Medium"))</f>
        <v/>
      </c>
      <c r="N131" s="146">
        <f>IF(K131="Matched","No action needed",IF(L131="Missing from bank","Check bank date or posting",IF(L131="Amount variance","Check invoice/payment amount","Check timing difference")))</f>
        <v/>
      </c>
      <c r="O131" s="140" t="inlineStr">
        <is>
          <t>5200 Software</t>
        </is>
      </c>
      <c r="P131" s="140" t="inlineStr">
        <is>
          <t>Accounting Technician</t>
        </is>
      </c>
      <c r="Q131" s="140" t="inlineStr">
        <is>
          <t>No</t>
        </is>
      </c>
      <c r="R131" s="147" t="str"/>
      <c r="S131" s="148">
        <f>IF(K131="Matched",0,Mapping_Rules!$B$6-B131)</f>
        <v/>
      </c>
    </row>
    <row r="132">
      <c r="A132" s="115" t="inlineStr">
        <is>
          <t>ERP-00129</t>
        </is>
      </c>
      <c r="B132" s="125" t="n">
        <v>46030</v>
      </c>
      <c r="C132" s="115" t="inlineStr">
        <is>
          <t>AR</t>
        </is>
      </c>
      <c r="D132" s="115" t="inlineStr">
        <is>
          <t>Harbour Design Co.</t>
        </is>
      </c>
      <c r="E132" s="115" t="inlineStr">
        <is>
          <t>REF-100129</t>
        </is>
      </c>
      <c r="F132" s="126" t="n">
        <v>7029.19</v>
      </c>
      <c r="G132" s="134">
        <f>IFERROR(XLOOKUP(E132,Bank_Statement!$D$4:$D$448,Bank_Statement!$G$4:$G$448,""),"")</f>
        <v/>
      </c>
      <c r="H132" s="126">
        <f>IF(G132="","",F132-G132)</f>
        <v/>
      </c>
      <c r="I132" s="135">
        <f>IFERROR(XLOOKUP(E132,Bank_Statement!$D$4:$D$448,Bank_Statement!$B$4:$B$448,""),"")</f>
        <v/>
      </c>
      <c r="J132" s="136">
        <f>IF(I132="","",ABS(B132-I132))</f>
        <v/>
      </c>
      <c r="K132" s="137">
        <f>IF(G132="","Unmatched ERP",IF(AND(ABS(H132)&lt;=Mapping_Rules!$B$4,ABS(J132)&lt;=Mapping_Rules!$B$5),"Matched","Review"))</f>
        <v/>
      </c>
      <c r="L132" s="137">
        <f>IF(K132="Matched","None",IF(G132="","Missing from bank",IF(ABS(H132)&gt;Mapping_Rules!$B$4,"Amount variance","Date variance")))</f>
        <v/>
      </c>
      <c r="M132" s="137">
        <f>IF(K132="Matched","Low",IF(OR(IFERROR(ABS(H132),0)&gt;Mapping_Rules!$B$7,IFERROR(J132,0)&gt;Mapping_Rules!$B$8),"High","Medium"))</f>
        <v/>
      </c>
      <c r="N132" s="137">
        <f>IF(K132="Matched","No action needed",IF(L132="Missing from bank","Check bank date or posting",IF(L132="Amount variance","Check invoice/payment amount","Check timing difference")))</f>
        <v/>
      </c>
      <c r="O132" s="115" t="inlineStr">
        <is>
          <t>1200 AR</t>
        </is>
      </c>
      <c r="P132" s="115" t="inlineStr">
        <is>
          <t>AR Clerk</t>
        </is>
      </c>
      <c r="Q132" s="115" t="inlineStr">
        <is>
          <t>No</t>
        </is>
      </c>
      <c r="R132" s="138" t="str"/>
      <c r="S132" s="139">
        <f>IF(K132="Matched",0,Mapping_Rules!$B$6-B132)</f>
        <v/>
      </c>
    </row>
    <row r="133">
      <c r="A133" s="140" t="inlineStr">
        <is>
          <t>ERP-00130</t>
        </is>
      </c>
      <c r="B133" s="141" t="n">
        <v>46032</v>
      </c>
      <c r="C133" s="140" t="inlineStr">
        <is>
          <t>Bank Fees</t>
        </is>
      </c>
      <c r="D133" s="140" t="inlineStr">
        <is>
          <t>Bank</t>
        </is>
      </c>
      <c r="E133" s="140" t="inlineStr">
        <is>
          <t>REF-100130</t>
        </is>
      </c>
      <c r="F133" s="142" t="n">
        <v>-18.35</v>
      </c>
      <c r="G133" s="143">
        <f>IFERROR(XLOOKUP(E133,Bank_Statement!$D$4:$D$448,Bank_Statement!$G$4:$G$448,""),"")</f>
        <v/>
      </c>
      <c r="H133" s="142">
        <f>IF(G133="","",F133-G133)</f>
        <v/>
      </c>
      <c r="I133" s="144">
        <f>IFERROR(XLOOKUP(E133,Bank_Statement!$D$4:$D$448,Bank_Statement!$B$4:$B$448,""),"")</f>
        <v/>
      </c>
      <c r="J133" s="145">
        <f>IF(I133="","",ABS(B133-I133))</f>
        <v/>
      </c>
      <c r="K133" s="146">
        <f>IF(G133="","Unmatched ERP",IF(AND(ABS(H133)&lt;=Mapping_Rules!$B$4,ABS(J133)&lt;=Mapping_Rules!$B$5),"Matched","Review"))</f>
        <v/>
      </c>
      <c r="L133" s="146">
        <f>IF(K133="Matched","None",IF(G133="","Missing from bank",IF(ABS(H133)&gt;Mapping_Rules!$B$4,"Amount variance","Date variance")))</f>
        <v/>
      </c>
      <c r="M133" s="146">
        <f>IF(K133="Matched","Low",IF(OR(IFERROR(ABS(H133),0)&gt;Mapping_Rules!$B$7,IFERROR(J133,0)&gt;Mapping_Rules!$B$8),"High","Medium"))</f>
        <v/>
      </c>
      <c r="N133" s="146">
        <f>IF(K133="Matched","No action needed",IF(L133="Missing from bank","Check bank date or posting",IF(L133="Amount variance","Check invoice/payment amount","Check timing difference")))</f>
        <v/>
      </c>
      <c r="O133" s="140" t="inlineStr">
        <is>
          <t>6100 Bank Fees</t>
        </is>
      </c>
      <c r="P133" s="140" t="inlineStr">
        <is>
          <t>Accounting Technician</t>
        </is>
      </c>
      <c r="Q133" s="140" t="inlineStr">
        <is>
          <t>No</t>
        </is>
      </c>
      <c r="R133" s="147" t="str"/>
      <c r="S133" s="148">
        <f>IF(K133="Matched",0,Mapping_Rules!$B$6-B133)</f>
        <v/>
      </c>
    </row>
    <row r="134">
      <c r="A134" s="115" t="inlineStr">
        <is>
          <t>ERP-00131</t>
        </is>
      </c>
      <c r="B134" s="125" t="n">
        <v>46053</v>
      </c>
      <c r="C134" s="115" t="inlineStr">
        <is>
          <t>GL</t>
        </is>
      </c>
      <c r="D134" s="115" t="inlineStr">
        <is>
          <t>Coastline Foods</t>
        </is>
      </c>
      <c r="E134" s="115" t="inlineStr">
        <is>
          <t>REF-100131</t>
        </is>
      </c>
      <c r="F134" s="126" t="n">
        <v>-2124.68</v>
      </c>
      <c r="G134" s="134">
        <f>IFERROR(XLOOKUP(E134,Bank_Statement!$D$4:$D$448,Bank_Statement!$G$4:$G$448,""),"")</f>
        <v/>
      </c>
      <c r="H134" s="126">
        <f>IF(G134="","",F134-G134)</f>
        <v/>
      </c>
      <c r="I134" s="135">
        <f>IFERROR(XLOOKUP(E134,Bank_Statement!$D$4:$D$448,Bank_Statement!$B$4:$B$448,""),"")</f>
        <v/>
      </c>
      <c r="J134" s="136">
        <f>IF(I134="","",ABS(B134-I134))</f>
        <v/>
      </c>
      <c r="K134" s="137">
        <f>IF(G134="","Unmatched ERP",IF(AND(ABS(H134)&lt;=Mapping_Rules!$B$4,ABS(J134)&lt;=Mapping_Rules!$B$5),"Matched","Review"))</f>
        <v/>
      </c>
      <c r="L134" s="137">
        <f>IF(K134="Matched","None",IF(G134="","Missing from bank",IF(ABS(H134)&gt;Mapping_Rules!$B$4,"Amount variance","Date variance")))</f>
        <v/>
      </c>
      <c r="M134" s="137">
        <f>IF(K134="Matched","Low",IF(OR(IFERROR(ABS(H134),0)&gt;Mapping_Rules!$B$7,IFERROR(J134,0)&gt;Mapping_Rules!$B$8),"High","Medium"))</f>
        <v/>
      </c>
      <c r="N134" s="137">
        <f>IF(K134="Matched","No action needed",IF(L134="Missing from bank","Check bank date or posting",IF(L134="Amount variance","Check invoice/payment amount","Check timing difference")))</f>
        <v/>
      </c>
      <c r="O134" s="115" t="inlineStr">
        <is>
          <t>2000 AP</t>
        </is>
      </c>
      <c r="P134" s="115" t="inlineStr">
        <is>
          <t>Accounting Technician</t>
        </is>
      </c>
      <c r="Q134" s="115" t="inlineStr">
        <is>
          <t>No</t>
        </is>
      </c>
      <c r="R134" s="138" t="str"/>
      <c r="S134" s="139">
        <f>IF(K134="Matched",0,Mapping_Rules!$B$6-B134)</f>
        <v/>
      </c>
    </row>
    <row r="135">
      <c r="A135" s="140" t="inlineStr">
        <is>
          <t>ERP-00132</t>
        </is>
      </c>
      <c r="B135" s="141" t="n">
        <v>46042</v>
      </c>
      <c r="C135" s="140" t="inlineStr">
        <is>
          <t>AR</t>
        </is>
      </c>
      <c r="D135" s="140" t="inlineStr">
        <is>
          <t>Raincity Tech</t>
        </is>
      </c>
      <c r="E135" s="140" t="inlineStr">
        <is>
          <t>REF-100132</t>
        </is>
      </c>
      <c r="F135" s="142" t="n">
        <v>423.18</v>
      </c>
      <c r="G135" s="143">
        <f>IFERROR(XLOOKUP(E135,Bank_Statement!$D$4:$D$448,Bank_Statement!$G$4:$G$448,""),"")</f>
        <v/>
      </c>
      <c r="H135" s="142">
        <f>IF(G135="","",F135-G135)</f>
        <v/>
      </c>
      <c r="I135" s="144">
        <f>IFERROR(XLOOKUP(E135,Bank_Statement!$D$4:$D$448,Bank_Statement!$B$4:$B$448,""),"")</f>
        <v/>
      </c>
      <c r="J135" s="145">
        <f>IF(I135="","",ABS(B135-I135))</f>
        <v/>
      </c>
      <c r="K135" s="146">
        <f>IF(G135="","Unmatched ERP",IF(AND(ABS(H135)&lt;=Mapping_Rules!$B$4,ABS(J135)&lt;=Mapping_Rules!$B$5),"Matched","Review"))</f>
        <v/>
      </c>
      <c r="L135" s="146">
        <f>IF(K135="Matched","None",IF(G135="","Missing from bank",IF(ABS(H135)&gt;Mapping_Rules!$B$4,"Amount variance","Date variance")))</f>
        <v/>
      </c>
      <c r="M135" s="146">
        <f>IF(K135="Matched","Low",IF(OR(IFERROR(ABS(H135),0)&gt;Mapping_Rules!$B$7,IFERROR(J135,0)&gt;Mapping_Rules!$B$8),"High","Medium"))</f>
        <v/>
      </c>
      <c r="N135" s="146">
        <f>IF(K135="Matched","No action needed",IF(L135="Missing from bank","Check bank date or posting",IF(L135="Amount variance","Check invoice/payment amount","Check timing difference")))</f>
        <v/>
      </c>
      <c r="O135" s="140" t="inlineStr">
        <is>
          <t>1200 AR</t>
        </is>
      </c>
      <c r="P135" s="140" t="inlineStr">
        <is>
          <t>AR Clerk</t>
        </is>
      </c>
      <c r="Q135" s="140" t="inlineStr">
        <is>
          <t>No</t>
        </is>
      </c>
      <c r="R135" s="147" t="str"/>
      <c r="S135" s="148">
        <f>IF(K135="Matched",0,Mapping_Rules!$B$6-B135)</f>
        <v/>
      </c>
    </row>
    <row r="136">
      <c r="A136" s="115" t="inlineStr">
        <is>
          <t>ERP-00133</t>
        </is>
      </c>
      <c r="B136" s="125" t="n">
        <v>46026</v>
      </c>
      <c r="C136" s="115" t="inlineStr">
        <is>
          <t>Bank Fees</t>
        </is>
      </c>
      <c r="D136" s="115" t="inlineStr">
        <is>
          <t>Bank</t>
        </is>
      </c>
      <c r="E136" s="115" t="inlineStr">
        <is>
          <t>REF-100133</t>
        </is>
      </c>
      <c r="F136" s="126" t="n">
        <v>-47.24</v>
      </c>
      <c r="G136" s="134">
        <f>IFERROR(XLOOKUP(E136,Bank_Statement!$D$4:$D$448,Bank_Statement!$G$4:$G$448,""),"")</f>
        <v/>
      </c>
      <c r="H136" s="126">
        <f>IF(G136="","",F136-G136)</f>
        <v/>
      </c>
      <c r="I136" s="135">
        <f>IFERROR(XLOOKUP(E136,Bank_Statement!$D$4:$D$448,Bank_Statement!$B$4:$B$448,""),"")</f>
        <v/>
      </c>
      <c r="J136" s="136">
        <f>IF(I136="","",ABS(B136-I136))</f>
        <v/>
      </c>
      <c r="K136" s="137">
        <f>IF(G136="","Unmatched ERP",IF(AND(ABS(H136)&lt;=Mapping_Rules!$B$4,ABS(J136)&lt;=Mapping_Rules!$B$5),"Matched","Review"))</f>
        <v/>
      </c>
      <c r="L136" s="137">
        <f>IF(K136="Matched","None",IF(G136="","Missing from bank",IF(ABS(H136)&gt;Mapping_Rules!$B$4,"Amount variance","Date variance")))</f>
        <v/>
      </c>
      <c r="M136" s="137">
        <f>IF(K136="Matched","Low",IF(OR(IFERROR(ABS(H136),0)&gt;Mapping_Rules!$B$7,IFERROR(J136,0)&gt;Mapping_Rules!$B$8),"High","Medium"))</f>
        <v/>
      </c>
      <c r="N136" s="137">
        <f>IF(K136="Matched","No action needed",IF(L136="Missing from bank","Check bank date or posting",IF(L136="Amount variance","Check invoice/payment amount","Check timing difference")))</f>
        <v/>
      </c>
      <c r="O136" s="115" t="inlineStr">
        <is>
          <t>6100 Bank Fees</t>
        </is>
      </c>
      <c r="P136" s="115" t="inlineStr">
        <is>
          <t>Accounting Technician</t>
        </is>
      </c>
      <c r="Q136" s="115" t="inlineStr">
        <is>
          <t>No</t>
        </is>
      </c>
      <c r="R136" s="138" t="str"/>
      <c r="S136" s="139">
        <f>IF(K136="Matched",0,Mapping_Rules!$B$6-B136)</f>
        <v/>
      </c>
    </row>
    <row r="137">
      <c r="A137" s="140" t="inlineStr">
        <is>
          <t>ERP-00134</t>
        </is>
      </c>
      <c r="B137" s="141" t="n">
        <v>46053</v>
      </c>
      <c r="C137" s="140" t="inlineStr">
        <is>
          <t>Payroll</t>
        </is>
      </c>
      <c r="D137" s="140" t="inlineStr">
        <is>
          <t>Payroll Batch</t>
        </is>
      </c>
      <c r="E137" s="140" t="inlineStr">
        <is>
          <t>REF-100134</t>
        </is>
      </c>
      <c r="F137" s="142" t="n">
        <v>-9093.4</v>
      </c>
      <c r="G137" s="143">
        <f>IFERROR(XLOOKUP(E137,Bank_Statement!$D$4:$D$448,Bank_Statement!$G$4:$G$448,""),"")</f>
        <v/>
      </c>
      <c r="H137" s="142">
        <f>IF(G137="","",F137-G137)</f>
        <v/>
      </c>
      <c r="I137" s="144">
        <f>IFERROR(XLOOKUP(E137,Bank_Statement!$D$4:$D$448,Bank_Statement!$B$4:$B$448,""),"")</f>
        <v/>
      </c>
      <c r="J137" s="145">
        <f>IF(I137="","",ABS(B137-I137))</f>
        <v/>
      </c>
      <c r="K137" s="146">
        <f>IF(G137="","Unmatched ERP",IF(AND(ABS(H137)&lt;=Mapping_Rules!$B$4,ABS(J137)&lt;=Mapping_Rules!$B$5),"Matched","Review"))</f>
        <v/>
      </c>
      <c r="L137" s="146">
        <f>IF(K137="Matched","None",IF(G137="","Missing from bank",IF(ABS(H137)&gt;Mapping_Rules!$B$4,"Amount variance","Date variance")))</f>
        <v/>
      </c>
      <c r="M137" s="146">
        <f>IF(K137="Matched","Low",IF(OR(IFERROR(ABS(H137),0)&gt;Mapping_Rules!$B$7,IFERROR(J137,0)&gt;Mapping_Rules!$B$8),"High","Medium"))</f>
        <v/>
      </c>
      <c r="N137" s="146">
        <f>IF(K137="Matched","No action needed",IF(L137="Missing from bank","Check bank date or posting",IF(L137="Amount variance","Check invoice/payment amount","Check timing difference")))</f>
        <v/>
      </c>
      <c r="O137" s="140" t="inlineStr">
        <is>
          <t>5300 Payroll</t>
        </is>
      </c>
      <c r="P137" s="140" t="inlineStr">
        <is>
          <t>Accounting Technician</t>
        </is>
      </c>
      <c r="Q137" s="140" t="inlineStr">
        <is>
          <t>No</t>
        </is>
      </c>
      <c r="R137" s="147" t="str"/>
      <c r="S137" s="148">
        <f>IF(K137="Matched",0,Mapping_Rules!$B$6-B137)</f>
        <v/>
      </c>
    </row>
    <row r="138">
      <c r="A138" s="115" t="inlineStr">
        <is>
          <t>ERP-00135</t>
        </is>
      </c>
      <c r="B138" s="125" t="n">
        <v>46024</v>
      </c>
      <c r="C138" s="115" t="inlineStr">
        <is>
          <t>GL</t>
        </is>
      </c>
      <c r="D138" s="115" t="inlineStr">
        <is>
          <t>BC Hydro</t>
        </is>
      </c>
      <c r="E138" s="115" t="inlineStr">
        <is>
          <t>REF-100135</t>
        </is>
      </c>
      <c r="F138" s="126" t="n">
        <v>-4944.66</v>
      </c>
      <c r="G138" s="134">
        <f>IFERROR(XLOOKUP(E138,Bank_Statement!$D$4:$D$448,Bank_Statement!$G$4:$G$448,""),"")</f>
        <v/>
      </c>
      <c r="H138" s="126">
        <f>IF(G138="","",F138-G138)</f>
        <v/>
      </c>
      <c r="I138" s="135">
        <f>IFERROR(XLOOKUP(E138,Bank_Statement!$D$4:$D$448,Bank_Statement!$B$4:$B$448,""),"")</f>
        <v/>
      </c>
      <c r="J138" s="136">
        <f>IF(I138="","",ABS(B138-I138))</f>
        <v/>
      </c>
      <c r="K138" s="137">
        <f>IF(G138="","Unmatched ERP",IF(AND(ABS(H138)&lt;=Mapping_Rules!$B$4,ABS(J138)&lt;=Mapping_Rules!$B$5),"Matched","Review"))</f>
        <v/>
      </c>
      <c r="L138" s="137">
        <f>IF(K138="Matched","None",IF(G138="","Missing from bank",IF(ABS(H138)&gt;Mapping_Rules!$B$4,"Amount variance","Date variance")))</f>
        <v/>
      </c>
      <c r="M138" s="137">
        <f>IF(K138="Matched","Low",IF(OR(IFERROR(ABS(H138),0)&gt;Mapping_Rules!$B$7,IFERROR(J138,0)&gt;Mapping_Rules!$B$8),"High","Medium"))</f>
        <v/>
      </c>
      <c r="N138" s="137">
        <f>IF(K138="Matched","No action needed",IF(L138="Missing from bank","Check bank date or posting",IF(L138="Amount variance","Check invoice/payment amount","Check timing difference")))</f>
        <v/>
      </c>
      <c r="O138" s="115" t="inlineStr">
        <is>
          <t>5000 Office Expense</t>
        </is>
      </c>
      <c r="P138" s="115" t="inlineStr">
        <is>
          <t>Accounting Technician</t>
        </is>
      </c>
      <c r="Q138" s="115" t="inlineStr">
        <is>
          <t>No</t>
        </is>
      </c>
      <c r="R138" s="138" t="str"/>
      <c r="S138" s="139">
        <f>IF(K138="Matched",0,Mapping_Rules!$B$6-B138)</f>
        <v/>
      </c>
    </row>
    <row r="139">
      <c r="A139" s="140" t="inlineStr">
        <is>
          <t>ERP-00136</t>
        </is>
      </c>
      <c r="B139" s="141" t="n">
        <v>46030</v>
      </c>
      <c r="C139" s="140" t="inlineStr">
        <is>
          <t>AP</t>
        </is>
      </c>
      <c r="D139" s="140" t="inlineStr">
        <is>
          <t>North Shore Telecom</t>
        </is>
      </c>
      <c r="E139" s="140" t="inlineStr">
        <is>
          <t>REF-100136</t>
        </is>
      </c>
      <c r="F139" s="142" t="n">
        <v>-4906.5</v>
      </c>
      <c r="G139" s="143">
        <f>IFERROR(XLOOKUP(E139,Bank_Statement!$D$4:$D$448,Bank_Statement!$G$4:$G$448,""),"")</f>
        <v/>
      </c>
      <c r="H139" s="142">
        <f>IF(G139="","",F139-G139)</f>
        <v/>
      </c>
      <c r="I139" s="144">
        <f>IFERROR(XLOOKUP(E139,Bank_Statement!$D$4:$D$448,Bank_Statement!$B$4:$B$448,""),"")</f>
        <v/>
      </c>
      <c r="J139" s="145">
        <f>IF(I139="","",ABS(B139-I139))</f>
        <v/>
      </c>
      <c r="K139" s="146">
        <f>IF(G139="","Unmatched ERP",IF(AND(ABS(H139)&lt;=Mapping_Rules!$B$4,ABS(J139)&lt;=Mapping_Rules!$B$5),"Matched","Review"))</f>
        <v/>
      </c>
      <c r="L139" s="146">
        <f>IF(K139="Matched","None",IF(G139="","Missing from bank",IF(ABS(H139)&gt;Mapping_Rules!$B$4,"Amount variance","Date variance")))</f>
        <v/>
      </c>
      <c r="M139" s="146">
        <f>IF(K139="Matched","Low",IF(OR(IFERROR(ABS(H139),0)&gt;Mapping_Rules!$B$7,IFERROR(J139,0)&gt;Mapping_Rules!$B$8),"High","Medium"))</f>
        <v/>
      </c>
      <c r="N139" s="146">
        <f>IF(K139="Matched","No action needed",IF(L139="Missing from bank","Check bank date or posting",IF(L139="Amount variance","Check invoice/payment amount","Check timing difference")))</f>
        <v/>
      </c>
      <c r="O139" s="140" t="inlineStr">
        <is>
          <t>2000 AP</t>
        </is>
      </c>
      <c r="P139" s="140" t="inlineStr">
        <is>
          <t>AP Clerk</t>
        </is>
      </c>
      <c r="Q139" s="140" t="inlineStr">
        <is>
          <t>No</t>
        </is>
      </c>
      <c r="R139" s="147" t="str"/>
      <c r="S139" s="148">
        <f>IF(K139="Matched",0,Mapping_Rules!$B$6-B139)</f>
        <v/>
      </c>
    </row>
    <row r="140">
      <c r="A140" s="115" t="inlineStr">
        <is>
          <t>ERP-00137</t>
        </is>
      </c>
      <c r="B140" s="125" t="n">
        <v>46040</v>
      </c>
      <c r="C140" s="115" t="inlineStr">
        <is>
          <t>AP</t>
        </is>
      </c>
      <c r="D140" s="115" t="inlineStr">
        <is>
          <t>North Shore Telecom</t>
        </is>
      </c>
      <c r="E140" s="115" t="inlineStr">
        <is>
          <t>REF-100137</t>
        </is>
      </c>
      <c r="F140" s="126" t="n">
        <v>-752.75</v>
      </c>
      <c r="G140" s="134">
        <f>IFERROR(XLOOKUP(E140,Bank_Statement!$D$4:$D$448,Bank_Statement!$G$4:$G$448,""),"")</f>
        <v/>
      </c>
      <c r="H140" s="126">
        <f>IF(G140="","",F140-G140)</f>
        <v/>
      </c>
      <c r="I140" s="135">
        <f>IFERROR(XLOOKUP(E140,Bank_Statement!$D$4:$D$448,Bank_Statement!$B$4:$B$448,""),"")</f>
        <v/>
      </c>
      <c r="J140" s="136">
        <f>IF(I140="","",ABS(B140-I140))</f>
        <v/>
      </c>
      <c r="K140" s="137">
        <f>IF(G140="","Unmatched ERP",IF(AND(ABS(H140)&lt;=Mapping_Rules!$B$4,ABS(J140)&lt;=Mapping_Rules!$B$5),"Matched","Review"))</f>
        <v/>
      </c>
      <c r="L140" s="137">
        <f>IF(K140="Matched","None",IF(G140="","Missing from bank",IF(ABS(H140)&gt;Mapping_Rules!$B$4,"Amount variance","Date variance")))</f>
        <v/>
      </c>
      <c r="M140" s="137">
        <f>IF(K140="Matched","Low",IF(OR(IFERROR(ABS(H140),0)&gt;Mapping_Rules!$B$7,IFERROR(J140,0)&gt;Mapping_Rules!$B$8),"High","Medium"))</f>
        <v/>
      </c>
      <c r="N140" s="137">
        <f>IF(K140="Matched","No action needed",IF(L140="Missing from bank","Check bank date or posting",IF(L140="Amount variance","Check invoice/payment amount","Check timing difference")))</f>
        <v/>
      </c>
      <c r="O140" s="115" t="inlineStr">
        <is>
          <t>2000 AP</t>
        </is>
      </c>
      <c r="P140" s="115" t="inlineStr">
        <is>
          <t>AP Clerk</t>
        </is>
      </c>
      <c r="Q140" s="115" t="inlineStr">
        <is>
          <t>No</t>
        </is>
      </c>
      <c r="R140" s="138" t="str"/>
      <c r="S140" s="139">
        <f>IF(K140="Matched",0,Mapping_Rules!$B$6-B140)</f>
        <v/>
      </c>
    </row>
    <row r="141">
      <c r="A141" s="140" t="inlineStr">
        <is>
          <t>ERP-00138</t>
        </is>
      </c>
      <c r="B141" s="141" t="n">
        <v>46023</v>
      </c>
      <c r="C141" s="140" t="inlineStr">
        <is>
          <t>AP</t>
        </is>
      </c>
      <c r="D141" s="140" t="inlineStr">
        <is>
          <t>Pacific Office Supplies</t>
        </is>
      </c>
      <c r="E141" s="140" t="inlineStr">
        <is>
          <t>REF-100138</t>
        </is>
      </c>
      <c r="F141" s="142" t="n">
        <v>-855.76</v>
      </c>
      <c r="G141" s="143">
        <f>IFERROR(XLOOKUP(E141,Bank_Statement!$D$4:$D$448,Bank_Statement!$G$4:$G$448,""),"")</f>
        <v/>
      </c>
      <c r="H141" s="142">
        <f>IF(G141="","",F141-G141)</f>
        <v/>
      </c>
      <c r="I141" s="144">
        <f>IFERROR(XLOOKUP(E141,Bank_Statement!$D$4:$D$448,Bank_Statement!$B$4:$B$448,""),"")</f>
        <v/>
      </c>
      <c r="J141" s="145">
        <f>IF(I141="","",ABS(B141-I141))</f>
        <v/>
      </c>
      <c r="K141" s="146">
        <f>IF(G141="","Unmatched ERP",IF(AND(ABS(H141)&lt;=Mapping_Rules!$B$4,ABS(J141)&lt;=Mapping_Rules!$B$5),"Matched","Review"))</f>
        <v/>
      </c>
      <c r="L141" s="146">
        <f>IF(K141="Matched","None",IF(G141="","Missing from bank",IF(ABS(H141)&gt;Mapping_Rules!$B$4,"Amount variance","Date variance")))</f>
        <v/>
      </c>
      <c r="M141" s="146">
        <f>IF(K141="Matched","Low",IF(OR(IFERROR(ABS(H141),0)&gt;Mapping_Rules!$B$7,IFERROR(J141,0)&gt;Mapping_Rules!$B$8),"High","Medium"))</f>
        <v/>
      </c>
      <c r="N141" s="146">
        <f>IF(K141="Matched","No action needed",IF(L141="Missing from bank","Check bank date or posting",IF(L141="Amount variance","Check invoice/payment amount","Check timing difference")))</f>
        <v/>
      </c>
      <c r="O141" s="140" t="inlineStr">
        <is>
          <t>2000 AP</t>
        </is>
      </c>
      <c r="P141" s="140" t="inlineStr">
        <is>
          <t>AP Clerk</t>
        </is>
      </c>
      <c r="Q141" s="140" t="inlineStr">
        <is>
          <t>No</t>
        </is>
      </c>
      <c r="R141" s="147" t="str"/>
      <c r="S141" s="148">
        <f>IF(K141="Matched",0,Mapping_Rules!$B$6-B141)</f>
        <v/>
      </c>
    </row>
    <row r="142">
      <c r="A142" s="115" t="inlineStr">
        <is>
          <t>ERP-00139</t>
        </is>
      </c>
      <c r="B142" s="125" t="n">
        <v>46047</v>
      </c>
      <c r="C142" s="115" t="inlineStr">
        <is>
          <t>AR</t>
        </is>
      </c>
      <c r="D142" s="115" t="inlineStr">
        <is>
          <t>West Van Fitness</t>
        </is>
      </c>
      <c r="E142" s="115" t="inlineStr">
        <is>
          <t>REF-100139</t>
        </is>
      </c>
      <c r="F142" s="126" t="n">
        <v>1060.6</v>
      </c>
      <c r="G142" s="134">
        <f>IFERROR(XLOOKUP(E142,Bank_Statement!$D$4:$D$448,Bank_Statement!$G$4:$G$448,""),"")</f>
        <v/>
      </c>
      <c r="H142" s="126">
        <f>IF(G142="","",F142-G142)</f>
        <v/>
      </c>
      <c r="I142" s="135">
        <f>IFERROR(XLOOKUP(E142,Bank_Statement!$D$4:$D$448,Bank_Statement!$B$4:$B$448,""),"")</f>
        <v/>
      </c>
      <c r="J142" s="136">
        <f>IF(I142="","",ABS(B142-I142))</f>
        <v/>
      </c>
      <c r="K142" s="137">
        <f>IF(G142="","Unmatched ERP",IF(AND(ABS(H142)&lt;=Mapping_Rules!$B$4,ABS(J142)&lt;=Mapping_Rules!$B$5),"Matched","Review"))</f>
        <v/>
      </c>
      <c r="L142" s="137">
        <f>IF(K142="Matched","None",IF(G142="","Missing from bank",IF(ABS(H142)&gt;Mapping_Rules!$B$4,"Amount variance","Date variance")))</f>
        <v/>
      </c>
      <c r="M142" s="137">
        <f>IF(K142="Matched","Low",IF(OR(IFERROR(ABS(H142),0)&gt;Mapping_Rules!$B$7,IFERROR(J142,0)&gt;Mapping_Rules!$B$8),"High","Medium"))</f>
        <v/>
      </c>
      <c r="N142" s="137">
        <f>IF(K142="Matched","No action needed",IF(L142="Missing from bank","Check bank date or posting",IF(L142="Amount variance","Check invoice/payment amount","Check timing difference")))</f>
        <v/>
      </c>
      <c r="O142" s="115" t="inlineStr">
        <is>
          <t>1200 AR</t>
        </is>
      </c>
      <c r="P142" s="115" t="inlineStr">
        <is>
          <t>AR Clerk</t>
        </is>
      </c>
      <c r="Q142" s="115" t="inlineStr">
        <is>
          <t>No</t>
        </is>
      </c>
      <c r="R142" s="138" t="str"/>
      <c r="S142" s="139">
        <f>IF(K142="Matched",0,Mapping_Rules!$B$6-B142)</f>
        <v/>
      </c>
    </row>
    <row r="143">
      <c r="A143" s="140" t="inlineStr">
        <is>
          <t>ERP-00140</t>
        </is>
      </c>
      <c r="B143" s="141" t="n">
        <v>46024</v>
      </c>
      <c r="C143" s="140" t="inlineStr">
        <is>
          <t>GL</t>
        </is>
      </c>
      <c r="D143" s="140" t="inlineStr">
        <is>
          <t>Granville Medical</t>
        </is>
      </c>
      <c r="E143" s="140" t="inlineStr">
        <is>
          <t>REF-100140</t>
        </is>
      </c>
      <c r="F143" s="142" t="n">
        <v>2631.18</v>
      </c>
      <c r="G143" s="143">
        <f>IFERROR(XLOOKUP(E143,Bank_Statement!$D$4:$D$448,Bank_Statement!$G$4:$G$448,""),"")</f>
        <v/>
      </c>
      <c r="H143" s="142">
        <f>IF(G143="","",F143-G143)</f>
        <v/>
      </c>
      <c r="I143" s="144">
        <f>IFERROR(XLOOKUP(E143,Bank_Statement!$D$4:$D$448,Bank_Statement!$B$4:$B$448,""),"")</f>
        <v/>
      </c>
      <c r="J143" s="145">
        <f>IF(I143="","",ABS(B143-I143))</f>
        <v/>
      </c>
      <c r="K143" s="146">
        <f>IF(G143="","Unmatched ERP",IF(AND(ABS(H143)&lt;=Mapping_Rules!$B$4,ABS(J143)&lt;=Mapping_Rules!$B$5),"Matched","Review"))</f>
        <v/>
      </c>
      <c r="L143" s="146">
        <f>IF(K143="Matched","None",IF(G143="","Missing from bank",IF(ABS(H143)&gt;Mapping_Rules!$B$4,"Amount variance","Date variance")))</f>
        <v/>
      </c>
      <c r="M143" s="146">
        <f>IF(K143="Matched","Low",IF(OR(IFERROR(ABS(H143),0)&gt;Mapping_Rules!$B$7,IFERROR(J143,0)&gt;Mapping_Rules!$B$8),"High","Medium"))</f>
        <v/>
      </c>
      <c r="N143" s="146">
        <f>IF(K143="Matched","No action needed",IF(L143="Missing from bank","Check bank date or posting",IF(L143="Amount variance","Check invoice/payment amount","Check timing difference")))</f>
        <v/>
      </c>
      <c r="O143" s="140" t="inlineStr">
        <is>
          <t>1010 Cash</t>
        </is>
      </c>
      <c r="P143" s="140" t="inlineStr">
        <is>
          <t>Accounting Technician</t>
        </is>
      </c>
      <c r="Q143" s="140" t="inlineStr">
        <is>
          <t>No</t>
        </is>
      </c>
      <c r="R143" s="147" t="str"/>
      <c r="S143" s="148">
        <f>IF(K143="Matched",0,Mapping_Rules!$B$6-B143)</f>
        <v/>
      </c>
    </row>
    <row r="144">
      <c r="A144" s="115" t="inlineStr">
        <is>
          <t>ERP-00141</t>
        </is>
      </c>
      <c r="B144" s="125" t="n">
        <v>46036</v>
      </c>
      <c r="C144" s="115" t="inlineStr">
        <is>
          <t>GL</t>
        </is>
      </c>
      <c r="D144" s="115" t="inlineStr">
        <is>
          <t>Maple Retail Group</t>
        </is>
      </c>
      <c r="E144" s="115" t="inlineStr">
        <is>
          <t>REF-100141</t>
        </is>
      </c>
      <c r="F144" s="126" t="n">
        <v>3576.39</v>
      </c>
      <c r="G144" s="134">
        <f>IFERROR(XLOOKUP(E144,Bank_Statement!$D$4:$D$448,Bank_Statement!$G$4:$G$448,""),"")</f>
        <v/>
      </c>
      <c r="H144" s="126">
        <f>IF(G144="","",F144-G144)</f>
        <v/>
      </c>
      <c r="I144" s="135">
        <f>IFERROR(XLOOKUP(E144,Bank_Statement!$D$4:$D$448,Bank_Statement!$B$4:$B$448,""),"")</f>
        <v/>
      </c>
      <c r="J144" s="136">
        <f>IF(I144="","",ABS(B144-I144))</f>
        <v/>
      </c>
      <c r="K144" s="137">
        <f>IF(G144="","Unmatched ERP",IF(AND(ABS(H144)&lt;=Mapping_Rules!$B$4,ABS(J144)&lt;=Mapping_Rules!$B$5),"Matched","Review"))</f>
        <v/>
      </c>
      <c r="L144" s="137">
        <f>IF(K144="Matched","None",IF(G144="","Missing from bank",IF(ABS(H144)&gt;Mapping_Rules!$B$4,"Amount variance","Date variance")))</f>
        <v/>
      </c>
      <c r="M144" s="137">
        <f>IF(K144="Matched","Low",IF(OR(IFERROR(ABS(H144),0)&gt;Mapping_Rules!$B$7,IFERROR(J144,0)&gt;Mapping_Rules!$B$8),"High","Medium"))</f>
        <v/>
      </c>
      <c r="N144" s="137">
        <f>IF(K144="Matched","No action needed",IF(L144="Missing from bank","Check bank date or posting",IF(L144="Amount variance","Check invoice/payment amount","Check timing difference")))</f>
        <v/>
      </c>
      <c r="O144" s="115" t="inlineStr">
        <is>
          <t>1200 AR</t>
        </is>
      </c>
      <c r="P144" s="115" t="inlineStr">
        <is>
          <t>Accounting Technician</t>
        </is>
      </c>
      <c r="Q144" s="115" t="inlineStr">
        <is>
          <t>No</t>
        </is>
      </c>
      <c r="R144" s="138" t="str"/>
      <c r="S144" s="139">
        <f>IF(K144="Matched",0,Mapping_Rules!$B$6-B144)</f>
        <v/>
      </c>
    </row>
    <row r="145">
      <c r="A145" s="140" t="inlineStr">
        <is>
          <t>ERP-00142</t>
        </is>
      </c>
      <c r="B145" s="141" t="n">
        <v>46043</v>
      </c>
      <c r="C145" s="140" t="inlineStr">
        <is>
          <t>AR</t>
        </is>
      </c>
      <c r="D145" s="140" t="inlineStr">
        <is>
          <t>Harbour Design Co.</t>
        </is>
      </c>
      <c r="E145" s="140" t="inlineStr">
        <is>
          <t>REF-100142</t>
        </is>
      </c>
      <c r="F145" s="142" t="n">
        <v>2865.3</v>
      </c>
      <c r="G145" s="143">
        <f>IFERROR(XLOOKUP(E145,Bank_Statement!$D$4:$D$448,Bank_Statement!$G$4:$G$448,""),"")</f>
        <v/>
      </c>
      <c r="H145" s="142">
        <f>IF(G145="","",F145-G145)</f>
        <v/>
      </c>
      <c r="I145" s="144">
        <f>IFERROR(XLOOKUP(E145,Bank_Statement!$D$4:$D$448,Bank_Statement!$B$4:$B$448,""),"")</f>
        <v/>
      </c>
      <c r="J145" s="145">
        <f>IF(I145="","",ABS(B145-I145))</f>
        <v/>
      </c>
      <c r="K145" s="146">
        <f>IF(G145="","Unmatched ERP",IF(AND(ABS(H145)&lt;=Mapping_Rules!$B$4,ABS(J145)&lt;=Mapping_Rules!$B$5),"Matched","Review"))</f>
        <v/>
      </c>
      <c r="L145" s="146">
        <f>IF(K145="Matched","None",IF(G145="","Missing from bank",IF(ABS(H145)&gt;Mapping_Rules!$B$4,"Amount variance","Date variance")))</f>
        <v/>
      </c>
      <c r="M145" s="146">
        <f>IF(K145="Matched","Low",IF(OR(IFERROR(ABS(H145),0)&gt;Mapping_Rules!$B$7,IFERROR(J145,0)&gt;Mapping_Rules!$B$8),"High","Medium"))</f>
        <v/>
      </c>
      <c r="N145" s="146">
        <f>IF(K145="Matched","No action needed",IF(L145="Missing from bank","Check bank date or posting",IF(L145="Amount variance","Check invoice/payment amount","Check timing difference")))</f>
        <v/>
      </c>
      <c r="O145" s="140" t="inlineStr">
        <is>
          <t>1200 AR</t>
        </is>
      </c>
      <c r="P145" s="140" t="inlineStr">
        <is>
          <t>AR Clerk</t>
        </is>
      </c>
      <c r="Q145" s="140" t="inlineStr">
        <is>
          <t>No</t>
        </is>
      </c>
      <c r="R145" s="147" t="str"/>
      <c r="S145" s="148">
        <f>IF(K145="Matched",0,Mapping_Rules!$B$6-B145)</f>
        <v/>
      </c>
    </row>
    <row r="146">
      <c r="A146" s="115" t="inlineStr">
        <is>
          <t>ERP-00143</t>
        </is>
      </c>
      <c r="B146" s="125" t="n">
        <v>46045</v>
      </c>
      <c r="C146" s="115" t="inlineStr">
        <is>
          <t>AP</t>
        </is>
      </c>
      <c r="D146" s="115" t="inlineStr">
        <is>
          <t>Staples Canada</t>
        </is>
      </c>
      <c r="E146" s="115" t="inlineStr">
        <is>
          <t>REF-100143</t>
        </is>
      </c>
      <c r="F146" s="126" t="n">
        <v>-4063.61</v>
      </c>
      <c r="G146" s="134">
        <f>IFERROR(XLOOKUP(E146,Bank_Statement!$D$4:$D$448,Bank_Statement!$G$4:$G$448,""),"")</f>
        <v/>
      </c>
      <c r="H146" s="126">
        <f>IF(G146="","",F146-G146)</f>
        <v/>
      </c>
      <c r="I146" s="135">
        <f>IFERROR(XLOOKUP(E146,Bank_Statement!$D$4:$D$448,Bank_Statement!$B$4:$B$448,""),"")</f>
        <v/>
      </c>
      <c r="J146" s="136">
        <f>IF(I146="","",ABS(B146-I146))</f>
        <v/>
      </c>
      <c r="K146" s="137">
        <f>IF(G146="","Unmatched ERP",IF(AND(ABS(H146)&lt;=Mapping_Rules!$B$4,ABS(J146)&lt;=Mapping_Rules!$B$5),"Matched","Review"))</f>
        <v/>
      </c>
      <c r="L146" s="137">
        <f>IF(K146="Matched","None",IF(G146="","Missing from bank",IF(ABS(H146)&gt;Mapping_Rules!$B$4,"Amount variance","Date variance")))</f>
        <v/>
      </c>
      <c r="M146" s="137">
        <f>IF(K146="Matched","Low",IF(OR(IFERROR(ABS(H146),0)&gt;Mapping_Rules!$B$7,IFERROR(J146,0)&gt;Mapping_Rules!$B$8),"High","Medium"))</f>
        <v/>
      </c>
      <c r="N146" s="137">
        <f>IF(K146="Matched","No action needed",IF(L146="Missing from bank","Check bank date or posting",IF(L146="Amount variance","Check invoice/payment amount","Check timing difference")))</f>
        <v/>
      </c>
      <c r="O146" s="115" t="inlineStr">
        <is>
          <t>2000 AP</t>
        </is>
      </c>
      <c r="P146" s="115" t="inlineStr">
        <is>
          <t>AP Clerk</t>
        </is>
      </c>
      <c r="Q146" s="115" t="inlineStr">
        <is>
          <t>No</t>
        </is>
      </c>
      <c r="R146" s="138" t="str"/>
      <c r="S146" s="139">
        <f>IF(K146="Matched",0,Mapping_Rules!$B$6-B146)</f>
        <v/>
      </c>
    </row>
    <row r="147">
      <c r="A147" s="140" t="inlineStr">
        <is>
          <t>ERP-00144</t>
        </is>
      </c>
      <c r="B147" s="141" t="n">
        <v>46049</v>
      </c>
      <c r="C147" s="140" t="inlineStr">
        <is>
          <t>AR</t>
        </is>
      </c>
      <c r="D147" s="140" t="inlineStr">
        <is>
          <t>Granville Medical</t>
        </is>
      </c>
      <c r="E147" s="140" t="inlineStr">
        <is>
          <t>REF-100144</t>
        </is>
      </c>
      <c r="F147" s="142" t="n">
        <v>6242.26</v>
      </c>
      <c r="G147" s="143">
        <f>IFERROR(XLOOKUP(E147,Bank_Statement!$D$4:$D$448,Bank_Statement!$G$4:$G$448,""),"")</f>
        <v/>
      </c>
      <c r="H147" s="142">
        <f>IF(G147="","",F147-G147)</f>
        <v/>
      </c>
      <c r="I147" s="144">
        <f>IFERROR(XLOOKUP(E147,Bank_Statement!$D$4:$D$448,Bank_Statement!$B$4:$B$448,""),"")</f>
        <v/>
      </c>
      <c r="J147" s="145">
        <f>IF(I147="","",ABS(B147-I147))</f>
        <v/>
      </c>
      <c r="K147" s="146">
        <f>IF(G147="","Unmatched ERP",IF(AND(ABS(H147)&lt;=Mapping_Rules!$B$4,ABS(J147)&lt;=Mapping_Rules!$B$5),"Matched","Review"))</f>
        <v/>
      </c>
      <c r="L147" s="146">
        <f>IF(K147="Matched","None",IF(G147="","Missing from bank",IF(ABS(H147)&gt;Mapping_Rules!$B$4,"Amount variance","Date variance")))</f>
        <v/>
      </c>
      <c r="M147" s="146">
        <f>IF(K147="Matched","Low",IF(OR(IFERROR(ABS(H147),0)&gt;Mapping_Rules!$B$7,IFERROR(J147,0)&gt;Mapping_Rules!$B$8),"High","Medium"))</f>
        <v/>
      </c>
      <c r="N147" s="146">
        <f>IF(K147="Matched","No action needed",IF(L147="Missing from bank","Check bank date or posting",IF(L147="Amount variance","Check invoice/payment amount","Check timing difference")))</f>
        <v/>
      </c>
      <c r="O147" s="140" t="inlineStr">
        <is>
          <t>1200 AR</t>
        </is>
      </c>
      <c r="P147" s="140" t="inlineStr">
        <is>
          <t>AR Clerk</t>
        </is>
      </c>
      <c r="Q147" s="140" t="inlineStr">
        <is>
          <t>No</t>
        </is>
      </c>
      <c r="R147" s="147" t="str"/>
      <c r="S147" s="148">
        <f>IF(K147="Matched",0,Mapping_Rules!$B$6-B147)</f>
        <v/>
      </c>
    </row>
    <row r="148">
      <c r="A148" s="115" t="inlineStr">
        <is>
          <t>ERP-00145</t>
        </is>
      </c>
      <c r="B148" s="125" t="n">
        <v>46027</v>
      </c>
      <c r="C148" s="115" t="inlineStr">
        <is>
          <t>GL</t>
        </is>
      </c>
      <c r="D148" s="115" t="inlineStr">
        <is>
          <t>Maple Retail Group</t>
        </is>
      </c>
      <c r="E148" s="115" t="inlineStr">
        <is>
          <t>REF-100145</t>
        </is>
      </c>
      <c r="F148" s="126" t="n">
        <v>-382.31</v>
      </c>
      <c r="G148" s="134">
        <f>IFERROR(XLOOKUP(E148,Bank_Statement!$D$4:$D$448,Bank_Statement!$G$4:$G$448,""),"")</f>
        <v/>
      </c>
      <c r="H148" s="126">
        <f>IF(G148="","",F148-G148)</f>
        <v/>
      </c>
      <c r="I148" s="135">
        <f>IFERROR(XLOOKUP(E148,Bank_Statement!$D$4:$D$448,Bank_Statement!$B$4:$B$448,""),"")</f>
        <v/>
      </c>
      <c r="J148" s="136">
        <f>IF(I148="","",ABS(B148-I148))</f>
        <v/>
      </c>
      <c r="K148" s="137">
        <f>IF(G148="","Unmatched ERP",IF(AND(ABS(H148)&lt;=Mapping_Rules!$B$4,ABS(J148)&lt;=Mapping_Rules!$B$5),"Matched","Review"))</f>
        <v/>
      </c>
      <c r="L148" s="137">
        <f>IF(K148="Matched","None",IF(G148="","Missing from bank",IF(ABS(H148)&gt;Mapping_Rules!$B$4,"Amount variance","Date variance")))</f>
        <v/>
      </c>
      <c r="M148" s="137">
        <f>IF(K148="Matched","Low",IF(OR(IFERROR(ABS(H148),0)&gt;Mapping_Rules!$B$7,IFERROR(J148,0)&gt;Mapping_Rules!$B$8),"High","Medium"))</f>
        <v/>
      </c>
      <c r="N148" s="137">
        <f>IF(K148="Matched","No action needed",IF(L148="Missing from bank","Check bank date or posting",IF(L148="Amount variance","Check invoice/payment amount","Check timing difference")))</f>
        <v/>
      </c>
      <c r="O148" s="115" t="inlineStr">
        <is>
          <t>1200 AR</t>
        </is>
      </c>
      <c r="P148" s="115" t="inlineStr">
        <is>
          <t>Accounting Technician</t>
        </is>
      </c>
      <c r="Q148" s="115" t="inlineStr">
        <is>
          <t>No</t>
        </is>
      </c>
      <c r="R148" s="138" t="str"/>
      <c r="S148" s="139">
        <f>IF(K148="Matched",0,Mapping_Rules!$B$6-B148)</f>
        <v/>
      </c>
    </row>
    <row r="149">
      <c r="A149" s="140" t="inlineStr">
        <is>
          <t>ERP-00146</t>
        </is>
      </c>
      <c r="B149" s="141" t="n">
        <v>46040</v>
      </c>
      <c r="C149" s="140" t="inlineStr">
        <is>
          <t>AP</t>
        </is>
      </c>
      <c r="D149" s="140" t="inlineStr">
        <is>
          <t>Amazon Business</t>
        </is>
      </c>
      <c r="E149" s="140" t="inlineStr">
        <is>
          <t>REF-100146</t>
        </is>
      </c>
      <c r="F149" s="142" t="n">
        <v>-3517.5</v>
      </c>
      <c r="G149" s="143">
        <f>IFERROR(XLOOKUP(E149,Bank_Statement!$D$4:$D$448,Bank_Statement!$G$4:$G$448,""),"")</f>
        <v/>
      </c>
      <c r="H149" s="142">
        <f>IF(G149="","",F149-G149)</f>
        <v/>
      </c>
      <c r="I149" s="144">
        <f>IFERROR(XLOOKUP(E149,Bank_Statement!$D$4:$D$448,Bank_Statement!$B$4:$B$448,""),"")</f>
        <v/>
      </c>
      <c r="J149" s="145">
        <f>IF(I149="","",ABS(B149-I149))</f>
        <v/>
      </c>
      <c r="K149" s="146">
        <f>IF(G149="","Unmatched ERP",IF(AND(ABS(H149)&lt;=Mapping_Rules!$B$4,ABS(J149)&lt;=Mapping_Rules!$B$5),"Matched","Review"))</f>
        <v/>
      </c>
      <c r="L149" s="146">
        <f>IF(K149="Matched","None",IF(G149="","Missing from bank",IF(ABS(H149)&gt;Mapping_Rules!$B$4,"Amount variance","Date variance")))</f>
        <v/>
      </c>
      <c r="M149" s="146">
        <f>IF(K149="Matched","Low",IF(OR(IFERROR(ABS(H149),0)&gt;Mapping_Rules!$B$7,IFERROR(J149,0)&gt;Mapping_Rules!$B$8),"High","Medium"))</f>
        <v/>
      </c>
      <c r="N149" s="146">
        <f>IF(K149="Matched","No action needed",IF(L149="Missing from bank","Check bank date or posting",IF(L149="Amount variance","Check invoice/payment amount","Check timing difference")))</f>
        <v/>
      </c>
      <c r="O149" s="140" t="inlineStr">
        <is>
          <t>2000 AP</t>
        </is>
      </c>
      <c r="P149" s="140" t="inlineStr">
        <is>
          <t>AP Clerk</t>
        </is>
      </c>
      <c r="Q149" s="140" t="inlineStr">
        <is>
          <t>No</t>
        </is>
      </c>
      <c r="R149" s="147" t="str"/>
      <c r="S149" s="148">
        <f>IF(K149="Matched",0,Mapping_Rules!$B$6-B149)</f>
        <v/>
      </c>
    </row>
    <row r="150">
      <c r="A150" s="115" t="inlineStr">
        <is>
          <t>ERP-00147</t>
        </is>
      </c>
      <c r="B150" s="125" t="n">
        <v>46046</v>
      </c>
      <c r="C150" s="115" t="inlineStr">
        <is>
          <t>AP</t>
        </is>
      </c>
      <c r="D150" s="115" t="inlineStr">
        <is>
          <t>Metro Cleaning Ltd.</t>
        </is>
      </c>
      <c r="E150" s="115" t="inlineStr">
        <is>
          <t>REF-100147</t>
        </is>
      </c>
      <c r="F150" s="126" t="n">
        <v>-3754.51</v>
      </c>
      <c r="G150" s="134">
        <f>IFERROR(XLOOKUP(E150,Bank_Statement!$D$4:$D$448,Bank_Statement!$G$4:$G$448,""),"")</f>
        <v/>
      </c>
      <c r="H150" s="126">
        <f>IF(G150="","",F150-G150)</f>
        <v/>
      </c>
      <c r="I150" s="135">
        <f>IFERROR(XLOOKUP(E150,Bank_Statement!$D$4:$D$448,Bank_Statement!$B$4:$B$448,""),"")</f>
        <v/>
      </c>
      <c r="J150" s="136">
        <f>IF(I150="","",ABS(B150-I150))</f>
        <v/>
      </c>
      <c r="K150" s="137">
        <f>IF(G150="","Unmatched ERP",IF(AND(ABS(H150)&lt;=Mapping_Rules!$B$4,ABS(J150)&lt;=Mapping_Rules!$B$5),"Matched","Review"))</f>
        <v/>
      </c>
      <c r="L150" s="137">
        <f>IF(K150="Matched","None",IF(G150="","Missing from bank",IF(ABS(H150)&gt;Mapping_Rules!$B$4,"Amount variance","Date variance")))</f>
        <v/>
      </c>
      <c r="M150" s="137">
        <f>IF(K150="Matched","Low",IF(OR(IFERROR(ABS(H150),0)&gt;Mapping_Rules!$B$7,IFERROR(J150,0)&gt;Mapping_Rules!$B$8),"High","Medium"))</f>
        <v/>
      </c>
      <c r="N150" s="137">
        <f>IF(K150="Matched","No action needed",IF(L150="Missing from bank","Check bank date or posting",IF(L150="Amount variance","Check invoice/payment amount","Check timing difference")))</f>
        <v/>
      </c>
      <c r="O150" s="115" t="inlineStr">
        <is>
          <t>2000 AP</t>
        </is>
      </c>
      <c r="P150" s="115" t="inlineStr">
        <is>
          <t>AP Clerk</t>
        </is>
      </c>
      <c r="Q150" s="115" t="inlineStr">
        <is>
          <t>No</t>
        </is>
      </c>
      <c r="R150" s="138" t="str"/>
      <c r="S150" s="139">
        <f>IF(K150="Matched",0,Mapping_Rules!$B$6-B150)</f>
        <v/>
      </c>
    </row>
    <row r="151">
      <c r="A151" s="140" t="inlineStr">
        <is>
          <t>ERP-00148</t>
        </is>
      </c>
      <c r="B151" s="141" t="n">
        <v>46038</v>
      </c>
      <c r="C151" s="140" t="inlineStr">
        <is>
          <t>AP</t>
        </is>
      </c>
      <c r="D151" s="140" t="inlineStr">
        <is>
          <t>Pacific Office Supplies</t>
        </is>
      </c>
      <c r="E151" s="140" t="inlineStr">
        <is>
          <t>REF-100148</t>
        </is>
      </c>
      <c r="F151" s="142" t="n">
        <v>-2222.7</v>
      </c>
      <c r="G151" s="143">
        <f>IFERROR(XLOOKUP(E151,Bank_Statement!$D$4:$D$448,Bank_Statement!$G$4:$G$448,""),"")</f>
        <v/>
      </c>
      <c r="H151" s="142">
        <f>IF(G151="","",F151-G151)</f>
        <v/>
      </c>
      <c r="I151" s="144">
        <f>IFERROR(XLOOKUP(E151,Bank_Statement!$D$4:$D$448,Bank_Statement!$B$4:$B$448,""),"")</f>
        <v/>
      </c>
      <c r="J151" s="145">
        <f>IF(I151="","",ABS(B151-I151))</f>
        <v/>
      </c>
      <c r="K151" s="146">
        <f>IF(G151="","Unmatched ERP",IF(AND(ABS(H151)&lt;=Mapping_Rules!$B$4,ABS(J151)&lt;=Mapping_Rules!$B$5),"Matched","Review"))</f>
        <v/>
      </c>
      <c r="L151" s="146">
        <f>IF(K151="Matched","None",IF(G151="","Missing from bank",IF(ABS(H151)&gt;Mapping_Rules!$B$4,"Amount variance","Date variance")))</f>
        <v/>
      </c>
      <c r="M151" s="146">
        <f>IF(K151="Matched","Low",IF(OR(IFERROR(ABS(H151),0)&gt;Mapping_Rules!$B$7,IFERROR(J151,0)&gt;Mapping_Rules!$B$8),"High","Medium"))</f>
        <v/>
      </c>
      <c r="N151" s="146">
        <f>IF(K151="Matched","No action needed",IF(L151="Missing from bank","Check bank date or posting",IF(L151="Amount variance","Check invoice/payment amount","Check timing difference")))</f>
        <v/>
      </c>
      <c r="O151" s="140" t="inlineStr">
        <is>
          <t>2000 AP</t>
        </is>
      </c>
      <c r="P151" s="140" t="inlineStr">
        <is>
          <t>AP Clerk</t>
        </is>
      </c>
      <c r="Q151" s="140" t="inlineStr">
        <is>
          <t>No</t>
        </is>
      </c>
      <c r="R151" s="147" t="str"/>
      <c r="S151" s="148">
        <f>IF(K151="Matched",0,Mapping_Rules!$B$6-B151)</f>
        <v/>
      </c>
    </row>
    <row r="152">
      <c r="A152" s="115" t="inlineStr">
        <is>
          <t>ERP-00149</t>
        </is>
      </c>
      <c r="B152" s="125" t="n">
        <v>46048</v>
      </c>
      <c r="C152" s="115" t="inlineStr">
        <is>
          <t>AR</t>
        </is>
      </c>
      <c r="D152" s="115" t="inlineStr">
        <is>
          <t>West Van Fitness</t>
        </is>
      </c>
      <c r="E152" s="115" t="inlineStr">
        <is>
          <t>REF-100149</t>
        </is>
      </c>
      <c r="F152" s="126" t="n">
        <v>8287.459999999999</v>
      </c>
      <c r="G152" s="134">
        <f>IFERROR(XLOOKUP(E152,Bank_Statement!$D$4:$D$448,Bank_Statement!$G$4:$G$448,""),"")</f>
        <v/>
      </c>
      <c r="H152" s="126">
        <f>IF(G152="","",F152-G152)</f>
        <v/>
      </c>
      <c r="I152" s="135">
        <f>IFERROR(XLOOKUP(E152,Bank_Statement!$D$4:$D$448,Bank_Statement!$B$4:$B$448,""),"")</f>
        <v/>
      </c>
      <c r="J152" s="136">
        <f>IF(I152="","",ABS(B152-I152))</f>
        <v/>
      </c>
      <c r="K152" s="137">
        <f>IF(G152="","Unmatched ERP",IF(AND(ABS(H152)&lt;=Mapping_Rules!$B$4,ABS(J152)&lt;=Mapping_Rules!$B$5),"Matched","Review"))</f>
        <v/>
      </c>
      <c r="L152" s="137">
        <f>IF(K152="Matched","None",IF(G152="","Missing from bank",IF(ABS(H152)&gt;Mapping_Rules!$B$4,"Amount variance","Date variance")))</f>
        <v/>
      </c>
      <c r="M152" s="137">
        <f>IF(K152="Matched","Low",IF(OR(IFERROR(ABS(H152),0)&gt;Mapping_Rules!$B$7,IFERROR(J152,0)&gt;Mapping_Rules!$B$8),"High","Medium"))</f>
        <v/>
      </c>
      <c r="N152" s="137">
        <f>IF(K152="Matched","No action needed",IF(L152="Missing from bank","Check bank date or posting",IF(L152="Amount variance","Check invoice/payment amount","Check timing difference")))</f>
        <v/>
      </c>
      <c r="O152" s="115" t="inlineStr">
        <is>
          <t>1200 AR</t>
        </is>
      </c>
      <c r="P152" s="115" t="inlineStr">
        <is>
          <t>AR Clerk</t>
        </is>
      </c>
      <c r="Q152" s="115" t="inlineStr">
        <is>
          <t>No</t>
        </is>
      </c>
      <c r="R152" s="138" t="str"/>
      <c r="S152" s="139">
        <f>IF(K152="Matched",0,Mapping_Rules!$B$6-B152)</f>
        <v/>
      </c>
    </row>
    <row r="153">
      <c r="A153" s="140" t="inlineStr">
        <is>
          <t>ERP-00150</t>
        </is>
      </c>
      <c r="B153" s="141" t="n">
        <v>46044</v>
      </c>
      <c r="C153" s="140" t="inlineStr">
        <is>
          <t>Payroll</t>
        </is>
      </c>
      <c r="D153" s="140" t="inlineStr">
        <is>
          <t>Payroll Batch</t>
        </is>
      </c>
      <c r="E153" s="140" t="inlineStr">
        <is>
          <t>REF-100150</t>
        </is>
      </c>
      <c r="F153" s="142" t="n">
        <v>-6377.99</v>
      </c>
      <c r="G153" s="143">
        <f>IFERROR(XLOOKUP(E153,Bank_Statement!$D$4:$D$448,Bank_Statement!$G$4:$G$448,""),"")</f>
        <v/>
      </c>
      <c r="H153" s="142">
        <f>IF(G153="","",F153-G153)</f>
        <v/>
      </c>
      <c r="I153" s="144">
        <f>IFERROR(XLOOKUP(E153,Bank_Statement!$D$4:$D$448,Bank_Statement!$B$4:$B$448,""),"")</f>
        <v/>
      </c>
      <c r="J153" s="145">
        <f>IF(I153="","",ABS(B153-I153))</f>
        <v/>
      </c>
      <c r="K153" s="146">
        <f>IF(G153="","Unmatched ERP",IF(AND(ABS(H153)&lt;=Mapping_Rules!$B$4,ABS(J153)&lt;=Mapping_Rules!$B$5),"Matched","Review"))</f>
        <v/>
      </c>
      <c r="L153" s="146">
        <f>IF(K153="Matched","None",IF(G153="","Missing from bank",IF(ABS(H153)&gt;Mapping_Rules!$B$4,"Amount variance","Date variance")))</f>
        <v/>
      </c>
      <c r="M153" s="146">
        <f>IF(K153="Matched","Low",IF(OR(IFERROR(ABS(H153),0)&gt;Mapping_Rules!$B$7,IFERROR(J153,0)&gt;Mapping_Rules!$B$8),"High","Medium"))</f>
        <v/>
      </c>
      <c r="N153" s="146">
        <f>IF(K153="Matched","No action needed",IF(L153="Missing from bank","Check bank date or posting",IF(L153="Amount variance","Check invoice/payment amount","Check timing difference")))</f>
        <v/>
      </c>
      <c r="O153" s="140" t="inlineStr">
        <is>
          <t>5300 Payroll</t>
        </is>
      </c>
      <c r="P153" s="140" t="inlineStr">
        <is>
          <t>Accounting Technician</t>
        </is>
      </c>
      <c r="Q153" s="140" t="inlineStr">
        <is>
          <t>No</t>
        </is>
      </c>
      <c r="R153" s="147" t="str"/>
      <c r="S153" s="148">
        <f>IF(K153="Matched",0,Mapping_Rules!$B$6-B153)</f>
        <v/>
      </c>
    </row>
    <row r="154">
      <c r="A154" s="115" t="inlineStr">
        <is>
          <t>ERP-00151</t>
        </is>
      </c>
      <c r="B154" s="125" t="n">
        <v>46034</v>
      </c>
      <c r="C154" s="115" t="inlineStr">
        <is>
          <t>AP</t>
        </is>
      </c>
      <c r="D154" s="115" t="inlineStr">
        <is>
          <t>Vancouver Courier</t>
        </is>
      </c>
      <c r="E154" s="115" t="inlineStr">
        <is>
          <t>REF-100151</t>
        </is>
      </c>
      <c r="F154" s="126" t="n">
        <v>-956.7</v>
      </c>
      <c r="G154" s="134">
        <f>IFERROR(XLOOKUP(E154,Bank_Statement!$D$4:$D$448,Bank_Statement!$G$4:$G$448,""),"")</f>
        <v/>
      </c>
      <c r="H154" s="126">
        <f>IF(G154="","",F154-G154)</f>
        <v/>
      </c>
      <c r="I154" s="135">
        <f>IFERROR(XLOOKUP(E154,Bank_Statement!$D$4:$D$448,Bank_Statement!$B$4:$B$448,""),"")</f>
        <v/>
      </c>
      <c r="J154" s="136">
        <f>IF(I154="","",ABS(B154-I154))</f>
        <v/>
      </c>
      <c r="K154" s="137">
        <f>IF(G154="","Unmatched ERP",IF(AND(ABS(H154)&lt;=Mapping_Rules!$B$4,ABS(J154)&lt;=Mapping_Rules!$B$5),"Matched","Review"))</f>
        <v/>
      </c>
      <c r="L154" s="137">
        <f>IF(K154="Matched","None",IF(G154="","Missing from bank",IF(ABS(H154)&gt;Mapping_Rules!$B$4,"Amount variance","Date variance")))</f>
        <v/>
      </c>
      <c r="M154" s="137">
        <f>IF(K154="Matched","Low",IF(OR(IFERROR(ABS(H154),0)&gt;Mapping_Rules!$B$7,IFERROR(J154,0)&gt;Mapping_Rules!$B$8),"High","Medium"))</f>
        <v/>
      </c>
      <c r="N154" s="137">
        <f>IF(K154="Matched","No action needed",IF(L154="Missing from bank","Check bank date or posting",IF(L154="Amount variance","Check invoice/payment amount","Check timing difference")))</f>
        <v/>
      </c>
      <c r="O154" s="115" t="inlineStr">
        <is>
          <t>2000 AP</t>
        </is>
      </c>
      <c r="P154" s="115" t="inlineStr">
        <is>
          <t>AP Clerk</t>
        </is>
      </c>
      <c r="Q154" s="115" t="inlineStr">
        <is>
          <t>No</t>
        </is>
      </c>
      <c r="R154" s="138" t="str"/>
      <c r="S154" s="139">
        <f>IF(K154="Matched",0,Mapping_Rules!$B$6-B154)</f>
        <v/>
      </c>
    </row>
    <row r="155">
      <c r="A155" s="140" t="inlineStr">
        <is>
          <t>ERP-00152</t>
        </is>
      </c>
      <c r="B155" s="141" t="n">
        <v>46039</v>
      </c>
      <c r="C155" s="140" t="inlineStr">
        <is>
          <t>AP</t>
        </is>
      </c>
      <c r="D155" s="140" t="inlineStr">
        <is>
          <t>BC Hydro</t>
        </is>
      </c>
      <c r="E155" s="140" t="inlineStr">
        <is>
          <t>REF-100152</t>
        </is>
      </c>
      <c r="F155" s="142" t="n">
        <v>-2856.31</v>
      </c>
      <c r="G155" s="143">
        <f>IFERROR(XLOOKUP(E155,Bank_Statement!$D$4:$D$448,Bank_Statement!$G$4:$G$448,""),"")</f>
        <v/>
      </c>
      <c r="H155" s="142">
        <f>IF(G155="","",F155-G155)</f>
        <v/>
      </c>
      <c r="I155" s="144">
        <f>IFERROR(XLOOKUP(E155,Bank_Statement!$D$4:$D$448,Bank_Statement!$B$4:$B$448,""),"")</f>
        <v/>
      </c>
      <c r="J155" s="145">
        <f>IF(I155="","",ABS(B155-I155))</f>
        <v/>
      </c>
      <c r="K155" s="146">
        <f>IF(G155="","Unmatched ERP",IF(AND(ABS(H155)&lt;=Mapping_Rules!$B$4,ABS(J155)&lt;=Mapping_Rules!$B$5),"Matched","Review"))</f>
        <v/>
      </c>
      <c r="L155" s="146">
        <f>IF(K155="Matched","None",IF(G155="","Missing from bank",IF(ABS(H155)&gt;Mapping_Rules!$B$4,"Amount variance","Date variance")))</f>
        <v/>
      </c>
      <c r="M155" s="146">
        <f>IF(K155="Matched","Low",IF(OR(IFERROR(ABS(H155),0)&gt;Mapping_Rules!$B$7,IFERROR(J155,0)&gt;Mapping_Rules!$B$8),"High","Medium"))</f>
        <v/>
      </c>
      <c r="N155" s="146">
        <f>IF(K155="Matched","No action needed",IF(L155="Missing from bank","Check bank date or posting",IF(L155="Amount variance","Check invoice/payment amount","Check timing difference")))</f>
        <v/>
      </c>
      <c r="O155" s="140" t="inlineStr">
        <is>
          <t>2000 AP</t>
        </is>
      </c>
      <c r="P155" s="140" t="inlineStr">
        <is>
          <t>AP Clerk</t>
        </is>
      </c>
      <c r="Q155" s="140" t="inlineStr">
        <is>
          <t>No</t>
        </is>
      </c>
      <c r="R155" s="147" t="str"/>
      <c r="S155" s="148">
        <f>IF(K155="Matched",0,Mapping_Rules!$B$6-B155)</f>
        <v/>
      </c>
    </row>
    <row r="156">
      <c r="A156" s="115" t="inlineStr">
        <is>
          <t>ERP-00153</t>
        </is>
      </c>
      <c r="B156" s="125" t="n">
        <v>46041</v>
      </c>
      <c r="C156" s="115" t="inlineStr">
        <is>
          <t>AR</t>
        </is>
      </c>
      <c r="D156" s="115" t="inlineStr">
        <is>
          <t>Maple Retail Group</t>
        </is>
      </c>
      <c r="E156" s="115" t="inlineStr">
        <is>
          <t>REF-100153</t>
        </is>
      </c>
      <c r="F156" s="126" t="n">
        <v>1449.09</v>
      </c>
      <c r="G156" s="134">
        <f>IFERROR(XLOOKUP(E156,Bank_Statement!$D$4:$D$448,Bank_Statement!$G$4:$G$448,""),"")</f>
        <v/>
      </c>
      <c r="H156" s="126">
        <f>IF(G156="","",F156-G156)</f>
        <v/>
      </c>
      <c r="I156" s="135">
        <f>IFERROR(XLOOKUP(E156,Bank_Statement!$D$4:$D$448,Bank_Statement!$B$4:$B$448,""),"")</f>
        <v/>
      </c>
      <c r="J156" s="136">
        <f>IF(I156="","",ABS(B156-I156))</f>
        <v/>
      </c>
      <c r="K156" s="137">
        <f>IF(G156="","Unmatched ERP",IF(AND(ABS(H156)&lt;=Mapping_Rules!$B$4,ABS(J156)&lt;=Mapping_Rules!$B$5),"Matched","Review"))</f>
        <v/>
      </c>
      <c r="L156" s="137">
        <f>IF(K156="Matched","None",IF(G156="","Missing from bank",IF(ABS(H156)&gt;Mapping_Rules!$B$4,"Amount variance","Date variance")))</f>
        <v/>
      </c>
      <c r="M156" s="137">
        <f>IF(K156="Matched","Low",IF(OR(IFERROR(ABS(H156),0)&gt;Mapping_Rules!$B$7,IFERROR(J156,0)&gt;Mapping_Rules!$B$8),"High","Medium"))</f>
        <v/>
      </c>
      <c r="N156" s="137">
        <f>IF(K156="Matched","No action needed",IF(L156="Missing from bank","Check bank date or posting",IF(L156="Amount variance","Check invoice/payment amount","Check timing difference")))</f>
        <v/>
      </c>
      <c r="O156" s="115" t="inlineStr">
        <is>
          <t>1200 AR</t>
        </is>
      </c>
      <c r="P156" s="115" t="inlineStr">
        <is>
          <t>AR Clerk</t>
        </is>
      </c>
      <c r="Q156" s="115" t="inlineStr">
        <is>
          <t>No</t>
        </is>
      </c>
      <c r="R156" s="138" t="str"/>
      <c r="S156" s="139">
        <f>IF(K156="Matched",0,Mapping_Rules!$B$6-B156)</f>
        <v/>
      </c>
    </row>
    <row r="157">
      <c r="A157" s="140" t="inlineStr">
        <is>
          <t>ERP-00154</t>
        </is>
      </c>
      <c r="B157" s="141" t="n">
        <v>46036</v>
      </c>
      <c r="C157" s="140" t="inlineStr">
        <is>
          <t>AR</t>
        </is>
      </c>
      <c r="D157" s="140" t="inlineStr">
        <is>
          <t>Granville Medical</t>
        </is>
      </c>
      <c r="E157" s="140" t="inlineStr">
        <is>
          <t>REF-100154</t>
        </is>
      </c>
      <c r="F157" s="142" t="n">
        <v>3608.43</v>
      </c>
      <c r="G157" s="143">
        <f>IFERROR(XLOOKUP(E157,Bank_Statement!$D$4:$D$448,Bank_Statement!$G$4:$G$448,""),"")</f>
        <v/>
      </c>
      <c r="H157" s="142">
        <f>IF(G157="","",F157-G157)</f>
        <v/>
      </c>
      <c r="I157" s="144">
        <f>IFERROR(XLOOKUP(E157,Bank_Statement!$D$4:$D$448,Bank_Statement!$B$4:$B$448,""),"")</f>
        <v/>
      </c>
      <c r="J157" s="145">
        <f>IF(I157="","",ABS(B157-I157))</f>
        <v/>
      </c>
      <c r="K157" s="146">
        <f>IF(G157="","Unmatched ERP",IF(AND(ABS(H157)&lt;=Mapping_Rules!$B$4,ABS(J157)&lt;=Mapping_Rules!$B$5),"Matched","Review"))</f>
        <v/>
      </c>
      <c r="L157" s="146">
        <f>IF(K157="Matched","None",IF(G157="","Missing from bank",IF(ABS(H157)&gt;Mapping_Rules!$B$4,"Amount variance","Date variance")))</f>
        <v/>
      </c>
      <c r="M157" s="146">
        <f>IF(K157="Matched","Low",IF(OR(IFERROR(ABS(H157),0)&gt;Mapping_Rules!$B$7,IFERROR(J157,0)&gt;Mapping_Rules!$B$8),"High","Medium"))</f>
        <v/>
      </c>
      <c r="N157" s="146">
        <f>IF(K157="Matched","No action needed",IF(L157="Missing from bank","Check bank date or posting",IF(L157="Amount variance","Check invoice/payment amount","Check timing difference")))</f>
        <v/>
      </c>
      <c r="O157" s="140" t="inlineStr">
        <is>
          <t>1200 AR</t>
        </is>
      </c>
      <c r="P157" s="140" t="inlineStr">
        <is>
          <t>AR Clerk</t>
        </is>
      </c>
      <c r="Q157" s="140" t="inlineStr">
        <is>
          <t>No</t>
        </is>
      </c>
      <c r="R157" s="147" t="str"/>
      <c r="S157" s="148">
        <f>IF(K157="Matched",0,Mapping_Rules!$B$6-B157)</f>
        <v/>
      </c>
    </row>
    <row r="158">
      <c r="A158" s="115" t="inlineStr">
        <is>
          <t>ERP-00155</t>
        </is>
      </c>
      <c r="B158" s="125" t="n">
        <v>46044</v>
      </c>
      <c r="C158" s="115" t="inlineStr">
        <is>
          <t>GL</t>
        </is>
      </c>
      <c r="D158" s="115" t="inlineStr">
        <is>
          <t>Maple Retail Group</t>
        </is>
      </c>
      <c r="E158" s="115" t="inlineStr">
        <is>
          <t>REF-100155</t>
        </is>
      </c>
      <c r="F158" s="126" t="n">
        <v>2658.32</v>
      </c>
      <c r="G158" s="134">
        <f>IFERROR(XLOOKUP(E158,Bank_Statement!$D$4:$D$448,Bank_Statement!$G$4:$G$448,""),"")</f>
        <v/>
      </c>
      <c r="H158" s="126">
        <f>IF(G158="","",F158-G158)</f>
        <v/>
      </c>
      <c r="I158" s="135">
        <f>IFERROR(XLOOKUP(E158,Bank_Statement!$D$4:$D$448,Bank_Statement!$B$4:$B$448,""),"")</f>
        <v/>
      </c>
      <c r="J158" s="136">
        <f>IF(I158="","",ABS(B158-I158))</f>
        <v/>
      </c>
      <c r="K158" s="137">
        <f>IF(G158="","Unmatched ERP",IF(AND(ABS(H158)&lt;=Mapping_Rules!$B$4,ABS(J158)&lt;=Mapping_Rules!$B$5),"Matched","Review"))</f>
        <v/>
      </c>
      <c r="L158" s="137">
        <f>IF(K158="Matched","None",IF(G158="","Missing from bank",IF(ABS(H158)&gt;Mapping_Rules!$B$4,"Amount variance","Date variance")))</f>
        <v/>
      </c>
      <c r="M158" s="137">
        <f>IF(K158="Matched","Low",IF(OR(IFERROR(ABS(H158),0)&gt;Mapping_Rules!$B$7,IFERROR(J158,0)&gt;Mapping_Rules!$B$8),"High","Medium"))</f>
        <v/>
      </c>
      <c r="N158" s="137">
        <f>IF(K158="Matched","No action needed",IF(L158="Missing from bank","Check bank date or posting",IF(L158="Amount variance","Check invoice/payment amount","Check timing difference")))</f>
        <v/>
      </c>
      <c r="O158" s="115" t="inlineStr">
        <is>
          <t>5000 Office Expense</t>
        </is>
      </c>
      <c r="P158" s="115" t="inlineStr">
        <is>
          <t>Accounting Technician</t>
        </is>
      </c>
      <c r="Q158" s="115" t="inlineStr">
        <is>
          <t>No</t>
        </is>
      </c>
      <c r="R158" s="138" t="str"/>
      <c r="S158" s="139">
        <f>IF(K158="Matched",0,Mapping_Rules!$B$6-B158)</f>
        <v/>
      </c>
    </row>
    <row r="159">
      <c r="A159" s="140" t="inlineStr">
        <is>
          <t>ERP-00156</t>
        </is>
      </c>
      <c r="B159" s="141" t="n">
        <v>46029</v>
      </c>
      <c r="C159" s="140" t="inlineStr">
        <is>
          <t>GL</t>
        </is>
      </c>
      <c r="D159" s="140" t="inlineStr">
        <is>
          <t>Harbour Design Co.</t>
        </is>
      </c>
      <c r="E159" s="140" t="inlineStr">
        <is>
          <t>REF-100156</t>
        </is>
      </c>
      <c r="F159" s="142" t="n">
        <v>1314.82</v>
      </c>
      <c r="G159" s="143">
        <f>IFERROR(XLOOKUP(E159,Bank_Statement!$D$4:$D$448,Bank_Statement!$G$4:$G$448,""),"")</f>
        <v/>
      </c>
      <c r="H159" s="142">
        <f>IF(G159="","",F159-G159)</f>
        <v/>
      </c>
      <c r="I159" s="144">
        <f>IFERROR(XLOOKUP(E159,Bank_Statement!$D$4:$D$448,Bank_Statement!$B$4:$B$448,""),"")</f>
        <v/>
      </c>
      <c r="J159" s="145">
        <f>IF(I159="","",ABS(B159-I159))</f>
        <v/>
      </c>
      <c r="K159" s="146">
        <f>IF(G159="","Unmatched ERP",IF(AND(ABS(H159)&lt;=Mapping_Rules!$B$4,ABS(J159)&lt;=Mapping_Rules!$B$5),"Matched","Review"))</f>
        <v/>
      </c>
      <c r="L159" s="146">
        <f>IF(K159="Matched","None",IF(G159="","Missing from bank",IF(ABS(H159)&gt;Mapping_Rules!$B$4,"Amount variance","Date variance")))</f>
        <v/>
      </c>
      <c r="M159" s="146">
        <f>IF(K159="Matched","Low",IF(OR(IFERROR(ABS(H159),0)&gt;Mapping_Rules!$B$7,IFERROR(J159,0)&gt;Mapping_Rules!$B$8),"High","Medium"))</f>
        <v/>
      </c>
      <c r="N159" s="146">
        <f>IF(K159="Matched","No action needed",IF(L159="Missing from bank","Check bank date or posting",IF(L159="Amount variance","Check invoice/payment amount","Check timing difference")))</f>
        <v/>
      </c>
      <c r="O159" s="140" t="inlineStr">
        <is>
          <t>1010 Cash</t>
        </is>
      </c>
      <c r="P159" s="140" t="inlineStr">
        <is>
          <t>Accounting Technician</t>
        </is>
      </c>
      <c r="Q159" s="140" t="inlineStr">
        <is>
          <t>No</t>
        </is>
      </c>
      <c r="R159" s="147" t="str"/>
      <c r="S159" s="148">
        <f>IF(K159="Matched",0,Mapping_Rules!$B$6-B159)</f>
        <v/>
      </c>
    </row>
    <row r="160">
      <c r="A160" s="115" t="inlineStr">
        <is>
          <t>ERP-00157</t>
        </is>
      </c>
      <c r="B160" s="125" t="n">
        <v>46030</v>
      </c>
      <c r="C160" s="115" t="inlineStr">
        <is>
          <t>AR</t>
        </is>
      </c>
      <c r="D160" s="115" t="inlineStr">
        <is>
          <t>Harbour Design Co.</t>
        </is>
      </c>
      <c r="E160" s="115" t="inlineStr">
        <is>
          <t>REF-100157</t>
        </is>
      </c>
      <c r="F160" s="126" t="n">
        <v>6881.77</v>
      </c>
      <c r="G160" s="134">
        <f>IFERROR(XLOOKUP(E160,Bank_Statement!$D$4:$D$448,Bank_Statement!$G$4:$G$448,""),"")</f>
        <v/>
      </c>
      <c r="H160" s="126">
        <f>IF(G160="","",F160-G160)</f>
        <v/>
      </c>
      <c r="I160" s="135">
        <f>IFERROR(XLOOKUP(E160,Bank_Statement!$D$4:$D$448,Bank_Statement!$B$4:$B$448,""),"")</f>
        <v/>
      </c>
      <c r="J160" s="136">
        <f>IF(I160="","",ABS(B160-I160))</f>
        <v/>
      </c>
      <c r="K160" s="137">
        <f>IF(G160="","Unmatched ERP",IF(AND(ABS(H160)&lt;=Mapping_Rules!$B$4,ABS(J160)&lt;=Mapping_Rules!$B$5),"Matched","Review"))</f>
        <v/>
      </c>
      <c r="L160" s="137">
        <f>IF(K160="Matched","None",IF(G160="","Missing from bank",IF(ABS(H160)&gt;Mapping_Rules!$B$4,"Amount variance","Date variance")))</f>
        <v/>
      </c>
      <c r="M160" s="137">
        <f>IF(K160="Matched","Low",IF(OR(IFERROR(ABS(H160),0)&gt;Mapping_Rules!$B$7,IFERROR(J160,0)&gt;Mapping_Rules!$B$8),"High","Medium"))</f>
        <v/>
      </c>
      <c r="N160" s="137">
        <f>IF(K160="Matched","No action needed",IF(L160="Missing from bank","Check bank date or posting",IF(L160="Amount variance","Check invoice/payment amount","Check timing difference")))</f>
        <v/>
      </c>
      <c r="O160" s="115" t="inlineStr">
        <is>
          <t>1200 AR</t>
        </is>
      </c>
      <c r="P160" s="115" t="inlineStr">
        <is>
          <t>AR Clerk</t>
        </is>
      </c>
      <c r="Q160" s="115" t="inlineStr">
        <is>
          <t>No</t>
        </is>
      </c>
      <c r="R160" s="138" t="str"/>
      <c r="S160" s="139">
        <f>IF(K160="Matched",0,Mapping_Rules!$B$6-B160)</f>
        <v/>
      </c>
    </row>
    <row r="161">
      <c r="A161" s="140" t="inlineStr">
        <is>
          <t>ERP-00158</t>
        </is>
      </c>
      <c r="B161" s="141" t="n">
        <v>46024</v>
      </c>
      <c r="C161" s="140" t="inlineStr">
        <is>
          <t>AR</t>
        </is>
      </c>
      <c r="D161" s="140" t="inlineStr">
        <is>
          <t>Granville Medical</t>
        </is>
      </c>
      <c r="E161" s="140" t="inlineStr">
        <is>
          <t>REF-100158</t>
        </is>
      </c>
      <c r="F161" s="142" t="n">
        <v>7841.71</v>
      </c>
      <c r="G161" s="143">
        <f>IFERROR(XLOOKUP(E161,Bank_Statement!$D$4:$D$448,Bank_Statement!$G$4:$G$448,""),"")</f>
        <v/>
      </c>
      <c r="H161" s="142">
        <f>IF(G161="","",F161-G161)</f>
        <v/>
      </c>
      <c r="I161" s="144">
        <f>IFERROR(XLOOKUP(E161,Bank_Statement!$D$4:$D$448,Bank_Statement!$B$4:$B$448,""),"")</f>
        <v/>
      </c>
      <c r="J161" s="145">
        <f>IF(I161="","",ABS(B161-I161))</f>
        <v/>
      </c>
      <c r="K161" s="146">
        <f>IF(G161="","Unmatched ERP",IF(AND(ABS(H161)&lt;=Mapping_Rules!$B$4,ABS(J161)&lt;=Mapping_Rules!$B$5),"Matched","Review"))</f>
        <v/>
      </c>
      <c r="L161" s="146">
        <f>IF(K161="Matched","None",IF(G161="","Missing from bank",IF(ABS(H161)&gt;Mapping_Rules!$B$4,"Amount variance","Date variance")))</f>
        <v/>
      </c>
      <c r="M161" s="146">
        <f>IF(K161="Matched","Low",IF(OR(IFERROR(ABS(H161),0)&gt;Mapping_Rules!$B$7,IFERROR(J161,0)&gt;Mapping_Rules!$B$8),"High","Medium"))</f>
        <v/>
      </c>
      <c r="N161" s="146">
        <f>IF(K161="Matched","No action needed",IF(L161="Missing from bank","Check bank date or posting",IF(L161="Amount variance","Check invoice/payment amount","Check timing difference")))</f>
        <v/>
      </c>
      <c r="O161" s="140" t="inlineStr">
        <is>
          <t>1200 AR</t>
        </is>
      </c>
      <c r="P161" s="140" t="inlineStr">
        <is>
          <t>AR Clerk</t>
        </is>
      </c>
      <c r="Q161" s="140" t="inlineStr">
        <is>
          <t>No</t>
        </is>
      </c>
      <c r="R161" s="147" t="str"/>
      <c r="S161" s="148">
        <f>IF(K161="Matched",0,Mapping_Rules!$B$6-B161)</f>
        <v/>
      </c>
    </row>
    <row r="162">
      <c r="A162" s="115" t="inlineStr">
        <is>
          <t>ERP-00159</t>
        </is>
      </c>
      <c r="B162" s="125" t="n">
        <v>46036</v>
      </c>
      <c r="C162" s="115" t="inlineStr">
        <is>
          <t>AP</t>
        </is>
      </c>
      <c r="D162" s="115" t="inlineStr">
        <is>
          <t>BC Hydro</t>
        </is>
      </c>
      <c r="E162" s="115" t="inlineStr">
        <is>
          <t>REF-100159</t>
        </is>
      </c>
      <c r="F162" s="126" t="n">
        <v>-207.64</v>
      </c>
      <c r="G162" s="134">
        <f>IFERROR(XLOOKUP(E162,Bank_Statement!$D$4:$D$448,Bank_Statement!$G$4:$G$448,""),"")</f>
        <v/>
      </c>
      <c r="H162" s="126">
        <f>IF(G162="","",F162-G162)</f>
        <v/>
      </c>
      <c r="I162" s="135">
        <f>IFERROR(XLOOKUP(E162,Bank_Statement!$D$4:$D$448,Bank_Statement!$B$4:$B$448,""),"")</f>
        <v/>
      </c>
      <c r="J162" s="136">
        <f>IF(I162="","",ABS(B162-I162))</f>
        <v/>
      </c>
      <c r="K162" s="137">
        <f>IF(G162="","Unmatched ERP",IF(AND(ABS(H162)&lt;=Mapping_Rules!$B$4,ABS(J162)&lt;=Mapping_Rules!$B$5),"Matched","Review"))</f>
        <v/>
      </c>
      <c r="L162" s="137">
        <f>IF(K162="Matched","None",IF(G162="","Missing from bank",IF(ABS(H162)&gt;Mapping_Rules!$B$4,"Amount variance","Date variance")))</f>
        <v/>
      </c>
      <c r="M162" s="137">
        <f>IF(K162="Matched","Low",IF(OR(IFERROR(ABS(H162),0)&gt;Mapping_Rules!$B$7,IFERROR(J162,0)&gt;Mapping_Rules!$B$8),"High","Medium"))</f>
        <v/>
      </c>
      <c r="N162" s="137">
        <f>IF(K162="Matched","No action needed",IF(L162="Missing from bank","Check bank date or posting",IF(L162="Amount variance","Check invoice/payment amount","Check timing difference")))</f>
        <v/>
      </c>
      <c r="O162" s="115" t="inlineStr">
        <is>
          <t>2000 AP</t>
        </is>
      </c>
      <c r="P162" s="115" t="inlineStr">
        <is>
          <t>AP Clerk</t>
        </is>
      </c>
      <c r="Q162" s="115" t="inlineStr">
        <is>
          <t>No</t>
        </is>
      </c>
      <c r="R162" s="138" t="str"/>
      <c r="S162" s="139">
        <f>IF(K162="Matched",0,Mapping_Rules!$B$6-B162)</f>
        <v/>
      </c>
    </row>
    <row r="163">
      <c r="A163" s="140" t="inlineStr">
        <is>
          <t>ERP-00160</t>
        </is>
      </c>
      <c r="B163" s="141" t="n">
        <v>46052</v>
      </c>
      <c r="C163" s="140" t="inlineStr">
        <is>
          <t>AR</t>
        </is>
      </c>
      <c r="D163" s="140" t="inlineStr">
        <is>
          <t>Granville Medical</t>
        </is>
      </c>
      <c r="E163" s="140" t="inlineStr">
        <is>
          <t>REF-100160</t>
        </is>
      </c>
      <c r="F163" s="142" t="n">
        <v>7201.44</v>
      </c>
      <c r="G163" s="143">
        <f>IFERROR(XLOOKUP(E163,Bank_Statement!$D$4:$D$448,Bank_Statement!$G$4:$G$448,""),"")</f>
        <v/>
      </c>
      <c r="H163" s="142">
        <f>IF(G163="","",F163-G163)</f>
        <v/>
      </c>
      <c r="I163" s="144">
        <f>IFERROR(XLOOKUP(E163,Bank_Statement!$D$4:$D$448,Bank_Statement!$B$4:$B$448,""),"")</f>
        <v/>
      </c>
      <c r="J163" s="145">
        <f>IF(I163="","",ABS(B163-I163))</f>
        <v/>
      </c>
      <c r="K163" s="146">
        <f>IF(G163="","Unmatched ERP",IF(AND(ABS(H163)&lt;=Mapping_Rules!$B$4,ABS(J163)&lt;=Mapping_Rules!$B$5),"Matched","Review"))</f>
        <v/>
      </c>
      <c r="L163" s="146">
        <f>IF(K163="Matched","None",IF(G163="","Missing from bank",IF(ABS(H163)&gt;Mapping_Rules!$B$4,"Amount variance","Date variance")))</f>
        <v/>
      </c>
      <c r="M163" s="146">
        <f>IF(K163="Matched","Low",IF(OR(IFERROR(ABS(H163),0)&gt;Mapping_Rules!$B$7,IFERROR(J163,0)&gt;Mapping_Rules!$B$8),"High","Medium"))</f>
        <v/>
      </c>
      <c r="N163" s="146">
        <f>IF(K163="Matched","No action needed",IF(L163="Missing from bank","Check bank date or posting",IF(L163="Amount variance","Check invoice/payment amount","Check timing difference")))</f>
        <v/>
      </c>
      <c r="O163" s="140" t="inlineStr">
        <is>
          <t>1200 AR</t>
        </is>
      </c>
      <c r="P163" s="140" t="inlineStr">
        <is>
          <t>AR Clerk</t>
        </is>
      </c>
      <c r="Q163" s="140" t="inlineStr">
        <is>
          <t>No</t>
        </is>
      </c>
      <c r="R163" s="147" t="str"/>
      <c r="S163" s="148">
        <f>IF(K163="Matched",0,Mapping_Rules!$B$6-B163)</f>
        <v/>
      </c>
    </row>
    <row r="164">
      <c r="A164" s="115" t="inlineStr">
        <is>
          <t>ERP-00161</t>
        </is>
      </c>
      <c r="B164" s="125" t="n">
        <v>46032</v>
      </c>
      <c r="C164" s="115" t="inlineStr">
        <is>
          <t>GL</t>
        </is>
      </c>
      <c r="D164" s="115" t="inlineStr">
        <is>
          <t>BC Hydro</t>
        </is>
      </c>
      <c r="E164" s="115" t="inlineStr">
        <is>
          <t>REF-100161</t>
        </is>
      </c>
      <c r="F164" s="126" t="n">
        <v>1698.69</v>
      </c>
      <c r="G164" s="134">
        <f>IFERROR(XLOOKUP(E164,Bank_Statement!$D$4:$D$448,Bank_Statement!$G$4:$G$448,""),"")</f>
        <v/>
      </c>
      <c r="H164" s="126">
        <f>IF(G164="","",F164-G164)</f>
        <v/>
      </c>
      <c r="I164" s="135">
        <f>IFERROR(XLOOKUP(E164,Bank_Statement!$D$4:$D$448,Bank_Statement!$B$4:$B$448,""),"")</f>
        <v/>
      </c>
      <c r="J164" s="136">
        <f>IF(I164="","",ABS(B164-I164))</f>
        <v/>
      </c>
      <c r="K164" s="137">
        <f>IF(G164="","Unmatched ERP",IF(AND(ABS(H164)&lt;=Mapping_Rules!$B$4,ABS(J164)&lt;=Mapping_Rules!$B$5),"Matched","Review"))</f>
        <v/>
      </c>
      <c r="L164" s="137">
        <f>IF(K164="Matched","None",IF(G164="","Missing from bank",IF(ABS(H164)&gt;Mapping_Rules!$B$4,"Amount variance","Date variance")))</f>
        <v/>
      </c>
      <c r="M164" s="137">
        <f>IF(K164="Matched","Low",IF(OR(IFERROR(ABS(H164),0)&gt;Mapping_Rules!$B$7,IFERROR(J164,0)&gt;Mapping_Rules!$B$8),"High","Medium"))</f>
        <v/>
      </c>
      <c r="N164" s="137">
        <f>IF(K164="Matched","No action needed",IF(L164="Missing from bank","Check bank date or posting",IF(L164="Amount variance","Check invoice/payment amount","Check timing difference")))</f>
        <v/>
      </c>
      <c r="O164" s="115" t="inlineStr">
        <is>
          <t>1200 AR</t>
        </is>
      </c>
      <c r="P164" s="115" t="inlineStr">
        <is>
          <t>Accounting Technician</t>
        </is>
      </c>
      <c r="Q164" s="115" t="inlineStr">
        <is>
          <t>No</t>
        </is>
      </c>
      <c r="R164" s="138" t="str"/>
      <c r="S164" s="139">
        <f>IF(K164="Matched",0,Mapping_Rules!$B$6-B164)</f>
        <v/>
      </c>
    </row>
    <row r="165">
      <c r="A165" s="140" t="inlineStr">
        <is>
          <t>ERP-00162</t>
        </is>
      </c>
      <c r="B165" s="141" t="n">
        <v>46053</v>
      </c>
      <c r="C165" s="140" t="inlineStr">
        <is>
          <t>Payroll</t>
        </is>
      </c>
      <c r="D165" s="140" t="inlineStr">
        <is>
          <t>Payroll Batch</t>
        </is>
      </c>
      <c r="E165" s="140" t="inlineStr">
        <is>
          <t>REF-100162</t>
        </is>
      </c>
      <c r="F165" s="142" t="n">
        <v>-14318.04</v>
      </c>
      <c r="G165" s="143">
        <f>IFERROR(XLOOKUP(E165,Bank_Statement!$D$4:$D$448,Bank_Statement!$G$4:$G$448,""),"")</f>
        <v/>
      </c>
      <c r="H165" s="142">
        <f>IF(G165="","",F165-G165)</f>
        <v/>
      </c>
      <c r="I165" s="144">
        <f>IFERROR(XLOOKUP(E165,Bank_Statement!$D$4:$D$448,Bank_Statement!$B$4:$B$448,""),"")</f>
        <v/>
      </c>
      <c r="J165" s="145">
        <f>IF(I165="","",ABS(B165-I165))</f>
        <v/>
      </c>
      <c r="K165" s="146">
        <f>IF(G165="","Unmatched ERP",IF(AND(ABS(H165)&lt;=Mapping_Rules!$B$4,ABS(J165)&lt;=Mapping_Rules!$B$5),"Matched","Review"))</f>
        <v/>
      </c>
      <c r="L165" s="146">
        <f>IF(K165="Matched","None",IF(G165="","Missing from bank",IF(ABS(H165)&gt;Mapping_Rules!$B$4,"Amount variance","Date variance")))</f>
        <v/>
      </c>
      <c r="M165" s="146">
        <f>IF(K165="Matched","Low",IF(OR(IFERROR(ABS(H165),0)&gt;Mapping_Rules!$B$7,IFERROR(J165,0)&gt;Mapping_Rules!$B$8),"High","Medium"))</f>
        <v/>
      </c>
      <c r="N165" s="146">
        <f>IF(K165="Matched","No action needed",IF(L165="Missing from bank","Check bank date or posting",IF(L165="Amount variance","Check invoice/payment amount","Check timing difference")))</f>
        <v/>
      </c>
      <c r="O165" s="140" t="inlineStr">
        <is>
          <t>5300 Payroll</t>
        </is>
      </c>
      <c r="P165" s="140" t="inlineStr">
        <is>
          <t>Accounting Technician</t>
        </is>
      </c>
      <c r="Q165" s="140" t="inlineStr">
        <is>
          <t>No</t>
        </is>
      </c>
      <c r="R165" s="147" t="str"/>
      <c r="S165" s="148">
        <f>IF(K165="Matched",0,Mapping_Rules!$B$6-B165)</f>
        <v/>
      </c>
    </row>
    <row r="166">
      <c r="A166" s="115" t="inlineStr">
        <is>
          <t>ERP-00163</t>
        </is>
      </c>
      <c r="B166" s="125" t="n">
        <v>46027</v>
      </c>
      <c r="C166" s="115" t="inlineStr">
        <is>
          <t>GL</t>
        </is>
      </c>
      <c r="D166" s="115" t="inlineStr">
        <is>
          <t>Granville Medical</t>
        </is>
      </c>
      <c r="E166" s="115" t="inlineStr">
        <is>
          <t>REF-100163</t>
        </is>
      </c>
      <c r="F166" s="126" t="n">
        <v>-423</v>
      </c>
      <c r="G166" s="134">
        <f>IFERROR(XLOOKUP(E166,Bank_Statement!$D$4:$D$448,Bank_Statement!$G$4:$G$448,""),"")</f>
        <v/>
      </c>
      <c r="H166" s="126">
        <f>IF(G166="","",F166-G166)</f>
        <v/>
      </c>
      <c r="I166" s="135">
        <f>IFERROR(XLOOKUP(E166,Bank_Statement!$D$4:$D$448,Bank_Statement!$B$4:$B$448,""),"")</f>
        <v/>
      </c>
      <c r="J166" s="136">
        <f>IF(I166="","",ABS(B166-I166))</f>
        <v/>
      </c>
      <c r="K166" s="137">
        <f>IF(G166="","Unmatched ERP",IF(AND(ABS(H166)&lt;=Mapping_Rules!$B$4,ABS(J166)&lt;=Mapping_Rules!$B$5),"Matched","Review"))</f>
        <v/>
      </c>
      <c r="L166" s="137">
        <f>IF(K166="Matched","None",IF(G166="","Missing from bank",IF(ABS(H166)&gt;Mapping_Rules!$B$4,"Amount variance","Date variance")))</f>
        <v/>
      </c>
      <c r="M166" s="137">
        <f>IF(K166="Matched","Low",IF(OR(IFERROR(ABS(H166),0)&gt;Mapping_Rules!$B$7,IFERROR(J166,0)&gt;Mapping_Rules!$B$8),"High","Medium"))</f>
        <v/>
      </c>
      <c r="N166" s="137">
        <f>IF(K166="Matched","No action needed",IF(L166="Missing from bank","Check bank date or posting",IF(L166="Amount variance","Check invoice/payment amount","Check timing difference")))</f>
        <v/>
      </c>
      <c r="O166" s="115" t="inlineStr">
        <is>
          <t>6100 Bank Fees</t>
        </is>
      </c>
      <c r="P166" s="115" t="inlineStr">
        <is>
          <t>Accounting Technician</t>
        </is>
      </c>
      <c r="Q166" s="115" t="inlineStr">
        <is>
          <t>No</t>
        </is>
      </c>
      <c r="R166" s="138" t="str"/>
      <c r="S166" s="139">
        <f>IF(K166="Matched",0,Mapping_Rules!$B$6-B166)</f>
        <v/>
      </c>
    </row>
    <row r="167">
      <c r="A167" s="140" t="inlineStr">
        <is>
          <t>ERP-00164</t>
        </is>
      </c>
      <c r="B167" s="141" t="n">
        <v>46051</v>
      </c>
      <c r="C167" s="140" t="inlineStr">
        <is>
          <t>AR</t>
        </is>
      </c>
      <c r="D167" s="140" t="inlineStr">
        <is>
          <t>Harbour Design Co.</t>
        </is>
      </c>
      <c r="E167" s="140" t="inlineStr">
        <is>
          <t>REF-100164</t>
        </is>
      </c>
      <c r="F167" s="142" t="n">
        <v>8387.540000000001</v>
      </c>
      <c r="G167" s="143">
        <f>IFERROR(XLOOKUP(E167,Bank_Statement!$D$4:$D$448,Bank_Statement!$G$4:$G$448,""),"")</f>
        <v/>
      </c>
      <c r="H167" s="142">
        <f>IF(G167="","",F167-G167)</f>
        <v/>
      </c>
      <c r="I167" s="144">
        <f>IFERROR(XLOOKUP(E167,Bank_Statement!$D$4:$D$448,Bank_Statement!$B$4:$B$448,""),"")</f>
        <v/>
      </c>
      <c r="J167" s="145">
        <f>IF(I167="","",ABS(B167-I167))</f>
        <v/>
      </c>
      <c r="K167" s="146">
        <f>IF(G167="","Unmatched ERP",IF(AND(ABS(H167)&lt;=Mapping_Rules!$B$4,ABS(J167)&lt;=Mapping_Rules!$B$5),"Matched","Review"))</f>
        <v/>
      </c>
      <c r="L167" s="146">
        <f>IF(K167="Matched","None",IF(G167="","Missing from bank",IF(ABS(H167)&gt;Mapping_Rules!$B$4,"Amount variance","Date variance")))</f>
        <v/>
      </c>
      <c r="M167" s="146">
        <f>IF(K167="Matched","Low",IF(OR(IFERROR(ABS(H167),0)&gt;Mapping_Rules!$B$7,IFERROR(J167,0)&gt;Mapping_Rules!$B$8),"High","Medium"))</f>
        <v/>
      </c>
      <c r="N167" s="146">
        <f>IF(K167="Matched","No action needed",IF(L167="Missing from bank","Check bank date or posting",IF(L167="Amount variance","Check invoice/payment amount","Check timing difference")))</f>
        <v/>
      </c>
      <c r="O167" s="140" t="inlineStr">
        <is>
          <t>1200 AR</t>
        </is>
      </c>
      <c r="P167" s="140" t="inlineStr">
        <is>
          <t>AR Clerk</t>
        </is>
      </c>
      <c r="Q167" s="140" t="inlineStr">
        <is>
          <t>No</t>
        </is>
      </c>
      <c r="R167" s="147" t="str"/>
      <c r="S167" s="148">
        <f>IF(K167="Matched",0,Mapping_Rules!$B$6-B167)</f>
        <v/>
      </c>
    </row>
    <row r="168">
      <c r="A168" s="115" t="inlineStr">
        <is>
          <t>ERP-00165</t>
        </is>
      </c>
      <c r="B168" s="125" t="n">
        <v>46043</v>
      </c>
      <c r="C168" s="115" t="inlineStr">
        <is>
          <t>AP</t>
        </is>
      </c>
      <c r="D168" s="115" t="inlineStr">
        <is>
          <t>Metro Cleaning Ltd.</t>
        </is>
      </c>
      <c r="E168" s="115" t="inlineStr">
        <is>
          <t>REF-100165</t>
        </is>
      </c>
      <c r="F168" s="126" t="n">
        <v>-3699.49</v>
      </c>
      <c r="G168" s="134">
        <f>IFERROR(XLOOKUP(E168,Bank_Statement!$D$4:$D$448,Bank_Statement!$G$4:$G$448,""),"")</f>
        <v/>
      </c>
      <c r="H168" s="126">
        <f>IF(G168="","",F168-G168)</f>
        <v/>
      </c>
      <c r="I168" s="135">
        <f>IFERROR(XLOOKUP(E168,Bank_Statement!$D$4:$D$448,Bank_Statement!$B$4:$B$448,""),"")</f>
        <v/>
      </c>
      <c r="J168" s="136">
        <f>IF(I168="","",ABS(B168-I168))</f>
        <v/>
      </c>
      <c r="K168" s="137">
        <f>IF(G168="","Unmatched ERP",IF(AND(ABS(H168)&lt;=Mapping_Rules!$B$4,ABS(J168)&lt;=Mapping_Rules!$B$5),"Matched","Review"))</f>
        <v/>
      </c>
      <c r="L168" s="137">
        <f>IF(K168="Matched","None",IF(G168="","Missing from bank",IF(ABS(H168)&gt;Mapping_Rules!$B$4,"Amount variance","Date variance")))</f>
        <v/>
      </c>
      <c r="M168" s="137">
        <f>IF(K168="Matched","Low",IF(OR(IFERROR(ABS(H168),0)&gt;Mapping_Rules!$B$7,IFERROR(J168,0)&gt;Mapping_Rules!$B$8),"High","Medium"))</f>
        <v/>
      </c>
      <c r="N168" s="137">
        <f>IF(K168="Matched","No action needed",IF(L168="Missing from bank","Check bank date or posting",IF(L168="Amount variance","Check invoice/payment amount","Check timing difference")))</f>
        <v/>
      </c>
      <c r="O168" s="115" t="inlineStr">
        <is>
          <t>2000 AP</t>
        </is>
      </c>
      <c r="P168" s="115" t="inlineStr">
        <is>
          <t>AP Clerk</t>
        </is>
      </c>
      <c r="Q168" s="115" t="inlineStr">
        <is>
          <t>No</t>
        </is>
      </c>
      <c r="R168" s="138" t="str"/>
      <c r="S168" s="139">
        <f>IF(K168="Matched",0,Mapping_Rules!$B$6-B168)</f>
        <v/>
      </c>
    </row>
    <row r="169">
      <c r="A169" s="140" t="inlineStr">
        <is>
          <t>ERP-00166</t>
        </is>
      </c>
      <c r="B169" s="141" t="n">
        <v>46024</v>
      </c>
      <c r="C169" s="140" t="inlineStr">
        <is>
          <t>AR</t>
        </is>
      </c>
      <c r="D169" s="140" t="inlineStr">
        <is>
          <t>Raincity Tech</t>
        </is>
      </c>
      <c r="E169" s="140" t="inlineStr">
        <is>
          <t>REF-100166</t>
        </is>
      </c>
      <c r="F169" s="142" t="n">
        <v>790.7</v>
      </c>
      <c r="G169" s="143">
        <f>IFERROR(XLOOKUP(E169,Bank_Statement!$D$4:$D$448,Bank_Statement!$G$4:$G$448,""),"")</f>
        <v/>
      </c>
      <c r="H169" s="142">
        <f>IF(G169="","",F169-G169)</f>
        <v/>
      </c>
      <c r="I169" s="144">
        <f>IFERROR(XLOOKUP(E169,Bank_Statement!$D$4:$D$448,Bank_Statement!$B$4:$B$448,""),"")</f>
        <v/>
      </c>
      <c r="J169" s="145">
        <f>IF(I169="","",ABS(B169-I169))</f>
        <v/>
      </c>
      <c r="K169" s="146">
        <f>IF(G169="","Unmatched ERP",IF(AND(ABS(H169)&lt;=Mapping_Rules!$B$4,ABS(J169)&lt;=Mapping_Rules!$B$5),"Matched","Review"))</f>
        <v/>
      </c>
      <c r="L169" s="146">
        <f>IF(K169="Matched","None",IF(G169="","Missing from bank",IF(ABS(H169)&gt;Mapping_Rules!$B$4,"Amount variance","Date variance")))</f>
        <v/>
      </c>
      <c r="M169" s="146">
        <f>IF(K169="Matched","Low",IF(OR(IFERROR(ABS(H169),0)&gt;Mapping_Rules!$B$7,IFERROR(J169,0)&gt;Mapping_Rules!$B$8),"High","Medium"))</f>
        <v/>
      </c>
      <c r="N169" s="146">
        <f>IF(K169="Matched","No action needed",IF(L169="Missing from bank","Check bank date or posting",IF(L169="Amount variance","Check invoice/payment amount","Check timing difference")))</f>
        <v/>
      </c>
      <c r="O169" s="140" t="inlineStr">
        <is>
          <t>1200 AR</t>
        </is>
      </c>
      <c r="P169" s="140" t="inlineStr">
        <is>
          <t>AR Clerk</t>
        </is>
      </c>
      <c r="Q169" s="140" t="inlineStr">
        <is>
          <t>No</t>
        </is>
      </c>
      <c r="R169" s="147" t="str"/>
      <c r="S169" s="148">
        <f>IF(K169="Matched",0,Mapping_Rules!$B$6-B169)</f>
        <v/>
      </c>
    </row>
    <row r="170">
      <c r="A170" s="115" t="inlineStr">
        <is>
          <t>ERP-00167</t>
        </is>
      </c>
      <c r="B170" s="125" t="n">
        <v>46040</v>
      </c>
      <c r="C170" s="115" t="inlineStr">
        <is>
          <t>Bank Fees</t>
        </is>
      </c>
      <c r="D170" s="115" t="inlineStr">
        <is>
          <t>Bank</t>
        </is>
      </c>
      <c r="E170" s="115" t="inlineStr">
        <is>
          <t>REF-100167</t>
        </is>
      </c>
      <c r="F170" s="126" t="n">
        <v>-89.98</v>
      </c>
      <c r="G170" s="134">
        <f>IFERROR(XLOOKUP(E170,Bank_Statement!$D$4:$D$448,Bank_Statement!$G$4:$G$448,""),"")</f>
        <v/>
      </c>
      <c r="H170" s="126">
        <f>IF(G170="","",F170-G170)</f>
        <v/>
      </c>
      <c r="I170" s="135">
        <f>IFERROR(XLOOKUP(E170,Bank_Statement!$D$4:$D$448,Bank_Statement!$B$4:$B$448,""),"")</f>
        <v/>
      </c>
      <c r="J170" s="136">
        <f>IF(I170="","",ABS(B170-I170))</f>
        <v/>
      </c>
      <c r="K170" s="137">
        <f>IF(G170="","Unmatched ERP",IF(AND(ABS(H170)&lt;=Mapping_Rules!$B$4,ABS(J170)&lt;=Mapping_Rules!$B$5),"Matched","Review"))</f>
        <v/>
      </c>
      <c r="L170" s="137">
        <f>IF(K170="Matched","None",IF(G170="","Missing from bank",IF(ABS(H170)&gt;Mapping_Rules!$B$4,"Amount variance","Date variance")))</f>
        <v/>
      </c>
      <c r="M170" s="137">
        <f>IF(K170="Matched","Low",IF(OR(IFERROR(ABS(H170),0)&gt;Mapping_Rules!$B$7,IFERROR(J170,0)&gt;Mapping_Rules!$B$8),"High","Medium"))</f>
        <v/>
      </c>
      <c r="N170" s="137">
        <f>IF(K170="Matched","No action needed",IF(L170="Missing from bank","Check bank date or posting",IF(L170="Amount variance","Check invoice/payment amount","Check timing difference")))</f>
        <v/>
      </c>
      <c r="O170" s="115" t="inlineStr">
        <is>
          <t>6100 Bank Fees</t>
        </is>
      </c>
      <c r="P170" s="115" t="inlineStr">
        <is>
          <t>Accounting Technician</t>
        </is>
      </c>
      <c r="Q170" s="115" t="inlineStr">
        <is>
          <t>No</t>
        </is>
      </c>
      <c r="R170" s="138" t="str"/>
      <c r="S170" s="139">
        <f>IF(K170="Matched",0,Mapping_Rules!$B$6-B170)</f>
        <v/>
      </c>
    </row>
    <row r="171">
      <c r="A171" s="140" t="inlineStr">
        <is>
          <t>ERP-00168</t>
        </is>
      </c>
      <c r="B171" s="141" t="n">
        <v>46041</v>
      </c>
      <c r="C171" s="140" t="inlineStr">
        <is>
          <t>AR</t>
        </is>
      </c>
      <c r="D171" s="140" t="inlineStr">
        <is>
          <t>Raincity Tech</t>
        </is>
      </c>
      <c r="E171" s="140" t="inlineStr">
        <is>
          <t>REF-100168</t>
        </is>
      </c>
      <c r="F171" s="142" t="n">
        <v>5201.8</v>
      </c>
      <c r="G171" s="143">
        <f>IFERROR(XLOOKUP(E171,Bank_Statement!$D$4:$D$448,Bank_Statement!$G$4:$G$448,""),"")</f>
        <v/>
      </c>
      <c r="H171" s="142">
        <f>IF(G171="","",F171-G171)</f>
        <v/>
      </c>
      <c r="I171" s="144">
        <f>IFERROR(XLOOKUP(E171,Bank_Statement!$D$4:$D$448,Bank_Statement!$B$4:$B$448,""),"")</f>
        <v/>
      </c>
      <c r="J171" s="145">
        <f>IF(I171="","",ABS(B171-I171))</f>
        <v/>
      </c>
      <c r="K171" s="146">
        <f>IF(G171="","Unmatched ERP",IF(AND(ABS(H171)&lt;=Mapping_Rules!$B$4,ABS(J171)&lt;=Mapping_Rules!$B$5),"Matched","Review"))</f>
        <v/>
      </c>
      <c r="L171" s="146">
        <f>IF(K171="Matched","None",IF(G171="","Missing from bank",IF(ABS(H171)&gt;Mapping_Rules!$B$4,"Amount variance","Date variance")))</f>
        <v/>
      </c>
      <c r="M171" s="146">
        <f>IF(K171="Matched","Low",IF(OR(IFERROR(ABS(H171),0)&gt;Mapping_Rules!$B$7,IFERROR(J171,0)&gt;Mapping_Rules!$B$8),"High","Medium"))</f>
        <v/>
      </c>
      <c r="N171" s="146">
        <f>IF(K171="Matched","No action needed",IF(L171="Missing from bank","Check bank date or posting",IF(L171="Amount variance","Check invoice/payment amount","Check timing difference")))</f>
        <v/>
      </c>
      <c r="O171" s="140" t="inlineStr">
        <is>
          <t>1200 AR</t>
        </is>
      </c>
      <c r="P171" s="140" t="inlineStr">
        <is>
          <t>AR Clerk</t>
        </is>
      </c>
      <c r="Q171" s="140" t="inlineStr">
        <is>
          <t>No</t>
        </is>
      </c>
      <c r="R171" s="147" t="str"/>
      <c r="S171" s="148">
        <f>IF(K171="Matched",0,Mapping_Rules!$B$6-B171)</f>
        <v/>
      </c>
    </row>
    <row r="172">
      <c r="A172" s="115" t="inlineStr">
        <is>
          <t>ERP-00169</t>
        </is>
      </c>
      <c r="B172" s="125" t="n">
        <v>46037</v>
      </c>
      <c r="C172" s="115" t="inlineStr">
        <is>
          <t>AP</t>
        </is>
      </c>
      <c r="D172" s="115" t="inlineStr">
        <is>
          <t>Vancouver Courier</t>
        </is>
      </c>
      <c r="E172" s="115" t="inlineStr">
        <is>
          <t>REF-100169</t>
        </is>
      </c>
      <c r="F172" s="126" t="n">
        <v>-2181.84</v>
      </c>
      <c r="G172" s="134">
        <f>IFERROR(XLOOKUP(E172,Bank_Statement!$D$4:$D$448,Bank_Statement!$G$4:$G$448,""),"")</f>
        <v/>
      </c>
      <c r="H172" s="126">
        <f>IF(G172="","",F172-G172)</f>
        <v/>
      </c>
      <c r="I172" s="135">
        <f>IFERROR(XLOOKUP(E172,Bank_Statement!$D$4:$D$448,Bank_Statement!$B$4:$B$448,""),"")</f>
        <v/>
      </c>
      <c r="J172" s="136">
        <f>IF(I172="","",ABS(B172-I172))</f>
        <v/>
      </c>
      <c r="K172" s="137">
        <f>IF(G172="","Unmatched ERP",IF(AND(ABS(H172)&lt;=Mapping_Rules!$B$4,ABS(J172)&lt;=Mapping_Rules!$B$5),"Matched","Review"))</f>
        <v/>
      </c>
      <c r="L172" s="137">
        <f>IF(K172="Matched","None",IF(G172="","Missing from bank",IF(ABS(H172)&gt;Mapping_Rules!$B$4,"Amount variance","Date variance")))</f>
        <v/>
      </c>
      <c r="M172" s="137">
        <f>IF(K172="Matched","Low",IF(OR(IFERROR(ABS(H172),0)&gt;Mapping_Rules!$B$7,IFERROR(J172,0)&gt;Mapping_Rules!$B$8),"High","Medium"))</f>
        <v/>
      </c>
      <c r="N172" s="137">
        <f>IF(K172="Matched","No action needed",IF(L172="Missing from bank","Check bank date or posting",IF(L172="Amount variance","Check invoice/payment amount","Check timing difference")))</f>
        <v/>
      </c>
      <c r="O172" s="115" t="inlineStr">
        <is>
          <t>2000 AP</t>
        </is>
      </c>
      <c r="P172" s="115" t="inlineStr">
        <is>
          <t>AP Clerk</t>
        </is>
      </c>
      <c r="Q172" s="115" t="inlineStr">
        <is>
          <t>No</t>
        </is>
      </c>
      <c r="R172" s="138" t="str"/>
      <c r="S172" s="139">
        <f>IF(K172="Matched",0,Mapping_Rules!$B$6-B172)</f>
        <v/>
      </c>
    </row>
    <row r="173">
      <c r="A173" s="140" t="inlineStr">
        <is>
          <t>ERP-00170</t>
        </is>
      </c>
      <c r="B173" s="141" t="n">
        <v>46037</v>
      </c>
      <c r="C173" s="140" t="inlineStr">
        <is>
          <t>Bank Fees</t>
        </is>
      </c>
      <c r="D173" s="140" t="inlineStr">
        <is>
          <t>Bank</t>
        </is>
      </c>
      <c r="E173" s="140" t="inlineStr">
        <is>
          <t>REF-100170</t>
        </is>
      </c>
      <c r="F173" s="142" t="n">
        <v>-65.27</v>
      </c>
      <c r="G173" s="143">
        <f>IFERROR(XLOOKUP(E173,Bank_Statement!$D$4:$D$448,Bank_Statement!$G$4:$G$448,""),"")</f>
        <v/>
      </c>
      <c r="H173" s="142">
        <f>IF(G173="","",F173-G173)</f>
        <v/>
      </c>
      <c r="I173" s="144">
        <f>IFERROR(XLOOKUP(E173,Bank_Statement!$D$4:$D$448,Bank_Statement!$B$4:$B$448,""),"")</f>
        <v/>
      </c>
      <c r="J173" s="145">
        <f>IF(I173="","",ABS(B173-I173))</f>
        <v/>
      </c>
      <c r="K173" s="146">
        <f>IF(G173="","Unmatched ERP",IF(AND(ABS(H173)&lt;=Mapping_Rules!$B$4,ABS(J173)&lt;=Mapping_Rules!$B$5),"Matched","Review"))</f>
        <v/>
      </c>
      <c r="L173" s="146">
        <f>IF(K173="Matched","None",IF(G173="","Missing from bank",IF(ABS(H173)&gt;Mapping_Rules!$B$4,"Amount variance","Date variance")))</f>
        <v/>
      </c>
      <c r="M173" s="146">
        <f>IF(K173="Matched","Low",IF(OR(IFERROR(ABS(H173),0)&gt;Mapping_Rules!$B$7,IFERROR(J173,0)&gt;Mapping_Rules!$B$8),"High","Medium"))</f>
        <v/>
      </c>
      <c r="N173" s="146">
        <f>IF(K173="Matched","No action needed",IF(L173="Missing from bank","Check bank date or posting",IF(L173="Amount variance","Check invoice/payment amount","Check timing difference")))</f>
        <v/>
      </c>
      <c r="O173" s="140" t="inlineStr">
        <is>
          <t>6100 Bank Fees</t>
        </is>
      </c>
      <c r="P173" s="140" t="inlineStr">
        <is>
          <t>Accounting Technician</t>
        </is>
      </c>
      <c r="Q173" s="140" t="inlineStr">
        <is>
          <t>No</t>
        </is>
      </c>
      <c r="R173" s="147" t="str"/>
      <c r="S173" s="148">
        <f>IF(K173="Matched",0,Mapping_Rules!$B$6-B173)</f>
        <v/>
      </c>
    </row>
    <row r="174">
      <c r="A174" s="115" t="inlineStr">
        <is>
          <t>ERP-00171</t>
        </is>
      </c>
      <c r="B174" s="125" t="n">
        <v>46047</v>
      </c>
      <c r="C174" s="115" t="inlineStr">
        <is>
          <t>AP</t>
        </is>
      </c>
      <c r="D174" s="115" t="inlineStr">
        <is>
          <t>Amazon Business</t>
        </is>
      </c>
      <c r="E174" s="115" t="inlineStr">
        <is>
          <t>REF-100171</t>
        </is>
      </c>
      <c r="F174" s="126" t="n">
        <v>-400.48</v>
      </c>
      <c r="G174" s="134">
        <f>IFERROR(XLOOKUP(E174,Bank_Statement!$D$4:$D$448,Bank_Statement!$G$4:$G$448,""),"")</f>
        <v/>
      </c>
      <c r="H174" s="126">
        <f>IF(G174="","",F174-G174)</f>
        <v/>
      </c>
      <c r="I174" s="135">
        <f>IFERROR(XLOOKUP(E174,Bank_Statement!$D$4:$D$448,Bank_Statement!$B$4:$B$448,""),"")</f>
        <v/>
      </c>
      <c r="J174" s="136">
        <f>IF(I174="","",ABS(B174-I174))</f>
        <v/>
      </c>
      <c r="K174" s="137">
        <f>IF(G174="","Unmatched ERP",IF(AND(ABS(H174)&lt;=Mapping_Rules!$B$4,ABS(J174)&lt;=Mapping_Rules!$B$5),"Matched","Review"))</f>
        <v/>
      </c>
      <c r="L174" s="137">
        <f>IF(K174="Matched","None",IF(G174="","Missing from bank",IF(ABS(H174)&gt;Mapping_Rules!$B$4,"Amount variance","Date variance")))</f>
        <v/>
      </c>
      <c r="M174" s="137">
        <f>IF(K174="Matched","Low",IF(OR(IFERROR(ABS(H174),0)&gt;Mapping_Rules!$B$7,IFERROR(J174,0)&gt;Mapping_Rules!$B$8),"High","Medium"))</f>
        <v/>
      </c>
      <c r="N174" s="137">
        <f>IF(K174="Matched","No action needed",IF(L174="Missing from bank","Check bank date or posting",IF(L174="Amount variance","Check invoice/payment amount","Check timing difference")))</f>
        <v/>
      </c>
      <c r="O174" s="115" t="inlineStr">
        <is>
          <t>2000 AP</t>
        </is>
      </c>
      <c r="P174" s="115" t="inlineStr">
        <is>
          <t>AP Clerk</t>
        </is>
      </c>
      <c r="Q174" s="115" t="inlineStr">
        <is>
          <t>No</t>
        </is>
      </c>
      <c r="R174" s="138" t="str"/>
      <c r="S174" s="139">
        <f>IF(K174="Matched",0,Mapping_Rules!$B$6-B174)</f>
        <v/>
      </c>
    </row>
    <row r="175">
      <c r="A175" s="140" t="inlineStr">
        <is>
          <t>ERP-00172</t>
        </is>
      </c>
      <c r="B175" s="141" t="n">
        <v>46046</v>
      </c>
      <c r="C175" s="140" t="inlineStr">
        <is>
          <t>Payroll</t>
        </is>
      </c>
      <c r="D175" s="140" t="inlineStr">
        <is>
          <t>Payroll Batch</t>
        </is>
      </c>
      <c r="E175" s="140" t="inlineStr">
        <is>
          <t>REF-100172</t>
        </is>
      </c>
      <c r="F175" s="142" t="n">
        <v>-16483.95</v>
      </c>
      <c r="G175" s="143">
        <f>IFERROR(XLOOKUP(E175,Bank_Statement!$D$4:$D$448,Bank_Statement!$G$4:$G$448,""),"")</f>
        <v/>
      </c>
      <c r="H175" s="142">
        <f>IF(G175="","",F175-G175)</f>
        <v/>
      </c>
      <c r="I175" s="144">
        <f>IFERROR(XLOOKUP(E175,Bank_Statement!$D$4:$D$448,Bank_Statement!$B$4:$B$448,""),"")</f>
        <v/>
      </c>
      <c r="J175" s="145">
        <f>IF(I175="","",ABS(B175-I175))</f>
        <v/>
      </c>
      <c r="K175" s="146">
        <f>IF(G175="","Unmatched ERP",IF(AND(ABS(H175)&lt;=Mapping_Rules!$B$4,ABS(J175)&lt;=Mapping_Rules!$B$5),"Matched","Review"))</f>
        <v/>
      </c>
      <c r="L175" s="146">
        <f>IF(K175="Matched","None",IF(G175="","Missing from bank",IF(ABS(H175)&gt;Mapping_Rules!$B$4,"Amount variance","Date variance")))</f>
        <v/>
      </c>
      <c r="M175" s="146">
        <f>IF(K175="Matched","Low",IF(OR(IFERROR(ABS(H175),0)&gt;Mapping_Rules!$B$7,IFERROR(J175,0)&gt;Mapping_Rules!$B$8),"High","Medium"))</f>
        <v/>
      </c>
      <c r="N175" s="146">
        <f>IF(K175="Matched","No action needed",IF(L175="Missing from bank","Check bank date or posting",IF(L175="Amount variance","Check invoice/payment amount","Check timing difference")))</f>
        <v/>
      </c>
      <c r="O175" s="140" t="inlineStr">
        <is>
          <t>5300 Payroll</t>
        </is>
      </c>
      <c r="P175" s="140" t="inlineStr">
        <is>
          <t>Accounting Technician</t>
        </is>
      </c>
      <c r="Q175" s="140" t="inlineStr">
        <is>
          <t>No</t>
        </is>
      </c>
      <c r="R175" s="147" t="str"/>
      <c r="S175" s="148">
        <f>IF(K175="Matched",0,Mapping_Rules!$B$6-B175)</f>
        <v/>
      </c>
    </row>
    <row r="176">
      <c r="A176" s="115" t="inlineStr">
        <is>
          <t>ERP-00173</t>
        </is>
      </c>
      <c r="B176" s="125" t="n">
        <v>46032</v>
      </c>
      <c r="C176" s="115" t="inlineStr">
        <is>
          <t>Bank Fees</t>
        </is>
      </c>
      <c r="D176" s="115" t="inlineStr">
        <is>
          <t>Bank</t>
        </is>
      </c>
      <c r="E176" s="115" t="inlineStr">
        <is>
          <t>REF-100173</t>
        </is>
      </c>
      <c r="F176" s="126" t="n">
        <v>-85.33</v>
      </c>
      <c r="G176" s="134">
        <f>IFERROR(XLOOKUP(E176,Bank_Statement!$D$4:$D$448,Bank_Statement!$G$4:$G$448,""),"")</f>
        <v/>
      </c>
      <c r="H176" s="126">
        <f>IF(G176="","",F176-G176)</f>
        <v/>
      </c>
      <c r="I176" s="135">
        <f>IFERROR(XLOOKUP(E176,Bank_Statement!$D$4:$D$448,Bank_Statement!$B$4:$B$448,""),"")</f>
        <v/>
      </c>
      <c r="J176" s="136">
        <f>IF(I176="","",ABS(B176-I176))</f>
        <v/>
      </c>
      <c r="K176" s="137">
        <f>IF(G176="","Unmatched ERP",IF(AND(ABS(H176)&lt;=Mapping_Rules!$B$4,ABS(J176)&lt;=Mapping_Rules!$B$5),"Matched","Review"))</f>
        <v/>
      </c>
      <c r="L176" s="137">
        <f>IF(K176="Matched","None",IF(G176="","Missing from bank",IF(ABS(H176)&gt;Mapping_Rules!$B$4,"Amount variance","Date variance")))</f>
        <v/>
      </c>
      <c r="M176" s="137">
        <f>IF(K176="Matched","Low",IF(OR(IFERROR(ABS(H176),0)&gt;Mapping_Rules!$B$7,IFERROR(J176,0)&gt;Mapping_Rules!$B$8),"High","Medium"))</f>
        <v/>
      </c>
      <c r="N176" s="137">
        <f>IF(K176="Matched","No action needed",IF(L176="Missing from bank","Check bank date or posting",IF(L176="Amount variance","Check invoice/payment amount","Check timing difference")))</f>
        <v/>
      </c>
      <c r="O176" s="115" t="inlineStr">
        <is>
          <t>6100 Bank Fees</t>
        </is>
      </c>
      <c r="P176" s="115" t="inlineStr">
        <is>
          <t>Accounting Technician</t>
        </is>
      </c>
      <c r="Q176" s="115" t="inlineStr">
        <is>
          <t>No</t>
        </is>
      </c>
      <c r="R176" s="138" t="str"/>
      <c r="S176" s="139">
        <f>IF(K176="Matched",0,Mapping_Rules!$B$6-B176)</f>
        <v/>
      </c>
    </row>
    <row r="177">
      <c r="A177" s="140" t="inlineStr">
        <is>
          <t>ERP-00174</t>
        </is>
      </c>
      <c r="B177" s="141" t="n">
        <v>46035</v>
      </c>
      <c r="C177" s="140" t="inlineStr">
        <is>
          <t>AR</t>
        </is>
      </c>
      <c r="D177" s="140" t="inlineStr">
        <is>
          <t>Raincity Tech</t>
        </is>
      </c>
      <c r="E177" s="140" t="inlineStr">
        <is>
          <t>REF-100174</t>
        </is>
      </c>
      <c r="F177" s="142" t="n">
        <v>6940.09</v>
      </c>
      <c r="G177" s="143">
        <f>IFERROR(XLOOKUP(E177,Bank_Statement!$D$4:$D$448,Bank_Statement!$G$4:$G$448,""),"")</f>
        <v/>
      </c>
      <c r="H177" s="142">
        <f>IF(G177="","",F177-G177)</f>
        <v/>
      </c>
      <c r="I177" s="144">
        <f>IFERROR(XLOOKUP(E177,Bank_Statement!$D$4:$D$448,Bank_Statement!$B$4:$B$448,""),"")</f>
        <v/>
      </c>
      <c r="J177" s="145">
        <f>IF(I177="","",ABS(B177-I177))</f>
        <v/>
      </c>
      <c r="K177" s="146">
        <f>IF(G177="","Unmatched ERP",IF(AND(ABS(H177)&lt;=Mapping_Rules!$B$4,ABS(J177)&lt;=Mapping_Rules!$B$5),"Matched","Review"))</f>
        <v/>
      </c>
      <c r="L177" s="146">
        <f>IF(K177="Matched","None",IF(G177="","Missing from bank",IF(ABS(H177)&gt;Mapping_Rules!$B$4,"Amount variance","Date variance")))</f>
        <v/>
      </c>
      <c r="M177" s="146">
        <f>IF(K177="Matched","Low",IF(OR(IFERROR(ABS(H177),0)&gt;Mapping_Rules!$B$7,IFERROR(J177,0)&gt;Mapping_Rules!$B$8),"High","Medium"))</f>
        <v/>
      </c>
      <c r="N177" s="146">
        <f>IF(K177="Matched","No action needed",IF(L177="Missing from bank","Check bank date or posting",IF(L177="Amount variance","Check invoice/payment amount","Check timing difference")))</f>
        <v/>
      </c>
      <c r="O177" s="140" t="inlineStr">
        <is>
          <t>1200 AR</t>
        </is>
      </c>
      <c r="P177" s="140" t="inlineStr">
        <is>
          <t>AR Clerk</t>
        </is>
      </c>
      <c r="Q177" s="140" t="inlineStr">
        <is>
          <t>No</t>
        </is>
      </c>
      <c r="R177" s="147" t="str"/>
      <c r="S177" s="148">
        <f>IF(K177="Matched",0,Mapping_Rules!$B$6-B177)</f>
        <v/>
      </c>
    </row>
    <row r="178">
      <c r="A178" s="115" t="inlineStr">
        <is>
          <t>ERP-00175</t>
        </is>
      </c>
      <c r="B178" s="125" t="n">
        <v>46023</v>
      </c>
      <c r="C178" s="115" t="inlineStr">
        <is>
          <t>AR</t>
        </is>
      </c>
      <c r="D178" s="115" t="inlineStr">
        <is>
          <t>Coastline Foods</t>
        </is>
      </c>
      <c r="E178" s="115" t="inlineStr">
        <is>
          <t>REF-100175</t>
        </is>
      </c>
      <c r="F178" s="126" t="n">
        <v>8092.26</v>
      </c>
      <c r="G178" s="134">
        <f>IFERROR(XLOOKUP(E178,Bank_Statement!$D$4:$D$448,Bank_Statement!$G$4:$G$448,""),"")</f>
        <v/>
      </c>
      <c r="H178" s="126">
        <f>IF(G178="","",F178-G178)</f>
        <v/>
      </c>
      <c r="I178" s="135">
        <f>IFERROR(XLOOKUP(E178,Bank_Statement!$D$4:$D$448,Bank_Statement!$B$4:$B$448,""),"")</f>
        <v/>
      </c>
      <c r="J178" s="136">
        <f>IF(I178="","",ABS(B178-I178))</f>
        <v/>
      </c>
      <c r="K178" s="137">
        <f>IF(G178="","Unmatched ERP",IF(AND(ABS(H178)&lt;=Mapping_Rules!$B$4,ABS(J178)&lt;=Mapping_Rules!$B$5),"Matched","Review"))</f>
        <v/>
      </c>
      <c r="L178" s="137">
        <f>IF(K178="Matched","None",IF(G178="","Missing from bank",IF(ABS(H178)&gt;Mapping_Rules!$B$4,"Amount variance","Date variance")))</f>
        <v/>
      </c>
      <c r="M178" s="137">
        <f>IF(K178="Matched","Low",IF(OR(IFERROR(ABS(H178),0)&gt;Mapping_Rules!$B$7,IFERROR(J178,0)&gt;Mapping_Rules!$B$8),"High","Medium"))</f>
        <v/>
      </c>
      <c r="N178" s="137">
        <f>IF(K178="Matched","No action needed",IF(L178="Missing from bank","Check bank date or posting",IF(L178="Amount variance","Check invoice/payment amount","Check timing difference")))</f>
        <v/>
      </c>
      <c r="O178" s="115" t="inlineStr">
        <is>
          <t>1200 AR</t>
        </is>
      </c>
      <c r="P178" s="115" t="inlineStr">
        <is>
          <t>AR Clerk</t>
        </is>
      </c>
      <c r="Q178" s="115" t="inlineStr">
        <is>
          <t>No</t>
        </is>
      </c>
      <c r="R178" s="138" t="str"/>
      <c r="S178" s="139">
        <f>IF(K178="Matched",0,Mapping_Rules!$B$6-B178)</f>
        <v/>
      </c>
    </row>
    <row r="179">
      <c r="A179" s="140" t="inlineStr">
        <is>
          <t>ERP-00176</t>
        </is>
      </c>
      <c r="B179" s="141" t="n">
        <v>46032</v>
      </c>
      <c r="C179" s="140" t="inlineStr">
        <is>
          <t>Payroll</t>
        </is>
      </c>
      <c r="D179" s="140" t="inlineStr">
        <is>
          <t>Payroll Batch</t>
        </is>
      </c>
      <c r="E179" s="140" t="inlineStr">
        <is>
          <t>REF-100176</t>
        </is>
      </c>
      <c r="F179" s="142" t="n">
        <v>-3966.54</v>
      </c>
      <c r="G179" s="143">
        <f>IFERROR(XLOOKUP(E179,Bank_Statement!$D$4:$D$448,Bank_Statement!$G$4:$G$448,""),"")</f>
        <v/>
      </c>
      <c r="H179" s="142">
        <f>IF(G179="","",F179-G179)</f>
        <v/>
      </c>
      <c r="I179" s="144">
        <f>IFERROR(XLOOKUP(E179,Bank_Statement!$D$4:$D$448,Bank_Statement!$B$4:$B$448,""),"")</f>
        <v/>
      </c>
      <c r="J179" s="145">
        <f>IF(I179="","",ABS(B179-I179))</f>
        <v/>
      </c>
      <c r="K179" s="146">
        <f>IF(G179="","Unmatched ERP",IF(AND(ABS(H179)&lt;=Mapping_Rules!$B$4,ABS(J179)&lt;=Mapping_Rules!$B$5),"Matched","Review"))</f>
        <v/>
      </c>
      <c r="L179" s="146">
        <f>IF(K179="Matched","None",IF(G179="","Missing from bank",IF(ABS(H179)&gt;Mapping_Rules!$B$4,"Amount variance","Date variance")))</f>
        <v/>
      </c>
      <c r="M179" s="146">
        <f>IF(K179="Matched","Low",IF(OR(IFERROR(ABS(H179),0)&gt;Mapping_Rules!$B$7,IFERROR(J179,0)&gt;Mapping_Rules!$B$8),"High","Medium"))</f>
        <v/>
      </c>
      <c r="N179" s="146">
        <f>IF(K179="Matched","No action needed",IF(L179="Missing from bank","Check bank date or posting",IF(L179="Amount variance","Check invoice/payment amount","Check timing difference")))</f>
        <v/>
      </c>
      <c r="O179" s="140" t="inlineStr">
        <is>
          <t>5300 Payroll</t>
        </is>
      </c>
      <c r="P179" s="140" t="inlineStr">
        <is>
          <t>Accounting Technician</t>
        </is>
      </c>
      <c r="Q179" s="140" t="inlineStr">
        <is>
          <t>No</t>
        </is>
      </c>
      <c r="R179" s="147" t="str"/>
      <c r="S179" s="148">
        <f>IF(K179="Matched",0,Mapping_Rules!$B$6-B179)</f>
        <v/>
      </c>
    </row>
    <row r="180">
      <c r="A180" s="115" t="inlineStr">
        <is>
          <t>ERP-00177</t>
        </is>
      </c>
      <c r="B180" s="125" t="n">
        <v>46042</v>
      </c>
      <c r="C180" s="115" t="inlineStr">
        <is>
          <t>AP</t>
        </is>
      </c>
      <c r="D180" s="115" t="inlineStr">
        <is>
          <t>BC Hydro</t>
        </is>
      </c>
      <c r="E180" s="115" t="inlineStr">
        <is>
          <t>REF-100177</t>
        </is>
      </c>
      <c r="F180" s="126" t="n">
        <v>-1024.03</v>
      </c>
      <c r="G180" s="134">
        <f>IFERROR(XLOOKUP(E180,Bank_Statement!$D$4:$D$448,Bank_Statement!$G$4:$G$448,""),"")</f>
        <v/>
      </c>
      <c r="H180" s="126">
        <f>IF(G180="","",F180-G180)</f>
        <v/>
      </c>
      <c r="I180" s="135">
        <f>IFERROR(XLOOKUP(E180,Bank_Statement!$D$4:$D$448,Bank_Statement!$B$4:$B$448,""),"")</f>
        <v/>
      </c>
      <c r="J180" s="136">
        <f>IF(I180="","",ABS(B180-I180))</f>
        <v/>
      </c>
      <c r="K180" s="137">
        <f>IF(G180="","Unmatched ERP",IF(AND(ABS(H180)&lt;=Mapping_Rules!$B$4,ABS(J180)&lt;=Mapping_Rules!$B$5),"Matched","Review"))</f>
        <v/>
      </c>
      <c r="L180" s="137">
        <f>IF(K180="Matched","None",IF(G180="","Missing from bank",IF(ABS(H180)&gt;Mapping_Rules!$B$4,"Amount variance","Date variance")))</f>
        <v/>
      </c>
      <c r="M180" s="137">
        <f>IF(K180="Matched","Low",IF(OR(IFERROR(ABS(H180),0)&gt;Mapping_Rules!$B$7,IFERROR(J180,0)&gt;Mapping_Rules!$B$8),"High","Medium"))</f>
        <v/>
      </c>
      <c r="N180" s="137">
        <f>IF(K180="Matched","No action needed",IF(L180="Missing from bank","Check bank date or posting",IF(L180="Amount variance","Check invoice/payment amount","Check timing difference")))</f>
        <v/>
      </c>
      <c r="O180" s="115" t="inlineStr">
        <is>
          <t>2000 AP</t>
        </is>
      </c>
      <c r="P180" s="115" t="inlineStr">
        <is>
          <t>AP Clerk</t>
        </is>
      </c>
      <c r="Q180" s="115" t="inlineStr">
        <is>
          <t>No</t>
        </is>
      </c>
      <c r="R180" s="138" t="str"/>
      <c r="S180" s="139">
        <f>IF(K180="Matched",0,Mapping_Rules!$B$6-B180)</f>
        <v/>
      </c>
    </row>
    <row r="181">
      <c r="A181" s="140" t="inlineStr">
        <is>
          <t>ERP-00178</t>
        </is>
      </c>
      <c r="B181" s="141" t="n">
        <v>46024</v>
      </c>
      <c r="C181" s="140" t="inlineStr">
        <is>
          <t>AR</t>
        </is>
      </c>
      <c r="D181" s="140" t="inlineStr">
        <is>
          <t>Harbour Design Co.</t>
        </is>
      </c>
      <c r="E181" s="140" t="inlineStr">
        <is>
          <t>REF-100178</t>
        </is>
      </c>
      <c r="F181" s="142" t="n">
        <v>6158.54</v>
      </c>
      <c r="G181" s="143">
        <f>IFERROR(XLOOKUP(E181,Bank_Statement!$D$4:$D$448,Bank_Statement!$G$4:$G$448,""),"")</f>
        <v/>
      </c>
      <c r="H181" s="142">
        <f>IF(G181="","",F181-G181)</f>
        <v/>
      </c>
      <c r="I181" s="144">
        <f>IFERROR(XLOOKUP(E181,Bank_Statement!$D$4:$D$448,Bank_Statement!$B$4:$B$448,""),"")</f>
        <v/>
      </c>
      <c r="J181" s="145">
        <f>IF(I181="","",ABS(B181-I181))</f>
        <v/>
      </c>
      <c r="K181" s="146">
        <f>IF(G181="","Unmatched ERP",IF(AND(ABS(H181)&lt;=Mapping_Rules!$B$4,ABS(J181)&lt;=Mapping_Rules!$B$5),"Matched","Review"))</f>
        <v/>
      </c>
      <c r="L181" s="146">
        <f>IF(K181="Matched","None",IF(G181="","Missing from bank",IF(ABS(H181)&gt;Mapping_Rules!$B$4,"Amount variance","Date variance")))</f>
        <v/>
      </c>
      <c r="M181" s="146">
        <f>IF(K181="Matched","Low",IF(OR(IFERROR(ABS(H181),0)&gt;Mapping_Rules!$B$7,IFERROR(J181,0)&gt;Mapping_Rules!$B$8),"High","Medium"))</f>
        <v/>
      </c>
      <c r="N181" s="146">
        <f>IF(K181="Matched","No action needed",IF(L181="Missing from bank","Check bank date or posting",IF(L181="Amount variance","Check invoice/payment amount","Check timing difference")))</f>
        <v/>
      </c>
      <c r="O181" s="140" t="inlineStr">
        <is>
          <t>1200 AR</t>
        </is>
      </c>
      <c r="P181" s="140" t="inlineStr">
        <is>
          <t>AR Clerk</t>
        </is>
      </c>
      <c r="Q181" s="140" t="inlineStr">
        <is>
          <t>No</t>
        </is>
      </c>
      <c r="R181" s="147" t="str"/>
      <c r="S181" s="148">
        <f>IF(K181="Matched",0,Mapping_Rules!$B$6-B181)</f>
        <v/>
      </c>
    </row>
    <row r="182">
      <c r="A182" s="115" t="inlineStr">
        <is>
          <t>ERP-00179</t>
        </is>
      </c>
      <c r="B182" s="125" t="n">
        <v>46030</v>
      </c>
      <c r="C182" s="115" t="inlineStr">
        <is>
          <t>AP</t>
        </is>
      </c>
      <c r="D182" s="115" t="inlineStr">
        <is>
          <t>Vancouver Courier</t>
        </is>
      </c>
      <c r="E182" s="115" t="inlineStr">
        <is>
          <t>REF-100179</t>
        </is>
      </c>
      <c r="F182" s="126" t="n">
        <v>-4880.35</v>
      </c>
      <c r="G182" s="134">
        <f>IFERROR(XLOOKUP(E182,Bank_Statement!$D$4:$D$448,Bank_Statement!$G$4:$G$448,""),"")</f>
        <v/>
      </c>
      <c r="H182" s="126">
        <f>IF(G182="","",F182-G182)</f>
        <v/>
      </c>
      <c r="I182" s="135">
        <f>IFERROR(XLOOKUP(E182,Bank_Statement!$D$4:$D$448,Bank_Statement!$B$4:$B$448,""),"")</f>
        <v/>
      </c>
      <c r="J182" s="136">
        <f>IF(I182="","",ABS(B182-I182))</f>
        <v/>
      </c>
      <c r="K182" s="137">
        <f>IF(G182="","Unmatched ERP",IF(AND(ABS(H182)&lt;=Mapping_Rules!$B$4,ABS(J182)&lt;=Mapping_Rules!$B$5),"Matched","Review"))</f>
        <v/>
      </c>
      <c r="L182" s="137">
        <f>IF(K182="Matched","None",IF(G182="","Missing from bank",IF(ABS(H182)&gt;Mapping_Rules!$B$4,"Amount variance","Date variance")))</f>
        <v/>
      </c>
      <c r="M182" s="137">
        <f>IF(K182="Matched","Low",IF(OR(IFERROR(ABS(H182),0)&gt;Mapping_Rules!$B$7,IFERROR(J182,0)&gt;Mapping_Rules!$B$8),"High","Medium"))</f>
        <v/>
      </c>
      <c r="N182" s="137">
        <f>IF(K182="Matched","No action needed",IF(L182="Missing from bank","Check bank date or posting",IF(L182="Amount variance","Check invoice/payment amount","Check timing difference")))</f>
        <v/>
      </c>
      <c r="O182" s="115" t="inlineStr">
        <is>
          <t>2000 AP</t>
        </is>
      </c>
      <c r="P182" s="115" t="inlineStr">
        <is>
          <t>AP Clerk</t>
        </is>
      </c>
      <c r="Q182" s="115" t="inlineStr">
        <is>
          <t>No</t>
        </is>
      </c>
      <c r="R182" s="138" t="str"/>
      <c r="S182" s="139">
        <f>IF(K182="Matched",0,Mapping_Rules!$B$6-B182)</f>
        <v/>
      </c>
    </row>
    <row r="183">
      <c r="A183" s="140" t="inlineStr">
        <is>
          <t>ERP-00180</t>
        </is>
      </c>
      <c r="B183" s="141" t="n">
        <v>46032</v>
      </c>
      <c r="C183" s="140" t="inlineStr">
        <is>
          <t>GL</t>
        </is>
      </c>
      <c r="D183" s="140" t="inlineStr">
        <is>
          <t>Coastline Foods</t>
        </is>
      </c>
      <c r="E183" s="140" t="inlineStr">
        <is>
          <t>REF-100180</t>
        </is>
      </c>
      <c r="F183" s="142" t="n">
        <v>-2660.93</v>
      </c>
      <c r="G183" s="143">
        <f>IFERROR(XLOOKUP(E183,Bank_Statement!$D$4:$D$448,Bank_Statement!$G$4:$G$448,""),"")</f>
        <v/>
      </c>
      <c r="H183" s="142">
        <f>IF(G183="","",F183-G183)</f>
        <v/>
      </c>
      <c r="I183" s="144">
        <f>IFERROR(XLOOKUP(E183,Bank_Statement!$D$4:$D$448,Bank_Statement!$B$4:$B$448,""),"")</f>
        <v/>
      </c>
      <c r="J183" s="145">
        <f>IF(I183="","",ABS(B183-I183))</f>
        <v/>
      </c>
      <c r="K183" s="146">
        <f>IF(G183="","Unmatched ERP",IF(AND(ABS(H183)&lt;=Mapping_Rules!$B$4,ABS(J183)&lt;=Mapping_Rules!$B$5),"Matched","Review"))</f>
        <v/>
      </c>
      <c r="L183" s="146">
        <f>IF(K183="Matched","None",IF(G183="","Missing from bank",IF(ABS(H183)&gt;Mapping_Rules!$B$4,"Amount variance","Date variance")))</f>
        <v/>
      </c>
      <c r="M183" s="146">
        <f>IF(K183="Matched","Low",IF(OR(IFERROR(ABS(H183),0)&gt;Mapping_Rules!$B$7,IFERROR(J183,0)&gt;Mapping_Rules!$B$8),"High","Medium"))</f>
        <v/>
      </c>
      <c r="N183" s="146">
        <f>IF(K183="Matched","No action needed",IF(L183="Missing from bank","Check bank date or posting",IF(L183="Amount variance","Check invoice/payment amount","Check timing difference")))</f>
        <v/>
      </c>
      <c r="O183" s="140" t="inlineStr">
        <is>
          <t>5000 Office Expense</t>
        </is>
      </c>
      <c r="P183" s="140" t="inlineStr">
        <is>
          <t>Accounting Technician</t>
        </is>
      </c>
      <c r="Q183" s="140" t="inlineStr">
        <is>
          <t>No</t>
        </is>
      </c>
      <c r="R183" s="147" t="str"/>
      <c r="S183" s="148">
        <f>IF(K183="Matched",0,Mapping_Rules!$B$6-B183)</f>
        <v/>
      </c>
    </row>
    <row r="184">
      <c r="A184" s="115" t="inlineStr">
        <is>
          <t>ERP-00181</t>
        </is>
      </c>
      <c r="B184" s="125" t="n">
        <v>46024</v>
      </c>
      <c r="C184" s="115" t="inlineStr">
        <is>
          <t>AR</t>
        </is>
      </c>
      <c r="D184" s="115" t="inlineStr">
        <is>
          <t>Raincity Tech</t>
        </is>
      </c>
      <c r="E184" s="115" t="inlineStr">
        <is>
          <t>REF-100181</t>
        </is>
      </c>
      <c r="F184" s="126" t="n">
        <v>4780.42</v>
      </c>
      <c r="G184" s="134">
        <f>IFERROR(XLOOKUP(E184,Bank_Statement!$D$4:$D$448,Bank_Statement!$G$4:$G$448,""),"")</f>
        <v/>
      </c>
      <c r="H184" s="126">
        <f>IF(G184="","",F184-G184)</f>
        <v/>
      </c>
      <c r="I184" s="135">
        <f>IFERROR(XLOOKUP(E184,Bank_Statement!$D$4:$D$448,Bank_Statement!$B$4:$B$448,""),"")</f>
        <v/>
      </c>
      <c r="J184" s="136">
        <f>IF(I184="","",ABS(B184-I184))</f>
        <v/>
      </c>
      <c r="K184" s="137">
        <f>IF(G184="","Unmatched ERP",IF(AND(ABS(H184)&lt;=Mapping_Rules!$B$4,ABS(J184)&lt;=Mapping_Rules!$B$5),"Matched","Review"))</f>
        <v/>
      </c>
      <c r="L184" s="137">
        <f>IF(K184="Matched","None",IF(G184="","Missing from bank",IF(ABS(H184)&gt;Mapping_Rules!$B$4,"Amount variance","Date variance")))</f>
        <v/>
      </c>
      <c r="M184" s="137">
        <f>IF(K184="Matched","Low",IF(OR(IFERROR(ABS(H184),0)&gt;Mapping_Rules!$B$7,IFERROR(J184,0)&gt;Mapping_Rules!$B$8),"High","Medium"))</f>
        <v/>
      </c>
      <c r="N184" s="137">
        <f>IF(K184="Matched","No action needed",IF(L184="Missing from bank","Check bank date or posting",IF(L184="Amount variance","Check invoice/payment amount","Check timing difference")))</f>
        <v/>
      </c>
      <c r="O184" s="115" t="inlineStr">
        <is>
          <t>1200 AR</t>
        </is>
      </c>
      <c r="P184" s="115" t="inlineStr">
        <is>
          <t>AR Clerk</t>
        </is>
      </c>
      <c r="Q184" s="115" t="inlineStr">
        <is>
          <t>No</t>
        </is>
      </c>
      <c r="R184" s="138" t="str"/>
      <c r="S184" s="139">
        <f>IF(K184="Matched",0,Mapping_Rules!$B$6-B184)</f>
        <v/>
      </c>
    </row>
    <row r="185">
      <c r="A185" s="140" t="inlineStr">
        <is>
          <t>ERP-00182</t>
        </is>
      </c>
      <c r="B185" s="141" t="n">
        <v>46032</v>
      </c>
      <c r="C185" s="140" t="inlineStr">
        <is>
          <t>AP</t>
        </is>
      </c>
      <c r="D185" s="140" t="inlineStr">
        <is>
          <t>North Shore Telecom</t>
        </is>
      </c>
      <c r="E185" s="140" t="inlineStr">
        <is>
          <t>REF-100182</t>
        </is>
      </c>
      <c r="F185" s="142" t="n">
        <v>-1749.48</v>
      </c>
      <c r="G185" s="143">
        <f>IFERROR(XLOOKUP(E185,Bank_Statement!$D$4:$D$448,Bank_Statement!$G$4:$G$448,""),"")</f>
        <v/>
      </c>
      <c r="H185" s="142">
        <f>IF(G185="","",F185-G185)</f>
        <v/>
      </c>
      <c r="I185" s="144">
        <f>IFERROR(XLOOKUP(E185,Bank_Statement!$D$4:$D$448,Bank_Statement!$B$4:$B$448,""),"")</f>
        <v/>
      </c>
      <c r="J185" s="145">
        <f>IF(I185="","",ABS(B185-I185))</f>
        <v/>
      </c>
      <c r="K185" s="146">
        <f>IF(G185="","Unmatched ERP",IF(AND(ABS(H185)&lt;=Mapping_Rules!$B$4,ABS(J185)&lt;=Mapping_Rules!$B$5),"Matched","Review"))</f>
        <v/>
      </c>
      <c r="L185" s="146">
        <f>IF(K185="Matched","None",IF(G185="","Missing from bank",IF(ABS(H185)&gt;Mapping_Rules!$B$4,"Amount variance","Date variance")))</f>
        <v/>
      </c>
      <c r="M185" s="146">
        <f>IF(K185="Matched","Low",IF(OR(IFERROR(ABS(H185),0)&gt;Mapping_Rules!$B$7,IFERROR(J185,0)&gt;Mapping_Rules!$B$8),"High","Medium"))</f>
        <v/>
      </c>
      <c r="N185" s="146">
        <f>IF(K185="Matched","No action needed",IF(L185="Missing from bank","Check bank date or posting",IF(L185="Amount variance","Check invoice/payment amount","Check timing difference")))</f>
        <v/>
      </c>
      <c r="O185" s="140" t="inlineStr">
        <is>
          <t>2000 AP</t>
        </is>
      </c>
      <c r="P185" s="140" t="inlineStr">
        <is>
          <t>AP Clerk</t>
        </is>
      </c>
      <c r="Q185" s="140" t="inlineStr">
        <is>
          <t>No</t>
        </is>
      </c>
      <c r="R185" s="147" t="str"/>
      <c r="S185" s="148">
        <f>IF(K185="Matched",0,Mapping_Rules!$B$6-B185)</f>
        <v/>
      </c>
    </row>
    <row r="186">
      <c r="A186" s="115" t="inlineStr">
        <is>
          <t>ERP-00183</t>
        </is>
      </c>
      <c r="B186" s="125" t="n">
        <v>46025</v>
      </c>
      <c r="C186" s="115" t="inlineStr">
        <is>
          <t>Bank Fees</t>
        </is>
      </c>
      <c r="D186" s="115" t="inlineStr">
        <is>
          <t>Bank</t>
        </is>
      </c>
      <c r="E186" s="115" t="inlineStr">
        <is>
          <t>REF-100183</t>
        </is>
      </c>
      <c r="F186" s="126" t="n">
        <v>-30.53</v>
      </c>
      <c r="G186" s="134">
        <f>IFERROR(XLOOKUP(E186,Bank_Statement!$D$4:$D$448,Bank_Statement!$G$4:$G$448,""),"")</f>
        <v/>
      </c>
      <c r="H186" s="126">
        <f>IF(G186="","",F186-G186)</f>
        <v/>
      </c>
      <c r="I186" s="135">
        <f>IFERROR(XLOOKUP(E186,Bank_Statement!$D$4:$D$448,Bank_Statement!$B$4:$B$448,""),"")</f>
        <v/>
      </c>
      <c r="J186" s="136">
        <f>IF(I186="","",ABS(B186-I186))</f>
        <v/>
      </c>
      <c r="K186" s="137">
        <f>IF(G186="","Unmatched ERP",IF(AND(ABS(H186)&lt;=Mapping_Rules!$B$4,ABS(J186)&lt;=Mapping_Rules!$B$5),"Matched","Review"))</f>
        <v/>
      </c>
      <c r="L186" s="137">
        <f>IF(K186="Matched","None",IF(G186="","Missing from bank",IF(ABS(H186)&gt;Mapping_Rules!$B$4,"Amount variance","Date variance")))</f>
        <v/>
      </c>
      <c r="M186" s="137">
        <f>IF(K186="Matched","Low",IF(OR(IFERROR(ABS(H186),0)&gt;Mapping_Rules!$B$7,IFERROR(J186,0)&gt;Mapping_Rules!$B$8),"High","Medium"))</f>
        <v/>
      </c>
      <c r="N186" s="137">
        <f>IF(K186="Matched","No action needed",IF(L186="Missing from bank","Check bank date or posting",IF(L186="Amount variance","Check invoice/payment amount","Check timing difference")))</f>
        <v/>
      </c>
      <c r="O186" s="115" t="inlineStr">
        <is>
          <t>6100 Bank Fees</t>
        </is>
      </c>
      <c r="P186" s="115" t="inlineStr">
        <is>
          <t>Accounting Technician</t>
        </is>
      </c>
      <c r="Q186" s="115" t="inlineStr">
        <is>
          <t>No</t>
        </is>
      </c>
      <c r="R186" s="138" t="str"/>
      <c r="S186" s="139">
        <f>IF(K186="Matched",0,Mapping_Rules!$B$6-B186)</f>
        <v/>
      </c>
    </row>
    <row r="187">
      <c r="A187" s="140" t="inlineStr">
        <is>
          <t>ERP-00184</t>
        </is>
      </c>
      <c r="B187" s="141" t="n">
        <v>46036</v>
      </c>
      <c r="C187" s="140" t="inlineStr">
        <is>
          <t>AP</t>
        </is>
      </c>
      <c r="D187" s="140" t="inlineStr">
        <is>
          <t>Amazon Business</t>
        </is>
      </c>
      <c r="E187" s="140" t="inlineStr">
        <is>
          <t>REF-100184</t>
        </is>
      </c>
      <c r="F187" s="142" t="n">
        <v>-2368.64</v>
      </c>
      <c r="G187" s="143">
        <f>IFERROR(XLOOKUP(E187,Bank_Statement!$D$4:$D$448,Bank_Statement!$G$4:$G$448,""),"")</f>
        <v/>
      </c>
      <c r="H187" s="142">
        <f>IF(G187="","",F187-G187)</f>
        <v/>
      </c>
      <c r="I187" s="144">
        <f>IFERROR(XLOOKUP(E187,Bank_Statement!$D$4:$D$448,Bank_Statement!$B$4:$B$448,""),"")</f>
        <v/>
      </c>
      <c r="J187" s="145">
        <f>IF(I187="","",ABS(B187-I187))</f>
        <v/>
      </c>
      <c r="K187" s="146">
        <f>IF(G187="","Unmatched ERP",IF(AND(ABS(H187)&lt;=Mapping_Rules!$B$4,ABS(J187)&lt;=Mapping_Rules!$B$5),"Matched","Review"))</f>
        <v/>
      </c>
      <c r="L187" s="146">
        <f>IF(K187="Matched","None",IF(G187="","Missing from bank",IF(ABS(H187)&gt;Mapping_Rules!$B$4,"Amount variance","Date variance")))</f>
        <v/>
      </c>
      <c r="M187" s="146">
        <f>IF(K187="Matched","Low",IF(OR(IFERROR(ABS(H187),0)&gt;Mapping_Rules!$B$7,IFERROR(J187,0)&gt;Mapping_Rules!$B$8),"High","Medium"))</f>
        <v/>
      </c>
      <c r="N187" s="146">
        <f>IF(K187="Matched","No action needed",IF(L187="Missing from bank","Check bank date or posting",IF(L187="Amount variance","Check invoice/payment amount","Check timing difference")))</f>
        <v/>
      </c>
      <c r="O187" s="140" t="inlineStr">
        <is>
          <t>2000 AP</t>
        </is>
      </c>
      <c r="P187" s="140" t="inlineStr">
        <is>
          <t>AP Clerk</t>
        </is>
      </c>
      <c r="Q187" s="140" t="inlineStr">
        <is>
          <t>No</t>
        </is>
      </c>
      <c r="R187" s="147" t="str"/>
      <c r="S187" s="148">
        <f>IF(K187="Matched",0,Mapping_Rules!$B$6-B187)</f>
        <v/>
      </c>
    </row>
    <row r="188">
      <c r="A188" s="115" t="inlineStr">
        <is>
          <t>ERP-00185</t>
        </is>
      </c>
      <c r="B188" s="125" t="n">
        <v>46026</v>
      </c>
      <c r="C188" s="115" t="inlineStr">
        <is>
          <t>Payroll</t>
        </is>
      </c>
      <c r="D188" s="115" t="inlineStr">
        <is>
          <t>Payroll Batch</t>
        </is>
      </c>
      <c r="E188" s="115" t="inlineStr">
        <is>
          <t>REF-100185</t>
        </is>
      </c>
      <c r="F188" s="126" t="n">
        <v>-11924.43</v>
      </c>
      <c r="G188" s="134">
        <f>IFERROR(XLOOKUP(E188,Bank_Statement!$D$4:$D$448,Bank_Statement!$G$4:$G$448,""),"")</f>
        <v/>
      </c>
      <c r="H188" s="126">
        <f>IF(G188="","",F188-G188)</f>
        <v/>
      </c>
      <c r="I188" s="135">
        <f>IFERROR(XLOOKUP(E188,Bank_Statement!$D$4:$D$448,Bank_Statement!$B$4:$B$448,""),"")</f>
        <v/>
      </c>
      <c r="J188" s="136">
        <f>IF(I188="","",ABS(B188-I188))</f>
        <v/>
      </c>
      <c r="K188" s="137">
        <f>IF(G188="","Unmatched ERP",IF(AND(ABS(H188)&lt;=Mapping_Rules!$B$4,ABS(J188)&lt;=Mapping_Rules!$B$5),"Matched","Review"))</f>
        <v/>
      </c>
      <c r="L188" s="137">
        <f>IF(K188="Matched","None",IF(G188="","Missing from bank",IF(ABS(H188)&gt;Mapping_Rules!$B$4,"Amount variance","Date variance")))</f>
        <v/>
      </c>
      <c r="M188" s="137">
        <f>IF(K188="Matched","Low",IF(OR(IFERROR(ABS(H188),0)&gt;Mapping_Rules!$B$7,IFERROR(J188,0)&gt;Mapping_Rules!$B$8),"High","Medium"))</f>
        <v/>
      </c>
      <c r="N188" s="137">
        <f>IF(K188="Matched","No action needed",IF(L188="Missing from bank","Check bank date or posting",IF(L188="Amount variance","Check invoice/payment amount","Check timing difference")))</f>
        <v/>
      </c>
      <c r="O188" s="115" t="inlineStr">
        <is>
          <t>5300 Payroll</t>
        </is>
      </c>
      <c r="P188" s="115" t="inlineStr">
        <is>
          <t>Accounting Technician</t>
        </is>
      </c>
      <c r="Q188" s="115" t="inlineStr">
        <is>
          <t>No</t>
        </is>
      </c>
      <c r="R188" s="138" t="str"/>
      <c r="S188" s="139">
        <f>IF(K188="Matched",0,Mapping_Rules!$B$6-B188)</f>
        <v/>
      </c>
    </row>
    <row r="189">
      <c r="A189" s="140" t="inlineStr">
        <is>
          <t>ERP-00186</t>
        </is>
      </c>
      <c r="B189" s="141" t="n">
        <v>46027</v>
      </c>
      <c r="C189" s="140" t="inlineStr">
        <is>
          <t>GL</t>
        </is>
      </c>
      <c r="D189" s="140" t="inlineStr">
        <is>
          <t>Maple Retail Group</t>
        </is>
      </c>
      <c r="E189" s="140" t="inlineStr">
        <is>
          <t>REF-100186</t>
        </is>
      </c>
      <c r="F189" s="142" t="n">
        <v>2270.58</v>
      </c>
      <c r="G189" s="143">
        <f>IFERROR(XLOOKUP(E189,Bank_Statement!$D$4:$D$448,Bank_Statement!$G$4:$G$448,""),"")</f>
        <v/>
      </c>
      <c r="H189" s="142">
        <f>IF(G189="","",F189-G189)</f>
        <v/>
      </c>
      <c r="I189" s="144">
        <f>IFERROR(XLOOKUP(E189,Bank_Statement!$D$4:$D$448,Bank_Statement!$B$4:$B$448,""),"")</f>
        <v/>
      </c>
      <c r="J189" s="145">
        <f>IF(I189="","",ABS(B189-I189))</f>
        <v/>
      </c>
      <c r="K189" s="146">
        <f>IF(G189="","Unmatched ERP",IF(AND(ABS(H189)&lt;=Mapping_Rules!$B$4,ABS(J189)&lt;=Mapping_Rules!$B$5),"Matched","Review"))</f>
        <v/>
      </c>
      <c r="L189" s="146">
        <f>IF(K189="Matched","None",IF(G189="","Missing from bank",IF(ABS(H189)&gt;Mapping_Rules!$B$4,"Amount variance","Date variance")))</f>
        <v/>
      </c>
      <c r="M189" s="146">
        <f>IF(K189="Matched","Low",IF(OR(IFERROR(ABS(H189),0)&gt;Mapping_Rules!$B$7,IFERROR(J189,0)&gt;Mapping_Rules!$B$8),"High","Medium"))</f>
        <v/>
      </c>
      <c r="N189" s="146">
        <f>IF(K189="Matched","No action needed",IF(L189="Missing from bank","Check bank date or posting",IF(L189="Amount variance","Check invoice/payment amount","Check timing difference")))</f>
        <v/>
      </c>
      <c r="O189" s="140" t="inlineStr">
        <is>
          <t>1200 AR</t>
        </is>
      </c>
      <c r="P189" s="140" t="inlineStr">
        <is>
          <t>Accounting Technician</t>
        </is>
      </c>
      <c r="Q189" s="140" t="inlineStr">
        <is>
          <t>No</t>
        </is>
      </c>
      <c r="R189" s="147" t="str"/>
      <c r="S189" s="148">
        <f>IF(K189="Matched",0,Mapping_Rules!$B$6-B189)</f>
        <v/>
      </c>
    </row>
    <row r="190">
      <c r="A190" s="115" t="inlineStr">
        <is>
          <t>ERP-00187</t>
        </is>
      </c>
      <c r="B190" s="125" t="n">
        <v>46046</v>
      </c>
      <c r="C190" s="115" t="inlineStr">
        <is>
          <t>AR</t>
        </is>
      </c>
      <c r="D190" s="115" t="inlineStr">
        <is>
          <t>Granville Medical</t>
        </is>
      </c>
      <c r="E190" s="115" t="inlineStr">
        <is>
          <t>REF-100187</t>
        </is>
      </c>
      <c r="F190" s="126" t="n">
        <v>1078.41</v>
      </c>
      <c r="G190" s="134">
        <f>IFERROR(XLOOKUP(E190,Bank_Statement!$D$4:$D$448,Bank_Statement!$G$4:$G$448,""),"")</f>
        <v/>
      </c>
      <c r="H190" s="126">
        <f>IF(G190="","",F190-G190)</f>
        <v/>
      </c>
      <c r="I190" s="135">
        <f>IFERROR(XLOOKUP(E190,Bank_Statement!$D$4:$D$448,Bank_Statement!$B$4:$B$448,""),"")</f>
        <v/>
      </c>
      <c r="J190" s="136">
        <f>IF(I190="","",ABS(B190-I190))</f>
        <v/>
      </c>
      <c r="K190" s="137">
        <f>IF(G190="","Unmatched ERP",IF(AND(ABS(H190)&lt;=Mapping_Rules!$B$4,ABS(J190)&lt;=Mapping_Rules!$B$5),"Matched","Review"))</f>
        <v/>
      </c>
      <c r="L190" s="137">
        <f>IF(K190="Matched","None",IF(G190="","Missing from bank",IF(ABS(H190)&gt;Mapping_Rules!$B$4,"Amount variance","Date variance")))</f>
        <v/>
      </c>
      <c r="M190" s="137">
        <f>IF(K190="Matched","Low",IF(OR(IFERROR(ABS(H190),0)&gt;Mapping_Rules!$B$7,IFERROR(J190,0)&gt;Mapping_Rules!$B$8),"High","Medium"))</f>
        <v/>
      </c>
      <c r="N190" s="137">
        <f>IF(K190="Matched","No action needed",IF(L190="Missing from bank","Check bank date or posting",IF(L190="Amount variance","Check invoice/payment amount","Check timing difference")))</f>
        <v/>
      </c>
      <c r="O190" s="115" t="inlineStr">
        <is>
          <t>1200 AR</t>
        </is>
      </c>
      <c r="P190" s="115" t="inlineStr">
        <is>
          <t>AR Clerk</t>
        </is>
      </c>
      <c r="Q190" s="115" t="inlineStr">
        <is>
          <t>No</t>
        </is>
      </c>
      <c r="R190" s="138" t="str"/>
      <c r="S190" s="139">
        <f>IF(K190="Matched",0,Mapping_Rules!$B$6-B190)</f>
        <v/>
      </c>
    </row>
    <row r="191">
      <c r="A191" s="140" t="inlineStr">
        <is>
          <t>ERP-00188</t>
        </is>
      </c>
      <c r="B191" s="141" t="n">
        <v>46043</v>
      </c>
      <c r="C191" s="140" t="inlineStr">
        <is>
          <t>GL</t>
        </is>
      </c>
      <c r="D191" s="140" t="inlineStr">
        <is>
          <t>Maple Retail Group</t>
        </is>
      </c>
      <c r="E191" s="140" t="inlineStr">
        <is>
          <t>REF-100188</t>
        </is>
      </c>
      <c r="F191" s="142" t="n">
        <v>-360.9</v>
      </c>
      <c r="G191" s="143">
        <f>IFERROR(XLOOKUP(E191,Bank_Statement!$D$4:$D$448,Bank_Statement!$G$4:$G$448,""),"")</f>
        <v/>
      </c>
      <c r="H191" s="142">
        <f>IF(G191="","",F191-G191)</f>
        <v/>
      </c>
      <c r="I191" s="144">
        <f>IFERROR(XLOOKUP(E191,Bank_Statement!$D$4:$D$448,Bank_Statement!$B$4:$B$448,""),"")</f>
        <v/>
      </c>
      <c r="J191" s="145">
        <f>IF(I191="","",ABS(B191-I191))</f>
        <v/>
      </c>
      <c r="K191" s="146">
        <f>IF(G191="","Unmatched ERP",IF(AND(ABS(H191)&lt;=Mapping_Rules!$B$4,ABS(J191)&lt;=Mapping_Rules!$B$5),"Matched","Review"))</f>
        <v/>
      </c>
      <c r="L191" s="146">
        <f>IF(K191="Matched","None",IF(G191="","Missing from bank",IF(ABS(H191)&gt;Mapping_Rules!$B$4,"Amount variance","Date variance")))</f>
        <v/>
      </c>
      <c r="M191" s="146">
        <f>IF(K191="Matched","Low",IF(OR(IFERROR(ABS(H191),0)&gt;Mapping_Rules!$B$7,IFERROR(J191,0)&gt;Mapping_Rules!$B$8),"High","Medium"))</f>
        <v/>
      </c>
      <c r="N191" s="146">
        <f>IF(K191="Matched","No action needed",IF(L191="Missing from bank","Check bank date or posting",IF(L191="Amount variance","Check invoice/payment amount","Check timing difference")))</f>
        <v/>
      </c>
      <c r="O191" s="140" t="inlineStr">
        <is>
          <t>6100 Bank Fees</t>
        </is>
      </c>
      <c r="P191" s="140" t="inlineStr">
        <is>
          <t>Accounting Technician</t>
        </is>
      </c>
      <c r="Q191" s="140" t="inlineStr">
        <is>
          <t>No</t>
        </is>
      </c>
      <c r="R191" s="147" t="str"/>
      <c r="S191" s="148">
        <f>IF(K191="Matched",0,Mapping_Rules!$B$6-B191)</f>
        <v/>
      </c>
    </row>
    <row r="192">
      <c r="A192" s="115" t="inlineStr">
        <is>
          <t>ERP-00189</t>
        </is>
      </c>
      <c r="B192" s="125" t="n">
        <v>46032</v>
      </c>
      <c r="C192" s="115" t="inlineStr">
        <is>
          <t>AR</t>
        </is>
      </c>
      <c r="D192" s="115" t="inlineStr">
        <is>
          <t>West Van Fitness</t>
        </is>
      </c>
      <c r="E192" s="115" t="inlineStr">
        <is>
          <t>REF-100189</t>
        </is>
      </c>
      <c r="F192" s="126" t="n">
        <v>3096.01</v>
      </c>
      <c r="G192" s="134">
        <f>IFERROR(XLOOKUP(E192,Bank_Statement!$D$4:$D$448,Bank_Statement!$G$4:$G$448,""),"")</f>
        <v/>
      </c>
      <c r="H192" s="126">
        <f>IF(G192="","",F192-G192)</f>
        <v/>
      </c>
      <c r="I192" s="135">
        <f>IFERROR(XLOOKUP(E192,Bank_Statement!$D$4:$D$448,Bank_Statement!$B$4:$B$448,""),"")</f>
        <v/>
      </c>
      <c r="J192" s="136">
        <f>IF(I192="","",ABS(B192-I192))</f>
        <v/>
      </c>
      <c r="K192" s="137">
        <f>IF(G192="","Unmatched ERP",IF(AND(ABS(H192)&lt;=Mapping_Rules!$B$4,ABS(J192)&lt;=Mapping_Rules!$B$5),"Matched","Review"))</f>
        <v/>
      </c>
      <c r="L192" s="137">
        <f>IF(K192="Matched","None",IF(G192="","Missing from bank",IF(ABS(H192)&gt;Mapping_Rules!$B$4,"Amount variance","Date variance")))</f>
        <v/>
      </c>
      <c r="M192" s="137">
        <f>IF(K192="Matched","Low",IF(OR(IFERROR(ABS(H192),0)&gt;Mapping_Rules!$B$7,IFERROR(J192,0)&gt;Mapping_Rules!$B$8),"High","Medium"))</f>
        <v/>
      </c>
      <c r="N192" s="137">
        <f>IF(K192="Matched","No action needed",IF(L192="Missing from bank","Check bank date or posting",IF(L192="Amount variance","Check invoice/payment amount","Check timing difference")))</f>
        <v/>
      </c>
      <c r="O192" s="115" t="inlineStr">
        <is>
          <t>1200 AR</t>
        </is>
      </c>
      <c r="P192" s="115" t="inlineStr">
        <is>
          <t>AR Clerk</t>
        </is>
      </c>
      <c r="Q192" s="115" t="inlineStr">
        <is>
          <t>No</t>
        </is>
      </c>
      <c r="R192" s="138" t="str"/>
      <c r="S192" s="139">
        <f>IF(K192="Matched",0,Mapping_Rules!$B$6-B192)</f>
        <v/>
      </c>
    </row>
    <row r="193">
      <c r="A193" s="140" t="inlineStr">
        <is>
          <t>ERP-00190</t>
        </is>
      </c>
      <c r="B193" s="141" t="n">
        <v>46034</v>
      </c>
      <c r="C193" s="140" t="inlineStr">
        <is>
          <t>AP</t>
        </is>
      </c>
      <c r="D193" s="140" t="inlineStr">
        <is>
          <t>Amazon Business</t>
        </is>
      </c>
      <c r="E193" s="140" t="inlineStr">
        <is>
          <t>REF-100190</t>
        </is>
      </c>
      <c r="F193" s="142" t="n">
        <v>-3409.78</v>
      </c>
      <c r="G193" s="143">
        <f>IFERROR(XLOOKUP(E193,Bank_Statement!$D$4:$D$448,Bank_Statement!$G$4:$G$448,""),"")</f>
        <v/>
      </c>
      <c r="H193" s="142">
        <f>IF(G193="","",F193-G193)</f>
        <v/>
      </c>
      <c r="I193" s="144">
        <f>IFERROR(XLOOKUP(E193,Bank_Statement!$D$4:$D$448,Bank_Statement!$B$4:$B$448,""),"")</f>
        <v/>
      </c>
      <c r="J193" s="145">
        <f>IF(I193="","",ABS(B193-I193))</f>
        <v/>
      </c>
      <c r="K193" s="146">
        <f>IF(G193="","Unmatched ERP",IF(AND(ABS(H193)&lt;=Mapping_Rules!$B$4,ABS(J193)&lt;=Mapping_Rules!$B$5),"Matched","Review"))</f>
        <v/>
      </c>
      <c r="L193" s="146">
        <f>IF(K193="Matched","None",IF(G193="","Missing from bank",IF(ABS(H193)&gt;Mapping_Rules!$B$4,"Amount variance","Date variance")))</f>
        <v/>
      </c>
      <c r="M193" s="146">
        <f>IF(K193="Matched","Low",IF(OR(IFERROR(ABS(H193),0)&gt;Mapping_Rules!$B$7,IFERROR(J193,0)&gt;Mapping_Rules!$B$8),"High","Medium"))</f>
        <v/>
      </c>
      <c r="N193" s="146">
        <f>IF(K193="Matched","No action needed",IF(L193="Missing from bank","Check bank date or posting",IF(L193="Amount variance","Check invoice/payment amount","Check timing difference")))</f>
        <v/>
      </c>
      <c r="O193" s="140" t="inlineStr">
        <is>
          <t>2000 AP</t>
        </is>
      </c>
      <c r="P193" s="140" t="inlineStr">
        <is>
          <t>AP Clerk</t>
        </is>
      </c>
      <c r="Q193" s="140" t="inlineStr">
        <is>
          <t>No</t>
        </is>
      </c>
      <c r="R193" s="147" t="str"/>
      <c r="S193" s="148">
        <f>IF(K193="Matched",0,Mapping_Rules!$B$6-B193)</f>
        <v/>
      </c>
    </row>
    <row r="194">
      <c r="A194" s="115" t="inlineStr">
        <is>
          <t>ERP-00191</t>
        </is>
      </c>
      <c r="B194" s="125" t="n">
        <v>46034</v>
      </c>
      <c r="C194" s="115" t="inlineStr">
        <is>
          <t>AP</t>
        </is>
      </c>
      <c r="D194" s="115" t="inlineStr">
        <is>
          <t>Pacific Office Supplies</t>
        </is>
      </c>
      <c r="E194" s="115" t="inlineStr">
        <is>
          <t>REF-100191</t>
        </is>
      </c>
      <c r="F194" s="126" t="n">
        <v>-2265.41</v>
      </c>
      <c r="G194" s="134">
        <f>IFERROR(XLOOKUP(E194,Bank_Statement!$D$4:$D$448,Bank_Statement!$G$4:$G$448,""),"")</f>
        <v/>
      </c>
      <c r="H194" s="126">
        <f>IF(G194="","",F194-G194)</f>
        <v/>
      </c>
      <c r="I194" s="135">
        <f>IFERROR(XLOOKUP(E194,Bank_Statement!$D$4:$D$448,Bank_Statement!$B$4:$B$448,""),"")</f>
        <v/>
      </c>
      <c r="J194" s="136">
        <f>IF(I194="","",ABS(B194-I194))</f>
        <v/>
      </c>
      <c r="K194" s="137">
        <f>IF(G194="","Unmatched ERP",IF(AND(ABS(H194)&lt;=Mapping_Rules!$B$4,ABS(J194)&lt;=Mapping_Rules!$B$5),"Matched","Review"))</f>
        <v/>
      </c>
      <c r="L194" s="137">
        <f>IF(K194="Matched","None",IF(G194="","Missing from bank",IF(ABS(H194)&gt;Mapping_Rules!$B$4,"Amount variance","Date variance")))</f>
        <v/>
      </c>
      <c r="M194" s="137">
        <f>IF(K194="Matched","Low",IF(OR(IFERROR(ABS(H194),0)&gt;Mapping_Rules!$B$7,IFERROR(J194,0)&gt;Mapping_Rules!$B$8),"High","Medium"))</f>
        <v/>
      </c>
      <c r="N194" s="137">
        <f>IF(K194="Matched","No action needed",IF(L194="Missing from bank","Check bank date or posting",IF(L194="Amount variance","Check invoice/payment amount","Check timing difference")))</f>
        <v/>
      </c>
      <c r="O194" s="115" t="inlineStr">
        <is>
          <t>2000 AP</t>
        </is>
      </c>
      <c r="P194" s="115" t="inlineStr">
        <is>
          <t>AP Clerk</t>
        </is>
      </c>
      <c r="Q194" s="115" t="inlineStr">
        <is>
          <t>No</t>
        </is>
      </c>
      <c r="R194" s="138" t="str"/>
      <c r="S194" s="139">
        <f>IF(K194="Matched",0,Mapping_Rules!$B$6-B194)</f>
        <v/>
      </c>
    </row>
    <row r="195">
      <c r="A195" s="140" t="inlineStr">
        <is>
          <t>ERP-00192</t>
        </is>
      </c>
      <c r="B195" s="141" t="n">
        <v>46046</v>
      </c>
      <c r="C195" s="140" t="inlineStr">
        <is>
          <t>GL</t>
        </is>
      </c>
      <c r="D195" s="140" t="inlineStr">
        <is>
          <t>Metro Cleaning Ltd.</t>
        </is>
      </c>
      <c r="E195" s="140" t="inlineStr">
        <is>
          <t>REF-100192</t>
        </is>
      </c>
      <c r="F195" s="142" t="n">
        <v>-269.46</v>
      </c>
      <c r="G195" s="143">
        <f>IFERROR(XLOOKUP(E195,Bank_Statement!$D$4:$D$448,Bank_Statement!$G$4:$G$448,""),"")</f>
        <v/>
      </c>
      <c r="H195" s="142">
        <f>IF(G195="","",F195-G195)</f>
        <v/>
      </c>
      <c r="I195" s="144">
        <f>IFERROR(XLOOKUP(E195,Bank_Statement!$D$4:$D$448,Bank_Statement!$B$4:$B$448,""),"")</f>
        <v/>
      </c>
      <c r="J195" s="145">
        <f>IF(I195="","",ABS(B195-I195))</f>
        <v/>
      </c>
      <c r="K195" s="146">
        <f>IF(G195="","Unmatched ERP",IF(AND(ABS(H195)&lt;=Mapping_Rules!$B$4,ABS(J195)&lt;=Mapping_Rules!$B$5),"Matched","Review"))</f>
        <v/>
      </c>
      <c r="L195" s="146">
        <f>IF(K195="Matched","None",IF(G195="","Missing from bank",IF(ABS(H195)&gt;Mapping_Rules!$B$4,"Amount variance","Date variance")))</f>
        <v/>
      </c>
      <c r="M195" s="146">
        <f>IF(K195="Matched","Low",IF(OR(IFERROR(ABS(H195),0)&gt;Mapping_Rules!$B$7,IFERROR(J195,0)&gt;Mapping_Rules!$B$8),"High","Medium"))</f>
        <v/>
      </c>
      <c r="N195" s="146">
        <f>IF(K195="Matched","No action needed",IF(L195="Missing from bank","Check bank date or posting",IF(L195="Amount variance","Check invoice/payment amount","Check timing difference")))</f>
        <v/>
      </c>
      <c r="O195" s="140" t="inlineStr">
        <is>
          <t>2000 AP</t>
        </is>
      </c>
      <c r="P195" s="140" t="inlineStr">
        <is>
          <t>Accounting Technician</t>
        </is>
      </c>
      <c r="Q195" s="140" t="inlineStr">
        <is>
          <t>No</t>
        </is>
      </c>
      <c r="R195" s="147" t="str"/>
      <c r="S195" s="148">
        <f>IF(K195="Matched",0,Mapping_Rules!$B$6-B195)</f>
        <v/>
      </c>
    </row>
    <row r="196">
      <c r="A196" s="115" t="inlineStr">
        <is>
          <t>ERP-00193</t>
        </is>
      </c>
      <c r="B196" s="125" t="n">
        <v>46047</v>
      </c>
      <c r="C196" s="115" t="inlineStr">
        <is>
          <t>Bank Fees</t>
        </is>
      </c>
      <c r="D196" s="115" t="inlineStr">
        <is>
          <t>Bank</t>
        </is>
      </c>
      <c r="E196" s="115" t="inlineStr">
        <is>
          <t>REF-100193</t>
        </is>
      </c>
      <c r="F196" s="126" t="n">
        <v>-9.25</v>
      </c>
      <c r="G196" s="134">
        <f>IFERROR(XLOOKUP(E196,Bank_Statement!$D$4:$D$448,Bank_Statement!$G$4:$G$448,""),"")</f>
        <v/>
      </c>
      <c r="H196" s="126">
        <f>IF(G196="","",F196-G196)</f>
        <v/>
      </c>
      <c r="I196" s="135">
        <f>IFERROR(XLOOKUP(E196,Bank_Statement!$D$4:$D$448,Bank_Statement!$B$4:$B$448,""),"")</f>
        <v/>
      </c>
      <c r="J196" s="136">
        <f>IF(I196="","",ABS(B196-I196))</f>
        <v/>
      </c>
      <c r="K196" s="137">
        <f>IF(G196="","Unmatched ERP",IF(AND(ABS(H196)&lt;=Mapping_Rules!$B$4,ABS(J196)&lt;=Mapping_Rules!$B$5),"Matched","Review"))</f>
        <v/>
      </c>
      <c r="L196" s="137">
        <f>IF(K196="Matched","None",IF(G196="","Missing from bank",IF(ABS(H196)&gt;Mapping_Rules!$B$4,"Amount variance","Date variance")))</f>
        <v/>
      </c>
      <c r="M196" s="137">
        <f>IF(K196="Matched","Low",IF(OR(IFERROR(ABS(H196),0)&gt;Mapping_Rules!$B$7,IFERROR(J196,0)&gt;Mapping_Rules!$B$8),"High","Medium"))</f>
        <v/>
      </c>
      <c r="N196" s="137">
        <f>IF(K196="Matched","No action needed",IF(L196="Missing from bank","Check bank date or posting",IF(L196="Amount variance","Check invoice/payment amount","Check timing difference")))</f>
        <v/>
      </c>
      <c r="O196" s="115" t="inlineStr">
        <is>
          <t>6100 Bank Fees</t>
        </is>
      </c>
      <c r="P196" s="115" t="inlineStr">
        <is>
          <t>Accounting Technician</t>
        </is>
      </c>
      <c r="Q196" s="115" t="inlineStr">
        <is>
          <t>No</t>
        </is>
      </c>
      <c r="R196" s="138" t="str"/>
      <c r="S196" s="139">
        <f>IF(K196="Matched",0,Mapping_Rules!$B$6-B196)</f>
        <v/>
      </c>
    </row>
    <row r="197">
      <c r="A197" s="140" t="inlineStr">
        <is>
          <t>ERP-00194</t>
        </is>
      </c>
      <c r="B197" s="141" t="n">
        <v>46032</v>
      </c>
      <c r="C197" s="140" t="inlineStr">
        <is>
          <t>AR</t>
        </is>
      </c>
      <c r="D197" s="140" t="inlineStr">
        <is>
          <t>West Van Fitness</t>
        </is>
      </c>
      <c r="E197" s="140" t="inlineStr">
        <is>
          <t>REF-100194</t>
        </is>
      </c>
      <c r="F197" s="142" t="n">
        <v>4102.89</v>
      </c>
      <c r="G197" s="143">
        <f>IFERROR(XLOOKUP(E197,Bank_Statement!$D$4:$D$448,Bank_Statement!$G$4:$G$448,""),"")</f>
        <v/>
      </c>
      <c r="H197" s="142">
        <f>IF(G197="","",F197-G197)</f>
        <v/>
      </c>
      <c r="I197" s="144">
        <f>IFERROR(XLOOKUP(E197,Bank_Statement!$D$4:$D$448,Bank_Statement!$B$4:$B$448,""),"")</f>
        <v/>
      </c>
      <c r="J197" s="145">
        <f>IF(I197="","",ABS(B197-I197))</f>
        <v/>
      </c>
      <c r="K197" s="146">
        <f>IF(G197="","Unmatched ERP",IF(AND(ABS(H197)&lt;=Mapping_Rules!$B$4,ABS(J197)&lt;=Mapping_Rules!$B$5),"Matched","Review"))</f>
        <v/>
      </c>
      <c r="L197" s="146">
        <f>IF(K197="Matched","None",IF(G197="","Missing from bank",IF(ABS(H197)&gt;Mapping_Rules!$B$4,"Amount variance","Date variance")))</f>
        <v/>
      </c>
      <c r="M197" s="146">
        <f>IF(K197="Matched","Low",IF(OR(IFERROR(ABS(H197),0)&gt;Mapping_Rules!$B$7,IFERROR(J197,0)&gt;Mapping_Rules!$B$8),"High","Medium"))</f>
        <v/>
      </c>
      <c r="N197" s="146">
        <f>IF(K197="Matched","No action needed",IF(L197="Missing from bank","Check bank date or posting",IF(L197="Amount variance","Check invoice/payment amount","Check timing difference")))</f>
        <v/>
      </c>
      <c r="O197" s="140" t="inlineStr">
        <is>
          <t>1200 AR</t>
        </is>
      </c>
      <c r="P197" s="140" t="inlineStr">
        <is>
          <t>AR Clerk</t>
        </is>
      </c>
      <c r="Q197" s="140" t="inlineStr">
        <is>
          <t>No</t>
        </is>
      </c>
      <c r="R197" s="147" t="str"/>
      <c r="S197" s="148">
        <f>IF(K197="Matched",0,Mapping_Rules!$B$6-B197)</f>
        <v/>
      </c>
    </row>
    <row r="198">
      <c r="A198" s="115" t="inlineStr">
        <is>
          <t>ERP-00195</t>
        </is>
      </c>
      <c r="B198" s="125" t="n">
        <v>46033</v>
      </c>
      <c r="C198" s="115" t="inlineStr">
        <is>
          <t>AP</t>
        </is>
      </c>
      <c r="D198" s="115" t="inlineStr">
        <is>
          <t>Vancouver Courier</t>
        </is>
      </c>
      <c r="E198" s="115" t="inlineStr">
        <is>
          <t>REF-100195</t>
        </is>
      </c>
      <c r="F198" s="126" t="n">
        <v>-2332.28</v>
      </c>
      <c r="G198" s="134">
        <f>IFERROR(XLOOKUP(E198,Bank_Statement!$D$4:$D$448,Bank_Statement!$G$4:$G$448,""),"")</f>
        <v/>
      </c>
      <c r="H198" s="126">
        <f>IF(G198="","",F198-G198)</f>
        <v/>
      </c>
      <c r="I198" s="135">
        <f>IFERROR(XLOOKUP(E198,Bank_Statement!$D$4:$D$448,Bank_Statement!$B$4:$B$448,""),"")</f>
        <v/>
      </c>
      <c r="J198" s="136">
        <f>IF(I198="","",ABS(B198-I198))</f>
        <v/>
      </c>
      <c r="K198" s="137">
        <f>IF(G198="","Unmatched ERP",IF(AND(ABS(H198)&lt;=Mapping_Rules!$B$4,ABS(J198)&lt;=Mapping_Rules!$B$5),"Matched","Review"))</f>
        <v/>
      </c>
      <c r="L198" s="137">
        <f>IF(K198="Matched","None",IF(G198="","Missing from bank",IF(ABS(H198)&gt;Mapping_Rules!$B$4,"Amount variance","Date variance")))</f>
        <v/>
      </c>
      <c r="M198" s="137">
        <f>IF(K198="Matched","Low",IF(OR(IFERROR(ABS(H198),0)&gt;Mapping_Rules!$B$7,IFERROR(J198,0)&gt;Mapping_Rules!$B$8),"High","Medium"))</f>
        <v/>
      </c>
      <c r="N198" s="137">
        <f>IF(K198="Matched","No action needed",IF(L198="Missing from bank","Check bank date or posting",IF(L198="Amount variance","Check invoice/payment amount","Check timing difference")))</f>
        <v/>
      </c>
      <c r="O198" s="115" t="inlineStr">
        <is>
          <t>2000 AP</t>
        </is>
      </c>
      <c r="P198" s="115" t="inlineStr">
        <is>
          <t>AP Clerk</t>
        </is>
      </c>
      <c r="Q198" s="115" t="inlineStr">
        <is>
          <t>No</t>
        </is>
      </c>
      <c r="R198" s="138" t="str"/>
      <c r="S198" s="139">
        <f>IF(K198="Matched",0,Mapping_Rules!$B$6-B198)</f>
        <v/>
      </c>
    </row>
    <row r="199">
      <c r="A199" s="140" t="inlineStr">
        <is>
          <t>ERP-00196</t>
        </is>
      </c>
      <c r="B199" s="141" t="n">
        <v>46035</v>
      </c>
      <c r="C199" s="140" t="inlineStr">
        <is>
          <t>AP</t>
        </is>
      </c>
      <c r="D199" s="140" t="inlineStr">
        <is>
          <t>North Shore Telecom</t>
        </is>
      </c>
      <c r="E199" s="140" t="inlineStr">
        <is>
          <t>REF-100196</t>
        </is>
      </c>
      <c r="F199" s="142" t="n">
        <v>-3116.76</v>
      </c>
      <c r="G199" s="143">
        <f>IFERROR(XLOOKUP(E199,Bank_Statement!$D$4:$D$448,Bank_Statement!$G$4:$G$448,""),"")</f>
        <v/>
      </c>
      <c r="H199" s="142">
        <f>IF(G199="","",F199-G199)</f>
        <v/>
      </c>
      <c r="I199" s="144">
        <f>IFERROR(XLOOKUP(E199,Bank_Statement!$D$4:$D$448,Bank_Statement!$B$4:$B$448,""),"")</f>
        <v/>
      </c>
      <c r="J199" s="145">
        <f>IF(I199="","",ABS(B199-I199))</f>
        <v/>
      </c>
      <c r="K199" s="146">
        <f>IF(G199="","Unmatched ERP",IF(AND(ABS(H199)&lt;=Mapping_Rules!$B$4,ABS(J199)&lt;=Mapping_Rules!$B$5),"Matched","Review"))</f>
        <v/>
      </c>
      <c r="L199" s="146">
        <f>IF(K199="Matched","None",IF(G199="","Missing from bank",IF(ABS(H199)&gt;Mapping_Rules!$B$4,"Amount variance","Date variance")))</f>
        <v/>
      </c>
      <c r="M199" s="146">
        <f>IF(K199="Matched","Low",IF(OR(IFERROR(ABS(H199),0)&gt;Mapping_Rules!$B$7,IFERROR(J199,0)&gt;Mapping_Rules!$B$8),"High","Medium"))</f>
        <v/>
      </c>
      <c r="N199" s="146">
        <f>IF(K199="Matched","No action needed",IF(L199="Missing from bank","Check bank date or posting",IF(L199="Amount variance","Check invoice/payment amount","Check timing difference")))</f>
        <v/>
      </c>
      <c r="O199" s="140" t="inlineStr">
        <is>
          <t>2000 AP</t>
        </is>
      </c>
      <c r="P199" s="140" t="inlineStr">
        <is>
          <t>AP Clerk</t>
        </is>
      </c>
      <c r="Q199" s="140" t="inlineStr">
        <is>
          <t>No</t>
        </is>
      </c>
      <c r="R199" s="147" t="str"/>
      <c r="S199" s="148">
        <f>IF(K199="Matched",0,Mapping_Rules!$B$6-B199)</f>
        <v/>
      </c>
    </row>
    <row r="200">
      <c r="A200" s="115" t="inlineStr">
        <is>
          <t>ERP-00197</t>
        </is>
      </c>
      <c r="B200" s="125" t="n">
        <v>46039</v>
      </c>
      <c r="C200" s="115" t="inlineStr">
        <is>
          <t>AP</t>
        </is>
      </c>
      <c r="D200" s="115" t="inlineStr">
        <is>
          <t>Pacific Office Supplies</t>
        </is>
      </c>
      <c r="E200" s="115" t="inlineStr">
        <is>
          <t>REF-100197</t>
        </is>
      </c>
      <c r="F200" s="126" t="n">
        <v>-4529.74</v>
      </c>
      <c r="G200" s="134">
        <f>IFERROR(XLOOKUP(E200,Bank_Statement!$D$4:$D$448,Bank_Statement!$G$4:$G$448,""),"")</f>
        <v/>
      </c>
      <c r="H200" s="126">
        <f>IF(G200="","",F200-G200)</f>
        <v/>
      </c>
      <c r="I200" s="135">
        <f>IFERROR(XLOOKUP(E200,Bank_Statement!$D$4:$D$448,Bank_Statement!$B$4:$B$448,""),"")</f>
        <v/>
      </c>
      <c r="J200" s="136">
        <f>IF(I200="","",ABS(B200-I200))</f>
        <v/>
      </c>
      <c r="K200" s="137">
        <f>IF(G200="","Unmatched ERP",IF(AND(ABS(H200)&lt;=Mapping_Rules!$B$4,ABS(J200)&lt;=Mapping_Rules!$B$5),"Matched","Review"))</f>
        <v/>
      </c>
      <c r="L200" s="137">
        <f>IF(K200="Matched","None",IF(G200="","Missing from bank",IF(ABS(H200)&gt;Mapping_Rules!$B$4,"Amount variance","Date variance")))</f>
        <v/>
      </c>
      <c r="M200" s="137">
        <f>IF(K200="Matched","Low",IF(OR(IFERROR(ABS(H200),0)&gt;Mapping_Rules!$B$7,IFERROR(J200,0)&gt;Mapping_Rules!$B$8),"High","Medium"))</f>
        <v/>
      </c>
      <c r="N200" s="137">
        <f>IF(K200="Matched","No action needed",IF(L200="Missing from bank","Check bank date or posting",IF(L200="Amount variance","Check invoice/payment amount","Check timing difference")))</f>
        <v/>
      </c>
      <c r="O200" s="115" t="inlineStr">
        <is>
          <t>2000 AP</t>
        </is>
      </c>
      <c r="P200" s="115" t="inlineStr">
        <is>
          <t>AP Clerk</t>
        </is>
      </c>
      <c r="Q200" s="115" t="inlineStr">
        <is>
          <t>No</t>
        </is>
      </c>
      <c r="R200" s="138" t="str"/>
      <c r="S200" s="139">
        <f>IF(K200="Matched",0,Mapping_Rules!$B$6-B200)</f>
        <v/>
      </c>
    </row>
    <row r="201">
      <c r="A201" s="140" t="inlineStr">
        <is>
          <t>ERP-00198</t>
        </is>
      </c>
      <c r="B201" s="141" t="n">
        <v>46033</v>
      </c>
      <c r="C201" s="140" t="inlineStr">
        <is>
          <t>AP</t>
        </is>
      </c>
      <c r="D201" s="140" t="inlineStr">
        <is>
          <t>Metro Cleaning Ltd.</t>
        </is>
      </c>
      <c r="E201" s="140" t="inlineStr">
        <is>
          <t>REF-100198</t>
        </is>
      </c>
      <c r="F201" s="142" t="n">
        <v>-4124.83</v>
      </c>
      <c r="G201" s="143">
        <f>IFERROR(XLOOKUP(E201,Bank_Statement!$D$4:$D$448,Bank_Statement!$G$4:$G$448,""),"")</f>
        <v/>
      </c>
      <c r="H201" s="142">
        <f>IF(G201="","",F201-G201)</f>
        <v/>
      </c>
      <c r="I201" s="144">
        <f>IFERROR(XLOOKUP(E201,Bank_Statement!$D$4:$D$448,Bank_Statement!$B$4:$B$448,""),"")</f>
        <v/>
      </c>
      <c r="J201" s="145">
        <f>IF(I201="","",ABS(B201-I201))</f>
        <v/>
      </c>
      <c r="K201" s="146">
        <f>IF(G201="","Unmatched ERP",IF(AND(ABS(H201)&lt;=Mapping_Rules!$B$4,ABS(J201)&lt;=Mapping_Rules!$B$5),"Matched","Review"))</f>
        <v/>
      </c>
      <c r="L201" s="146">
        <f>IF(K201="Matched","None",IF(G201="","Missing from bank",IF(ABS(H201)&gt;Mapping_Rules!$B$4,"Amount variance","Date variance")))</f>
        <v/>
      </c>
      <c r="M201" s="146">
        <f>IF(K201="Matched","Low",IF(OR(IFERROR(ABS(H201),0)&gt;Mapping_Rules!$B$7,IFERROR(J201,0)&gt;Mapping_Rules!$B$8),"High","Medium"))</f>
        <v/>
      </c>
      <c r="N201" s="146">
        <f>IF(K201="Matched","No action needed",IF(L201="Missing from bank","Check bank date or posting",IF(L201="Amount variance","Check invoice/payment amount","Check timing difference")))</f>
        <v/>
      </c>
      <c r="O201" s="140" t="inlineStr">
        <is>
          <t>2000 AP</t>
        </is>
      </c>
      <c r="P201" s="140" t="inlineStr">
        <is>
          <t>AP Clerk</t>
        </is>
      </c>
      <c r="Q201" s="140" t="inlineStr">
        <is>
          <t>No</t>
        </is>
      </c>
      <c r="R201" s="147" t="str"/>
      <c r="S201" s="148">
        <f>IF(K201="Matched",0,Mapping_Rules!$B$6-B201)</f>
        <v/>
      </c>
    </row>
    <row r="202">
      <c r="A202" s="115" t="inlineStr">
        <is>
          <t>ERP-00199</t>
        </is>
      </c>
      <c r="B202" s="125" t="n">
        <v>46037</v>
      </c>
      <c r="C202" s="115" t="inlineStr">
        <is>
          <t>AR</t>
        </is>
      </c>
      <c r="D202" s="115" t="inlineStr">
        <is>
          <t>Maple Retail Group</t>
        </is>
      </c>
      <c r="E202" s="115" t="inlineStr">
        <is>
          <t>REF-100199</t>
        </is>
      </c>
      <c r="F202" s="126" t="n">
        <v>6218.9</v>
      </c>
      <c r="G202" s="134">
        <f>IFERROR(XLOOKUP(E202,Bank_Statement!$D$4:$D$448,Bank_Statement!$G$4:$G$448,""),"")</f>
        <v/>
      </c>
      <c r="H202" s="126">
        <f>IF(G202="","",F202-G202)</f>
        <v/>
      </c>
      <c r="I202" s="135">
        <f>IFERROR(XLOOKUP(E202,Bank_Statement!$D$4:$D$448,Bank_Statement!$B$4:$B$448,""),"")</f>
        <v/>
      </c>
      <c r="J202" s="136">
        <f>IF(I202="","",ABS(B202-I202))</f>
        <v/>
      </c>
      <c r="K202" s="137">
        <f>IF(G202="","Unmatched ERP",IF(AND(ABS(H202)&lt;=Mapping_Rules!$B$4,ABS(J202)&lt;=Mapping_Rules!$B$5),"Matched","Review"))</f>
        <v/>
      </c>
      <c r="L202" s="137">
        <f>IF(K202="Matched","None",IF(G202="","Missing from bank",IF(ABS(H202)&gt;Mapping_Rules!$B$4,"Amount variance","Date variance")))</f>
        <v/>
      </c>
      <c r="M202" s="137">
        <f>IF(K202="Matched","Low",IF(OR(IFERROR(ABS(H202),0)&gt;Mapping_Rules!$B$7,IFERROR(J202,0)&gt;Mapping_Rules!$B$8),"High","Medium"))</f>
        <v/>
      </c>
      <c r="N202" s="137">
        <f>IF(K202="Matched","No action needed",IF(L202="Missing from bank","Check bank date or posting",IF(L202="Amount variance","Check invoice/payment amount","Check timing difference")))</f>
        <v/>
      </c>
      <c r="O202" s="115" t="inlineStr">
        <is>
          <t>1200 AR</t>
        </is>
      </c>
      <c r="P202" s="115" t="inlineStr">
        <is>
          <t>AR Clerk</t>
        </is>
      </c>
      <c r="Q202" s="115" t="inlineStr">
        <is>
          <t>No</t>
        </is>
      </c>
      <c r="R202" s="138" t="str"/>
      <c r="S202" s="139">
        <f>IF(K202="Matched",0,Mapping_Rules!$B$6-B202)</f>
        <v/>
      </c>
    </row>
    <row r="203">
      <c r="A203" s="140" t="inlineStr">
        <is>
          <t>ERP-00200</t>
        </is>
      </c>
      <c r="B203" s="141" t="n">
        <v>46031</v>
      </c>
      <c r="C203" s="140" t="inlineStr">
        <is>
          <t>AR</t>
        </is>
      </c>
      <c r="D203" s="140" t="inlineStr">
        <is>
          <t>Maple Retail Group</t>
        </is>
      </c>
      <c r="E203" s="140" t="inlineStr">
        <is>
          <t>REF-100200</t>
        </is>
      </c>
      <c r="F203" s="142" t="n">
        <v>776.59</v>
      </c>
      <c r="G203" s="143">
        <f>IFERROR(XLOOKUP(E203,Bank_Statement!$D$4:$D$448,Bank_Statement!$G$4:$G$448,""),"")</f>
        <v/>
      </c>
      <c r="H203" s="142">
        <f>IF(G203="","",F203-G203)</f>
        <v/>
      </c>
      <c r="I203" s="144">
        <f>IFERROR(XLOOKUP(E203,Bank_Statement!$D$4:$D$448,Bank_Statement!$B$4:$B$448,""),"")</f>
        <v/>
      </c>
      <c r="J203" s="145">
        <f>IF(I203="","",ABS(B203-I203))</f>
        <v/>
      </c>
      <c r="K203" s="146">
        <f>IF(G203="","Unmatched ERP",IF(AND(ABS(H203)&lt;=Mapping_Rules!$B$4,ABS(J203)&lt;=Mapping_Rules!$B$5),"Matched","Review"))</f>
        <v/>
      </c>
      <c r="L203" s="146">
        <f>IF(K203="Matched","None",IF(G203="","Missing from bank",IF(ABS(H203)&gt;Mapping_Rules!$B$4,"Amount variance","Date variance")))</f>
        <v/>
      </c>
      <c r="M203" s="146">
        <f>IF(K203="Matched","Low",IF(OR(IFERROR(ABS(H203),0)&gt;Mapping_Rules!$B$7,IFERROR(J203,0)&gt;Mapping_Rules!$B$8),"High","Medium"))</f>
        <v/>
      </c>
      <c r="N203" s="146">
        <f>IF(K203="Matched","No action needed",IF(L203="Missing from bank","Check bank date or posting",IF(L203="Amount variance","Check invoice/payment amount","Check timing difference")))</f>
        <v/>
      </c>
      <c r="O203" s="140" t="inlineStr">
        <is>
          <t>1200 AR</t>
        </is>
      </c>
      <c r="P203" s="140" t="inlineStr">
        <is>
          <t>AR Clerk</t>
        </is>
      </c>
      <c r="Q203" s="140" t="inlineStr">
        <is>
          <t>No</t>
        </is>
      </c>
      <c r="R203" s="147" t="str"/>
      <c r="S203" s="148">
        <f>IF(K203="Matched",0,Mapping_Rules!$B$6-B203)</f>
        <v/>
      </c>
    </row>
    <row r="204">
      <c r="A204" s="115" t="inlineStr">
        <is>
          <t>ERP-00201</t>
        </is>
      </c>
      <c r="B204" s="125" t="n">
        <v>46027</v>
      </c>
      <c r="C204" s="115" t="inlineStr">
        <is>
          <t>Payroll</t>
        </is>
      </c>
      <c r="D204" s="115" t="inlineStr">
        <is>
          <t>Payroll Batch</t>
        </is>
      </c>
      <c r="E204" s="115" t="inlineStr">
        <is>
          <t>REF-100201</t>
        </is>
      </c>
      <c r="F204" s="126" t="n">
        <v>-12332.29</v>
      </c>
      <c r="G204" s="134">
        <f>IFERROR(XLOOKUP(E204,Bank_Statement!$D$4:$D$448,Bank_Statement!$G$4:$G$448,""),"")</f>
        <v/>
      </c>
      <c r="H204" s="126">
        <f>IF(G204="","",F204-G204)</f>
        <v/>
      </c>
      <c r="I204" s="135">
        <f>IFERROR(XLOOKUP(E204,Bank_Statement!$D$4:$D$448,Bank_Statement!$B$4:$B$448,""),"")</f>
        <v/>
      </c>
      <c r="J204" s="136">
        <f>IF(I204="","",ABS(B204-I204))</f>
        <v/>
      </c>
      <c r="K204" s="137">
        <f>IF(G204="","Unmatched ERP",IF(AND(ABS(H204)&lt;=Mapping_Rules!$B$4,ABS(J204)&lt;=Mapping_Rules!$B$5),"Matched","Review"))</f>
        <v/>
      </c>
      <c r="L204" s="137">
        <f>IF(K204="Matched","None",IF(G204="","Missing from bank",IF(ABS(H204)&gt;Mapping_Rules!$B$4,"Amount variance","Date variance")))</f>
        <v/>
      </c>
      <c r="M204" s="137">
        <f>IF(K204="Matched","Low",IF(OR(IFERROR(ABS(H204),0)&gt;Mapping_Rules!$B$7,IFERROR(J204,0)&gt;Mapping_Rules!$B$8),"High","Medium"))</f>
        <v/>
      </c>
      <c r="N204" s="137">
        <f>IF(K204="Matched","No action needed",IF(L204="Missing from bank","Check bank date or posting",IF(L204="Amount variance","Check invoice/payment amount","Check timing difference")))</f>
        <v/>
      </c>
      <c r="O204" s="115" t="inlineStr">
        <is>
          <t>5300 Payroll</t>
        </is>
      </c>
      <c r="P204" s="115" t="inlineStr">
        <is>
          <t>Accounting Technician</t>
        </is>
      </c>
      <c r="Q204" s="115" t="inlineStr">
        <is>
          <t>No</t>
        </is>
      </c>
      <c r="R204" s="138" t="str"/>
      <c r="S204" s="139">
        <f>IF(K204="Matched",0,Mapping_Rules!$B$6-B204)</f>
        <v/>
      </c>
    </row>
    <row r="205">
      <c r="A205" s="140" t="inlineStr">
        <is>
          <t>ERP-00202</t>
        </is>
      </c>
      <c r="B205" s="141" t="n">
        <v>46034</v>
      </c>
      <c r="C205" s="140" t="inlineStr">
        <is>
          <t>AR</t>
        </is>
      </c>
      <c r="D205" s="140" t="inlineStr">
        <is>
          <t>West Van Fitness</t>
        </is>
      </c>
      <c r="E205" s="140" t="inlineStr">
        <is>
          <t>REF-100202</t>
        </is>
      </c>
      <c r="F205" s="142" t="n">
        <v>420.42</v>
      </c>
      <c r="G205" s="143">
        <f>IFERROR(XLOOKUP(E205,Bank_Statement!$D$4:$D$448,Bank_Statement!$G$4:$G$448,""),"")</f>
        <v/>
      </c>
      <c r="H205" s="142">
        <f>IF(G205="","",F205-G205)</f>
        <v/>
      </c>
      <c r="I205" s="144">
        <f>IFERROR(XLOOKUP(E205,Bank_Statement!$D$4:$D$448,Bank_Statement!$B$4:$B$448,""),"")</f>
        <v/>
      </c>
      <c r="J205" s="145">
        <f>IF(I205="","",ABS(B205-I205))</f>
        <v/>
      </c>
      <c r="K205" s="146">
        <f>IF(G205="","Unmatched ERP",IF(AND(ABS(H205)&lt;=Mapping_Rules!$B$4,ABS(J205)&lt;=Mapping_Rules!$B$5),"Matched","Review"))</f>
        <v/>
      </c>
      <c r="L205" s="146">
        <f>IF(K205="Matched","None",IF(G205="","Missing from bank",IF(ABS(H205)&gt;Mapping_Rules!$B$4,"Amount variance","Date variance")))</f>
        <v/>
      </c>
      <c r="M205" s="146">
        <f>IF(K205="Matched","Low",IF(OR(IFERROR(ABS(H205),0)&gt;Mapping_Rules!$B$7,IFERROR(J205,0)&gt;Mapping_Rules!$B$8),"High","Medium"))</f>
        <v/>
      </c>
      <c r="N205" s="146">
        <f>IF(K205="Matched","No action needed",IF(L205="Missing from bank","Check bank date or posting",IF(L205="Amount variance","Check invoice/payment amount","Check timing difference")))</f>
        <v/>
      </c>
      <c r="O205" s="140" t="inlineStr">
        <is>
          <t>1200 AR</t>
        </is>
      </c>
      <c r="P205" s="140" t="inlineStr">
        <is>
          <t>AR Clerk</t>
        </is>
      </c>
      <c r="Q205" s="140" t="inlineStr">
        <is>
          <t>No</t>
        </is>
      </c>
      <c r="R205" s="147" t="str"/>
      <c r="S205" s="148">
        <f>IF(K205="Matched",0,Mapping_Rules!$B$6-B205)</f>
        <v/>
      </c>
    </row>
    <row r="206">
      <c r="A206" s="115" t="inlineStr">
        <is>
          <t>ERP-00203</t>
        </is>
      </c>
      <c r="B206" s="125" t="n">
        <v>46034</v>
      </c>
      <c r="C206" s="115" t="inlineStr">
        <is>
          <t>AR</t>
        </is>
      </c>
      <c r="D206" s="115" t="inlineStr">
        <is>
          <t>Maple Retail Group</t>
        </is>
      </c>
      <c r="E206" s="115" t="inlineStr">
        <is>
          <t>REF-100203</t>
        </is>
      </c>
      <c r="F206" s="126" t="n">
        <v>4942.25</v>
      </c>
      <c r="G206" s="134">
        <f>IFERROR(XLOOKUP(E206,Bank_Statement!$D$4:$D$448,Bank_Statement!$G$4:$G$448,""),"")</f>
        <v/>
      </c>
      <c r="H206" s="126">
        <f>IF(G206="","",F206-G206)</f>
        <v/>
      </c>
      <c r="I206" s="135">
        <f>IFERROR(XLOOKUP(E206,Bank_Statement!$D$4:$D$448,Bank_Statement!$B$4:$B$448,""),"")</f>
        <v/>
      </c>
      <c r="J206" s="136">
        <f>IF(I206="","",ABS(B206-I206))</f>
        <v/>
      </c>
      <c r="K206" s="137">
        <f>IF(G206="","Unmatched ERP",IF(AND(ABS(H206)&lt;=Mapping_Rules!$B$4,ABS(J206)&lt;=Mapping_Rules!$B$5),"Matched","Review"))</f>
        <v/>
      </c>
      <c r="L206" s="137">
        <f>IF(K206="Matched","None",IF(G206="","Missing from bank",IF(ABS(H206)&gt;Mapping_Rules!$B$4,"Amount variance","Date variance")))</f>
        <v/>
      </c>
      <c r="M206" s="137">
        <f>IF(K206="Matched","Low",IF(OR(IFERROR(ABS(H206),0)&gt;Mapping_Rules!$B$7,IFERROR(J206,0)&gt;Mapping_Rules!$B$8),"High","Medium"))</f>
        <v/>
      </c>
      <c r="N206" s="137">
        <f>IF(K206="Matched","No action needed",IF(L206="Missing from bank","Check bank date or posting",IF(L206="Amount variance","Check invoice/payment amount","Check timing difference")))</f>
        <v/>
      </c>
      <c r="O206" s="115" t="inlineStr">
        <is>
          <t>1200 AR</t>
        </is>
      </c>
      <c r="P206" s="115" t="inlineStr">
        <is>
          <t>AR Clerk</t>
        </is>
      </c>
      <c r="Q206" s="115" t="inlineStr">
        <is>
          <t>No</t>
        </is>
      </c>
      <c r="R206" s="138" t="str"/>
      <c r="S206" s="139">
        <f>IF(K206="Matched",0,Mapping_Rules!$B$6-B206)</f>
        <v/>
      </c>
    </row>
    <row r="207">
      <c r="A207" s="140" t="inlineStr">
        <is>
          <t>ERP-00204</t>
        </is>
      </c>
      <c r="B207" s="141" t="n">
        <v>46026</v>
      </c>
      <c r="C207" s="140" t="inlineStr">
        <is>
          <t>AP</t>
        </is>
      </c>
      <c r="D207" s="140" t="inlineStr">
        <is>
          <t>North Shore Telecom</t>
        </is>
      </c>
      <c r="E207" s="140" t="inlineStr">
        <is>
          <t>REF-100204</t>
        </is>
      </c>
      <c r="F207" s="142" t="n">
        <v>-3134.15</v>
      </c>
      <c r="G207" s="143">
        <f>IFERROR(XLOOKUP(E207,Bank_Statement!$D$4:$D$448,Bank_Statement!$G$4:$G$448,""),"")</f>
        <v/>
      </c>
      <c r="H207" s="142">
        <f>IF(G207="","",F207-G207)</f>
        <v/>
      </c>
      <c r="I207" s="144">
        <f>IFERROR(XLOOKUP(E207,Bank_Statement!$D$4:$D$448,Bank_Statement!$B$4:$B$448,""),"")</f>
        <v/>
      </c>
      <c r="J207" s="145">
        <f>IF(I207="","",ABS(B207-I207))</f>
        <v/>
      </c>
      <c r="K207" s="146">
        <f>IF(G207="","Unmatched ERP",IF(AND(ABS(H207)&lt;=Mapping_Rules!$B$4,ABS(J207)&lt;=Mapping_Rules!$B$5),"Matched","Review"))</f>
        <v/>
      </c>
      <c r="L207" s="146">
        <f>IF(K207="Matched","None",IF(G207="","Missing from bank",IF(ABS(H207)&gt;Mapping_Rules!$B$4,"Amount variance","Date variance")))</f>
        <v/>
      </c>
      <c r="M207" s="146">
        <f>IF(K207="Matched","Low",IF(OR(IFERROR(ABS(H207),0)&gt;Mapping_Rules!$B$7,IFERROR(J207,0)&gt;Mapping_Rules!$B$8),"High","Medium"))</f>
        <v/>
      </c>
      <c r="N207" s="146">
        <f>IF(K207="Matched","No action needed",IF(L207="Missing from bank","Check bank date or posting",IF(L207="Amount variance","Check invoice/payment amount","Check timing difference")))</f>
        <v/>
      </c>
      <c r="O207" s="140" t="inlineStr">
        <is>
          <t>2000 AP</t>
        </is>
      </c>
      <c r="P207" s="140" t="inlineStr">
        <is>
          <t>AP Clerk</t>
        </is>
      </c>
      <c r="Q207" s="140" t="inlineStr">
        <is>
          <t>No</t>
        </is>
      </c>
      <c r="R207" s="147" t="str"/>
      <c r="S207" s="148">
        <f>IF(K207="Matched",0,Mapping_Rules!$B$6-B207)</f>
        <v/>
      </c>
    </row>
    <row r="208">
      <c r="A208" s="115" t="inlineStr">
        <is>
          <t>ERP-00205</t>
        </is>
      </c>
      <c r="B208" s="125" t="n">
        <v>46029</v>
      </c>
      <c r="C208" s="115" t="inlineStr">
        <is>
          <t>Bank Fees</t>
        </is>
      </c>
      <c r="D208" s="115" t="inlineStr">
        <is>
          <t>Bank</t>
        </is>
      </c>
      <c r="E208" s="115" t="inlineStr">
        <is>
          <t>REF-100205</t>
        </is>
      </c>
      <c r="F208" s="126" t="n">
        <v>-37.84</v>
      </c>
      <c r="G208" s="134">
        <f>IFERROR(XLOOKUP(E208,Bank_Statement!$D$4:$D$448,Bank_Statement!$G$4:$G$448,""),"")</f>
        <v/>
      </c>
      <c r="H208" s="126">
        <f>IF(G208="","",F208-G208)</f>
        <v/>
      </c>
      <c r="I208" s="135">
        <f>IFERROR(XLOOKUP(E208,Bank_Statement!$D$4:$D$448,Bank_Statement!$B$4:$B$448,""),"")</f>
        <v/>
      </c>
      <c r="J208" s="136">
        <f>IF(I208="","",ABS(B208-I208))</f>
        <v/>
      </c>
      <c r="K208" s="137">
        <f>IF(G208="","Unmatched ERP",IF(AND(ABS(H208)&lt;=Mapping_Rules!$B$4,ABS(J208)&lt;=Mapping_Rules!$B$5),"Matched","Review"))</f>
        <v/>
      </c>
      <c r="L208" s="137">
        <f>IF(K208="Matched","None",IF(G208="","Missing from bank",IF(ABS(H208)&gt;Mapping_Rules!$B$4,"Amount variance","Date variance")))</f>
        <v/>
      </c>
      <c r="M208" s="137">
        <f>IF(K208="Matched","Low",IF(OR(IFERROR(ABS(H208),0)&gt;Mapping_Rules!$B$7,IFERROR(J208,0)&gt;Mapping_Rules!$B$8),"High","Medium"))</f>
        <v/>
      </c>
      <c r="N208" s="137">
        <f>IF(K208="Matched","No action needed",IF(L208="Missing from bank","Check bank date or posting",IF(L208="Amount variance","Check invoice/payment amount","Check timing difference")))</f>
        <v/>
      </c>
      <c r="O208" s="115" t="inlineStr">
        <is>
          <t>6100 Bank Fees</t>
        </is>
      </c>
      <c r="P208" s="115" t="inlineStr">
        <is>
          <t>Accounting Technician</t>
        </is>
      </c>
      <c r="Q208" s="115" t="inlineStr">
        <is>
          <t>No</t>
        </is>
      </c>
      <c r="R208" s="138" t="str"/>
      <c r="S208" s="139">
        <f>IF(K208="Matched",0,Mapping_Rules!$B$6-B208)</f>
        <v/>
      </c>
    </row>
    <row r="209">
      <c r="A209" s="140" t="inlineStr">
        <is>
          <t>ERP-00206</t>
        </is>
      </c>
      <c r="B209" s="141" t="n">
        <v>46051</v>
      </c>
      <c r="C209" s="140" t="inlineStr">
        <is>
          <t>GL</t>
        </is>
      </c>
      <c r="D209" s="140" t="inlineStr">
        <is>
          <t>North Shore Telecom</t>
        </is>
      </c>
      <c r="E209" s="140" t="inlineStr">
        <is>
          <t>REF-100206</t>
        </is>
      </c>
      <c r="F209" s="142" t="n">
        <v>-4062.04</v>
      </c>
      <c r="G209" s="143">
        <f>IFERROR(XLOOKUP(E209,Bank_Statement!$D$4:$D$448,Bank_Statement!$G$4:$G$448,""),"")</f>
        <v/>
      </c>
      <c r="H209" s="142">
        <f>IF(G209="","",F209-G209)</f>
        <v/>
      </c>
      <c r="I209" s="144">
        <f>IFERROR(XLOOKUP(E209,Bank_Statement!$D$4:$D$448,Bank_Statement!$B$4:$B$448,""),"")</f>
        <v/>
      </c>
      <c r="J209" s="145">
        <f>IF(I209="","",ABS(B209-I209))</f>
        <v/>
      </c>
      <c r="K209" s="146">
        <f>IF(G209="","Unmatched ERP",IF(AND(ABS(H209)&lt;=Mapping_Rules!$B$4,ABS(J209)&lt;=Mapping_Rules!$B$5),"Matched","Review"))</f>
        <v/>
      </c>
      <c r="L209" s="146">
        <f>IF(K209="Matched","None",IF(G209="","Missing from bank",IF(ABS(H209)&gt;Mapping_Rules!$B$4,"Amount variance","Date variance")))</f>
        <v/>
      </c>
      <c r="M209" s="146">
        <f>IF(K209="Matched","Low",IF(OR(IFERROR(ABS(H209),0)&gt;Mapping_Rules!$B$7,IFERROR(J209,0)&gt;Mapping_Rules!$B$8),"High","Medium"))</f>
        <v/>
      </c>
      <c r="N209" s="146">
        <f>IF(K209="Matched","No action needed",IF(L209="Missing from bank","Check bank date or posting",IF(L209="Amount variance","Check invoice/payment amount","Check timing difference")))</f>
        <v/>
      </c>
      <c r="O209" s="140" t="inlineStr">
        <is>
          <t>5200 Software</t>
        </is>
      </c>
      <c r="P209" s="140" t="inlineStr">
        <is>
          <t>Accounting Technician</t>
        </is>
      </c>
      <c r="Q209" s="140" t="inlineStr">
        <is>
          <t>No</t>
        </is>
      </c>
      <c r="R209" s="147" t="str"/>
      <c r="S209" s="148">
        <f>IF(K209="Matched",0,Mapping_Rules!$B$6-B209)</f>
        <v/>
      </c>
    </row>
    <row r="210">
      <c r="A210" s="115" t="inlineStr">
        <is>
          <t>ERP-00207</t>
        </is>
      </c>
      <c r="B210" s="125" t="n">
        <v>46050</v>
      </c>
      <c r="C210" s="115" t="inlineStr">
        <is>
          <t>AP</t>
        </is>
      </c>
      <c r="D210" s="115" t="inlineStr">
        <is>
          <t>Staples Canada</t>
        </is>
      </c>
      <c r="E210" s="115" t="inlineStr">
        <is>
          <t>REF-100207</t>
        </is>
      </c>
      <c r="F210" s="126" t="n">
        <v>-5755.23</v>
      </c>
      <c r="G210" s="134">
        <f>IFERROR(XLOOKUP(E210,Bank_Statement!$D$4:$D$448,Bank_Statement!$G$4:$G$448,""),"")</f>
        <v/>
      </c>
      <c r="H210" s="126">
        <f>IF(G210="","",F210-G210)</f>
        <v/>
      </c>
      <c r="I210" s="135">
        <f>IFERROR(XLOOKUP(E210,Bank_Statement!$D$4:$D$448,Bank_Statement!$B$4:$B$448,""),"")</f>
        <v/>
      </c>
      <c r="J210" s="136">
        <f>IF(I210="","",ABS(B210-I210))</f>
        <v/>
      </c>
      <c r="K210" s="137">
        <f>IF(G210="","Unmatched ERP",IF(AND(ABS(H210)&lt;=Mapping_Rules!$B$4,ABS(J210)&lt;=Mapping_Rules!$B$5),"Matched","Review"))</f>
        <v/>
      </c>
      <c r="L210" s="137">
        <f>IF(K210="Matched","None",IF(G210="","Missing from bank",IF(ABS(H210)&gt;Mapping_Rules!$B$4,"Amount variance","Date variance")))</f>
        <v/>
      </c>
      <c r="M210" s="137">
        <f>IF(K210="Matched","Low",IF(OR(IFERROR(ABS(H210),0)&gt;Mapping_Rules!$B$7,IFERROR(J210,0)&gt;Mapping_Rules!$B$8),"High","Medium"))</f>
        <v/>
      </c>
      <c r="N210" s="137">
        <f>IF(K210="Matched","No action needed",IF(L210="Missing from bank","Check bank date or posting",IF(L210="Amount variance","Check invoice/payment amount","Check timing difference")))</f>
        <v/>
      </c>
      <c r="O210" s="115" t="inlineStr">
        <is>
          <t>2000 AP</t>
        </is>
      </c>
      <c r="P210" s="115" t="inlineStr">
        <is>
          <t>AP Clerk</t>
        </is>
      </c>
      <c r="Q210" s="115" t="inlineStr">
        <is>
          <t>No</t>
        </is>
      </c>
      <c r="R210" s="138" t="str"/>
      <c r="S210" s="139">
        <f>IF(K210="Matched",0,Mapping_Rules!$B$6-B210)</f>
        <v/>
      </c>
    </row>
    <row r="211">
      <c r="A211" s="140" t="inlineStr">
        <is>
          <t>ERP-00208</t>
        </is>
      </c>
      <c r="B211" s="141" t="n">
        <v>46048</v>
      </c>
      <c r="C211" s="140" t="inlineStr">
        <is>
          <t>AP</t>
        </is>
      </c>
      <c r="D211" s="140" t="inlineStr">
        <is>
          <t>Vancouver Courier</t>
        </is>
      </c>
      <c r="E211" s="140" t="inlineStr">
        <is>
          <t>REF-100208</t>
        </is>
      </c>
      <c r="F211" s="142" t="n">
        <v>-3103.41</v>
      </c>
      <c r="G211" s="143">
        <f>IFERROR(XLOOKUP(E211,Bank_Statement!$D$4:$D$448,Bank_Statement!$G$4:$G$448,""),"")</f>
        <v/>
      </c>
      <c r="H211" s="142">
        <f>IF(G211="","",F211-G211)</f>
        <v/>
      </c>
      <c r="I211" s="144">
        <f>IFERROR(XLOOKUP(E211,Bank_Statement!$D$4:$D$448,Bank_Statement!$B$4:$B$448,""),"")</f>
        <v/>
      </c>
      <c r="J211" s="145">
        <f>IF(I211="","",ABS(B211-I211))</f>
        <v/>
      </c>
      <c r="K211" s="146">
        <f>IF(G211="","Unmatched ERP",IF(AND(ABS(H211)&lt;=Mapping_Rules!$B$4,ABS(J211)&lt;=Mapping_Rules!$B$5),"Matched","Review"))</f>
        <v/>
      </c>
      <c r="L211" s="146">
        <f>IF(K211="Matched","None",IF(G211="","Missing from bank",IF(ABS(H211)&gt;Mapping_Rules!$B$4,"Amount variance","Date variance")))</f>
        <v/>
      </c>
      <c r="M211" s="146">
        <f>IF(K211="Matched","Low",IF(OR(IFERROR(ABS(H211),0)&gt;Mapping_Rules!$B$7,IFERROR(J211,0)&gt;Mapping_Rules!$B$8),"High","Medium"))</f>
        <v/>
      </c>
      <c r="N211" s="146">
        <f>IF(K211="Matched","No action needed",IF(L211="Missing from bank","Check bank date or posting",IF(L211="Amount variance","Check invoice/payment amount","Check timing difference")))</f>
        <v/>
      </c>
      <c r="O211" s="140" t="inlineStr">
        <is>
          <t>2000 AP</t>
        </is>
      </c>
      <c r="P211" s="140" t="inlineStr">
        <is>
          <t>AP Clerk</t>
        </is>
      </c>
      <c r="Q211" s="140" t="inlineStr">
        <is>
          <t>No</t>
        </is>
      </c>
      <c r="R211" s="147" t="str"/>
      <c r="S211" s="148">
        <f>IF(K211="Matched",0,Mapping_Rules!$B$6-B211)</f>
        <v/>
      </c>
    </row>
    <row r="212">
      <c r="A212" s="115" t="inlineStr">
        <is>
          <t>ERP-00209</t>
        </is>
      </c>
      <c r="B212" s="125" t="n">
        <v>46040</v>
      </c>
      <c r="C212" s="115" t="inlineStr">
        <is>
          <t>AP</t>
        </is>
      </c>
      <c r="D212" s="115" t="inlineStr">
        <is>
          <t>Pacific Office Supplies</t>
        </is>
      </c>
      <c r="E212" s="115" t="inlineStr">
        <is>
          <t>REF-100209</t>
        </is>
      </c>
      <c r="F212" s="126" t="n">
        <v>-482.38</v>
      </c>
      <c r="G212" s="134">
        <f>IFERROR(XLOOKUP(E212,Bank_Statement!$D$4:$D$448,Bank_Statement!$G$4:$G$448,""),"")</f>
        <v/>
      </c>
      <c r="H212" s="126">
        <f>IF(G212="","",F212-G212)</f>
        <v/>
      </c>
      <c r="I212" s="135">
        <f>IFERROR(XLOOKUP(E212,Bank_Statement!$D$4:$D$448,Bank_Statement!$B$4:$B$448,""),"")</f>
        <v/>
      </c>
      <c r="J212" s="136">
        <f>IF(I212="","",ABS(B212-I212))</f>
        <v/>
      </c>
      <c r="K212" s="137">
        <f>IF(G212="","Unmatched ERP",IF(AND(ABS(H212)&lt;=Mapping_Rules!$B$4,ABS(J212)&lt;=Mapping_Rules!$B$5),"Matched","Review"))</f>
        <v/>
      </c>
      <c r="L212" s="137">
        <f>IF(K212="Matched","None",IF(G212="","Missing from bank",IF(ABS(H212)&gt;Mapping_Rules!$B$4,"Amount variance","Date variance")))</f>
        <v/>
      </c>
      <c r="M212" s="137">
        <f>IF(K212="Matched","Low",IF(OR(IFERROR(ABS(H212),0)&gt;Mapping_Rules!$B$7,IFERROR(J212,0)&gt;Mapping_Rules!$B$8),"High","Medium"))</f>
        <v/>
      </c>
      <c r="N212" s="137">
        <f>IF(K212="Matched","No action needed",IF(L212="Missing from bank","Check bank date or posting",IF(L212="Amount variance","Check invoice/payment amount","Check timing difference")))</f>
        <v/>
      </c>
      <c r="O212" s="115" t="inlineStr">
        <is>
          <t>2000 AP</t>
        </is>
      </c>
      <c r="P212" s="115" t="inlineStr">
        <is>
          <t>AP Clerk</t>
        </is>
      </c>
      <c r="Q212" s="115" t="inlineStr">
        <is>
          <t>No</t>
        </is>
      </c>
      <c r="R212" s="138" t="str"/>
      <c r="S212" s="139">
        <f>IF(K212="Matched",0,Mapping_Rules!$B$6-B212)</f>
        <v/>
      </c>
    </row>
    <row r="213">
      <c r="A213" s="140" t="inlineStr">
        <is>
          <t>ERP-00210</t>
        </is>
      </c>
      <c r="B213" s="141" t="n">
        <v>46025</v>
      </c>
      <c r="C213" s="140" t="inlineStr">
        <is>
          <t>AP</t>
        </is>
      </c>
      <c r="D213" s="140" t="inlineStr">
        <is>
          <t>Metro Cleaning Ltd.</t>
        </is>
      </c>
      <c r="E213" s="140" t="inlineStr">
        <is>
          <t>REF-100210</t>
        </is>
      </c>
      <c r="F213" s="142" t="n">
        <v>-4011.11</v>
      </c>
      <c r="G213" s="143">
        <f>IFERROR(XLOOKUP(E213,Bank_Statement!$D$4:$D$448,Bank_Statement!$G$4:$G$448,""),"")</f>
        <v/>
      </c>
      <c r="H213" s="142">
        <f>IF(G213="","",F213-G213)</f>
        <v/>
      </c>
      <c r="I213" s="144">
        <f>IFERROR(XLOOKUP(E213,Bank_Statement!$D$4:$D$448,Bank_Statement!$B$4:$B$448,""),"")</f>
        <v/>
      </c>
      <c r="J213" s="145">
        <f>IF(I213="","",ABS(B213-I213))</f>
        <v/>
      </c>
      <c r="K213" s="146">
        <f>IF(G213="","Unmatched ERP",IF(AND(ABS(H213)&lt;=Mapping_Rules!$B$4,ABS(J213)&lt;=Mapping_Rules!$B$5),"Matched","Review"))</f>
        <v/>
      </c>
      <c r="L213" s="146">
        <f>IF(K213="Matched","None",IF(G213="","Missing from bank",IF(ABS(H213)&gt;Mapping_Rules!$B$4,"Amount variance","Date variance")))</f>
        <v/>
      </c>
      <c r="M213" s="146">
        <f>IF(K213="Matched","Low",IF(OR(IFERROR(ABS(H213),0)&gt;Mapping_Rules!$B$7,IFERROR(J213,0)&gt;Mapping_Rules!$B$8),"High","Medium"))</f>
        <v/>
      </c>
      <c r="N213" s="146">
        <f>IF(K213="Matched","No action needed",IF(L213="Missing from bank","Check bank date or posting",IF(L213="Amount variance","Check invoice/payment amount","Check timing difference")))</f>
        <v/>
      </c>
      <c r="O213" s="140" t="inlineStr">
        <is>
          <t>2000 AP</t>
        </is>
      </c>
      <c r="P213" s="140" t="inlineStr">
        <is>
          <t>AP Clerk</t>
        </is>
      </c>
      <c r="Q213" s="140" t="inlineStr">
        <is>
          <t>No</t>
        </is>
      </c>
      <c r="R213" s="147" t="str"/>
      <c r="S213" s="148">
        <f>IF(K213="Matched",0,Mapping_Rules!$B$6-B213)</f>
        <v/>
      </c>
    </row>
    <row r="214">
      <c r="A214" s="115" t="inlineStr">
        <is>
          <t>ERP-00211</t>
        </is>
      </c>
      <c r="B214" s="125" t="n">
        <v>46049</v>
      </c>
      <c r="C214" s="115" t="inlineStr">
        <is>
          <t>GL</t>
        </is>
      </c>
      <c r="D214" s="115" t="inlineStr">
        <is>
          <t>Granville Medical</t>
        </is>
      </c>
      <c r="E214" s="115" t="inlineStr">
        <is>
          <t>REF-100211</t>
        </is>
      </c>
      <c r="F214" s="126" t="n">
        <v>-2959.54</v>
      </c>
      <c r="G214" s="134">
        <f>IFERROR(XLOOKUP(E214,Bank_Statement!$D$4:$D$448,Bank_Statement!$G$4:$G$448,""),"")</f>
        <v/>
      </c>
      <c r="H214" s="126">
        <f>IF(G214="","",F214-G214)</f>
        <v/>
      </c>
      <c r="I214" s="135">
        <f>IFERROR(XLOOKUP(E214,Bank_Statement!$D$4:$D$448,Bank_Statement!$B$4:$B$448,""),"")</f>
        <v/>
      </c>
      <c r="J214" s="136">
        <f>IF(I214="","",ABS(B214-I214))</f>
        <v/>
      </c>
      <c r="K214" s="137">
        <f>IF(G214="","Unmatched ERP",IF(AND(ABS(H214)&lt;=Mapping_Rules!$B$4,ABS(J214)&lt;=Mapping_Rules!$B$5),"Matched","Review"))</f>
        <v/>
      </c>
      <c r="L214" s="137">
        <f>IF(K214="Matched","None",IF(G214="","Missing from bank",IF(ABS(H214)&gt;Mapping_Rules!$B$4,"Amount variance","Date variance")))</f>
        <v/>
      </c>
      <c r="M214" s="137">
        <f>IF(K214="Matched","Low",IF(OR(IFERROR(ABS(H214),0)&gt;Mapping_Rules!$B$7,IFERROR(J214,0)&gt;Mapping_Rules!$B$8),"High","Medium"))</f>
        <v/>
      </c>
      <c r="N214" s="137">
        <f>IF(K214="Matched","No action needed",IF(L214="Missing from bank","Check bank date or posting",IF(L214="Amount variance","Check invoice/payment amount","Check timing difference")))</f>
        <v/>
      </c>
      <c r="O214" s="115" t="inlineStr">
        <is>
          <t>2000 AP</t>
        </is>
      </c>
      <c r="P214" s="115" t="inlineStr">
        <is>
          <t>Accounting Technician</t>
        </is>
      </c>
      <c r="Q214" s="115" t="inlineStr">
        <is>
          <t>No</t>
        </is>
      </c>
      <c r="R214" s="138" t="str"/>
      <c r="S214" s="139">
        <f>IF(K214="Matched",0,Mapping_Rules!$B$6-B214)</f>
        <v/>
      </c>
    </row>
    <row r="215">
      <c r="A215" s="140" t="inlineStr">
        <is>
          <t>ERP-00212</t>
        </is>
      </c>
      <c r="B215" s="141" t="n">
        <v>46024</v>
      </c>
      <c r="C215" s="140" t="inlineStr">
        <is>
          <t>Payroll</t>
        </is>
      </c>
      <c r="D215" s="140" t="inlineStr">
        <is>
          <t>Payroll Batch</t>
        </is>
      </c>
      <c r="E215" s="140" t="inlineStr">
        <is>
          <t>REF-100212</t>
        </is>
      </c>
      <c r="F215" s="142" t="n">
        <v>-10012.48</v>
      </c>
      <c r="G215" s="143">
        <f>IFERROR(XLOOKUP(E215,Bank_Statement!$D$4:$D$448,Bank_Statement!$G$4:$G$448,""),"")</f>
        <v/>
      </c>
      <c r="H215" s="142">
        <f>IF(G215="","",F215-G215)</f>
        <v/>
      </c>
      <c r="I215" s="144">
        <f>IFERROR(XLOOKUP(E215,Bank_Statement!$D$4:$D$448,Bank_Statement!$B$4:$B$448,""),"")</f>
        <v/>
      </c>
      <c r="J215" s="145">
        <f>IF(I215="","",ABS(B215-I215))</f>
        <v/>
      </c>
      <c r="K215" s="146">
        <f>IF(G215="","Unmatched ERP",IF(AND(ABS(H215)&lt;=Mapping_Rules!$B$4,ABS(J215)&lt;=Mapping_Rules!$B$5),"Matched","Review"))</f>
        <v/>
      </c>
      <c r="L215" s="146">
        <f>IF(K215="Matched","None",IF(G215="","Missing from bank",IF(ABS(H215)&gt;Mapping_Rules!$B$4,"Amount variance","Date variance")))</f>
        <v/>
      </c>
      <c r="M215" s="146">
        <f>IF(K215="Matched","Low",IF(OR(IFERROR(ABS(H215),0)&gt;Mapping_Rules!$B$7,IFERROR(J215,0)&gt;Mapping_Rules!$B$8),"High","Medium"))</f>
        <v/>
      </c>
      <c r="N215" s="146">
        <f>IF(K215="Matched","No action needed",IF(L215="Missing from bank","Check bank date or posting",IF(L215="Amount variance","Check invoice/payment amount","Check timing difference")))</f>
        <v/>
      </c>
      <c r="O215" s="140" t="inlineStr">
        <is>
          <t>5300 Payroll</t>
        </is>
      </c>
      <c r="P215" s="140" t="inlineStr">
        <is>
          <t>Accounting Technician</t>
        </is>
      </c>
      <c r="Q215" s="140" t="inlineStr">
        <is>
          <t>No</t>
        </is>
      </c>
      <c r="R215" s="147" t="str"/>
      <c r="S215" s="148">
        <f>IF(K215="Matched",0,Mapping_Rules!$B$6-B215)</f>
        <v/>
      </c>
    </row>
    <row r="216">
      <c r="A216" s="115" t="inlineStr">
        <is>
          <t>ERP-00213</t>
        </is>
      </c>
      <c r="B216" s="125" t="n">
        <v>46053</v>
      </c>
      <c r="C216" s="115" t="inlineStr">
        <is>
          <t>AR</t>
        </is>
      </c>
      <c r="D216" s="115" t="inlineStr">
        <is>
          <t>Raincity Tech</t>
        </is>
      </c>
      <c r="E216" s="115" t="inlineStr">
        <is>
          <t>REF-100213</t>
        </is>
      </c>
      <c r="F216" s="126" t="n">
        <v>7213.55</v>
      </c>
      <c r="G216" s="134">
        <f>IFERROR(XLOOKUP(E216,Bank_Statement!$D$4:$D$448,Bank_Statement!$G$4:$G$448,""),"")</f>
        <v/>
      </c>
      <c r="H216" s="126">
        <f>IF(G216="","",F216-G216)</f>
        <v/>
      </c>
      <c r="I216" s="135">
        <f>IFERROR(XLOOKUP(E216,Bank_Statement!$D$4:$D$448,Bank_Statement!$B$4:$B$448,""),"")</f>
        <v/>
      </c>
      <c r="J216" s="136">
        <f>IF(I216="","",ABS(B216-I216))</f>
        <v/>
      </c>
      <c r="K216" s="137">
        <f>IF(G216="","Unmatched ERP",IF(AND(ABS(H216)&lt;=Mapping_Rules!$B$4,ABS(J216)&lt;=Mapping_Rules!$B$5),"Matched","Review"))</f>
        <v/>
      </c>
      <c r="L216" s="137">
        <f>IF(K216="Matched","None",IF(G216="","Missing from bank",IF(ABS(H216)&gt;Mapping_Rules!$B$4,"Amount variance","Date variance")))</f>
        <v/>
      </c>
      <c r="M216" s="137">
        <f>IF(K216="Matched","Low",IF(OR(IFERROR(ABS(H216),0)&gt;Mapping_Rules!$B$7,IFERROR(J216,0)&gt;Mapping_Rules!$B$8),"High","Medium"))</f>
        <v/>
      </c>
      <c r="N216" s="137">
        <f>IF(K216="Matched","No action needed",IF(L216="Missing from bank","Check bank date or posting",IF(L216="Amount variance","Check invoice/payment amount","Check timing difference")))</f>
        <v/>
      </c>
      <c r="O216" s="115" t="inlineStr">
        <is>
          <t>1200 AR</t>
        </is>
      </c>
      <c r="P216" s="115" t="inlineStr">
        <is>
          <t>AR Clerk</t>
        </is>
      </c>
      <c r="Q216" s="115" t="inlineStr">
        <is>
          <t>No</t>
        </is>
      </c>
      <c r="R216" s="138" t="str"/>
      <c r="S216" s="139">
        <f>IF(K216="Matched",0,Mapping_Rules!$B$6-B216)</f>
        <v/>
      </c>
    </row>
    <row r="217">
      <c r="A217" s="140" t="inlineStr">
        <is>
          <t>ERP-00214</t>
        </is>
      </c>
      <c r="B217" s="141" t="n">
        <v>46032</v>
      </c>
      <c r="C217" s="140" t="inlineStr">
        <is>
          <t>AR</t>
        </is>
      </c>
      <c r="D217" s="140" t="inlineStr">
        <is>
          <t>Maple Retail Group</t>
        </is>
      </c>
      <c r="E217" s="140" t="inlineStr">
        <is>
          <t>REF-100214</t>
        </is>
      </c>
      <c r="F217" s="142" t="n">
        <v>4346.49</v>
      </c>
      <c r="G217" s="143">
        <f>IFERROR(XLOOKUP(E217,Bank_Statement!$D$4:$D$448,Bank_Statement!$G$4:$G$448,""),"")</f>
        <v/>
      </c>
      <c r="H217" s="142">
        <f>IF(G217="","",F217-G217)</f>
        <v/>
      </c>
      <c r="I217" s="144">
        <f>IFERROR(XLOOKUP(E217,Bank_Statement!$D$4:$D$448,Bank_Statement!$B$4:$B$448,""),"")</f>
        <v/>
      </c>
      <c r="J217" s="145">
        <f>IF(I217="","",ABS(B217-I217))</f>
        <v/>
      </c>
      <c r="K217" s="146">
        <f>IF(G217="","Unmatched ERP",IF(AND(ABS(H217)&lt;=Mapping_Rules!$B$4,ABS(J217)&lt;=Mapping_Rules!$B$5),"Matched","Review"))</f>
        <v/>
      </c>
      <c r="L217" s="146">
        <f>IF(K217="Matched","None",IF(G217="","Missing from bank",IF(ABS(H217)&gt;Mapping_Rules!$B$4,"Amount variance","Date variance")))</f>
        <v/>
      </c>
      <c r="M217" s="146">
        <f>IF(K217="Matched","Low",IF(OR(IFERROR(ABS(H217),0)&gt;Mapping_Rules!$B$7,IFERROR(J217,0)&gt;Mapping_Rules!$B$8),"High","Medium"))</f>
        <v/>
      </c>
      <c r="N217" s="146">
        <f>IF(K217="Matched","No action needed",IF(L217="Missing from bank","Check bank date or posting",IF(L217="Amount variance","Check invoice/payment amount","Check timing difference")))</f>
        <v/>
      </c>
      <c r="O217" s="140" t="inlineStr">
        <is>
          <t>1200 AR</t>
        </is>
      </c>
      <c r="P217" s="140" t="inlineStr">
        <is>
          <t>AR Clerk</t>
        </is>
      </c>
      <c r="Q217" s="140" t="inlineStr">
        <is>
          <t>No</t>
        </is>
      </c>
      <c r="R217" s="147" t="str"/>
      <c r="S217" s="148">
        <f>IF(K217="Matched",0,Mapping_Rules!$B$6-B217)</f>
        <v/>
      </c>
    </row>
    <row r="218">
      <c r="A218" s="115" t="inlineStr">
        <is>
          <t>ERP-00215</t>
        </is>
      </c>
      <c r="B218" s="125" t="n">
        <v>46027</v>
      </c>
      <c r="C218" s="115" t="inlineStr">
        <is>
          <t>AP</t>
        </is>
      </c>
      <c r="D218" s="115" t="inlineStr">
        <is>
          <t>Amazon Business</t>
        </is>
      </c>
      <c r="E218" s="115" t="inlineStr">
        <is>
          <t>REF-100215</t>
        </is>
      </c>
      <c r="F218" s="126" t="n">
        <v>-4490.27</v>
      </c>
      <c r="G218" s="134">
        <f>IFERROR(XLOOKUP(E218,Bank_Statement!$D$4:$D$448,Bank_Statement!$G$4:$G$448,""),"")</f>
        <v/>
      </c>
      <c r="H218" s="126">
        <f>IF(G218="","",F218-G218)</f>
        <v/>
      </c>
      <c r="I218" s="135">
        <f>IFERROR(XLOOKUP(E218,Bank_Statement!$D$4:$D$448,Bank_Statement!$B$4:$B$448,""),"")</f>
        <v/>
      </c>
      <c r="J218" s="136">
        <f>IF(I218="","",ABS(B218-I218))</f>
        <v/>
      </c>
      <c r="K218" s="137">
        <f>IF(G218="","Unmatched ERP",IF(AND(ABS(H218)&lt;=Mapping_Rules!$B$4,ABS(J218)&lt;=Mapping_Rules!$B$5),"Matched","Review"))</f>
        <v/>
      </c>
      <c r="L218" s="137">
        <f>IF(K218="Matched","None",IF(G218="","Missing from bank",IF(ABS(H218)&gt;Mapping_Rules!$B$4,"Amount variance","Date variance")))</f>
        <v/>
      </c>
      <c r="M218" s="137">
        <f>IF(K218="Matched","Low",IF(OR(IFERROR(ABS(H218),0)&gt;Mapping_Rules!$B$7,IFERROR(J218,0)&gt;Mapping_Rules!$B$8),"High","Medium"))</f>
        <v/>
      </c>
      <c r="N218" s="137">
        <f>IF(K218="Matched","No action needed",IF(L218="Missing from bank","Check bank date or posting",IF(L218="Amount variance","Check invoice/payment amount","Check timing difference")))</f>
        <v/>
      </c>
      <c r="O218" s="115" t="inlineStr">
        <is>
          <t>2000 AP</t>
        </is>
      </c>
      <c r="P218" s="115" t="inlineStr">
        <is>
          <t>AP Clerk</t>
        </is>
      </c>
      <c r="Q218" s="115" t="inlineStr">
        <is>
          <t>No</t>
        </is>
      </c>
      <c r="R218" s="138" t="str"/>
      <c r="S218" s="139">
        <f>IF(K218="Matched",0,Mapping_Rules!$B$6-B218)</f>
        <v/>
      </c>
    </row>
    <row r="219">
      <c r="A219" s="140" t="inlineStr">
        <is>
          <t>ERP-00216</t>
        </is>
      </c>
      <c r="B219" s="141" t="n">
        <v>46041</v>
      </c>
      <c r="C219" s="140" t="inlineStr">
        <is>
          <t>AP</t>
        </is>
      </c>
      <c r="D219" s="140" t="inlineStr">
        <is>
          <t>Vancouver Courier</t>
        </is>
      </c>
      <c r="E219" s="140" t="inlineStr">
        <is>
          <t>REF-100216</t>
        </is>
      </c>
      <c r="F219" s="142" t="n">
        <v>-253.65</v>
      </c>
      <c r="G219" s="143">
        <f>IFERROR(XLOOKUP(E219,Bank_Statement!$D$4:$D$448,Bank_Statement!$G$4:$G$448,""),"")</f>
        <v/>
      </c>
      <c r="H219" s="142">
        <f>IF(G219="","",F219-G219)</f>
        <v/>
      </c>
      <c r="I219" s="144">
        <f>IFERROR(XLOOKUP(E219,Bank_Statement!$D$4:$D$448,Bank_Statement!$B$4:$B$448,""),"")</f>
        <v/>
      </c>
      <c r="J219" s="145">
        <f>IF(I219="","",ABS(B219-I219))</f>
        <v/>
      </c>
      <c r="K219" s="146">
        <f>IF(G219="","Unmatched ERP",IF(AND(ABS(H219)&lt;=Mapping_Rules!$B$4,ABS(J219)&lt;=Mapping_Rules!$B$5),"Matched","Review"))</f>
        <v/>
      </c>
      <c r="L219" s="146">
        <f>IF(K219="Matched","None",IF(G219="","Missing from bank",IF(ABS(H219)&gt;Mapping_Rules!$B$4,"Amount variance","Date variance")))</f>
        <v/>
      </c>
      <c r="M219" s="146">
        <f>IF(K219="Matched","Low",IF(OR(IFERROR(ABS(H219),0)&gt;Mapping_Rules!$B$7,IFERROR(J219,0)&gt;Mapping_Rules!$B$8),"High","Medium"))</f>
        <v/>
      </c>
      <c r="N219" s="146">
        <f>IF(K219="Matched","No action needed",IF(L219="Missing from bank","Check bank date or posting",IF(L219="Amount variance","Check invoice/payment amount","Check timing difference")))</f>
        <v/>
      </c>
      <c r="O219" s="140" t="inlineStr">
        <is>
          <t>2000 AP</t>
        </is>
      </c>
      <c r="P219" s="140" t="inlineStr">
        <is>
          <t>AP Clerk</t>
        </is>
      </c>
      <c r="Q219" s="140" t="inlineStr">
        <is>
          <t>No</t>
        </is>
      </c>
      <c r="R219" s="147" t="str"/>
      <c r="S219" s="148">
        <f>IF(K219="Matched",0,Mapping_Rules!$B$6-B219)</f>
        <v/>
      </c>
    </row>
    <row r="220">
      <c r="A220" s="115" t="inlineStr">
        <is>
          <t>ERP-00217</t>
        </is>
      </c>
      <c r="B220" s="125" t="n">
        <v>46036</v>
      </c>
      <c r="C220" s="115" t="inlineStr">
        <is>
          <t>AR</t>
        </is>
      </c>
      <c r="D220" s="115" t="inlineStr">
        <is>
          <t>Maple Retail Group</t>
        </is>
      </c>
      <c r="E220" s="115" t="inlineStr">
        <is>
          <t>REF-100217</t>
        </is>
      </c>
      <c r="F220" s="126" t="n">
        <v>4308.62</v>
      </c>
      <c r="G220" s="134">
        <f>IFERROR(XLOOKUP(E220,Bank_Statement!$D$4:$D$448,Bank_Statement!$G$4:$G$448,""),"")</f>
        <v/>
      </c>
      <c r="H220" s="126">
        <f>IF(G220="","",F220-G220)</f>
        <v/>
      </c>
      <c r="I220" s="135">
        <f>IFERROR(XLOOKUP(E220,Bank_Statement!$D$4:$D$448,Bank_Statement!$B$4:$B$448,""),"")</f>
        <v/>
      </c>
      <c r="J220" s="136">
        <f>IF(I220="","",ABS(B220-I220))</f>
        <v/>
      </c>
      <c r="K220" s="137">
        <f>IF(G220="","Unmatched ERP",IF(AND(ABS(H220)&lt;=Mapping_Rules!$B$4,ABS(J220)&lt;=Mapping_Rules!$B$5),"Matched","Review"))</f>
        <v/>
      </c>
      <c r="L220" s="137">
        <f>IF(K220="Matched","None",IF(G220="","Missing from bank",IF(ABS(H220)&gt;Mapping_Rules!$B$4,"Amount variance","Date variance")))</f>
        <v/>
      </c>
      <c r="M220" s="137">
        <f>IF(K220="Matched","Low",IF(OR(IFERROR(ABS(H220),0)&gt;Mapping_Rules!$B$7,IFERROR(J220,0)&gt;Mapping_Rules!$B$8),"High","Medium"))</f>
        <v/>
      </c>
      <c r="N220" s="137">
        <f>IF(K220="Matched","No action needed",IF(L220="Missing from bank","Check bank date or posting",IF(L220="Amount variance","Check invoice/payment amount","Check timing difference")))</f>
        <v/>
      </c>
      <c r="O220" s="115" t="inlineStr">
        <is>
          <t>1200 AR</t>
        </is>
      </c>
      <c r="P220" s="115" t="inlineStr">
        <is>
          <t>AR Clerk</t>
        </is>
      </c>
      <c r="Q220" s="115" t="inlineStr">
        <is>
          <t>No</t>
        </is>
      </c>
      <c r="R220" s="138" t="str"/>
      <c r="S220" s="139">
        <f>IF(K220="Matched",0,Mapping_Rules!$B$6-B220)</f>
        <v/>
      </c>
    </row>
    <row r="221">
      <c r="A221" s="140" t="inlineStr">
        <is>
          <t>ERP-00218</t>
        </is>
      </c>
      <c r="B221" s="141" t="n">
        <v>46048</v>
      </c>
      <c r="C221" s="140" t="inlineStr">
        <is>
          <t>Payroll</t>
        </is>
      </c>
      <c r="D221" s="140" t="inlineStr">
        <is>
          <t>Payroll Batch</t>
        </is>
      </c>
      <c r="E221" s="140" t="inlineStr">
        <is>
          <t>REF-100218</t>
        </is>
      </c>
      <c r="F221" s="142" t="n">
        <v>-8388.34</v>
      </c>
      <c r="G221" s="143">
        <f>IFERROR(XLOOKUP(E221,Bank_Statement!$D$4:$D$448,Bank_Statement!$G$4:$G$448,""),"")</f>
        <v/>
      </c>
      <c r="H221" s="142">
        <f>IF(G221="","",F221-G221)</f>
        <v/>
      </c>
      <c r="I221" s="144">
        <f>IFERROR(XLOOKUP(E221,Bank_Statement!$D$4:$D$448,Bank_Statement!$B$4:$B$448,""),"")</f>
        <v/>
      </c>
      <c r="J221" s="145">
        <f>IF(I221="","",ABS(B221-I221))</f>
        <v/>
      </c>
      <c r="K221" s="146">
        <f>IF(G221="","Unmatched ERP",IF(AND(ABS(H221)&lt;=Mapping_Rules!$B$4,ABS(J221)&lt;=Mapping_Rules!$B$5),"Matched","Review"))</f>
        <v/>
      </c>
      <c r="L221" s="146">
        <f>IF(K221="Matched","None",IF(G221="","Missing from bank",IF(ABS(H221)&gt;Mapping_Rules!$B$4,"Amount variance","Date variance")))</f>
        <v/>
      </c>
      <c r="M221" s="146">
        <f>IF(K221="Matched","Low",IF(OR(IFERROR(ABS(H221),0)&gt;Mapping_Rules!$B$7,IFERROR(J221,0)&gt;Mapping_Rules!$B$8),"High","Medium"))</f>
        <v/>
      </c>
      <c r="N221" s="146">
        <f>IF(K221="Matched","No action needed",IF(L221="Missing from bank","Check bank date or posting",IF(L221="Amount variance","Check invoice/payment amount","Check timing difference")))</f>
        <v/>
      </c>
      <c r="O221" s="140" t="inlineStr">
        <is>
          <t>5300 Payroll</t>
        </is>
      </c>
      <c r="P221" s="140" t="inlineStr">
        <is>
          <t>Accounting Technician</t>
        </is>
      </c>
      <c r="Q221" s="140" t="inlineStr">
        <is>
          <t>No</t>
        </is>
      </c>
      <c r="R221" s="147" t="str"/>
      <c r="S221" s="148">
        <f>IF(K221="Matched",0,Mapping_Rules!$B$6-B221)</f>
        <v/>
      </c>
    </row>
    <row r="222">
      <c r="A222" s="115" t="inlineStr">
        <is>
          <t>ERP-00219</t>
        </is>
      </c>
      <c r="B222" s="125" t="n">
        <v>46038</v>
      </c>
      <c r="C222" s="115" t="inlineStr">
        <is>
          <t>AR</t>
        </is>
      </c>
      <c r="D222" s="115" t="inlineStr">
        <is>
          <t>Raincity Tech</t>
        </is>
      </c>
      <c r="E222" s="115" t="inlineStr">
        <is>
          <t>REF-100219</t>
        </is>
      </c>
      <c r="F222" s="126" t="n">
        <v>5215.61</v>
      </c>
      <c r="G222" s="134">
        <f>IFERROR(XLOOKUP(E222,Bank_Statement!$D$4:$D$448,Bank_Statement!$G$4:$G$448,""),"")</f>
        <v/>
      </c>
      <c r="H222" s="126">
        <f>IF(G222="","",F222-G222)</f>
        <v/>
      </c>
      <c r="I222" s="135">
        <f>IFERROR(XLOOKUP(E222,Bank_Statement!$D$4:$D$448,Bank_Statement!$B$4:$B$448,""),"")</f>
        <v/>
      </c>
      <c r="J222" s="136">
        <f>IF(I222="","",ABS(B222-I222))</f>
        <v/>
      </c>
      <c r="K222" s="137">
        <f>IF(G222="","Unmatched ERP",IF(AND(ABS(H222)&lt;=Mapping_Rules!$B$4,ABS(J222)&lt;=Mapping_Rules!$B$5),"Matched","Review"))</f>
        <v/>
      </c>
      <c r="L222" s="137">
        <f>IF(K222="Matched","None",IF(G222="","Missing from bank",IF(ABS(H222)&gt;Mapping_Rules!$B$4,"Amount variance","Date variance")))</f>
        <v/>
      </c>
      <c r="M222" s="137">
        <f>IF(K222="Matched","Low",IF(OR(IFERROR(ABS(H222),0)&gt;Mapping_Rules!$B$7,IFERROR(J222,0)&gt;Mapping_Rules!$B$8),"High","Medium"))</f>
        <v/>
      </c>
      <c r="N222" s="137">
        <f>IF(K222="Matched","No action needed",IF(L222="Missing from bank","Check bank date or posting",IF(L222="Amount variance","Check invoice/payment amount","Check timing difference")))</f>
        <v/>
      </c>
      <c r="O222" s="115" t="inlineStr">
        <is>
          <t>1200 AR</t>
        </is>
      </c>
      <c r="P222" s="115" t="inlineStr">
        <is>
          <t>AR Clerk</t>
        </is>
      </c>
      <c r="Q222" s="115" t="inlineStr">
        <is>
          <t>No</t>
        </is>
      </c>
      <c r="R222" s="138" t="str"/>
      <c r="S222" s="139">
        <f>IF(K222="Matched",0,Mapping_Rules!$B$6-B222)</f>
        <v/>
      </c>
    </row>
    <row r="223">
      <c r="A223" s="140" t="inlineStr">
        <is>
          <t>ERP-00220</t>
        </is>
      </c>
      <c r="B223" s="141" t="n">
        <v>46027</v>
      </c>
      <c r="C223" s="140" t="inlineStr">
        <is>
          <t>GL</t>
        </is>
      </c>
      <c r="D223" s="140" t="inlineStr">
        <is>
          <t>Coastline Foods</t>
        </is>
      </c>
      <c r="E223" s="140" t="inlineStr">
        <is>
          <t>REF-100220</t>
        </is>
      </c>
      <c r="F223" s="142" t="n">
        <v>2830.17</v>
      </c>
      <c r="G223" s="143">
        <f>IFERROR(XLOOKUP(E223,Bank_Statement!$D$4:$D$448,Bank_Statement!$G$4:$G$448,""),"")</f>
        <v/>
      </c>
      <c r="H223" s="142">
        <f>IF(G223="","",F223-G223)</f>
        <v/>
      </c>
      <c r="I223" s="144">
        <f>IFERROR(XLOOKUP(E223,Bank_Statement!$D$4:$D$448,Bank_Statement!$B$4:$B$448,""),"")</f>
        <v/>
      </c>
      <c r="J223" s="145">
        <f>IF(I223="","",ABS(B223-I223))</f>
        <v/>
      </c>
      <c r="K223" s="146">
        <f>IF(G223="","Unmatched ERP",IF(AND(ABS(H223)&lt;=Mapping_Rules!$B$4,ABS(J223)&lt;=Mapping_Rules!$B$5),"Matched","Review"))</f>
        <v/>
      </c>
      <c r="L223" s="146">
        <f>IF(K223="Matched","None",IF(G223="","Missing from bank",IF(ABS(H223)&gt;Mapping_Rules!$B$4,"Amount variance","Date variance")))</f>
        <v/>
      </c>
      <c r="M223" s="146">
        <f>IF(K223="Matched","Low",IF(OR(IFERROR(ABS(H223),0)&gt;Mapping_Rules!$B$7,IFERROR(J223,0)&gt;Mapping_Rules!$B$8),"High","Medium"))</f>
        <v/>
      </c>
      <c r="N223" s="146">
        <f>IF(K223="Matched","No action needed",IF(L223="Missing from bank","Check bank date or posting",IF(L223="Amount variance","Check invoice/payment amount","Check timing difference")))</f>
        <v/>
      </c>
      <c r="O223" s="140" t="inlineStr">
        <is>
          <t>6100 Bank Fees</t>
        </is>
      </c>
      <c r="P223" s="140" t="inlineStr">
        <is>
          <t>Accounting Technician</t>
        </is>
      </c>
      <c r="Q223" s="140" t="inlineStr">
        <is>
          <t>No</t>
        </is>
      </c>
      <c r="R223" s="147" t="str"/>
      <c r="S223" s="148">
        <f>IF(K223="Matched",0,Mapping_Rules!$B$6-B223)</f>
        <v/>
      </c>
    </row>
    <row r="224">
      <c r="A224" s="115" t="inlineStr">
        <is>
          <t>ERP-00221</t>
        </is>
      </c>
      <c r="B224" s="125" t="n">
        <v>46032</v>
      </c>
      <c r="C224" s="115" t="inlineStr">
        <is>
          <t>Bank Fees</t>
        </is>
      </c>
      <c r="D224" s="115" t="inlineStr">
        <is>
          <t>Bank</t>
        </is>
      </c>
      <c r="E224" s="115" t="inlineStr">
        <is>
          <t>REF-100221</t>
        </is>
      </c>
      <c r="F224" s="126" t="n">
        <v>-104.38</v>
      </c>
      <c r="G224" s="134">
        <f>IFERROR(XLOOKUP(E224,Bank_Statement!$D$4:$D$448,Bank_Statement!$G$4:$G$448,""),"")</f>
        <v/>
      </c>
      <c r="H224" s="126">
        <f>IF(G224="","",F224-G224)</f>
        <v/>
      </c>
      <c r="I224" s="135">
        <f>IFERROR(XLOOKUP(E224,Bank_Statement!$D$4:$D$448,Bank_Statement!$B$4:$B$448,""),"")</f>
        <v/>
      </c>
      <c r="J224" s="136">
        <f>IF(I224="","",ABS(B224-I224))</f>
        <v/>
      </c>
      <c r="K224" s="137">
        <f>IF(G224="","Unmatched ERP",IF(AND(ABS(H224)&lt;=Mapping_Rules!$B$4,ABS(J224)&lt;=Mapping_Rules!$B$5),"Matched","Review"))</f>
        <v/>
      </c>
      <c r="L224" s="137">
        <f>IF(K224="Matched","None",IF(G224="","Missing from bank",IF(ABS(H224)&gt;Mapping_Rules!$B$4,"Amount variance","Date variance")))</f>
        <v/>
      </c>
      <c r="M224" s="137">
        <f>IF(K224="Matched","Low",IF(OR(IFERROR(ABS(H224),0)&gt;Mapping_Rules!$B$7,IFERROR(J224,0)&gt;Mapping_Rules!$B$8),"High","Medium"))</f>
        <v/>
      </c>
      <c r="N224" s="137">
        <f>IF(K224="Matched","No action needed",IF(L224="Missing from bank","Check bank date or posting",IF(L224="Amount variance","Check invoice/payment amount","Check timing difference")))</f>
        <v/>
      </c>
      <c r="O224" s="115" t="inlineStr">
        <is>
          <t>6100 Bank Fees</t>
        </is>
      </c>
      <c r="P224" s="115" t="inlineStr">
        <is>
          <t>Accounting Technician</t>
        </is>
      </c>
      <c r="Q224" s="115" t="inlineStr">
        <is>
          <t>No</t>
        </is>
      </c>
      <c r="R224" s="138" t="str"/>
      <c r="S224" s="139">
        <f>IF(K224="Matched",0,Mapping_Rules!$B$6-B224)</f>
        <v/>
      </c>
    </row>
    <row r="225">
      <c r="A225" s="140" t="inlineStr">
        <is>
          <t>ERP-00222</t>
        </is>
      </c>
      <c r="B225" s="141" t="n">
        <v>46051</v>
      </c>
      <c r="C225" s="140" t="inlineStr">
        <is>
          <t>AP</t>
        </is>
      </c>
      <c r="D225" s="140" t="inlineStr">
        <is>
          <t>Metro Cleaning Ltd.</t>
        </is>
      </c>
      <c r="E225" s="140" t="inlineStr">
        <is>
          <t>REF-100222</t>
        </is>
      </c>
      <c r="F225" s="142" t="n">
        <v>-5794.56</v>
      </c>
      <c r="G225" s="143">
        <f>IFERROR(XLOOKUP(E225,Bank_Statement!$D$4:$D$448,Bank_Statement!$G$4:$G$448,""),"")</f>
        <v/>
      </c>
      <c r="H225" s="142">
        <f>IF(G225="","",F225-G225)</f>
        <v/>
      </c>
      <c r="I225" s="144">
        <f>IFERROR(XLOOKUP(E225,Bank_Statement!$D$4:$D$448,Bank_Statement!$B$4:$B$448,""),"")</f>
        <v/>
      </c>
      <c r="J225" s="145">
        <f>IF(I225="","",ABS(B225-I225))</f>
        <v/>
      </c>
      <c r="K225" s="146">
        <f>IF(G225="","Unmatched ERP",IF(AND(ABS(H225)&lt;=Mapping_Rules!$B$4,ABS(J225)&lt;=Mapping_Rules!$B$5),"Matched","Review"))</f>
        <v/>
      </c>
      <c r="L225" s="146">
        <f>IF(K225="Matched","None",IF(G225="","Missing from bank",IF(ABS(H225)&gt;Mapping_Rules!$B$4,"Amount variance","Date variance")))</f>
        <v/>
      </c>
      <c r="M225" s="146">
        <f>IF(K225="Matched","Low",IF(OR(IFERROR(ABS(H225),0)&gt;Mapping_Rules!$B$7,IFERROR(J225,0)&gt;Mapping_Rules!$B$8),"High","Medium"))</f>
        <v/>
      </c>
      <c r="N225" s="146">
        <f>IF(K225="Matched","No action needed",IF(L225="Missing from bank","Check bank date or posting",IF(L225="Amount variance","Check invoice/payment amount","Check timing difference")))</f>
        <v/>
      </c>
      <c r="O225" s="140" t="inlineStr">
        <is>
          <t>2000 AP</t>
        </is>
      </c>
      <c r="P225" s="140" t="inlineStr">
        <is>
          <t>AP Clerk</t>
        </is>
      </c>
      <c r="Q225" s="140" t="inlineStr">
        <is>
          <t>No</t>
        </is>
      </c>
      <c r="R225" s="147" t="str"/>
      <c r="S225" s="148">
        <f>IF(K225="Matched",0,Mapping_Rules!$B$6-B225)</f>
        <v/>
      </c>
    </row>
    <row r="226">
      <c r="A226" s="115" t="inlineStr">
        <is>
          <t>ERP-00223</t>
        </is>
      </c>
      <c r="B226" s="125" t="n">
        <v>46037</v>
      </c>
      <c r="C226" s="115" t="inlineStr">
        <is>
          <t>AR</t>
        </is>
      </c>
      <c r="D226" s="115" t="inlineStr">
        <is>
          <t>Raincity Tech</t>
        </is>
      </c>
      <c r="E226" s="115" t="inlineStr">
        <is>
          <t>REF-100223</t>
        </is>
      </c>
      <c r="F226" s="126" t="n">
        <v>4303.04</v>
      </c>
      <c r="G226" s="134">
        <f>IFERROR(XLOOKUP(E226,Bank_Statement!$D$4:$D$448,Bank_Statement!$G$4:$G$448,""),"")</f>
        <v/>
      </c>
      <c r="H226" s="126">
        <f>IF(G226="","",F226-G226)</f>
        <v/>
      </c>
      <c r="I226" s="135">
        <f>IFERROR(XLOOKUP(E226,Bank_Statement!$D$4:$D$448,Bank_Statement!$B$4:$B$448,""),"")</f>
        <v/>
      </c>
      <c r="J226" s="136">
        <f>IF(I226="","",ABS(B226-I226))</f>
        <v/>
      </c>
      <c r="K226" s="137">
        <f>IF(G226="","Unmatched ERP",IF(AND(ABS(H226)&lt;=Mapping_Rules!$B$4,ABS(J226)&lt;=Mapping_Rules!$B$5),"Matched","Review"))</f>
        <v/>
      </c>
      <c r="L226" s="137">
        <f>IF(K226="Matched","None",IF(G226="","Missing from bank",IF(ABS(H226)&gt;Mapping_Rules!$B$4,"Amount variance","Date variance")))</f>
        <v/>
      </c>
      <c r="M226" s="137">
        <f>IF(K226="Matched","Low",IF(OR(IFERROR(ABS(H226),0)&gt;Mapping_Rules!$B$7,IFERROR(J226,0)&gt;Mapping_Rules!$B$8),"High","Medium"))</f>
        <v/>
      </c>
      <c r="N226" s="137">
        <f>IF(K226="Matched","No action needed",IF(L226="Missing from bank","Check bank date or posting",IF(L226="Amount variance","Check invoice/payment amount","Check timing difference")))</f>
        <v/>
      </c>
      <c r="O226" s="115" t="inlineStr">
        <is>
          <t>1200 AR</t>
        </is>
      </c>
      <c r="P226" s="115" t="inlineStr">
        <is>
          <t>AR Clerk</t>
        </is>
      </c>
      <c r="Q226" s="115" t="inlineStr">
        <is>
          <t>No</t>
        </is>
      </c>
      <c r="R226" s="138" t="str"/>
      <c r="S226" s="139">
        <f>IF(K226="Matched",0,Mapping_Rules!$B$6-B226)</f>
        <v/>
      </c>
    </row>
    <row r="227">
      <c r="A227" s="140" t="inlineStr">
        <is>
          <t>ERP-00224</t>
        </is>
      </c>
      <c r="B227" s="141" t="n">
        <v>46034</v>
      </c>
      <c r="C227" s="140" t="inlineStr">
        <is>
          <t>AP</t>
        </is>
      </c>
      <c r="D227" s="140" t="inlineStr">
        <is>
          <t>Metro Cleaning Ltd.</t>
        </is>
      </c>
      <c r="E227" s="140" t="inlineStr">
        <is>
          <t>REF-100224</t>
        </is>
      </c>
      <c r="F227" s="142" t="n">
        <v>-3108.75</v>
      </c>
      <c r="G227" s="143">
        <f>IFERROR(XLOOKUP(E227,Bank_Statement!$D$4:$D$448,Bank_Statement!$G$4:$G$448,""),"")</f>
        <v/>
      </c>
      <c r="H227" s="142">
        <f>IF(G227="","",F227-G227)</f>
        <v/>
      </c>
      <c r="I227" s="144">
        <f>IFERROR(XLOOKUP(E227,Bank_Statement!$D$4:$D$448,Bank_Statement!$B$4:$B$448,""),"")</f>
        <v/>
      </c>
      <c r="J227" s="145">
        <f>IF(I227="","",ABS(B227-I227))</f>
        <v/>
      </c>
      <c r="K227" s="146">
        <f>IF(G227="","Unmatched ERP",IF(AND(ABS(H227)&lt;=Mapping_Rules!$B$4,ABS(J227)&lt;=Mapping_Rules!$B$5),"Matched","Review"))</f>
        <v/>
      </c>
      <c r="L227" s="146">
        <f>IF(K227="Matched","None",IF(G227="","Missing from bank",IF(ABS(H227)&gt;Mapping_Rules!$B$4,"Amount variance","Date variance")))</f>
        <v/>
      </c>
      <c r="M227" s="146">
        <f>IF(K227="Matched","Low",IF(OR(IFERROR(ABS(H227),0)&gt;Mapping_Rules!$B$7,IFERROR(J227,0)&gt;Mapping_Rules!$B$8),"High","Medium"))</f>
        <v/>
      </c>
      <c r="N227" s="146">
        <f>IF(K227="Matched","No action needed",IF(L227="Missing from bank","Check bank date or posting",IF(L227="Amount variance","Check invoice/payment amount","Check timing difference")))</f>
        <v/>
      </c>
      <c r="O227" s="140" t="inlineStr">
        <is>
          <t>2000 AP</t>
        </is>
      </c>
      <c r="P227" s="140" t="inlineStr">
        <is>
          <t>AP Clerk</t>
        </is>
      </c>
      <c r="Q227" s="140" t="inlineStr">
        <is>
          <t>No</t>
        </is>
      </c>
      <c r="R227" s="147" t="str"/>
      <c r="S227" s="148">
        <f>IF(K227="Matched",0,Mapping_Rules!$B$6-B227)</f>
        <v/>
      </c>
    </row>
    <row r="228">
      <c r="A228" s="115" t="inlineStr">
        <is>
          <t>ERP-00225</t>
        </is>
      </c>
      <c r="B228" s="125" t="n">
        <v>46051</v>
      </c>
      <c r="C228" s="115" t="inlineStr">
        <is>
          <t>AP</t>
        </is>
      </c>
      <c r="D228" s="115" t="inlineStr">
        <is>
          <t>Metro Cleaning Ltd.</t>
        </is>
      </c>
      <c r="E228" s="115" t="inlineStr">
        <is>
          <t>REF-100225</t>
        </is>
      </c>
      <c r="F228" s="126" t="n">
        <v>-4754.8</v>
      </c>
      <c r="G228" s="134">
        <f>IFERROR(XLOOKUP(E228,Bank_Statement!$D$4:$D$448,Bank_Statement!$G$4:$G$448,""),"")</f>
        <v/>
      </c>
      <c r="H228" s="126">
        <f>IF(G228="","",F228-G228)</f>
        <v/>
      </c>
      <c r="I228" s="135">
        <f>IFERROR(XLOOKUP(E228,Bank_Statement!$D$4:$D$448,Bank_Statement!$B$4:$B$448,""),"")</f>
        <v/>
      </c>
      <c r="J228" s="136">
        <f>IF(I228="","",ABS(B228-I228))</f>
        <v/>
      </c>
      <c r="K228" s="137">
        <f>IF(G228="","Unmatched ERP",IF(AND(ABS(H228)&lt;=Mapping_Rules!$B$4,ABS(J228)&lt;=Mapping_Rules!$B$5),"Matched","Review"))</f>
        <v/>
      </c>
      <c r="L228" s="137">
        <f>IF(K228="Matched","None",IF(G228="","Missing from bank",IF(ABS(H228)&gt;Mapping_Rules!$B$4,"Amount variance","Date variance")))</f>
        <v/>
      </c>
      <c r="M228" s="137">
        <f>IF(K228="Matched","Low",IF(OR(IFERROR(ABS(H228),0)&gt;Mapping_Rules!$B$7,IFERROR(J228,0)&gt;Mapping_Rules!$B$8),"High","Medium"))</f>
        <v/>
      </c>
      <c r="N228" s="137">
        <f>IF(K228="Matched","No action needed",IF(L228="Missing from bank","Check bank date or posting",IF(L228="Amount variance","Check invoice/payment amount","Check timing difference")))</f>
        <v/>
      </c>
      <c r="O228" s="115" t="inlineStr">
        <is>
          <t>2000 AP</t>
        </is>
      </c>
      <c r="P228" s="115" t="inlineStr">
        <is>
          <t>AP Clerk</t>
        </is>
      </c>
      <c r="Q228" s="115" t="inlineStr">
        <is>
          <t>No</t>
        </is>
      </c>
      <c r="R228" s="138" t="str"/>
      <c r="S228" s="139">
        <f>IF(K228="Matched",0,Mapping_Rules!$B$6-B228)</f>
        <v/>
      </c>
    </row>
    <row r="229">
      <c r="A229" s="140" t="inlineStr">
        <is>
          <t>ERP-00226</t>
        </is>
      </c>
      <c r="B229" s="141" t="n">
        <v>46032</v>
      </c>
      <c r="C229" s="140" t="inlineStr">
        <is>
          <t>AP</t>
        </is>
      </c>
      <c r="D229" s="140" t="inlineStr">
        <is>
          <t>Amazon Business</t>
        </is>
      </c>
      <c r="E229" s="140" t="inlineStr">
        <is>
          <t>REF-100226</t>
        </is>
      </c>
      <c r="F229" s="142" t="n">
        <v>-2836.17</v>
      </c>
      <c r="G229" s="143">
        <f>IFERROR(XLOOKUP(E229,Bank_Statement!$D$4:$D$448,Bank_Statement!$G$4:$G$448,""),"")</f>
        <v/>
      </c>
      <c r="H229" s="142">
        <f>IF(G229="","",F229-G229)</f>
        <v/>
      </c>
      <c r="I229" s="144">
        <f>IFERROR(XLOOKUP(E229,Bank_Statement!$D$4:$D$448,Bank_Statement!$B$4:$B$448,""),"")</f>
        <v/>
      </c>
      <c r="J229" s="145">
        <f>IF(I229="","",ABS(B229-I229))</f>
        <v/>
      </c>
      <c r="K229" s="146">
        <f>IF(G229="","Unmatched ERP",IF(AND(ABS(H229)&lt;=Mapping_Rules!$B$4,ABS(J229)&lt;=Mapping_Rules!$B$5),"Matched","Review"))</f>
        <v/>
      </c>
      <c r="L229" s="146">
        <f>IF(K229="Matched","None",IF(G229="","Missing from bank",IF(ABS(H229)&gt;Mapping_Rules!$B$4,"Amount variance","Date variance")))</f>
        <v/>
      </c>
      <c r="M229" s="146">
        <f>IF(K229="Matched","Low",IF(OR(IFERROR(ABS(H229),0)&gt;Mapping_Rules!$B$7,IFERROR(J229,0)&gt;Mapping_Rules!$B$8),"High","Medium"))</f>
        <v/>
      </c>
      <c r="N229" s="146">
        <f>IF(K229="Matched","No action needed",IF(L229="Missing from bank","Check bank date or posting",IF(L229="Amount variance","Check invoice/payment amount","Check timing difference")))</f>
        <v/>
      </c>
      <c r="O229" s="140" t="inlineStr">
        <is>
          <t>2000 AP</t>
        </is>
      </c>
      <c r="P229" s="140" t="inlineStr">
        <is>
          <t>AP Clerk</t>
        </is>
      </c>
      <c r="Q229" s="140" t="inlineStr">
        <is>
          <t>No</t>
        </is>
      </c>
      <c r="R229" s="147" t="str"/>
      <c r="S229" s="148">
        <f>IF(K229="Matched",0,Mapping_Rules!$B$6-B229)</f>
        <v/>
      </c>
    </row>
    <row r="230">
      <c r="A230" s="115" t="inlineStr">
        <is>
          <t>ERP-00227</t>
        </is>
      </c>
      <c r="B230" s="125" t="n">
        <v>46042</v>
      </c>
      <c r="C230" s="115" t="inlineStr">
        <is>
          <t>GL</t>
        </is>
      </c>
      <c r="D230" s="115" t="inlineStr">
        <is>
          <t>North Shore Telecom</t>
        </is>
      </c>
      <c r="E230" s="115" t="inlineStr">
        <is>
          <t>REF-100227</t>
        </is>
      </c>
      <c r="F230" s="126" t="n">
        <v>686.88</v>
      </c>
      <c r="G230" s="134">
        <f>IFERROR(XLOOKUP(E230,Bank_Statement!$D$4:$D$448,Bank_Statement!$G$4:$G$448,""),"")</f>
        <v/>
      </c>
      <c r="H230" s="126">
        <f>IF(G230="","",F230-G230)</f>
        <v/>
      </c>
      <c r="I230" s="135">
        <f>IFERROR(XLOOKUP(E230,Bank_Statement!$D$4:$D$448,Bank_Statement!$B$4:$B$448,""),"")</f>
        <v/>
      </c>
      <c r="J230" s="136">
        <f>IF(I230="","",ABS(B230-I230))</f>
        <v/>
      </c>
      <c r="K230" s="137">
        <f>IF(G230="","Unmatched ERP",IF(AND(ABS(H230)&lt;=Mapping_Rules!$B$4,ABS(J230)&lt;=Mapping_Rules!$B$5),"Matched","Review"))</f>
        <v/>
      </c>
      <c r="L230" s="137">
        <f>IF(K230="Matched","None",IF(G230="","Missing from bank",IF(ABS(H230)&gt;Mapping_Rules!$B$4,"Amount variance","Date variance")))</f>
        <v/>
      </c>
      <c r="M230" s="137">
        <f>IF(K230="Matched","Low",IF(OR(IFERROR(ABS(H230),0)&gt;Mapping_Rules!$B$7,IFERROR(J230,0)&gt;Mapping_Rules!$B$8),"High","Medium"))</f>
        <v/>
      </c>
      <c r="N230" s="137">
        <f>IF(K230="Matched","No action needed",IF(L230="Missing from bank","Check bank date or posting",IF(L230="Amount variance","Check invoice/payment amount","Check timing difference")))</f>
        <v/>
      </c>
      <c r="O230" s="115" t="inlineStr">
        <is>
          <t>5200 Software</t>
        </is>
      </c>
      <c r="P230" s="115" t="inlineStr">
        <is>
          <t>Accounting Technician</t>
        </is>
      </c>
      <c r="Q230" s="115" t="inlineStr">
        <is>
          <t>No</t>
        </is>
      </c>
      <c r="R230" s="138" t="str"/>
      <c r="S230" s="139">
        <f>IF(K230="Matched",0,Mapping_Rules!$B$6-B230)</f>
        <v/>
      </c>
    </row>
    <row r="231">
      <c r="A231" s="140" t="inlineStr">
        <is>
          <t>ERP-00228</t>
        </is>
      </c>
      <c r="B231" s="141" t="n">
        <v>46047</v>
      </c>
      <c r="C231" s="140" t="inlineStr">
        <is>
          <t>AP</t>
        </is>
      </c>
      <c r="D231" s="140" t="inlineStr">
        <is>
          <t>Amazon Business</t>
        </is>
      </c>
      <c r="E231" s="140" t="inlineStr">
        <is>
          <t>REF-100228</t>
        </is>
      </c>
      <c r="F231" s="142" t="n">
        <v>-3195.83</v>
      </c>
      <c r="G231" s="143">
        <f>IFERROR(XLOOKUP(E231,Bank_Statement!$D$4:$D$448,Bank_Statement!$G$4:$G$448,""),"")</f>
        <v/>
      </c>
      <c r="H231" s="142">
        <f>IF(G231="","",F231-G231)</f>
        <v/>
      </c>
      <c r="I231" s="144">
        <f>IFERROR(XLOOKUP(E231,Bank_Statement!$D$4:$D$448,Bank_Statement!$B$4:$B$448,""),"")</f>
        <v/>
      </c>
      <c r="J231" s="145">
        <f>IF(I231="","",ABS(B231-I231))</f>
        <v/>
      </c>
      <c r="K231" s="146">
        <f>IF(G231="","Unmatched ERP",IF(AND(ABS(H231)&lt;=Mapping_Rules!$B$4,ABS(J231)&lt;=Mapping_Rules!$B$5),"Matched","Review"))</f>
        <v/>
      </c>
      <c r="L231" s="146">
        <f>IF(K231="Matched","None",IF(G231="","Missing from bank",IF(ABS(H231)&gt;Mapping_Rules!$B$4,"Amount variance","Date variance")))</f>
        <v/>
      </c>
      <c r="M231" s="146">
        <f>IF(K231="Matched","Low",IF(OR(IFERROR(ABS(H231),0)&gt;Mapping_Rules!$B$7,IFERROR(J231,0)&gt;Mapping_Rules!$B$8),"High","Medium"))</f>
        <v/>
      </c>
      <c r="N231" s="146">
        <f>IF(K231="Matched","No action needed",IF(L231="Missing from bank","Check bank date or posting",IF(L231="Amount variance","Check invoice/payment amount","Check timing difference")))</f>
        <v/>
      </c>
      <c r="O231" s="140" t="inlineStr">
        <is>
          <t>2000 AP</t>
        </is>
      </c>
      <c r="P231" s="140" t="inlineStr">
        <is>
          <t>AP Clerk</t>
        </is>
      </c>
      <c r="Q231" s="140" t="inlineStr">
        <is>
          <t>No</t>
        </is>
      </c>
      <c r="R231" s="147" t="str"/>
      <c r="S231" s="148">
        <f>IF(K231="Matched",0,Mapping_Rules!$B$6-B231)</f>
        <v/>
      </c>
    </row>
    <row r="232">
      <c r="A232" s="115" t="inlineStr">
        <is>
          <t>ERP-00229</t>
        </is>
      </c>
      <c r="B232" s="125" t="n">
        <v>46048</v>
      </c>
      <c r="C232" s="115" t="inlineStr">
        <is>
          <t>AR</t>
        </is>
      </c>
      <c r="D232" s="115" t="inlineStr">
        <is>
          <t>Granville Medical</t>
        </is>
      </c>
      <c r="E232" s="115" t="inlineStr">
        <is>
          <t>REF-100229</t>
        </is>
      </c>
      <c r="F232" s="126" t="n">
        <v>1393.65</v>
      </c>
      <c r="G232" s="134">
        <f>IFERROR(XLOOKUP(E232,Bank_Statement!$D$4:$D$448,Bank_Statement!$G$4:$G$448,""),"")</f>
        <v/>
      </c>
      <c r="H232" s="126">
        <f>IF(G232="","",F232-G232)</f>
        <v/>
      </c>
      <c r="I232" s="135">
        <f>IFERROR(XLOOKUP(E232,Bank_Statement!$D$4:$D$448,Bank_Statement!$B$4:$B$448,""),"")</f>
        <v/>
      </c>
      <c r="J232" s="136">
        <f>IF(I232="","",ABS(B232-I232))</f>
        <v/>
      </c>
      <c r="K232" s="137">
        <f>IF(G232="","Unmatched ERP",IF(AND(ABS(H232)&lt;=Mapping_Rules!$B$4,ABS(J232)&lt;=Mapping_Rules!$B$5),"Matched","Review"))</f>
        <v/>
      </c>
      <c r="L232" s="137">
        <f>IF(K232="Matched","None",IF(G232="","Missing from bank",IF(ABS(H232)&gt;Mapping_Rules!$B$4,"Amount variance","Date variance")))</f>
        <v/>
      </c>
      <c r="M232" s="137">
        <f>IF(K232="Matched","Low",IF(OR(IFERROR(ABS(H232),0)&gt;Mapping_Rules!$B$7,IFERROR(J232,0)&gt;Mapping_Rules!$B$8),"High","Medium"))</f>
        <v/>
      </c>
      <c r="N232" s="137">
        <f>IF(K232="Matched","No action needed",IF(L232="Missing from bank","Check bank date or posting",IF(L232="Amount variance","Check invoice/payment amount","Check timing difference")))</f>
        <v/>
      </c>
      <c r="O232" s="115" t="inlineStr">
        <is>
          <t>1200 AR</t>
        </is>
      </c>
      <c r="P232" s="115" t="inlineStr">
        <is>
          <t>AR Clerk</t>
        </is>
      </c>
      <c r="Q232" s="115" t="inlineStr">
        <is>
          <t>No</t>
        </is>
      </c>
      <c r="R232" s="138" t="str"/>
      <c r="S232" s="139">
        <f>IF(K232="Matched",0,Mapping_Rules!$B$6-B232)</f>
        <v/>
      </c>
    </row>
    <row r="233">
      <c r="A233" s="140" t="inlineStr">
        <is>
          <t>ERP-00230</t>
        </is>
      </c>
      <c r="B233" s="141" t="n">
        <v>46042</v>
      </c>
      <c r="C233" s="140" t="inlineStr">
        <is>
          <t>GL</t>
        </is>
      </c>
      <c r="D233" s="140" t="inlineStr">
        <is>
          <t>Amazon Business</t>
        </is>
      </c>
      <c r="E233" s="140" t="inlineStr">
        <is>
          <t>REF-100230</t>
        </is>
      </c>
      <c r="F233" s="142" t="n">
        <v>-2988.94</v>
      </c>
      <c r="G233" s="143">
        <f>IFERROR(XLOOKUP(E233,Bank_Statement!$D$4:$D$448,Bank_Statement!$G$4:$G$448,""),"")</f>
        <v/>
      </c>
      <c r="H233" s="142">
        <f>IF(G233="","",F233-G233)</f>
        <v/>
      </c>
      <c r="I233" s="144">
        <f>IFERROR(XLOOKUP(E233,Bank_Statement!$D$4:$D$448,Bank_Statement!$B$4:$B$448,""),"")</f>
        <v/>
      </c>
      <c r="J233" s="145">
        <f>IF(I233="","",ABS(B233-I233))</f>
        <v/>
      </c>
      <c r="K233" s="146">
        <f>IF(G233="","Unmatched ERP",IF(AND(ABS(H233)&lt;=Mapping_Rules!$B$4,ABS(J233)&lt;=Mapping_Rules!$B$5),"Matched","Review"))</f>
        <v/>
      </c>
      <c r="L233" s="146">
        <f>IF(K233="Matched","None",IF(G233="","Missing from bank",IF(ABS(H233)&gt;Mapping_Rules!$B$4,"Amount variance","Date variance")))</f>
        <v/>
      </c>
      <c r="M233" s="146">
        <f>IF(K233="Matched","Low",IF(OR(IFERROR(ABS(H233),0)&gt;Mapping_Rules!$B$7,IFERROR(J233,0)&gt;Mapping_Rules!$B$8),"High","Medium"))</f>
        <v/>
      </c>
      <c r="N233" s="146">
        <f>IF(K233="Matched","No action needed",IF(L233="Missing from bank","Check bank date or posting",IF(L233="Amount variance","Check invoice/payment amount","Check timing difference")))</f>
        <v/>
      </c>
      <c r="O233" s="140" t="inlineStr">
        <is>
          <t>6100 Bank Fees</t>
        </is>
      </c>
      <c r="P233" s="140" t="inlineStr">
        <is>
          <t>Accounting Technician</t>
        </is>
      </c>
      <c r="Q233" s="140" t="inlineStr">
        <is>
          <t>No</t>
        </is>
      </c>
      <c r="R233" s="147" t="str"/>
      <c r="S233" s="148">
        <f>IF(K233="Matched",0,Mapping_Rules!$B$6-B233)</f>
        <v/>
      </c>
    </row>
    <row r="234">
      <c r="A234" s="115" t="inlineStr">
        <is>
          <t>ERP-00231</t>
        </is>
      </c>
      <c r="B234" s="125" t="n">
        <v>46044</v>
      </c>
      <c r="C234" s="115" t="inlineStr">
        <is>
          <t>AP</t>
        </is>
      </c>
      <c r="D234" s="115" t="inlineStr">
        <is>
          <t>BC Hydro</t>
        </is>
      </c>
      <c r="E234" s="115" t="inlineStr">
        <is>
          <t>REF-100231</t>
        </is>
      </c>
      <c r="F234" s="126" t="n">
        <v>-3652.26</v>
      </c>
      <c r="G234" s="134">
        <f>IFERROR(XLOOKUP(E234,Bank_Statement!$D$4:$D$448,Bank_Statement!$G$4:$G$448,""),"")</f>
        <v/>
      </c>
      <c r="H234" s="126">
        <f>IF(G234="","",F234-G234)</f>
        <v/>
      </c>
      <c r="I234" s="135">
        <f>IFERROR(XLOOKUP(E234,Bank_Statement!$D$4:$D$448,Bank_Statement!$B$4:$B$448,""),"")</f>
        <v/>
      </c>
      <c r="J234" s="136">
        <f>IF(I234="","",ABS(B234-I234))</f>
        <v/>
      </c>
      <c r="K234" s="137">
        <f>IF(G234="","Unmatched ERP",IF(AND(ABS(H234)&lt;=Mapping_Rules!$B$4,ABS(J234)&lt;=Mapping_Rules!$B$5),"Matched","Review"))</f>
        <v/>
      </c>
      <c r="L234" s="137">
        <f>IF(K234="Matched","None",IF(G234="","Missing from bank",IF(ABS(H234)&gt;Mapping_Rules!$B$4,"Amount variance","Date variance")))</f>
        <v/>
      </c>
      <c r="M234" s="137">
        <f>IF(K234="Matched","Low",IF(OR(IFERROR(ABS(H234),0)&gt;Mapping_Rules!$B$7,IFERROR(J234,0)&gt;Mapping_Rules!$B$8),"High","Medium"))</f>
        <v/>
      </c>
      <c r="N234" s="137">
        <f>IF(K234="Matched","No action needed",IF(L234="Missing from bank","Check bank date or posting",IF(L234="Amount variance","Check invoice/payment amount","Check timing difference")))</f>
        <v/>
      </c>
      <c r="O234" s="115" t="inlineStr">
        <is>
          <t>2000 AP</t>
        </is>
      </c>
      <c r="P234" s="115" t="inlineStr">
        <is>
          <t>AP Clerk</t>
        </is>
      </c>
      <c r="Q234" s="115" t="inlineStr">
        <is>
          <t>No</t>
        </is>
      </c>
      <c r="R234" s="138" t="str"/>
      <c r="S234" s="139">
        <f>IF(K234="Matched",0,Mapping_Rules!$B$6-B234)</f>
        <v/>
      </c>
    </row>
    <row r="235">
      <c r="A235" s="140" t="inlineStr">
        <is>
          <t>ERP-00232</t>
        </is>
      </c>
      <c r="B235" s="141" t="n">
        <v>46041</v>
      </c>
      <c r="C235" s="140" t="inlineStr">
        <is>
          <t>AR</t>
        </is>
      </c>
      <c r="D235" s="140" t="inlineStr">
        <is>
          <t>West Van Fitness</t>
        </is>
      </c>
      <c r="E235" s="140" t="inlineStr">
        <is>
          <t>REF-100232</t>
        </is>
      </c>
      <c r="F235" s="142" t="n">
        <v>5402.36</v>
      </c>
      <c r="G235" s="143">
        <f>IFERROR(XLOOKUP(E235,Bank_Statement!$D$4:$D$448,Bank_Statement!$G$4:$G$448,""),"")</f>
        <v/>
      </c>
      <c r="H235" s="142">
        <f>IF(G235="","",F235-G235)</f>
        <v/>
      </c>
      <c r="I235" s="144">
        <f>IFERROR(XLOOKUP(E235,Bank_Statement!$D$4:$D$448,Bank_Statement!$B$4:$B$448,""),"")</f>
        <v/>
      </c>
      <c r="J235" s="145">
        <f>IF(I235="","",ABS(B235-I235))</f>
        <v/>
      </c>
      <c r="K235" s="146">
        <f>IF(G235="","Unmatched ERP",IF(AND(ABS(H235)&lt;=Mapping_Rules!$B$4,ABS(J235)&lt;=Mapping_Rules!$B$5),"Matched","Review"))</f>
        <v/>
      </c>
      <c r="L235" s="146">
        <f>IF(K235="Matched","None",IF(G235="","Missing from bank",IF(ABS(H235)&gt;Mapping_Rules!$B$4,"Amount variance","Date variance")))</f>
        <v/>
      </c>
      <c r="M235" s="146">
        <f>IF(K235="Matched","Low",IF(OR(IFERROR(ABS(H235),0)&gt;Mapping_Rules!$B$7,IFERROR(J235,0)&gt;Mapping_Rules!$B$8),"High","Medium"))</f>
        <v/>
      </c>
      <c r="N235" s="146">
        <f>IF(K235="Matched","No action needed",IF(L235="Missing from bank","Check bank date or posting",IF(L235="Amount variance","Check invoice/payment amount","Check timing difference")))</f>
        <v/>
      </c>
      <c r="O235" s="140" t="inlineStr">
        <is>
          <t>1200 AR</t>
        </is>
      </c>
      <c r="P235" s="140" t="inlineStr">
        <is>
          <t>AR Clerk</t>
        </is>
      </c>
      <c r="Q235" s="140" t="inlineStr">
        <is>
          <t>No</t>
        </is>
      </c>
      <c r="R235" s="147" t="str"/>
      <c r="S235" s="148">
        <f>IF(K235="Matched",0,Mapping_Rules!$B$6-B235)</f>
        <v/>
      </c>
    </row>
    <row r="236">
      <c r="A236" s="115" t="inlineStr">
        <is>
          <t>ERP-00233</t>
        </is>
      </c>
      <c r="B236" s="125" t="n">
        <v>46029</v>
      </c>
      <c r="C236" s="115" t="inlineStr">
        <is>
          <t>AP</t>
        </is>
      </c>
      <c r="D236" s="115" t="inlineStr">
        <is>
          <t>Metro Cleaning Ltd.</t>
        </is>
      </c>
      <c r="E236" s="115" t="inlineStr">
        <is>
          <t>REF-100233</t>
        </is>
      </c>
      <c r="F236" s="126" t="n">
        <v>-2642.94</v>
      </c>
      <c r="G236" s="134">
        <f>IFERROR(XLOOKUP(E236,Bank_Statement!$D$4:$D$448,Bank_Statement!$G$4:$G$448,""),"")</f>
        <v/>
      </c>
      <c r="H236" s="126">
        <f>IF(G236="","",F236-G236)</f>
        <v/>
      </c>
      <c r="I236" s="135">
        <f>IFERROR(XLOOKUP(E236,Bank_Statement!$D$4:$D$448,Bank_Statement!$B$4:$B$448,""),"")</f>
        <v/>
      </c>
      <c r="J236" s="136">
        <f>IF(I236="","",ABS(B236-I236))</f>
        <v/>
      </c>
      <c r="K236" s="137">
        <f>IF(G236="","Unmatched ERP",IF(AND(ABS(H236)&lt;=Mapping_Rules!$B$4,ABS(J236)&lt;=Mapping_Rules!$B$5),"Matched","Review"))</f>
        <v/>
      </c>
      <c r="L236" s="137">
        <f>IF(K236="Matched","None",IF(G236="","Missing from bank",IF(ABS(H236)&gt;Mapping_Rules!$B$4,"Amount variance","Date variance")))</f>
        <v/>
      </c>
      <c r="M236" s="137">
        <f>IF(K236="Matched","Low",IF(OR(IFERROR(ABS(H236),0)&gt;Mapping_Rules!$B$7,IFERROR(J236,0)&gt;Mapping_Rules!$B$8),"High","Medium"))</f>
        <v/>
      </c>
      <c r="N236" s="137">
        <f>IF(K236="Matched","No action needed",IF(L236="Missing from bank","Check bank date or posting",IF(L236="Amount variance","Check invoice/payment amount","Check timing difference")))</f>
        <v/>
      </c>
      <c r="O236" s="115" t="inlineStr">
        <is>
          <t>2000 AP</t>
        </is>
      </c>
      <c r="P236" s="115" t="inlineStr">
        <is>
          <t>AP Clerk</t>
        </is>
      </c>
      <c r="Q236" s="115" t="inlineStr">
        <is>
          <t>No</t>
        </is>
      </c>
      <c r="R236" s="138" t="str"/>
      <c r="S236" s="139">
        <f>IF(K236="Matched",0,Mapping_Rules!$B$6-B236)</f>
        <v/>
      </c>
    </row>
    <row r="237">
      <c r="A237" s="140" t="inlineStr">
        <is>
          <t>ERP-00234</t>
        </is>
      </c>
      <c r="B237" s="141" t="n">
        <v>46046</v>
      </c>
      <c r="C237" s="140" t="inlineStr">
        <is>
          <t>GL</t>
        </is>
      </c>
      <c r="D237" s="140" t="inlineStr">
        <is>
          <t>West Van Fitness</t>
        </is>
      </c>
      <c r="E237" s="140" t="inlineStr">
        <is>
          <t>REF-100234</t>
        </is>
      </c>
      <c r="F237" s="142" t="n">
        <v>733.51</v>
      </c>
      <c r="G237" s="143">
        <f>IFERROR(XLOOKUP(E237,Bank_Statement!$D$4:$D$448,Bank_Statement!$G$4:$G$448,""),"")</f>
        <v/>
      </c>
      <c r="H237" s="142">
        <f>IF(G237="","",F237-G237)</f>
        <v/>
      </c>
      <c r="I237" s="144">
        <f>IFERROR(XLOOKUP(E237,Bank_Statement!$D$4:$D$448,Bank_Statement!$B$4:$B$448,""),"")</f>
        <v/>
      </c>
      <c r="J237" s="145">
        <f>IF(I237="","",ABS(B237-I237))</f>
        <v/>
      </c>
      <c r="K237" s="146">
        <f>IF(G237="","Unmatched ERP",IF(AND(ABS(H237)&lt;=Mapping_Rules!$B$4,ABS(J237)&lt;=Mapping_Rules!$B$5),"Matched","Review"))</f>
        <v/>
      </c>
      <c r="L237" s="146">
        <f>IF(K237="Matched","None",IF(G237="","Missing from bank",IF(ABS(H237)&gt;Mapping_Rules!$B$4,"Amount variance","Date variance")))</f>
        <v/>
      </c>
      <c r="M237" s="146">
        <f>IF(K237="Matched","Low",IF(OR(IFERROR(ABS(H237),0)&gt;Mapping_Rules!$B$7,IFERROR(J237,0)&gt;Mapping_Rules!$B$8),"High","Medium"))</f>
        <v/>
      </c>
      <c r="N237" s="146">
        <f>IF(K237="Matched","No action needed",IF(L237="Missing from bank","Check bank date or posting",IF(L237="Amount variance","Check invoice/payment amount","Check timing difference")))</f>
        <v/>
      </c>
      <c r="O237" s="140" t="inlineStr">
        <is>
          <t>5200 Software</t>
        </is>
      </c>
      <c r="P237" s="140" t="inlineStr">
        <is>
          <t>Accounting Technician</t>
        </is>
      </c>
      <c r="Q237" s="140" t="inlineStr">
        <is>
          <t>No</t>
        </is>
      </c>
      <c r="R237" s="147" t="str"/>
      <c r="S237" s="148">
        <f>IF(K237="Matched",0,Mapping_Rules!$B$6-B237)</f>
        <v/>
      </c>
    </row>
    <row r="238">
      <c r="A238" s="115" t="inlineStr">
        <is>
          <t>ERP-00235</t>
        </is>
      </c>
      <c r="B238" s="125" t="n">
        <v>46040</v>
      </c>
      <c r="C238" s="115" t="inlineStr">
        <is>
          <t>AP</t>
        </is>
      </c>
      <c r="D238" s="115" t="inlineStr">
        <is>
          <t>Metro Cleaning Ltd.</t>
        </is>
      </c>
      <c r="E238" s="115" t="inlineStr">
        <is>
          <t>REF-100235</t>
        </is>
      </c>
      <c r="F238" s="126" t="n">
        <v>-4216.32</v>
      </c>
      <c r="G238" s="134">
        <f>IFERROR(XLOOKUP(E238,Bank_Statement!$D$4:$D$448,Bank_Statement!$G$4:$G$448,""),"")</f>
        <v/>
      </c>
      <c r="H238" s="126">
        <f>IF(G238="","",F238-G238)</f>
        <v/>
      </c>
      <c r="I238" s="135">
        <f>IFERROR(XLOOKUP(E238,Bank_Statement!$D$4:$D$448,Bank_Statement!$B$4:$B$448,""),"")</f>
        <v/>
      </c>
      <c r="J238" s="136">
        <f>IF(I238="","",ABS(B238-I238))</f>
        <v/>
      </c>
      <c r="K238" s="137">
        <f>IF(G238="","Unmatched ERP",IF(AND(ABS(H238)&lt;=Mapping_Rules!$B$4,ABS(J238)&lt;=Mapping_Rules!$B$5),"Matched","Review"))</f>
        <v/>
      </c>
      <c r="L238" s="137">
        <f>IF(K238="Matched","None",IF(G238="","Missing from bank",IF(ABS(H238)&gt;Mapping_Rules!$B$4,"Amount variance","Date variance")))</f>
        <v/>
      </c>
      <c r="M238" s="137">
        <f>IF(K238="Matched","Low",IF(OR(IFERROR(ABS(H238),0)&gt;Mapping_Rules!$B$7,IFERROR(J238,0)&gt;Mapping_Rules!$B$8),"High","Medium"))</f>
        <v/>
      </c>
      <c r="N238" s="137">
        <f>IF(K238="Matched","No action needed",IF(L238="Missing from bank","Check bank date or posting",IF(L238="Amount variance","Check invoice/payment amount","Check timing difference")))</f>
        <v/>
      </c>
      <c r="O238" s="115" t="inlineStr">
        <is>
          <t>2000 AP</t>
        </is>
      </c>
      <c r="P238" s="115" t="inlineStr">
        <is>
          <t>AP Clerk</t>
        </is>
      </c>
      <c r="Q238" s="115" t="inlineStr">
        <is>
          <t>No</t>
        </is>
      </c>
      <c r="R238" s="138" t="str"/>
      <c r="S238" s="139">
        <f>IF(K238="Matched",0,Mapping_Rules!$B$6-B238)</f>
        <v/>
      </c>
    </row>
    <row r="239">
      <c r="A239" s="140" t="inlineStr">
        <is>
          <t>ERP-00236</t>
        </is>
      </c>
      <c r="B239" s="141" t="n">
        <v>46032</v>
      </c>
      <c r="C239" s="140" t="inlineStr">
        <is>
          <t>AP</t>
        </is>
      </c>
      <c r="D239" s="140" t="inlineStr">
        <is>
          <t>Metro Cleaning Ltd.</t>
        </is>
      </c>
      <c r="E239" s="140" t="inlineStr">
        <is>
          <t>REF-100236</t>
        </is>
      </c>
      <c r="F239" s="142" t="n">
        <v>-4799.59</v>
      </c>
      <c r="G239" s="143">
        <f>IFERROR(XLOOKUP(E239,Bank_Statement!$D$4:$D$448,Bank_Statement!$G$4:$G$448,""),"")</f>
        <v/>
      </c>
      <c r="H239" s="142">
        <f>IF(G239="","",F239-G239)</f>
        <v/>
      </c>
      <c r="I239" s="144">
        <f>IFERROR(XLOOKUP(E239,Bank_Statement!$D$4:$D$448,Bank_Statement!$B$4:$B$448,""),"")</f>
        <v/>
      </c>
      <c r="J239" s="145">
        <f>IF(I239="","",ABS(B239-I239))</f>
        <v/>
      </c>
      <c r="K239" s="146">
        <f>IF(G239="","Unmatched ERP",IF(AND(ABS(H239)&lt;=Mapping_Rules!$B$4,ABS(J239)&lt;=Mapping_Rules!$B$5),"Matched","Review"))</f>
        <v/>
      </c>
      <c r="L239" s="146">
        <f>IF(K239="Matched","None",IF(G239="","Missing from bank",IF(ABS(H239)&gt;Mapping_Rules!$B$4,"Amount variance","Date variance")))</f>
        <v/>
      </c>
      <c r="M239" s="146">
        <f>IF(K239="Matched","Low",IF(OR(IFERROR(ABS(H239),0)&gt;Mapping_Rules!$B$7,IFERROR(J239,0)&gt;Mapping_Rules!$B$8),"High","Medium"))</f>
        <v/>
      </c>
      <c r="N239" s="146">
        <f>IF(K239="Matched","No action needed",IF(L239="Missing from bank","Check bank date or posting",IF(L239="Amount variance","Check invoice/payment amount","Check timing difference")))</f>
        <v/>
      </c>
      <c r="O239" s="140" t="inlineStr">
        <is>
          <t>2000 AP</t>
        </is>
      </c>
      <c r="P239" s="140" t="inlineStr">
        <is>
          <t>AP Clerk</t>
        </is>
      </c>
      <c r="Q239" s="140" t="inlineStr">
        <is>
          <t>No</t>
        </is>
      </c>
      <c r="R239" s="147" t="str"/>
      <c r="S239" s="148">
        <f>IF(K239="Matched",0,Mapping_Rules!$B$6-B239)</f>
        <v/>
      </c>
    </row>
    <row r="240">
      <c r="A240" s="115" t="inlineStr">
        <is>
          <t>ERP-00237</t>
        </is>
      </c>
      <c r="B240" s="125" t="n">
        <v>46052</v>
      </c>
      <c r="C240" s="115" t="inlineStr">
        <is>
          <t>GL</t>
        </is>
      </c>
      <c r="D240" s="115" t="inlineStr">
        <is>
          <t>Amazon Business</t>
        </is>
      </c>
      <c r="E240" s="115" t="inlineStr">
        <is>
          <t>REF-100237</t>
        </is>
      </c>
      <c r="F240" s="126" t="n">
        <v>-1474.56</v>
      </c>
      <c r="G240" s="134">
        <f>IFERROR(XLOOKUP(E240,Bank_Statement!$D$4:$D$448,Bank_Statement!$G$4:$G$448,""),"")</f>
        <v/>
      </c>
      <c r="H240" s="126">
        <f>IF(G240="","",F240-G240)</f>
        <v/>
      </c>
      <c r="I240" s="135">
        <f>IFERROR(XLOOKUP(E240,Bank_Statement!$D$4:$D$448,Bank_Statement!$B$4:$B$448,""),"")</f>
        <v/>
      </c>
      <c r="J240" s="136">
        <f>IF(I240="","",ABS(B240-I240))</f>
        <v/>
      </c>
      <c r="K240" s="137">
        <f>IF(G240="","Unmatched ERP",IF(AND(ABS(H240)&lt;=Mapping_Rules!$B$4,ABS(J240)&lt;=Mapping_Rules!$B$5),"Matched","Review"))</f>
        <v/>
      </c>
      <c r="L240" s="137">
        <f>IF(K240="Matched","None",IF(G240="","Missing from bank",IF(ABS(H240)&gt;Mapping_Rules!$B$4,"Amount variance","Date variance")))</f>
        <v/>
      </c>
      <c r="M240" s="137">
        <f>IF(K240="Matched","Low",IF(OR(IFERROR(ABS(H240),0)&gt;Mapping_Rules!$B$7,IFERROR(J240,0)&gt;Mapping_Rules!$B$8),"High","Medium"))</f>
        <v/>
      </c>
      <c r="N240" s="137">
        <f>IF(K240="Matched","No action needed",IF(L240="Missing from bank","Check bank date or posting",IF(L240="Amount variance","Check invoice/payment amount","Check timing difference")))</f>
        <v/>
      </c>
      <c r="O240" s="115" t="inlineStr">
        <is>
          <t>5300 Payroll</t>
        </is>
      </c>
      <c r="P240" s="115" t="inlineStr">
        <is>
          <t>Accounting Technician</t>
        </is>
      </c>
      <c r="Q240" s="115" t="inlineStr">
        <is>
          <t>No</t>
        </is>
      </c>
      <c r="R240" s="138" t="str"/>
      <c r="S240" s="139">
        <f>IF(K240="Matched",0,Mapping_Rules!$B$6-B240)</f>
        <v/>
      </c>
    </row>
    <row r="241">
      <c r="A241" s="140" t="inlineStr">
        <is>
          <t>ERP-00238</t>
        </is>
      </c>
      <c r="B241" s="141" t="n">
        <v>46048</v>
      </c>
      <c r="C241" s="140" t="inlineStr">
        <is>
          <t>AP</t>
        </is>
      </c>
      <c r="D241" s="140" t="inlineStr">
        <is>
          <t>Pacific Office Supplies</t>
        </is>
      </c>
      <c r="E241" s="140" t="inlineStr">
        <is>
          <t>REF-100238</t>
        </is>
      </c>
      <c r="F241" s="142" t="n">
        <v>-1840.3</v>
      </c>
      <c r="G241" s="143">
        <f>IFERROR(XLOOKUP(E241,Bank_Statement!$D$4:$D$448,Bank_Statement!$G$4:$G$448,""),"")</f>
        <v/>
      </c>
      <c r="H241" s="142">
        <f>IF(G241="","",F241-G241)</f>
        <v/>
      </c>
      <c r="I241" s="144">
        <f>IFERROR(XLOOKUP(E241,Bank_Statement!$D$4:$D$448,Bank_Statement!$B$4:$B$448,""),"")</f>
        <v/>
      </c>
      <c r="J241" s="145">
        <f>IF(I241="","",ABS(B241-I241))</f>
        <v/>
      </c>
      <c r="K241" s="146">
        <f>IF(G241="","Unmatched ERP",IF(AND(ABS(H241)&lt;=Mapping_Rules!$B$4,ABS(J241)&lt;=Mapping_Rules!$B$5),"Matched","Review"))</f>
        <v/>
      </c>
      <c r="L241" s="146">
        <f>IF(K241="Matched","None",IF(G241="","Missing from bank",IF(ABS(H241)&gt;Mapping_Rules!$B$4,"Amount variance","Date variance")))</f>
        <v/>
      </c>
      <c r="M241" s="146">
        <f>IF(K241="Matched","Low",IF(OR(IFERROR(ABS(H241),0)&gt;Mapping_Rules!$B$7,IFERROR(J241,0)&gt;Mapping_Rules!$B$8),"High","Medium"))</f>
        <v/>
      </c>
      <c r="N241" s="146">
        <f>IF(K241="Matched","No action needed",IF(L241="Missing from bank","Check bank date or posting",IF(L241="Amount variance","Check invoice/payment amount","Check timing difference")))</f>
        <v/>
      </c>
      <c r="O241" s="140" t="inlineStr">
        <is>
          <t>2000 AP</t>
        </is>
      </c>
      <c r="P241" s="140" t="inlineStr">
        <is>
          <t>AP Clerk</t>
        </is>
      </c>
      <c r="Q241" s="140" t="inlineStr">
        <is>
          <t>No</t>
        </is>
      </c>
      <c r="R241" s="147" t="str"/>
      <c r="S241" s="148">
        <f>IF(K241="Matched",0,Mapping_Rules!$B$6-B241)</f>
        <v/>
      </c>
    </row>
    <row r="242">
      <c r="A242" s="115" t="inlineStr">
        <is>
          <t>ERP-00239</t>
        </is>
      </c>
      <c r="B242" s="125" t="n">
        <v>46043</v>
      </c>
      <c r="C242" s="115" t="inlineStr">
        <is>
          <t>AP</t>
        </is>
      </c>
      <c r="D242" s="115" t="inlineStr">
        <is>
          <t>BC Hydro</t>
        </is>
      </c>
      <c r="E242" s="115" t="inlineStr">
        <is>
          <t>REF-100239</t>
        </is>
      </c>
      <c r="F242" s="126" t="n">
        <v>-1389.6</v>
      </c>
      <c r="G242" s="134">
        <f>IFERROR(XLOOKUP(E242,Bank_Statement!$D$4:$D$448,Bank_Statement!$G$4:$G$448,""),"")</f>
        <v/>
      </c>
      <c r="H242" s="126">
        <f>IF(G242="","",F242-G242)</f>
        <v/>
      </c>
      <c r="I242" s="135">
        <f>IFERROR(XLOOKUP(E242,Bank_Statement!$D$4:$D$448,Bank_Statement!$B$4:$B$448,""),"")</f>
        <v/>
      </c>
      <c r="J242" s="136">
        <f>IF(I242="","",ABS(B242-I242))</f>
        <v/>
      </c>
      <c r="K242" s="137">
        <f>IF(G242="","Unmatched ERP",IF(AND(ABS(H242)&lt;=Mapping_Rules!$B$4,ABS(J242)&lt;=Mapping_Rules!$B$5),"Matched","Review"))</f>
        <v/>
      </c>
      <c r="L242" s="137">
        <f>IF(K242="Matched","None",IF(G242="","Missing from bank",IF(ABS(H242)&gt;Mapping_Rules!$B$4,"Amount variance","Date variance")))</f>
        <v/>
      </c>
      <c r="M242" s="137">
        <f>IF(K242="Matched","Low",IF(OR(IFERROR(ABS(H242),0)&gt;Mapping_Rules!$B$7,IFERROR(J242,0)&gt;Mapping_Rules!$B$8),"High","Medium"))</f>
        <v/>
      </c>
      <c r="N242" s="137">
        <f>IF(K242="Matched","No action needed",IF(L242="Missing from bank","Check bank date or posting",IF(L242="Amount variance","Check invoice/payment amount","Check timing difference")))</f>
        <v/>
      </c>
      <c r="O242" s="115" t="inlineStr">
        <is>
          <t>2000 AP</t>
        </is>
      </c>
      <c r="P242" s="115" t="inlineStr">
        <is>
          <t>AP Clerk</t>
        </is>
      </c>
      <c r="Q242" s="115" t="inlineStr">
        <is>
          <t>No</t>
        </is>
      </c>
      <c r="R242" s="138" t="str"/>
      <c r="S242" s="139">
        <f>IF(K242="Matched",0,Mapping_Rules!$B$6-B242)</f>
        <v/>
      </c>
    </row>
    <row r="243">
      <c r="A243" s="140" t="inlineStr">
        <is>
          <t>ERP-00240</t>
        </is>
      </c>
      <c r="B243" s="141" t="n">
        <v>46045</v>
      </c>
      <c r="C243" s="140" t="inlineStr">
        <is>
          <t>AP</t>
        </is>
      </c>
      <c r="D243" s="140" t="inlineStr">
        <is>
          <t>Pacific Office Supplies</t>
        </is>
      </c>
      <c r="E243" s="140" t="inlineStr">
        <is>
          <t>REF-100240</t>
        </is>
      </c>
      <c r="F243" s="142" t="n">
        <v>-3847.94</v>
      </c>
      <c r="G243" s="143">
        <f>IFERROR(XLOOKUP(E243,Bank_Statement!$D$4:$D$448,Bank_Statement!$G$4:$G$448,""),"")</f>
        <v/>
      </c>
      <c r="H243" s="142">
        <f>IF(G243="","",F243-G243)</f>
        <v/>
      </c>
      <c r="I243" s="144">
        <f>IFERROR(XLOOKUP(E243,Bank_Statement!$D$4:$D$448,Bank_Statement!$B$4:$B$448,""),"")</f>
        <v/>
      </c>
      <c r="J243" s="145">
        <f>IF(I243="","",ABS(B243-I243))</f>
        <v/>
      </c>
      <c r="K243" s="146">
        <f>IF(G243="","Unmatched ERP",IF(AND(ABS(H243)&lt;=Mapping_Rules!$B$4,ABS(J243)&lt;=Mapping_Rules!$B$5),"Matched","Review"))</f>
        <v/>
      </c>
      <c r="L243" s="146">
        <f>IF(K243="Matched","None",IF(G243="","Missing from bank",IF(ABS(H243)&gt;Mapping_Rules!$B$4,"Amount variance","Date variance")))</f>
        <v/>
      </c>
      <c r="M243" s="146">
        <f>IF(K243="Matched","Low",IF(OR(IFERROR(ABS(H243),0)&gt;Mapping_Rules!$B$7,IFERROR(J243,0)&gt;Mapping_Rules!$B$8),"High","Medium"))</f>
        <v/>
      </c>
      <c r="N243" s="146">
        <f>IF(K243="Matched","No action needed",IF(L243="Missing from bank","Check bank date or posting",IF(L243="Amount variance","Check invoice/payment amount","Check timing difference")))</f>
        <v/>
      </c>
      <c r="O243" s="140" t="inlineStr">
        <is>
          <t>2000 AP</t>
        </is>
      </c>
      <c r="P243" s="140" t="inlineStr">
        <is>
          <t>AP Clerk</t>
        </is>
      </c>
      <c r="Q243" s="140" t="inlineStr">
        <is>
          <t>No</t>
        </is>
      </c>
      <c r="R243" s="147" t="str"/>
      <c r="S243" s="148">
        <f>IF(K243="Matched",0,Mapping_Rules!$B$6-B243)</f>
        <v/>
      </c>
    </row>
    <row r="244">
      <c r="A244" s="115" t="inlineStr">
        <is>
          <t>ERP-00241</t>
        </is>
      </c>
      <c r="B244" s="125" t="n">
        <v>46024</v>
      </c>
      <c r="C244" s="115" t="inlineStr">
        <is>
          <t>AP</t>
        </is>
      </c>
      <c r="D244" s="115" t="inlineStr">
        <is>
          <t>Metro Cleaning Ltd.</t>
        </is>
      </c>
      <c r="E244" s="115" t="inlineStr">
        <is>
          <t>REF-100241</t>
        </is>
      </c>
      <c r="F244" s="126" t="n">
        <v>-4470.23</v>
      </c>
      <c r="G244" s="134">
        <f>IFERROR(XLOOKUP(E244,Bank_Statement!$D$4:$D$448,Bank_Statement!$G$4:$G$448,""),"")</f>
        <v/>
      </c>
      <c r="H244" s="126">
        <f>IF(G244="","",F244-G244)</f>
        <v/>
      </c>
      <c r="I244" s="135">
        <f>IFERROR(XLOOKUP(E244,Bank_Statement!$D$4:$D$448,Bank_Statement!$B$4:$B$448,""),"")</f>
        <v/>
      </c>
      <c r="J244" s="136">
        <f>IF(I244="","",ABS(B244-I244))</f>
        <v/>
      </c>
      <c r="K244" s="137">
        <f>IF(G244="","Unmatched ERP",IF(AND(ABS(H244)&lt;=Mapping_Rules!$B$4,ABS(J244)&lt;=Mapping_Rules!$B$5),"Matched","Review"))</f>
        <v/>
      </c>
      <c r="L244" s="137">
        <f>IF(K244="Matched","None",IF(G244="","Missing from bank",IF(ABS(H244)&gt;Mapping_Rules!$B$4,"Amount variance","Date variance")))</f>
        <v/>
      </c>
      <c r="M244" s="137">
        <f>IF(K244="Matched","Low",IF(OR(IFERROR(ABS(H244),0)&gt;Mapping_Rules!$B$7,IFERROR(J244,0)&gt;Mapping_Rules!$B$8),"High","Medium"))</f>
        <v/>
      </c>
      <c r="N244" s="137">
        <f>IF(K244="Matched","No action needed",IF(L244="Missing from bank","Check bank date or posting",IF(L244="Amount variance","Check invoice/payment amount","Check timing difference")))</f>
        <v/>
      </c>
      <c r="O244" s="115" t="inlineStr">
        <is>
          <t>2000 AP</t>
        </is>
      </c>
      <c r="P244" s="115" t="inlineStr">
        <is>
          <t>AP Clerk</t>
        </is>
      </c>
      <c r="Q244" s="115" t="inlineStr">
        <is>
          <t>No</t>
        </is>
      </c>
      <c r="R244" s="138" t="str"/>
      <c r="S244" s="139">
        <f>IF(K244="Matched",0,Mapping_Rules!$B$6-B244)</f>
        <v/>
      </c>
    </row>
    <row r="245">
      <c r="A245" s="140" t="inlineStr">
        <is>
          <t>ERP-00242</t>
        </is>
      </c>
      <c r="B245" s="141" t="n">
        <v>46052</v>
      </c>
      <c r="C245" s="140" t="inlineStr">
        <is>
          <t>Payroll</t>
        </is>
      </c>
      <c r="D245" s="140" t="inlineStr">
        <is>
          <t>Payroll Batch</t>
        </is>
      </c>
      <c r="E245" s="140" t="inlineStr">
        <is>
          <t>REF-100242</t>
        </is>
      </c>
      <c r="F245" s="142" t="n">
        <v>-9397.639999999999</v>
      </c>
      <c r="G245" s="143">
        <f>IFERROR(XLOOKUP(E245,Bank_Statement!$D$4:$D$448,Bank_Statement!$G$4:$G$448,""),"")</f>
        <v/>
      </c>
      <c r="H245" s="142">
        <f>IF(G245="","",F245-G245)</f>
        <v/>
      </c>
      <c r="I245" s="144">
        <f>IFERROR(XLOOKUP(E245,Bank_Statement!$D$4:$D$448,Bank_Statement!$B$4:$B$448,""),"")</f>
        <v/>
      </c>
      <c r="J245" s="145">
        <f>IF(I245="","",ABS(B245-I245))</f>
        <v/>
      </c>
      <c r="K245" s="146">
        <f>IF(G245="","Unmatched ERP",IF(AND(ABS(H245)&lt;=Mapping_Rules!$B$4,ABS(J245)&lt;=Mapping_Rules!$B$5),"Matched","Review"))</f>
        <v/>
      </c>
      <c r="L245" s="146">
        <f>IF(K245="Matched","None",IF(G245="","Missing from bank",IF(ABS(H245)&gt;Mapping_Rules!$B$4,"Amount variance","Date variance")))</f>
        <v/>
      </c>
      <c r="M245" s="146">
        <f>IF(K245="Matched","Low",IF(OR(IFERROR(ABS(H245),0)&gt;Mapping_Rules!$B$7,IFERROR(J245,0)&gt;Mapping_Rules!$B$8),"High","Medium"))</f>
        <v/>
      </c>
      <c r="N245" s="146">
        <f>IF(K245="Matched","No action needed",IF(L245="Missing from bank","Check bank date or posting",IF(L245="Amount variance","Check invoice/payment amount","Check timing difference")))</f>
        <v/>
      </c>
      <c r="O245" s="140" t="inlineStr">
        <is>
          <t>5300 Payroll</t>
        </is>
      </c>
      <c r="P245" s="140" t="inlineStr">
        <is>
          <t>Accounting Technician</t>
        </is>
      </c>
      <c r="Q245" s="140" t="inlineStr">
        <is>
          <t>No</t>
        </is>
      </c>
      <c r="R245" s="147" t="str"/>
      <c r="S245" s="148">
        <f>IF(K245="Matched",0,Mapping_Rules!$B$6-B245)</f>
        <v/>
      </c>
    </row>
    <row r="246">
      <c r="A246" s="115" t="inlineStr">
        <is>
          <t>ERP-00243</t>
        </is>
      </c>
      <c r="B246" s="125" t="n">
        <v>46025</v>
      </c>
      <c r="C246" s="115" t="inlineStr">
        <is>
          <t>AR</t>
        </is>
      </c>
      <c r="D246" s="115" t="inlineStr">
        <is>
          <t>Coastline Foods</t>
        </is>
      </c>
      <c r="E246" s="115" t="inlineStr">
        <is>
          <t>REF-100243</t>
        </is>
      </c>
      <c r="F246" s="126" t="n">
        <v>4618.52</v>
      </c>
      <c r="G246" s="134">
        <f>IFERROR(XLOOKUP(E246,Bank_Statement!$D$4:$D$448,Bank_Statement!$G$4:$G$448,""),"")</f>
        <v/>
      </c>
      <c r="H246" s="126">
        <f>IF(G246="","",F246-G246)</f>
        <v/>
      </c>
      <c r="I246" s="135">
        <f>IFERROR(XLOOKUP(E246,Bank_Statement!$D$4:$D$448,Bank_Statement!$B$4:$B$448,""),"")</f>
        <v/>
      </c>
      <c r="J246" s="136">
        <f>IF(I246="","",ABS(B246-I246))</f>
        <v/>
      </c>
      <c r="K246" s="137">
        <f>IF(G246="","Unmatched ERP",IF(AND(ABS(H246)&lt;=Mapping_Rules!$B$4,ABS(J246)&lt;=Mapping_Rules!$B$5),"Matched","Review"))</f>
        <v/>
      </c>
      <c r="L246" s="137">
        <f>IF(K246="Matched","None",IF(G246="","Missing from bank",IF(ABS(H246)&gt;Mapping_Rules!$B$4,"Amount variance","Date variance")))</f>
        <v/>
      </c>
      <c r="M246" s="137">
        <f>IF(K246="Matched","Low",IF(OR(IFERROR(ABS(H246),0)&gt;Mapping_Rules!$B$7,IFERROR(J246,0)&gt;Mapping_Rules!$B$8),"High","Medium"))</f>
        <v/>
      </c>
      <c r="N246" s="137">
        <f>IF(K246="Matched","No action needed",IF(L246="Missing from bank","Check bank date or posting",IF(L246="Amount variance","Check invoice/payment amount","Check timing difference")))</f>
        <v/>
      </c>
      <c r="O246" s="115" t="inlineStr">
        <is>
          <t>1200 AR</t>
        </is>
      </c>
      <c r="P246" s="115" t="inlineStr">
        <is>
          <t>AR Clerk</t>
        </is>
      </c>
      <c r="Q246" s="115" t="inlineStr">
        <is>
          <t>No</t>
        </is>
      </c>
      <c r="R246" s="138" t="str"/>
      <c r="S246" s="139">
        <f>IF(K246="Matched",0,Mapping_Rules!$B$6-B246)</f>
        <v/>
      </c>
    </row>
    <row r="247">
      <c r="A247" s="140" t="inlineStr">
        <is>
          <t>ERP-00244</t>
        </is>
      </c>
      <c r="B247" s="141" t="n">
        <v>46024</v>
      </c>
      <c r="C247" s="140" t="inlineStr">
        <is>
          <t>Bank Fees</t>
        </is>
      </c>
      <c r="D247" s="140" t="inlineStr">
        <is>
          <t>Bank</t>
        </is>
      </c>
      <c r="E247" s="140" t="inlineStr">
        <is>
          <t>REF-100244</t>
        </is>
      </c>
      <c r="F247" s="142" t="n">
        <v>-50.65</v>
      </c>
      <c r="G247" s="143">
        <f>IFERROR(XLOOKUP(E247,Bank_Statement!$D$4:$D$448,Bank_Statement!$G$4:$G$448,""),"")</f>
        <v/>
      </c>
      <c r="H247" s="142">
        <f>IF(G247="","",F247-G247)</f>
        <v/>
      </c>
      <c r="I247" s="144">
        <f>IFERROR(XLOOKUP(E247,Bank_Statement!$D$4:$D$448,Bank_Statement!$B$4:$B$448,""),"")</f>
        <v/>
      </c>
      <c r="J247" s="145">
        <f>IF(I247="","",ABS(B247-I247))</f>
        <v/>
      </c>
      <c r="K247" s="146">
        <f>IF(G247="","Unmatched ERP",IF(AND(ABS(H247)&lt;=Mapping_Rules!$B$4,ABS(J247)&lt;=Mapping_Rules!$B$5),"Matched","Review"))</f>
        <v/>
      </c>
      <c r="L247" s="146">
        <f>IF(K247="Matched","None",IF(G247="","Missing from bank",IF(ABS(H247)&gt;Mapping_Rules!$B$4,"Amount variance","Date variance")))</f>
        <v/>
      </c>
      <c r="M247" s="146">
        <f>IF(K247="Matched","Low",IF(OR(IFERROR(ABS(H247),0)&gt;Mapping_Rules!$B$7,IFERROR(J247,0)&gt;Mapping_Rules!$B$8),"High","Medium"))</f>
        <v/>
      </c>
      <c r="N247" s="146">
        <f>IF(K247="Matched","No action needed",IF(L247="Missing from bank","Check bank date or posting",IF(L247="Amount variance","Check invoice/payment amount","Check timing difference")))</f>
        <v/>
      </c>
      <c r="O247" s="140" t="inlineStr">
        <is>
          <t>6100 Bank Fees</t>
        </is>
      </c>
      <c r="P247" s="140" t="inlineStr">
        <is>
          <t>Accounting Technician</t>
        </is>
      </c>
      <c r="Q247" s="140" t="inlineStr">
        <is>
          <t>No</t>
        </is>
      </c>
      <c r="R247" s="147" t="str"/>
      <c r="S247" s="148">
        <f>IF(K247="Matched",0,Mapping_Rules!$B$6-B247)</f>
        <v/>
      </c>
    </row>
    <row r="248">
      <c r="A248" s="115" t="inlineStr">
        <is>
          <t>ERP-00245</t>
        </is>
      </c>
      <c r="B248" s="125" t="n">
        <v>46053</v>
      </c>
      <c r="C248" s="115" t="inlineStr">
        <is>
          <t>Payroll</t>
        </is>
      </c>
      <c r="D248" s="115" t="inlineStr">
        <is>
          <t>Payroll Batch</t>
        </is>
      </c>
      <c r="E248" s="115" t="inlineStr">
        <is>
          <t>REF-100245</t>
        </is>
      </c>
      <c r="F248" s="126" t="n">
        <v>-6697.27</v>
      </c>
      <c r="G248" s="134">
        <f>IFERROR(XLOOKUP(E248,Bank_Statement!$D$4:$D$448,Bank_Statement!$G$4:$G$448,""),"")</f>
        <v/>
      </c>
      <c r="H248" s="126">
        <f>IF(G248="","",F248-G248)</f>
        <v/>
      </c>
      <c r="I248" s="135">
        <f>IFERROR(XLOOKUP(E248,Bank_Statement!$D$4:$D$448,Bank_Statement!$B$4:$B$448,""),"")</f>
        <v/>
      </c>
      <c r="J248" s="136">
        <f>IF(I248="","",ABS(B248-I248))</f>
        <v/>
      </c>
      <c r="K248" s="137">
        <f>IF(G248="","Unmatched ERP",IF(AND(ABS(H248)&lt;=Mapping_Rules!$B$4,ABS(J248)&lt;=Mapping_Rules!$B$5),"Matched","Review"))</f>
        <v/>
      </c>
      <c r="L248" s="137">
        <f>IF(K248="Matched","None",IF(G248="","Missing from bank",IF(ABS(H248)&gt;Mapping_Rules!$B$4,"Amount variance","Date variance")))</f>
        <v/>
      </c>
      <c r="M248" s="137">
        <f>IF(K248="Matched","Low",IF(OR(IFERROR(ABS(H248),0)&gt;Mapping_Rules!$B$7,IFERROR(J248,0)&gt;Mapping_Rules!$B$8),"High","Medium"))</f>
        <v/>
      </c>
      <c r="N248" s="137">
        <f>IF(K248="Matched","No action needed",IF(L248="Missing from bank","Check bank date or posting",IF(L248="Amount variance","Check invoice/payment amount","Check timing difference")))</f>
        <v/>
      </c>
      <c r="O248" s="115" t="inlineStr">
        <is>
          <t>5300 Payroll</t>
        </is>
      </c>
      <c r="P248" s="115" t="inlineStr">
        <is>
          <t>Accounting Technician</t>
        </is>
      </c>
      <c r="Q248" s="115" t="inlineStr">
        <is>
          <t>No</t>
        </is>
      </c>
      <c r="R248" s="138" t="str"/>
      <c r="S248" s="139">
        <f>IF(K248="Matched",0,Mapping_Rules!$B$6-B248)</f>
        <v/>
      </c>
    </row>
    <row r="249">
      <c r="A249" s="140" t="inlineStr">
        <is>
          <t>ERP-00246</t>
        </is>
      </c>
      <c r="B249" s="141" t="n">
        <v>46033</v>
      </c>
      <c r="C249" s="140" t="inlineStr">
        <is>
          <t>AP</t>
        </is>
      </c>
      <c r="D249" s="140" t="inlineStr">
        <is>
          <t>Staples Canada</t>
        </is>
      </c>
      <c r="E249" s="140" t="inlineStr">
        <is>
          <t>REF-100246</t>
        </is>
      </c>
      <c r="F249" s="142" t="n">
        <v>-3405</v>
      </c>
      <c r="G249" s="143">
        <f>IFERROR(XLOOKUP(E249,Bank_Statement!$D$4:$D$448,Bank_Statement!$G$4:$G$448,""),"")</f>
        <v/>
      </c>
      <c r="H249" s="142">
        <f>IF(G249="","",F249-G249)</f>
        <v/>
      </c>
      <c r="I249" s="144">
        <f>IFERROR(XLOOKUP(E249,Bank_Statement!$D$4:$D$448,Bank_Statement!$B$4:$B$448,""),"")</f>
        <v/>
      </c>
      <c r="J249" s="145">
        <f>IF(I249="","",ABS(B249-I249))</f>
        <v/>
      </c>
      <c r="K249" s="146">
        <f>IF(G249="","Unmatched ERP",IF(AND(ABS(H249)&lt;=Mapping_Rules!$B$4,ABS(J249)&lt;=Mapping_Rules!$B$5),"Matched","Review"))</f>
        <v/>
      </c>
      <c r="L249" s="146">
        <f>IF(K249="Matched","None",IF(G249="","Missing from bank",IF(ABS(H249)&gt;Mapping_Rules!$B$4,"Amount variance","Date variance")))</f>
        <v/>
      </c>
      <c r="M249" s="146">
        <f>IF(K249="Matched","Low",IF(OR(IFERROR(ABS(H249),0)&gt;Mapping_Rules!$B$7,IFERROR(J249,0)&gt;Mapping_Rules!$B$8),"High","Medium"))</f>
        <v/>
      </c>
      <c r="N249" s="146">
        <f>IF(K249="Matched","No action needed",IF(L249="Missing from bank","Check bank date or posting",IF(L249="Amount variance","Check invoice/payment amount","Check timing difference")))</f>
        <v/>
      </c>
      <c r="O249" s="140" t="inlineStr">
        <is>
          <t>2000 AP</t>
        </is>
      </c>
      <c r="P249" s="140" t="inlineStr">
        <is>
          <t>AP Clerk</t>
        </is>
      </c>
      <c r="Q249" s="140" t="inlineStr">
        <is>
          <t>No</t>
        </is>
      </c>
      <c r="R249" s="147" t="str"/>
      <c r="S249" s="148">
        <f>IF(K249="Matched",0,Mapping_Rules!$B$6-B249)</f>
        <v/>
      </c>
    </row>
    <row r="250">
      <c r="A250" s="115" t="inlineStr">
        <is>
          <t>ERP-00247</t>
        </is>
      </c>
      <c r="B250" s="125" t="n">
        <v>46037</v>
      </c>
      <c r="C250" s="115" t="inlineStr">
        <is>
          <t>AP</t>
        </is>
      </c>
      <c r="D250" s="115" t="inlineStr">
        <is>
          <t>Vancouver Courier</t>
        </is>
      </c>
      <c r="E250" s="115" t="inlineStr">
        <is>
          <t>REF-100247</t>
        </is>
      </c>
      <c r="F250" s="126" t="n">
        <v>-769.4</v>
      </c>
      <c r="G250" s="134">
        <f>IFERROR(XLOOKUP(E250,Bank_Statement!$D$4:$D$448,Bank_Statement!$G$4:$G$448,""),"")</f>
        <v/>
      </c>
      <c r="H250" s="126">
        <f>IF(G250="","",F250-G250)</f>
        <v/>
      </c>
      <c r="I250" s="135">
        <f>IFERROR(XLOOKUP(E250,Bank_Statement!$D$4:$D$448,Bank_Statement!$B$4:$B$448,""),"")</f>
        <v/>
      </c>
      <c r="J250" s="136">
        <f>IF(I250="","",ABS(B250-I250))</f>
        <v/>
      </c>
      <c r="K250" s="137">
        <f>IF(G250="","Unmatched ERP",IF(AND(ABS(H250)&lt;=Mapping_Rules!$B$4,ABS(J250)&lt;=Mapping_Rules!$B$5),"Matched","Review"))</f>
        <v/>
      </c>
      <c r="L250" s="137">
        <f>IF(K250="Matched","None",IF(G250="","Missing from bank",IF(ABS(H250)&gt;Mapping_Rules!$B$4,"Amount variance","Date variance")))</f>
        <v/>
      </c>
      <c r="M250" s="137">
        <f>IF(K250="Matched","Low",IF(OR(IFERROR(ABS(H250),0)&gt;Mapping_Rules!$B$7,IFERROR(J250,0)&gt;Mapping_Rules!$B$8),"High","Medium"))</f>
        <v/>
      </c>
      <c r="N250" s="137">
        <f>IF(K250="Matched","No action needed",IF(L250="Missing from bank","Check bank date or posting",IF(L250="Amount variance","Check invoice/payment amount","Check timing difference")))</f>
        <v/>
      </c>
      <c r="O250" s="115" t="inlineStr">
        <is>
          <t>2000 AP</t>
        </is>
      </c>
      <c r="P250" s="115" t="inlineStr">
        <is>
          <t>AP Clerk</t>
        </is>
      </c>
      <c r="Q250" s="115" t="inlineStr">
        <is>
          <t>No</t>
        </is>
      </c>
      <c r="R250" s="138" t="str"/>
      <c r="S250" s="139">
        <f>IF(K250="Matched",0,Mapping_Rules!$B$6-B250)</f>
        <v/>
      </c>
    </row>
    <row r="251">
      <c r="A251" s="140" t="inlineStr">
        <is>
          <t>ERP-00248</t>
        </is>
      </c>
      <c r="B251" s="141" t="n">
        <v>46048</v>
      </c>
      <c r="C251" s="140" t="inlineStr">
        <is>
          <t>AP</t>
        </is>
      </c>
      <c r="D251" s="140" t="inlineStr">
        <is>
          <t>Staples Canada</t>
        </is>
      </c>
      <c r="E251" s="140" t="inlineStr">
        <is>
          <t>REF-100248</t>
        </is>
      </c>
      <c r="F251" s="142" t="n">
        <v>-4714.57</v>
      </c>
      <c r="G251" s="143">
        <f>IFERROR(XLOOKUP(E251,Bank_Statement!$D$4:$D$448,Bank_Statement!$G$4:$G$448,""),"")</f>
        <v/>
      </c>
      <c r="H251" s="142">
        <f>IF(G251="","",F251-G251)</f>
        <v/>
      </c>
      <c r="I251" s="144">
        <f>IFERROR(XLOOKUP(E251,Bank_Statement!$D$4:$D$448,Bank_Statement!$B$4:$B$448,""),"")</f>
        <v/>
      </c>
      <c r="J251" s="145">
        <f>IF(I251="","",ABS(B251-I251))</f>
        <v/>
      </c>
      <c r="K251" s="146">
        <f>IF(G251="","Unmatched ERP",IF(AND(ABS(H251)&lt;=Mapping_Rules!$B$4,ABS(J251)&lt;=Mapping_Rules!$B$5),"Matched","Review"))</f>
        <v/>
      </c>
      <c r="L251" s="146">
        <f>IF(K251="Matched","None",IF(G251="","Missing from bank",IF(ABS(H251)&gt;Mapping_Rules!$B$4,"Amount variance","Date variance")))</f>
        <v/>
      </c>
      <c r="M251" s="146">
        <f>IF(K251="Matched","Low",IF(OR(IFERROR(ABS(H251),0)&gt;Mapping_Rules!$B$7,IFERROR(J251,0)&gt;Mapping_Rules!$B$8),"High","Medium"))</f>
        <v/>
      </c>
      <c r="N251" s="146">
        <f>IF(K251="Matched","No action needed",IF(L251="Missing from bank","Check bank date or posting",IF(L251="Amount variance","Check invoice/payment amount","Check timing difference")))</f>
        <v/>
      </c>
      <c r="O251" s="140" t="inlineStr">
        <is>
          <t>2000 AP</t>
        </is>
      </c>
      <c r="P251" s="140" t="inlineStr">
        <is>
          <t>AP Clerk</t>
        </is>
      </c>
      <c r="Q251" s="140" t="inlineStr">
        <is>
          <t>No</t>
        </is>
      </c>
      <c r="R251" s="147" t="str"/>
      <c r="S251" s="148">
        <f>IF(K251="Matched",0,Mapping_Rules!$B$6-B251)</f>
        <v/>
      </c>
    </row>
    <row r="252">
      <c r="A252" s="115" t="inlineStr">
        <is>
          <t>ERP-00249</t>
        </is>
      </c>
      <c r="B252" s="125" t="n">
        <v>46051</v>
      </c>
      <c r="C252" s="115" t="inlineStr">
        <is>
          <t>AR</t>
        </is>
      </c>
      <c r="D252" s="115" t="inlineStr">
        <is>
          <t>Granville Medical</t>
        </is>
      </c>
      <c r="E252" s="115" t="inlineStr">
        <is>
          <t>REF-100249</t>
        </is>
      </c>
      <c r="F252" s="126" t="n">
        <v>4452.59</v>
      </c>
      <c r="G252" s="134">
        <f>IFERROR(XLOOKUP(E252,Bank_Statement!$D$4:$D$448,Bank_Statement!$G$4:$G$448,""),"")</f>
        <v/>
      </c>
      <c r="H252" s="126">
        <f>IF(G252="","",F252-G252)</f>
        <v/>
      </c>
      <c r="I252" s="135">
        <f>IFERROR(XLOOKUP(E252,Bank_Statement!$D$4:$D$448,Bank_Statement!$B$4:$B$448,""),"")</f>
        <v/>
      </c>
      <c r="J252" s="136">
        <f>IF(I252="","",ABS(B252-I252))</f>
        <v/>
      </c>
      <c r="K252" s="137">
        <f>IF(G252="","Unmatched ERP",IF(AND(ABS(H252)&lt;=Mapping_Rules!$B$4,ABS(J252)&lt;=Mapping_Rules!$B$5),"Matched","Review"))</f>
        <v/>
      </c>
      <c r="L252" s="137">
        <f>IF(K252="Matched","None",IF(G252="","Missing from bank",IF(ABS(H252)&gt;Mapping_Rules!$B$4,"Amount variance","Date variance")))</f>
        <v/>
      </c>
      <c r="M252" s="137">
        <f>IF(K252="Matched","Low",IF(OR(IFERROR(ABS(H252),0)&gt;Mapping_Rules!$B$7,IFERROR(J252,0)&gt;Mapping_Rules!$B$8),"High","Medium"))</f>
        <v/>
      </c>
      <c r="N252" s="137">
        <f>IF(K252="Matched","No action needed",IF(L252="Missing from bank","Check bank date or posting",IF(L252="Amount variance","Check invoice/payment amount","Check timing difference")))</f>
        <v/>
      </c>
      <c r="O252" s="115" t="inlineStr">
        <is>
          <t>1200 AR</t>
        </is>
      </c>
      <c r="P252" s="115" t="inlineStr">
        <is>
          <t>AR Clerk</t>
        </is>
      </c>
      <c r="Q252" s="115" t="inlineStr">
        <is>
          <t>No</t>
        </is>
      </c>
      <c r="R252" s="138" t="str"/>
      <c r="S252" s="139">
        <f>IF(K252="Matched",0,Mapping_Rules!$B$6-B252)</f>
        <v/>
      </c>
    </row>
    <row r="253">
      <c r="A253" s="140" t="inlineStr">
        <is>
          <t>ERP-00250</t>
        </is>
      </c>
      <c r="B253" s="141" t="n">
        <v>46038</v>
      </c>
      <c r="C253" s="140" t="inlineStr">
        <is>
          <t>AP</t>
        </is>
      </c>
      <c r="D253" s="140" t="inlineStr">
        <is>
          <t>North Shore Telecom</t>
        </is>
      </c>
      <c r="E253" s="140" t="inlineStr">
        <is>
          <t>REF-100250</t>
        </is>
      </c>
      <c r="F253" s="142" t="n">
        <v>-121.8</v>
      </c>
      <c r="G253" s="143">
        <f>IFERROR(XLOOKUP(E253,Bank_Statement!$D$4:$D$448,Bank_Statement!$G$4:$G$448,""),"")</f>
        <v/>
      </c>
      <c r="H253" s="142">
        <f>IF(G253="","",F253-G253)</f>
        <v/>
      </c>
      <c r="I253" s="144">
        <f>IFERROR(XLOOKUP(E253,Bank_Statement!$D$4:$D$448,Bank_Statement!$B$4:$B$448,""),"")</f>
        <v/>
      </c>
      <c r="J253" s="145">
        <f>IF(I253="","",ABS(B253-I253))</f>
        <v/>
      </c>
      <c r="K253" s="146">
        <f>IF(G253="","Unmatched ERP",IF(AND(ABS(H253)&lt;=Mapping_Rules!$B$4,ABS(J253)&lt;=Mapping_Rules!$B$5),"Matched","Review"))</f>
        <v/>
      </c>
      <c r="L253" s="146">
        <f>IF(K253="Matched","None",IF(G253="","Missing from bank",IF(ABS(H253)&gt;Mapping_Rules!$B$4,"Amount variance","Date variance")))</f>
        <v/>
      </c>
      <c r="M253" s="146">
        <f>IF(K253="Matched","Low",IF(OR(IFERROR(ABS(H253),0)&gt;Mapping_Rules!$B$7,IFERROR(J253,0)&gt;Mapping_Rules!$B$8),"High","Medium"))</f>
        <v/>
      </c>
      <c r="N253" s="146">
        <f>IF(K253="Matched","No action needed",IF(L253="Missing from bank","Check bank date or posting",IF(L253="Amount variance","Check invoice/payment amount","Check timing difference")))</f>
        <v/>
      </c>
      <c r="O253" s="140" t="inlineStr">
        <is>
          <t>2000 AP</t>
        </is>
      </c>
      <c r="P253" s="140" t="inlineStr">
        <is>
          <t>AP Clerk</t>
        </is>
      </c>
      <c r="Q253" s="140" t="inlineStr">
        <is>
          <t>No</t>
        </is>
      </c>
      <c r="R253" s="147" t="str"/>
      <c r="S253" s="148">
        <f>IF(K253="Matched",0,Mapping_Rules!$B$6-B253)</f>
        <v/>
      </c>
    </row>
    <row r="254">
      <c r="A254" s="115" t="inlineStr">
        <is>
          <t>ERP-00251</t>
        </is>
      </c>
      <c r="B254" s="125" t="n">
        <v>46032</v>
      </c>
      <c r="C254" s="115" t="inlineStr">
        <is>
          <t>AR</t>
        </is>
      </c>
      <c r="D254" s="115" t="inlineStr">
        <is>
          <t>West Van Fitness</t>
        </is>
      </c>
      <c r="E254" s="115" t="inlineStr">
        <is>
          <t>REF-100251</t>
        </is>
      </c>
      <c r="F254" s="126" t="n">
        <v>245.49</v>
      </c>
      <c r="G254" s="134">
        <f>IFERROR(XLOOKUP(E254,Bank_Statement!$D$4:$D$448,Bank_Statement!$G$4:$G$448,""),"")</f>
        <v/>
      </c>
      <c r="H254" s="126">
        <f>IF(G254="","",F254-G254)</f>
        <v/>
      </c>
      <c r="I254" s="135">
        <f>IFERROR(XLOOKUP(E254,Bank_Statement!$D$4:$D$448,Bank_Statement!$B$4:$B$448,""),"")</f>
        <v/>
      </c>
      <c r="J254" s="136">
        <f>IF(I254="","",ABS(B254-I254))</f>
        <v/>
      </c>
      <c r="K254" s="137">
        <f>IF(G254="","Unmatched ERP",IF(AND(ABS(H254)&lt;=Mapping_Rules!$B$4,ABS(J254)&lt;=Mapping_Rules!$B$5),"Matched","Review"))</f>
        <v/>
      </c>
      <c r="L254" s="137">
        <f>IF(K254="Matched","None",IF(G254="","Missing from bank",IF(ABS(H254)&gt;Mapping_Rules!$B$4,"Amount variance","Date variance")))</f>
        <v/>
      </c>
      <c r="M254" s="137">
        <f>IF(K254="Matched","Low",IF(OR(IFERROR(ABS(H254),0)&gt;Mapping_Rules!$B$7,IFERROR(J254,0)&gt;Mapping_Rules!$B$8),"High","Medium"))</f>
        <v/>
      </c>
      <c r="N254" s="137">
        <f>IF(K254="Matched","No action needed",IF(L254="Missing from bank","Check bank date or posting",IF(L254="Amount variance","Check invoice/payment amount","Check timing difference")))</f>
        <v/>
      </c>
      <c r="O254" s="115" t="inlineStr">
        <is>
          <t>1200 AR</t>
        </is>
      </c>
      <c r="P254" s="115" t="inlineStr">
        <is>
          <t>AR Clerk</t>
        </is>
      </c>
      <c r="Q254" s="115" t="inlineStr">
        <is>
          <t>No</t>
        </is>
      </c>
      <c r="R254" s="138" t="str"/>
      <c r="S254" s="139">
        <f>IF(K254="Matched",0,Mapping_Rules!$B$6-B254)</f>
        <v/>
      </c>
    </row>
    <row r="255">
      <c r="A255" s="140" t="inlineStr">
        <is>
          <t>ERP-00252</t>
        </is>
      </c>
      <c r="B255" s="141" t="n">
        <v>46028</v>
      </c>
      <c r="C255" s="140" t="inlineStr">
        <is>
          <t>AR</t>
        </is>
      </c>
      <c r="D255" s="140" t="inlineStr">
        <is>
          <t>West Van Fitness</t>
        </is>
      </c>
      <c r="E255" s="140" t="inlineStr">
        <is>
          <t>REF-100252</t>
        </is>
      </c>
      <c r="F255" s="142" t="n">
        <v>7857.94</v>
      </c>
      <c r="G255" s="143">
        <f>IFERROR(XLOOKUP(E255,Bank_Statement!$D$4:$D$448,Bank_Statement!$G$4:$G$448,""),"")</f>
        <v/>
      </c>
      <c r="H255" s="142">
        <f>IF(G255="","",F255-G255)</f>
        <v/>
      </c>
      <c r="I255" s="144">
        <f>IFERROR(XLOOKUP(E255,Bank_Statement!$D$4:$D$448,Bank_Statement!$B$4:$B$448,""),"")</f>
        <v/>
      </c>
      <c r="J255" s="145">
        <f>IF(I255="","",ABS(B255-I255))</f>
        <v/>
      </c>
      <c r="K255" s="146">
        <f>IF(G255="","Unmatched ERP",IF(AND(ABS(H255)&lt;=Mapping_Rules!$B$4,ABS(J255)&lt;=Mapping_Rules!$B$5),"Matched","Review"))</f>
        <v/>
      </c>
      <c r="L255" s="146">
        <f>IF(K255="Matched","None",IF(G255="","Missing from bank",IF(ABS(H255)&gt;Mapping_Rules!$B$4,"Amount variance","Date variance")))</f>
        <v/>
      </c>
      <c r="M255" s="146">
        <f>IF(K255="Matched","Low",IF(OR(IFERROR(ABS(H255),0)&gt;Mapping_Rules!$B$7,IFERROR(J255,0)&gt;Mapping_Rules!$B$8),"High","Medium"))</f>
        <v/>
      </c>
      <c r="N255" s="146">
        <f>IF(K255="Matched","No action needed",IF(L255="Missing from bank","Check bank date or posting",IF(L255="Amount variance","Check invoice/payment amount","Check timing difference")))</f>
        <v/>
      </c>
      <c r="O255" s="140" t="inlineStr">
        <is>
          <t>1200 AR</t>
        </is>
      </c>
      <c r="P255" s="140" t="inlineStr">
        <is>
          <t>AR Clerk</t>
        </is>
      </c>
      <c r="Q255" s="140" t="inlineStr">
        <is>
          <t>No</t>
        </is>
      </c>
      <c r="R255" s="147" t="str"/>
      <c r="S255" s="148">
        <f>IF(K255="Matched",0,Mapping_Rules!$B$6-B255)</f>
        <v/>
      </c>
    </row>
    <row r="256">
      <c r="A256" s="115" t="inlineStr">
        <is>
          <t>ERP-00253</t>
        </is>
      </c>
      <c r="B256" s="125" t="n">
        <v>46030</v>
      </c>
      <c r="C256" s="115" t="inlineStr">
        <is>
          <t>AP</t>
        </is>
      </c>
      <c r="D256" s="115" t="inlineStr">
        <is>
          <t>North Shore Telecom</t>
        </is>
      </c>
      <c r="E256" s="115" t="inlineStr">
        <is>
          <t>REF-100253</t>
        </is>
      </c>
      <c r="F256" s="126" t="n">
        <v>-3006.47</v>
      </c>
      <c r="G256" s="134">
        <f>IFERROR(XLOOKUP(E256,Bank_Statement!$D$4:$D$448,Bank_Statement!$G$4:$G$448,""),"")</f>
        <v/>
      </c>
      <c r="H256" s="126">
        <f>IF(G256="","",F256-G256)</f>
        <v/>
      </c>
      <c r="I256" s="135">
        <f>IFERROR(XLOOKUP(E256,Bank_Statement!$D$4:$D$448,Bank_Statement!$B$4:$B$448,""),"")</f>
        <v/>
      </c>
      <c r="J256" s="136">
        <f>IF(I256="","",ABS(B256-I256))</f>
        <v/>
      </c>
      <c r="K256" s="137">
        <f>IF(G256="","Unmatched ERP",IF(AND(ABS(H256)&lt;=Mapping_Rules!$B$4,ABS(J256)&lt;=Mapping_Rules!$B$5),"Matched","Review"))</f>
        <v/>
      </c>
      <c r="L256" s="137">
        <f>IF(K256="Matched","None",IF(G256="","Missing from bank",IF(ABS(H256)&gt;Mapping_Rules!$B$4,"Amount variance","Date variance")))</f>
        <v/>
      </c>
      <c r="M256" s="137">
        <f>IF(K256="Matched","Low",IF(OR(IFERROR(ABS(H256),0)&gt;Mapping_Rules!$B$7,IFERROR(J256,0)&gt;Mapping_Rules!$B$8),"High","Medium"))</f>
        <v/>
      </c>
      <c r="N256" s="137">
        <f>IF(K256="Matched","No action needed",IF(L256="Missing from bank","Check bank date or posting",IF(L256="Amount variance","Check invoice/payment amount","Check timing difference")))</f>
        <v/>
      </c>
      <c r="O256" s="115" t="inlineStr">
        <is>
          <t>2000 AP</t>
        </is>
      </c>
      <c r="P256" s="115" t="inlineStr">
        <is>
          <t>AP Clerk</t>
        </is>
      </c>
      <c r="Q256" s="115" t="inlineStr">
        <is>
          <t>No</t>
        </is>
      </c>
      <c r="R256" s="138" t="str"/>
      <c r="S256" s="139">
        <f>IF(K256="Matched",0,Mapping_Rules!$B$6-B256)</f>
        <v/>
      </c>
    </row>
    <row r="257">
      <c r="A257" s="140" t="inlineStr">
        <is>
          <t>ERP-00254</t>
        </is>
      </c>
      <c r="B257" s="141" t="n">
        <v>46048</v>
      </c>
      <c r="C257" s="140" t="inlineStr">
        <is>
          <t>AR</t>
        </is>
      </c>
      <c r="D257" s="140" t="inlineStr">
        <is>
          <t>Coastline Foods</t>
        </is>
      </c>
      <c r="E257" s="140" t="inlineStr">
        <is>
          <t>REF-100254</t>
        </is>
      </c>
      <c r="F257" s="142" t="n">
        <v>6511.53</v>
      </c>
      <c r="G257" s="143">
        <f>IFERROR(XLOOKUP(E257,Bank_Statement!$D$4:$D$448,Bank_Statement!$G$4:$G$448,""),"")</f>
        <v/>
      </c>
      <c r="H257" s="142">
        <f>IF(G257="","",F257-G257)</f>
        <v/>
      </c>
      <c r="I257" s="144">
        <f>IFERROR(XLOOKUP(E257,Bank_Statement!$D$4:$D$448,Bank_Statement!$B$4:$B$448,""),"")</f>
        <v/>
      </c>
      <c r="J257" s="145">
        <f>IF(I257="","",ABS(B257-I257))</f>
        <v/>
      </c>
      <c r="K257" s="146">
        <f>IF(G257="","Unmatched ERP",IF(AND(ABS(H257)&lt;=Mapping_Rules!$B$4,ABS(J257)&lt;=Mapping_Rules!$B$5),"Matched","Review"))</f>
        <v/>
      </c>
      <c r="L257" s="146">
        <f>IF(K257="Matched","None",IF(G257="","Missing from bank",IF(ABS(H257)&gt;Mapping_Rules!$B$4,"Amount variance","Date variance")))</f>
        <v/>
      </c>
      <c r="M257" s="146">
        <f>IF(K257="Matched","Low",IF(OR(IFERROR(ABS(H257),0)&gt;Mapping_Rules!$B$7,IFERROR(J257,0)&gt;Mapping_Rules!$B$8),"High","Medium"))</f>
        <v/>
      </c>
      <c r="N257" s="146">
        <f>IF(K257="Matched","No action needed",IF(L257="Missing from bank","Check bank date or posting",IF(L257="Amount variance","Check invoice/payment amount","Check timing difference")))</f>
        <v/>
      </c>
      <c r="O257" s="140" t="inlineStr">
        <is>
          <t>1200 AR</t>
        </is>
      </c>
      <c r="P257" s="140" t="inlineStr">
        <is>
          <t>AR Clerk</t>
        </is>
      </c>
      <c r="Q257" s="140" t="inlineStr">
        <is>
          <t>No</t>
        </is>
      </c>
      <c r="R257" s="147" t="str"/>
      <c r="S257" s="148">
        <f>IF(K257="Matched",0,Mapping_Rules!$B$6-B257)</f>
        <v/>
      </c>
    </row>
    <row r="258">
      <c r="A258" s="115" t="inlineStr">
        <is>
          <t>ERP-00255</t>
        </is>
      </c>
      <c r="B258" s="125" t="n">
        <v>46041</v>
      </c>
      <c r="C258" s="115" t="inlineStr">
        <is>
          <t>AP</t>
        </is>
      </c>
      <c r="D258" s="115" t="inlineStr">
        <is>
          <t>Vancouver Courier</t>
        </is>
      </c>
      <c r="E258" s="115" t="inlineStr">
        <is>
          <t>REF-100255</t>
        </is>
      </c>
      <c r="F258" s="126" t="n">
        <v>-3431.61</v>
      </c>
      <c r="G258" s="134">
        <f>IFERROR(XLOOKUP(E258,Bank_Statement!$D$4:$D$448,Bank_Statement!$G$4:$G$448,""),"")</f>
        <v/>
      </c>
      <c r="H258" s="126">
        <f>IF(G258="","",F258-G258)</f>
        <v/>
      </c>
      <c r="I258" s="135">
        <f>IFERROR(XLOOKUP(E258,Bank_Statement!$D$4:$D$448,Bank_Statement!$B$4:$B$448,""),"")</f>
        <v/>
      </c>
      <c r="J258" s="136">
        <f>IF(I258="","",ABS(B258-I258))</f>
        <v/>
      </c>
      <c r="K258" s="137">
        <f>IF(G258="","Unmatched ERP",IF(AND(ABS(H258)&lt;=Mapping_Rules!$B$4,ABS(J258)&lt;=Mapping_Rules!$B$5),"Matched","Review"))</f>
        <v/>
      </c>
      <c r="L258" s="137">
        <f>IF(K258="Matched","None",IF(G258="","Missing from bank",IF(ABS(H258)&gt;Mapping_Rules!$B$4,"Amount variance","Date variance")))</f>
        <v/>
      </c>
      <c r="M258" s="137">
        <f>IF(K258="Matched","Low",IF(OR(IFERROR(ABS(H258),0)&gt;Mapping_Rules!$B$7,IFERROR(J258,0)&gt;Mapping_Rules!$B$8),"High","Medium"))</f>
        <v/>
      </c>
      <c r="N258" s="137">
        <f>IF(K258="Matched","No action needed",IF(L258="Missing from bank","Check bank date or posting",IF(L258="Amount variance","Check invoice/payment amount","Check timing difference")))</f>
        <v/>
      </c>
      <c r="O258" s="115" t="inlineStr">
        <is>
          <t>2000 AP</t>
        </is>
      </c>
      <c r="P258" s="115" t="inlineStr">
        <is>
          <t>AP Clerk</t>
        </is>
      </c>
      <c r="Q258" s="115" t="inlineStr">
        <is>
          <t>No</t>
        </is>
      </c>
      <c r="R258" s="138" t="str"/>
      <c r="S258" s="139">
        <f>IF(K258="Matched",0,Mapping_Rules!$B$6-B258)</f>
        <v/>
      </c>
    </row>
    <row r="259">
      <c r="A259" s="140" t="inlineStr">
        <is>
          <t>ERP-00256</t>
        </is>
      </c>
      <c r="B259" s="141" t="n">
        <v>46050</v>
      </c>
      <c r="C259" s="140" t="inlineStr">
        <is>
          <t>AR</t>
        </is>
      </c>
      <c r="D259" s="140" t="inlineStr">
        <is>
          <t>Maple Retail Group</t>
        </is>
      </c>
      <c r="E259" s="140" t="inlineStr">
        <is>
          <t>REF-100256</t>
        </is>
      </c>
      <c r="F259" s="142" t="n">
        <v>5830.47</v>
      </c>
      <c r="G259" s="143">
        <f>IFERROR(XLOOKUP(E259,Bank_Statement!$D$4:$D$448,Bank_Statement!$G$4:$G$448,""),"")</f>
        <v/>
      </c>
      <c r="H259" s="142">
        <f>IF(G259="","",F259-G259)</f>
        <v/>
      </c>
      <c r="I259" s="144">
        <f>IFERROR(XLOOKUP(E259,Bank_Statement!$D$4:$D$448,Bank_Statement!$B$4:$B$448,""),"")</f>
        <v/>
      </c>
      <c r="J259" s="145">
        <f>IF(I259="","",ABS(B259-I259))</f>
        <v/>
      </c>
      <c r="K259" s="146">
        <f>IF(G259="","Unmatched ERP",IF(AND(ABS(H259)&lt;=Mapping_Rules!$B$4,ABS(J259)&lt;=Mapping_Rules!$B$5),"Matched","Review"))</f>
        <v/>
      </c>
      <c r="L259" s="146">
        <f>IF(K259="Matched","None",IF(G259="","Missing from bank",IF(ABS(H259)&gt;Mapping_Rules!$B$4,"Amount variance","Date variance")))</f>
        <v/>
      </c>
      <c r="M259" s="146">
        <f>IF(K259="Matched","Low",IF(OR(IFERROR(ABS(H259),0)&gt;Mapping_Rules!$B$7,IFERROR(J259,0)&gt;Mapping_Rules!$B$8),"High","Medium"))</f>
        <v/>
      </c>
      <c r="N259" s="146">
        <f>IF(K259="Matched","No action needed",IF(L259="Missing from bank","Check bank date or posting",IF(L259="Amount variance","Check invoice/payment amount","Check timing difference")))</f>
        <v/>
      </c>
      <c r="O259" s="140" t="inlineStr">
        <is>
          <t>1200 AR</t>
        </is>
      </c>
      <c r="P259" s="140" t="inlineStr">
        <is>
          <t>AR Clerk</t>
        </is>
      </c>
      <c r="Q259" s="140" t="inlineStr">
        <is>
          <t>No</t>
        </is>
      </c>
      <c r="R259" s="147" t="str"/>
      <c r="S259" s="148">
        <f>IF(K259="Matched",0,Mapping_Rules!$B$6-B259)</f>
        <v/>
      </c>
    </row>
    <row r="260">
      <c r="A260" s="115" t="inlineStr">
        <is>
          <t>ERP-00257</t>
        </is>
      </c>
      <c r="B260" s="125" t="n">
        <v>46037</v>
      </c>
      <c r="C260" s="115" t="inlineStr">
        <is>
          <t>AP</t>
        </is>
      </c>
      <c r="D260" s="115" t="inlineStr">
        <is>
          <t>BC Hydro</t>
        </is>
      </c>
      <c r="E260" s="115" t="inlineStr">
        <is>
          <t>REF-100257</t>
        </is>
      </c>
      <c r="F260" s="126" t="n">
        <v>-2875.61</v>
      </c>
      <c r="G260" s="134">
        <f>IFERROR(XLOOKUP(E260,Bank_Statement!$D$4:$D$448,Bank_Statement!$G$4:$G$448,""),"")</f>
        <v/>
      </c>
      <c r="H260" s="126">
        <f>IF(G260="","",F260-G260)</f>
        <v/>
      </c>
      <c r="I260" s="135">
        <f>IFERROR(XLOOKUP(E260,Bank_Statement!$D$4:$D$448,Bank_Statement!$B$4:$B$448,""),"")</f>
        <v/>
      </c>
      <c r="J260" s="136">
        <f>IF(I260="","",ABS(B260-I260))</f>
        <v/>
      </c>
      <c r="K260" s="137">
        <f>IF(G260="","Unmatched ERP",IF(AND(ABS(H260)&lt;=Mapping_Rules!$B$4,ABS(J260)&lt;=Mapping_Rules!$B$5),"Matched","Review"))</f>
        <v/>
      </c>
      <c r="L260" s="137">
        <f>IF(K260="Matched","None",IF(G260="","Missing from bank",IF(ABS(H260)&gt;Mapping_Rules!$B$4,"Amount variance","Date variance")))</f>
        <v/>
      </c>
      <c r="M260" s="137">
        <f>IF(K260="Matched","Low",IF(OR(IFERROR(ABS(H260),0)&gt;Mapping_Rules!$B$7,IFERROR(J260,0)&gt;Mapping_Rules!$B$8),"High","Medium"))</f>
        <v/>
      </c>
      <c r="N260" s="137">
        <f>IF(K260="Matched","No action needed",IF(L260="Missing from bank","Check bank date or posting",IF(L260="Amount variance","Check invoice/payment amount","Check timing difference")))</f>
        <v/>
      </c>
      <c r="O260" s="115" t="inlineStr">
        <is>
          <t>2000 AP</t>
        </is>
      </c>
      <c r="P260" s="115" t="inlineStr">
        <is>
          <t>AP Clerk</t>
        </is>
      </c>
      <c r="Q260" s="115" t="inlineStr">
        <is>
          <t>No</t>
        </is>
      </c>
      <c r="R260" s="138" t="str"/>
      <c r="S260" s="139">
        <f>IF(K260="Matched",0,Mapping_Rules!$B$6-B260)</f>
        <v/>
      </c>
    </row>
    <row r="261">
      <c r="A261" s="140" t="inlineStr">
        <is>
          <t>ERP-00258</t>
        </is>
      </c>
      <c r="B261" s="141" t="n">
        <v>46035</v>
      </c>
      <c r="C261" s="140" t="inlineStr">
        <is>
          <t>AP</t>
        </is>
      </c>
      <c r="D261" s="140" t="inlineStr">
        <is>
          <t>Pacific Office Supplies</t>
        </is>
      </c>
      <c r="E261" s="140" t="inlineStr">
        <is>
          <t>REF-100258</t>
        </is>
      </c>
      <c r="F261" s="142" t="n">
        <v>-4644.32</v>
      </c>
      <c r="G261" s="143">
        <f>IFERROR(XLOOKUP(E261,Bank_Statement!$D$4:$D$448,Bank_Statement!$G$4:$G$448,""),"")</f>
        <v/>
      </c>
      <c r="H261" s="142">
        <f>IF(G261="","",F261-G261)</f>
        <v/>
      </c>
      <c r="I261" s="144">
        <f>IFERROR(XLOOKUP(E261,Bank_Statement!$D$4:$D$448,Bank_Statement!$B$4:$B$448,""),"")</f>
        <v/>
      </c>
      <c r="J261" s="145">
        <f>IF(I261="","",ABS(B261-I261))</f>
        <v/>
      </c>
      <c r="K261" s="146">
        <f>IF(G261="","Unmatched ERP",IF(AND(ABS(H261)&lt;=Mapping_Rules!$B$4,ABS(J261)&lt;=Mapping_Rules!$B$5),"Matched","Review"))</f>
        <v/>
      </c>
      <c r="L261" s="146">
        <f>IF(K261="Matched","None",IF(G261="","Missing from bank",IF(ABS(H261)&gt;Mapping_Rules!$B$4,"Amount variance","Date variance")))</f>
        <v/>
      </c>
      <c r="M261" s="146">
        <f>IF(K261="Matched","Low",IF(OR(IFERROR(ABS(H261),0)&gt;Mapping_Rules!$B$7,IFERROR(J261,0)&gt;Mapping_Rules!$B$8),"High","Medium"))</f>
        <v/>
      </c>
      <c r="N261" s="146">
        <f>IF(K261="Matched","No action needed",IF(L261="Missing from bank","Check bank date or posting",IF(L261="Amount variance","Check invoice/payment amount","Check timing difference")))</f>
        <v/>
      </c>
      <c r="O261" s="140" t="inlineStr">
        <is>
          <t>2000 AP</t>
        </is>
      </c>
      <c r="P261" s="140" t="inlineStr">
        <is>
          <t>AP Clerk</t>
        </is>
      </c>
      <c r="Q261" s="140" t="inlineStr">
        <is>
          <t>No</t>
        </is>
      </c>
      <c r="R261" s="147" t="str"/>
      <c r="S261" s="148">
        <f>IF(K261="Matched",0,Mapping_Rules!$B$6-B261)</f>
        <v/>
      </c>
    </row>
    <row r="262">
      <c r="A262" s="115" t="inlineStr">
        <is>
          <t>ERP-00259</t>
        </is>
      </c>
      <c r="B262" s="125" t="n">
        <v>46040</v>
      </c>
      <c r="C262" s="115" t="inlineStr">
        <is>
          <t>Bank Fees</t>
        </is>
      </c>
      <c r="D262" s="115" t="inlineStr">
        <is>
          <t>Bank</t>
        </is>
      </c>
      <c r="E262" s="115" t="inlineStr">
        <is>
          <t>REF-100259</t>
        </is>
      </c>
      <c r="F262" s="126" t="n">
        <v>-112.48</v>
      </c>
      <c r="G262" s="134">
        <f>IFERROR(XLOOKUP(E262,Bank_Statement!$D$4:$D$448,Bank_Statement!$G$4:$G$448,""),"")</f>
        <v/>
      </c>
      <c r="H262" s="126">
        <f>IF(G262="","",F262-G262)</f>
        <v/>
      </c>
      <c r="I262" s="135">
        <f>IFERROR(XLOOKUP(E262,Bank_Statement!$D$4:$D$448,Bank_Statement!$B$4:$B$448,""),"")</f>
        <v/>
      </c>
      <c r="J262" s="136">
        <f>IF(I262="","",ABS(B262-I262))</f>
        <v/>
      </c>
      <c r="K262" s="137">
        <f>IF(G262="","Unmatched ERP",IF(AND(ABS(H262)&lt;=Mapping_Rules!$B$4,ABS(J262)&lt;=Mapping_Rules!$B$5),"Matched","Review"))</f>
        <v/>
      </c>
      <c r="L262" s="137">
        <f>IF(K262="Matched","None",IF(G262="","Missing from bank",IF(ABS(H262)&gt;Mapping_Rules!$B$4,"Amount variance","Date variance")))</f>
        <v/>
      </c>
      <c r="M262" s="137">
        <f>IF(K262="Matched","Low",IF(OR(IFERROR(ABS(H262),0)&gt;Mapping_Rules!$B$7,IFERROR(J262,0)&gt;Mapping_Rules!$B$8),"High","Medium"))</f>
        <v/>
      </c>
      <c r="N262" s="137">
        <f>IF(K262="Matched","No action needed",IF(L262="Missing from bank","Check bank date or posting",IF(L262="Amount variance","Check invoice/payment amount","Check timing difference")))</f>
        <v/>
      </c>
      <c r="O262" s="115" t="inlineStr">
        <is>
          <t>6100 Bank Fees</t>
        </is>
      </c>
      <c r="P262" s="115" t="inlineStr">
        <is>
          <t>Accounting Technician</t>
        </is>
      </c>
      <c r="Q262" s="115" t="inlineStr">
        <is>
          <t>No</t>
        </is>
      </c>
      <c r="R262" s="138" t="str"/>
      <c r="S262" s="139">
        <f>IF(K262="Matched",0,Mapping_Rules!$B$6-B262)</f>
        <v/>
      </c>
    </row>
    <row r="263">
      <c r="A263" s="140" t="inlineStr">
        <is>
          <t>ERP-00260</t>
        </is>
      </c>
      <c r="B263" s="141" t="n">
        <v>46027</v>
      </c>
      <c r="C263" s="140" t="inlineStr">
        <is>
          <t>GL</t>
        </is>
      </c>
      <c r="D263" s="140" t="inlineStr">
        <is>
          <t>West Van Fitness</t>
        </is>
      </c>
      <c r="E263" s="140" t="inlineStr">
        <is>
          <t>REF-100260</t>
        </is>
      </c>
      <c r="F263" s="142" t="n">
        <v>3247.11</v>
      </c>
      <c r="G263" s="143">
        <f>IFERROR(XLOOKUP(E263,Bank_Statement!$D$4:$D$448,Bank_Statement!$G$4:$G$448,""),"")</f>
        <v/>
      </c>
      <c r="H263" s="142">
        <f>IF(G263="","",F263-G263)</f>
        <v/>
      </c>
      <c r="I263" s="144">
        <f>IFERROR(XLOOKUP(E263,Bank_Statement!$D$4:$D$448,Bank_Statement!$B$4:$B$448,""),"")</f>
        <v/>
      </c>
      <c r="J263" s="145">
        <f>IF(I263="","",ABS(B263-I263))</f>
        <v/>
      </c>
      <c r="K263" s="146">
        <f>IF(G263="","Unmatched ERP",IF(AND(ABS(H263)&lt;=Mapping_Rules!$B$4,ABS(J263)&lt;=Mapping_Rules!$B$5),"Matched","Review"))</f>
        <v/>
      </c>
      <c r="L263" s="146">
        <f>IF(K263="Matched","None",IF(G263="","Missing from bank",IF(ABS(H263)&gt;Mapping_Rules!$B$4,"Amount variance","Date variance")))</f>
        <v/>
      </c>
      <c r="M263" s="146">
        <f>IF(K263="Matched","Low",IF(OR(IFERROR(ABS(H263),0)&gt;Mapping_Rules!$B$7,IFERROR(J263,0)&gt;Mapping_Rules!$B$8),"High","Medium"))</f>
        <v/>
      </c>
      <c r="N263" s="146">
        <f>IF(K263="Matched","No action needed",IF(L263="Missing from bank","Check bank date or posting",IF(L263="Amount variance","Check invoice/payment amount","Check timing difference")))</f>
        <v/>
      </c>
      <c r="O263" s="140" t="inlineStr">
        <is>
          <t>5300 Payroll</t>
        </is>
      </c>
      <c r="P263" s="140" t="inlineStr">
        <is>
          <t>Accounting Technician</t>
        </is>
      </c>
      <c r="Q263" s="140" t="inlineStr">
        <is>
          <t>No</t>
        </is>
      </c>
      <c r="R263" s="147" t="str"/>
      <c r="S263" s="148">
        <f>IF(K263="Matched",0,Mapping_Rules!$B$6-B263)</f>
        <v/>
      </c>
    </row>
    <row r="264">
      <c r="A264" s="115" t="inlineStr">
        <is>
          <t>ERP-00261</t>
        </is>
      </c>
      <c r="B264" s="125" t="n">
        <v>46034</v>
      </c>
      <c r="C264" s="115" t="inlineStr">
        <is>
          <t>AP</t>
        </is>
      </c>
      <c r="D264" s="115" t="inlineStr">
        <is>
          <t>Amazon Business</t>
        </is>
      </c>
      <c r="E264" s="115" t="inlineStr">
        <is>
          <t>REF-100261</t>
        </is>
      </c>
      <c r="F264" s="126" t="n">
        <v>-2485.52</v>
      </c>
      <c r="G264" s="134">
        <f>IFERROR(XLOOKUP(E264,Bank_Statement!$D$4:$D$448,Bank_Statement!$G$4:$G$448,""),"")</f>
        <v/>
      </c>
      <c r="H264" s="126">
        <f>IF(G264="","",F264-G264)</f>
        <v/>
      </c>
      <c r="I264" s="135">
        <f>IFERROR(XLOOKUP(E264,Bank_Statement!$D$4:$D$448,Bank_Statement!$B$4:$B$448,""),"")</f>
        <v/>
      </c>
      <c r="J264" s="136">
        <f>IF(I264="","",ABS(B264-I264))</f>
        <v/>
      </c>
      <c r="K264" s="137">
        <f>IF(G264="","Unmatched ERP",IF(AND(ABS(H264)&lt;=Mapping_Rules!$B$4,ABS(J264)&lt;=Mapping_Rules!$B$5),"Matched","Review"))</f>
        <v/>
      </c>
      <c r="L264" s="137">
        <f>IF(K264="Matched","None",IF(G264="","Missing from bank",IF(ABS(H264)&gt;Mapping_Rules!$B$4,"Amount variance","Date variance")))</f>
        <v/>
      </c>
      <c r="M264" s="137">
        <f>IF(K264="Matched","Low",IF(OR(IFERROR(ABS(H264),0)&gt;Mapping_Rules!$B$7,IFERROR(J264,0)&gt;Mapping_Rules!$B$8),"High","Medium"))</f>
        <v/>
      </c>
      <c r="N264" s="137">
        <f>IF(K264="Matched","No action needed",IF(L264="Missing from bank","Check bank date or posting",IF(L264="Amount variance","Check invoice/payment amount","Check timing difference")))</f>
        <v/>
      </c>
      <c r="O264" s="115" t="inlineStr">
        <is>
          <t>2000 AP</t>
        </is>
      </c>
      <c r="P264" s="115" t="inlineStr">
        <is>
          <t>AP Clerk</t>
        </is>
      </c>
      <c r="Q264" s="115" t="inlineStr">
        <is>
          <t>No</t>
        </is>
      </c>
      <c r="R264" s="138" t="str"/>
      <c r="S264" s="139">
        <f>IF(K264="Matched",0,Mapping_Rules!$B$6-B264)</f>
        <v/>
      </c>
    </row>
    <row r="265">
      <c r="A265" s="140" t="inlineStr">
        <is>
          <t>ERP-00262</t>
        </is>
      </c>
      <c r="B265" s="141" t="n">
        <v>46047</v>
      </c>
      <c r="C265" s="140" t="inlineStr">
        <is>
          <t>AP</t>
        </is>
      </c>
      <c r="D265" s="140" t="inlineStr">
        <is>
          <t>Metro Cleaning Ltd.</t>
        </is>
      </c>
      <c r="E265" s="140" t="inlineStr">
        <is>
          <t>REF-100262</t>
        </is>
      </c>
      <c r="F265" s="142" t="n">
        <v>-2913.58</v>
      </c>
      <c r="G265" s="143">
        <f>IFERROR(XLOOKUP(E265,Bank_Statement!$D$4:$D$448,Bank_Statement!$G$4:$G$448,""),"")</f>
        <v/>
      </c>
      <c r="H265" s="142">
        <f>IF(G265="","",F265-G265)</f>
        <v/>
      </c>
      <c r="I265" s="144">
        <f>IFERROR(XLOOKUP(E265,Bank_Statement!$D$4:$D$448,Bank_Statement!$B$4:$B$448,""),"")</f>
        <v/>
      </c>
      <c r="J265" s="145">
        <f>IF(I265="","",ABS(B265-I265))</f>
        <v/>
      </c>
      <c r="K265" s="146">
        <f>IF(G265="","Unmatched ERP",IF(AND(ABS(H265)&lt;=Mapping_Rules!$B$4,ABS(J265)&lt;=Mapping_Rules!$B$5),"Matched","Review"))</f>
        <v/>
      </c>
      <c r="L265" s="146">
        <f>IF(K265="Matched","None",IF(G265="","Missing from bank",IF(ABS(H265)&gt;Mapping_Rules!$B$4,"Amount variance","Date variance")))</f>
        <v/>
      </c>
      <c r="M265" s="146">
        <f>IF(K265="Matched","Low",IF(OR(IFERROR(ABS(H265),0)&gt;Mapping_Rules!$B$7,IFERROR(J265,0)&gt;Mapping_Rules!$B$8),"High","Medium"))</f>
        <v/>
      </c>
      <c r="N265" s="146">
        <f>IF(K265="Matched","No action needed",IF(L265="Missing from bank","Check bank date or posting",IF(L265="Amount variance","Check invoice/payment amount","Check timing difference")))</f>
        <v/>
      </c>
      <c r="O265" s="140" t="inlineStr">
        <is>
          <t>2000 AP</t>
        </is>
      </c>
      <c r="P265" s="140" t="inlineStr">
        <is>
          <t>AP Clerk</t>
        </is>
      </c>
      <c r="Q265" s="140" t="inlineStr">
        <is>
          <t>No</t>
        </is>
      </c>
      <c r="R265" s="147" t="str"/>
      <c r="S265" s="148">
        <f>IF(K265="Matched",0,Mapping_Rules!$B$6-B265)</f>
        <v/>
      </c>
    </row>
    <row r="266">
      <c r="A266" s="115" t="inlineStr">
        <is>
          <t>ERP-00263</t>
        </is>
      </c>
      <c r="B266" s="125" t="n">
        <v>46034</v>
      </c>
      <c r="C266" s="115" t="inlineStr">
        <is>
          <t>AP</t>
        </is>
      </c>
      <c r="D266" s="115" t="inlineStr">
        <is>
          <t>North Shore Telecom</t>
        </is>
      </c>
      <c r="E266" s="115" t="inlineStr">
        <is>
          <t>REF-100263</t>
        </is>
      </c>
      <c r="F266" s="126" t="n">
        <v>-5816.95</v>
      </c>
      <c r="G266" s="134">
        <f>IFERROR(XLOOKUP(E266,Bank_Statement!$D$4:$D$448,Bank_Statement!$G$4:$G$448,""),"")</f>
        <v/>
      </c>
      <c r="H266" s="126">
        <f>IF(G266="","",F266-G266)</f>
        <v/>
      </c>
      <c r="I266" s="135">
        <f>IFERROR(XLOOKUP(E266,Bank_Statement!$D$4:$D$448,Bank_Statement!$B$4:$B$448,""),"")</f>
        <v/>
      </c>
      <c r="J266" s="136">
        <f>IF(I266="","",ABS(B266-I266))</f>
        <v/>
      </c>
      <c r="K266" s="137">
        <f>IF(G266="","Unmatched ERP",IF(AND(ABS(H266)&lt;=Mapping_Rules!$B$4,ABS(J266)&lt;=Mapping_Rules!$B$5),"Matched","Review"))</f>
        <v/>
      </c>
      <c r="L266" s="137">
        <f>IF(K266="Matched","None",IF(G266="","Missing from bank",IF(ABS(H266)&gt;Mapping_Rules!$B$4,"Amount variance","Date variance")))</f>
        <v/>
      </c>
      <c r="M266" s="137">
        <f>IF(K266="Matched","Low",IF(OR(IFERROR(ABS(H266),0)&gt;Mapping_Rules!$B$7,IFERROR(J266,0)&gt;Mapping_Rules!$B$8),"High","Medium"))</f>
        <v/>
      </c>
      <c r="N266" s="137">
        <f>IF(K266="Matched","No action needed",IF(L266="Missing from bank","Check bank date or posting",IF(L266="Amount variance","Check invoice/payment amount","Check timing difference")))</f>
        <v/>
      </c>
      <c r="O266" s="115" t="inlineStr">
        <is>
          <t>2000 AP</t>
        </is>
      </c>
      <c r="P266" s="115" t="inlineStr">
        <is>
          <t>AP Clerk</t>
        </is>
      </c>
      <c r="Q266" s="115" t="inlineStr">
        <is>
          <t>No</t>
        </is>
      </c>
      <c r="R266" s="138" t="str"/>
      <c r="S266" s="139">
        <f>IF(K266="Matched",0,Mapping_Rules!$B$6-B266)</f>
        <v/>
      </c>
    </row>
    <row r="267">
      <c r="A267" s="140" t="inlineStr">
        <is>
          <t>ERP-00264</t>
        </is>
      </c>
      <c r="B267" s="141" t="n">
        <v>46052</v>
      </c>
      <c r="C267" s="140" t="inlineStr">
        <is>
          <t>Payroll</t>
        </is>
      </c>
      <c r="D267" s="140" t="inlineStr">
        <is>
          <t>Payroll Batch</t>
        </is>
      </c>
      <c r="E267" s="140" t="inlineStr">
        <is>
          <t>REF-100264</t>
        </is>
      </c>
      <c r="F267" s="142" t="n">
        <v>-2726.86</v>
      </c>
      <c r="G267" s="143">
        <f>IFERROR(XLOOKUP(E267,Bank_Statement!$D$4:$D$448,Bank_Statement!$G$4:$G$448,""),"")</f>
        <v/>
      </c>
      <c r="H267" s="142">
        <f>IF(G267="","",F267-G267)</f>
        <v/>
      </c>
      <c r="I267" s="144">
        <f>IFERROR(XLOOKUP(E267,Bank_Statement!$D$4:$D$448,Bank_Statement!$B$4:$B$448,""),"")</f>
        <v/>
      </c>
      <c r="J267" s="145">
        <f>IF(I267="","",ABS(B267-I267))</f>
        <v/>
      </c>
      <c r="K267" s="146">
        <f>IF(G267="","Unmatched ERP",IF(AND(ABS(H267)&lt;=Mapping_Rules!$B$4,ABS(J267)&lt;=Mapping_Rules!$B$5),"Matched","Review"))</f>
        <v/>
      </c>
      <c r="L267" s="146">
        <f>IF(K267="Matched","None",IF(G267="","Missing from bank",IF(ABS(H267)&gt;Mapping_Rules!$B$4,"Amount variance","Date variance")))</f>
        <v/>
      </c>
      <c r="M267" s="146">
        <f>IF(K267="Matched","Low",IF(OR(IFERROR(ABS(H267),0)&gt;Mapping_Rules!$B$7,IFERROR(J267,0)&gt;Mapping_Rules!$B$8),"High","Medium"))</f>
        <v/>
      </c>
      <c r="N267" s="146">
        <f>IF(K267="Matched","No action needed",IF(L267="Missing from bank","Check bank date or posting",IF(L267="Amount variance","Check invoice/payment amount","Check timing difference")))</f>
        <v/>
      </c>
      <c r="O267" s="140" t="inlineStr">
        <is>
          <t>5300 Payroll</t>
        </is>
      </c>
      <c r="P267" s="140" t="inlineStr">
        <is>
          <t>Accounting Technician</t>
        </is>
      </c>
      <c r="Q267" s="140" t="inlineStr">
        <is>
          <t>No</t>
        </is>
      </c>
      <c r="R267" s="147" t="str"/>
      <c r="S267" s="148">
        <f>IF(K267="Matched",0,Mapping_Rules!$B$6-B267)</f>
        <v/>
      </c>
    </row>
    <row r="268">
      <c r="A268" s="115" t="inlineStr">
        <is>
          <t>ERP-00265</t>
        </is>
      </c>
      <c r="B268" s="125" t="n">
        <v>46044</v>
      </c>
      <c r="C268" s="115" t="inlineStr">
        <is>
          <t>GL</t>
        </is>
      </c>
      <c r="D268" s="115" t="inlineStr">
        <is>
          <t>Pacific Office Supplies</t>
        </is>
      </c>
      <c r="E268" s="115" t="inlineStr">
        <is>
          <t>REF-100265</t>
        </is>
      </c>
      <c r="F268" s="126" t="n">
        <v>1261.43</v>
      </c>
      <c r="G268" s="134">
        <f>IFERROR(XLOOKUP(E268,Bank_Statement!$D$4:$D$448,Bank_Statement!$G$4:$G$448,""),"")</f>
        <v/>
      </c>
      <c r="H268" s="126">
        <f>IF(G268="","",F268-G268)</f>
        <v/>
      </c>
      <c r="I268" s="135">
        <f>IFERROR(XLOOKUP(E268,Bank_Statement!$D$4:$D$448,Bank_Statement!$B$4:$B$448,""),"")</f>
        <v/>
      </c>
      <c r="J268" s="136">
        <f>IF(I268="","",ABS(B268-I268))</f>
        <v/>
      </c>
      <c r="K268" s="137">
        <f>IF(G268="","Unmatched ERP",IF(AND(ABS(H268)&lt;=Mapping_Rules!$B$4,ABS(J268)&lt;=Mapping_Rules!$B$5),"Matched","Review"))</f>
        <v/>
      </c>
      <c r="L268" s="137">
        <f>IF(K268="Matched","None",IF(G268="","Missing from bank",IF(ABS(H268)&gt;Mapping_Rules!$B$4,"Amount variance","Date variance")))</f>
        <v/>
      </c>
      <c r="M268" s="137">
        <f>IF(K268="Matched","Low",IF(OR(IFERROR(ABS(H268),0)&gt;Mapping_Rules!$B$7,IFERROR(J268,0)&gt;Mapping_Rules!$B$8),"High","Medium"))</f>
        <v/>
      </c>
      <c r="N268" s="137">
        <f>IF(K268="Matched","No action needed",IF(L268="Missing from bank","Check bank date or posting",IF(L268="Amount variance","Check invoice/payment amount","Check timing difference")))</f>
        <v/>
      </c>
      <c r="O268" s="115" t="inlineStr">
        <is>
          <t>6100 Bank Fees</t>
        </is>
      </c>
      <c r="P268" s="115" t="inlineStr">
        <is>
          <t>Accounting Technician</t>
        </is>
      </c>
      <c r="Q268" s="115" t="inlineStr">
        <is>
          <t>No</t>
        </is>
      </c>
      <c r="R268" s="138" t="str"/>
      <c r="S268" s="139">
        <f>IF(K268="Matched",0,Mapping_Rules!$B$6-B268)</f>
        <v/>
      </c>
    </row>
    <row r="269">
      <c r="A269" s="140" t="inlineStr">
        <is>
          <t>ERP-00266</t>
        </is>
      </c>
      <c r="B269" s="141" t="n">
        <v>46032</v>
      </c>
      <c r="C269" s="140" t="inlineStr">
        <is>
          <t>AP</t>
        </is>
      </c>
      <c r="D269" s="140" t="inlineStr">
        <is>
          <t>Staples Canada</t>
        </is>
      </c>
      <c r="E269" s="140" t="inlineStr">
        <is>
          <t>REF-100266</t>
        </is>
      </c>
      <c r="F269" s="142" t="n">
        <v>-3605.8</v>
      </c>
      <c r="G269" s="143">
        <f>IFERROR(XLOOKUP(E269,Bank_Statement!$D$4:$D$448,Bank_Statement!$G$4:$G$448,""),"")</f>
        <v/>
      </c>
      <c r="H269" s="142">
        <f>IF(G269="","",F269-G269)</f>
        <v/>
      </c>
      <c r="I269" s="144">
        <f>IFERROR(XLOOKUP(E269,Bank_Statement!$D$4:$D$448,Bank_Statement!$B$4:$B$448,""),"")</f>
        <v/>
      </c>
      <c r="J269" s="145">
        <f>IF(I269="","",ABS(B269-I269))</f>
        <v/>
      </c>
      <c r="K269" s="146">
        <f>IF(G269="","Unmatched ERP",IF(AND(ABS(H269)&lt;=Mapping_Rules!$B$4,ABS(J269)&lt;=Mapping_Rules!$B$5),"Matched","Review"))</f>
        <v/>
      </c>
      <c r="L269" s="146">
        <f>IF(K269="Matched","None",IF(G269="","Missing from bank",IF(ABS(H269)&gt;Mapping_Rules!$B$4,"Amount variance","Date variance")))</f>
        <v/>
      </c>
      <c r="M269" s="146">
        <f>IF(K269="Matched","Low",IF(OR(IFERROR(ABS(H269),0)&gt;Mapping_Rules!$B$7,IFERROR(J269,0)&gt;Mapping_Rules!$B$8),"High","Medium"))</f>
        <v/>
      </c>
      <c r="N269" s="146">
        <f>IF(K269="Matched","No action needed",IF(L269="Missing from bank","Check bank date or posting",IF(L269="Amount variance","Check invoice/payment amount","Check timing difference")))</f>
        <v/>
      </c>
      <c r="O269" s="140" t="inlineStr">
        <is>
          <t>2000 AP</t>
        </is>
      </c>
      <c r="P269" s="140" t="inlineStr">
        <is>
          <t>AP Clerk</t>
        </is>
      </c>
      <c r="Q269" s="140" t="inlineStr">
        <is>
          <t>No</t>
        </is>
      </c>
      <c r="R269" s="147" t="str"/>
      <c r="S269" s="148">
        <f>IF(K269="Matched",0,Mapping_Rules!$B$6-B269)</f>
        <v/>
      </c>
    </row>
    <row r="270">
      <c r="A270" s="115" t="inlineStr">
        <is>
          <t>ERP-00267</t>
        </is>
      </c>
      <c r="B270" s="125" t="n">
        <v>46051</v>
      </c>
      <c r="C270" s="115" t="inlineStr">
        <is>
          <t>AP</t>
        </is>
      </c>
      <c r="D270" s="115" t="inlineStr">
        <is>
          <t>Staples Canada</t>
        </is>
      </c>
      <c r="E270" s="115" t="inlineStr">
        <is>
          <t>REF-100267</t>
        </is>
      </c>
      <c r="F270" s="126" t="n">
        <v>-3270.06</v>
      </c>
      <c r="G270" s="134">
        <f>IFERROR(XLOOKUP(E270,Bank_Statement!$D$4:$D$448,Bank_Statement!$G$4:$G$448,""),"")</f>
        <v/>
      </c>
      <c r="H270" s="126">
        <f>IF(G270="","",F270-G270)</f>
        <v/>
      </c>
      <c r="I270" s="135">
        <f>IFERROR(XLOOKUP(E270,Bank_Statement!$D$4:$D$448,Bank_Statement!$B$4:$B$448,""),"")</f>
        <v/>
      </c>
      <c r="J270" s="136">
        <f>IF(I270="","",ABS(B270-I270))</f>
        <v/>
      </c>
      <c r="K270" s="137">
        <f>IF(G270="","Unmatched ERP",IF(AND(ABS(H270)&lt;=Mapping_Rules!$B$4,ABS(J270)&lt;=Mapping_Rules!$B$5),"Matched","Review"))</f>
        <v/>
      </c>
      <c r="L270" s="137">
        <f>IF(K270="Matched","None",IF(G270="","Missing from bank",IF(ABS(H270)&gt;Mapping_Rules!$B$4,"Amount variance","Date variance")))</f>
        <v/>
      </c>
      <c r="M270" s="137">
        <f>IF(K270="Matched","Low",IF(OR(IFERROR(ABS(H270),0)&gt;Mapping_Rules!$B$7,IFERROR(J270,0)&gt;Mapping_Rules!$B$8),"High","Medium"))</f>
        <v/>
      </c>
      <c r="N270" s="137">
        <f>IF(K270="Matched","No action needed",IF(L270="Missing from bank","Check bank date or posting",IF(L270="Amount variance","Check invoice/payment amount","Check timing difference")))</f>
        <v/>
      </c>
      <c r="O270" s="115" t="inlineStr">
        <is>
          <t>2000 AP</t>
        </is>
      </c>
      <c r="P270" s="115" t="inlineStr">
        <is>
          <t>AP Clerk</t>
        </is>
      </c>
      <c r="Q270" s="115" t="inlineStr">
        <is>
          <t>No</t>
        </is>
      </c>
      <c r="R270" s="138" t="str"/>
      <c r="S270" s="139">
        <f>IF(K270="Matched",0,Mapping_Rules!$B$6-B270)</f>
        <v/>
      </c>
    </row>
    <row r="271">
      <c r="A271" s="140" t="inlineStr">
        <is>
          <t>ERP-00268</t>
        </is>
      </c>
      <c r="B271" s="141" t="n">
        <v>46036</v>
      </c>
      <c r="C271" s="140" t="inlineStr">
        <is>
          <t>AR</t>
        </is>
      </c>
      <c r="D271" s="140" t="inlineStr">
        <is>
          <t>Maple Retail Group</t>
        </is>
      </c>
      <c r="E271" s="140" t="inlineStr">
        <is>
          <t>REF-100268</t>
        </is>
      </c>
      <c r="F271" s="142" t="n">
        <v>8268.620000000001</v>
      </c>
      <c r="G271" s="143">
        <f>IFERROR(XLOOKUP(E271,Bank_Statement!$D$4:$D$448,Bank_Statement!$G$4:$G$448,""),"")</f>
        <v/>
      </c>
      <c r="H271" s="142">
        <f>IF(G271="","",F271-G271)</f>
        <v/>
      </c>
      <c r="I271" s="144">
        <f>IFERROR(XLOOKUP(E271,Bank_Statement!$D$4:$D$448,Bank_Statement!$B$4:$B$448,""),"")</f>
        <v/>
      </c>
      <c r="J271" s="145">
        <f>IF(I271="","",ABS(B271-I271))</f>
        <v/>
      </c>
      <c r="K271" s="146">
        <f>IF(G271="","Unmatched ERP",IF(AND(ABS(H271)&lt;=Mapping_Rules!$B$4,ABS(J271)&lt;=Mapping_Rules!$B$5),"Matched","Review"))</f>
        <v/>
      </c>
      <c r="L271" s="146">
        <f>IF(K271="Matched","None",IF(G271="","Missing from bank",IF(ABS(H271)&gt;Mapping_Rules!$B$4,"Amount variance","Date variance")))</f>
        <v/>
      </c>
      <c r="M271" s="146">
        <f>IF(K271="Matched","Low",IF(OR(IFERROR(ABS(H271),0)&gt;Mapping_Rules!$B$7,IFERROR(J271,0)&gt;Mapping_Rules!$B$8),"High","Medium"))</f>
        <v/>
      </c>
      <c r="N271" s="146">
        <f>IF(K271="Matched","No action needed",IF(L271="Missing from bank","Check bank date or posting",IF(L271="Amount variance","Check invoice/payment amount","Check timing difference")))</f>
        <v/>
      </c>
      <c r="O271" s="140" t="inlineStr">
        <is>
          <t>1200 AR</t>
        </is>
      </c>
      <c r="P271" s="140" t="inlineStr">
        <is>
          <t>AR Clerk</t>
        </is>
      </c>
      <c r="Q271" s="140" t="inlineStr">
        <is>
          <t>No</t>
        </is>
      </c>
      <c r="R271" s="147" t="str"/>
      <c r="S271" s="148">
        <f>IF(K271="Matched",0,Mapping_Rules!$B$6-B271)</f>
        <v/>
      </c>
    </row>
    <row r="272">
      <c r="A272" s="115" t="inlineStr">
        <is>
          <t>ERP-00269</t>
        </is>
      </c>
      <c r="B272" s="125" t="n">
        <v>46032</v>
      </c>
      <c r="C272" s="115" t="inlineStr">
        <is>
          <t>AR</t>
        </is>
      </c>
      <c r="D272" s="115" t="inlineStr">
        <is>
          <t>West Van Fitness</t>
        </is>
      </c>
      <c r="E272" s="115" t="inlineStr">
        <is>
          <t>REF-100269</t>
        </is>
      </c>
      <c r="F272" s="126" t="n">
        <v>4103.88</v>
      </c>
      <c r="G272" s="134">
        <f>IFERROR(XLOOKUP(E272,Bank_Statement!$D$4:$D$448,Bank_Statement!$G$4:$G$448,""),"")</f>
        <v/>
      </c>
      <c r="H272" s="126">
        <f>IF(G272="","",F272-G272)</f>
        <v/>
      </c>
      <c r="I272" s="135">
        <f>IFERROR(XLOOKUP(E272,Bank_Statement!$D$4:$D$448,Bank_Statement!$B$4:$B$448,""),"")</f>
        <v/>
      </c>
      <c r="J272" s="136">
        <f>IF(I272="","",ABS(B272-I272))</f>
        <v/>
      </c>
      <c r="K272" s="137">
        <f>IF(G272="","Unmatched ERP",IF(AND(ABS(H272)&lt;=Mapping_Rules!$B$4,ABS(J272)&lt;=Mapping_Rules!$B$5),"Matched","Review"))</f>
        <v/>
      </c>
      <c r="L272" s="137">
        <f>IF(K272="Matched","None",IF(G272="","Missing from bank",IF(ABS(H272)&gt;Mapping_Rules!$B$4,"Amount variance","Date variance")))</f>
        <v/>
      </c>
      <c r="M272" s="137">
        <f>IF(K272="Matched","Low",IF(OR(IFERROR(ABS(H272),0)&gt;Mapping_Rules!$B$7,IFERROR(J272,0)&gt;Mapping_Rules!$B$8),"High","Medium"))</f>
        <v/>
      </c>
      <c r="N272" s="137">
        <f>IF(K272="Matched","No action needed",IF(L272="Missing from bank","Check bank date or posting",IF(L272="Amount variance","Check invoice/payment amount","Check timing difference")))</f>
        <v/>
      </c>
      <c r="O272" s="115" t="inlineStr">
        <is>
          <t>1200 AR</t>
        </is>
      </c>
      <c r="P272" s="115" t="inlineStr">
        <is>
          <t>AR Clerk</t>
        </is>
      </c>
      <c r="Q272" s="115" t="inlineStr">
        <is>
          <t>No</t>
        </is>
      </c>
      <c r="R272" s="138" t="str"/>
      <c r="S272" s="139">
        <f>IF(K272="Matched",0,Mapping_Rules!$B$6-B272)</f>
        <v/>
      </c>
    </row>
    <row r="273">
      <c r="A273" s="140" t="inlineStr">
        <is>
          <t>ERP-00270</t>
        </is>
      </c>
      <c r="B273" s="141" t="n">
        <v>46027</v>
      </c>
      <c r="C273" s="140" t="inlineStr">
        <is>
          <t>Payroll</t>
        </is>
      </c>
      <c r="D273" s="140" t="inlineStr">
        <is>
          <t>Payroll Batch</t>
        </is>
      </c>
      <c r="E273" s="140" t="inlineStr">
        <is>
          <t>REF-100270</t>
        </is>
      </c>
      <c r="F273" s="142" t="n">
        <v>-15763.75</v>
      </c>
      <c r="G273" s="143">
        <f>IFERROR(XLOOKUP(E273,Bank_Statement!$D$4:$D$448,Bank_Statement!$G$4:$G$448,""),"")</f>
        <v/>
      </c>
      <c r="H273" s="142">
        <f>IF(G273="","",F273-G273)</f>
        <v/>
      </c>
      <c r="I273" s="144">
        <f>IFERROR(XLOOKUP(E273,Bank_Statement!$D$4:$D$448,Bank_Statement!$B$4:$B$448,""),"")</f>
        <v/>
      </c>
      <c r="J273" s="145">
        <f>IF(I273="","",ABS(B273-I273))</f>
        <v/>
      </c>
      <c r="K273" s="146">
        <f>IF(G273="","Unmatched ERP",IF(AND(ABS(H273)&lt;=Mapping_Rules!$B$4,ABS(J273)&lt;=Mapping_Rules!$B$5),"Matched","Review"))</f>
        <v/>
      </c>
      <c r="L273" s="146">
        <f>IF(K273="Matched","None",IF(G273="","Missing from bank",IF(ABS(H273)&gt;Mapping_Rules!$B$4,"Amount variance","Date variance")))</f>
        <v/>
      </c>
      <c r="M273" s="146">
        <f>IF(K273="Matched","Low",IF(OR(IFERROR(ABS(H273),0)&gt;Mapping_Rules!$B$7,IFERROR(J273,0)&gt;Mapping_Rules!$B$8),"High","Medium"))</f>
        <v/>
      </c>
      <c r="N273" s="146">
        <f>IF(K273="Matched","No action needed",IF(L273="Missing from bank","Check bank date or posting",IF(L273="Amount variance","Check invoice/payment amount","Check timing difference")))</f>
        <v/>
      </c>
      <c r="O273" s="140" t="inlineStr">
        <is>
          <t>5300 Payroll</t>
        </is>
      </c>
      <c r="P273" s="140" t="inlineStr">
        <is>
          <t>Accounting Technician</t>
        </is>
      </c>
      <c r="Q273" s="140" t="inlineStr">
        <is>
          <t>No</t>
        </is>
      </c>
      <c r="R273" s="147" t="str"/>
      <c r="S273" s="148">
        <f>IF(K273="Matched",0,Mapping_Rules!$B$6-B273)</f>
        <v/>
      </c>
    </row>
    <row r="274">
      <c r="A274" s="115" t="inlineStr">
        <is>
          <t>ERP-00271</t>
        </is>
      </c>
      <c r="B274" s="125" t="n">
        <v>46040</v>
      </c>
      <c r="C274" s="115" t="inlineStr">
        <is>
          <t>AR</t>
        </is>
      </c>
      <c r="D274" s="115" t="inlineStr">
        <is>
          <t>Granville Medical</t>
        </is>
      </c>
      <c r="E274" s="115" t="inlineStr">
        <is>
          <t>REF-100271</t>
        </is>
      </c>
      <c r="F274" s="126" t="n">
        <v>2177.87</v>
      </c>
      <c r="G274" s="134">
        <f>IFERROR(XLOOKUP(E274,Bank_Statement!$D$4:$D$448,Bank_Statement!$G$4:$G$448,""),"")</f>
        <v/>
      </c>
      <c r="H274" s="126">
        <f>IF(G274="","",F274-G274)</f>
        <v/>
      </c>
      <c r="I274" s="135">
        <f>IFERROR(XLOOKUP(E274,Bank_Statement!$D$4:$D$448,Bank_Statement!$B$4:$B$448,""),"")</f>
        <v/>
      </c>
      <c r="J274" s="136">
        <f>IF(I274="","",ABS(B274-I274))</f>
        <v/>
      </c>
      <c r="K274" s="137">
        <f>IF(G274="","Unmatched ERP",IF(AND(ABS(H274)&lt;=Mapping_Rules!$B$4,ABS(J274)&lt;=Mapping_Rules!$B$5),"Matched","Review"))</f>
        <v/>
      </c>
      <c r="L274" s="137">
        <f>IF(K274="Matched","None",IF(G274="","Missing from bank",IF(ABS(H274)&gt;Mapping_Rules!$B$4,"Amount variance","Date variance")))</f>
        <v/>
      </c>
      <c r="M274" s="137">
        <f>IF(K274="Matched","Low",IF(OR(IFERROR(ABS(H274),0)&gt;Mapping_Rules!$B$7,IFERROR(J274,0)&gt;Mapping_Rules!$B$8),"High","Medium"))</f>
        <v/>
      </c>
      <c r="N274" s="137">
        <f>IF(K274="Matched","No action needed",IF(L274="Missing from bank","Check bank date or posting",IF(L274="Amount variance","Check invoice/payment amount","Check timing difference")))</f>
        <v/>
      </c>
      <c r="O274" s="115" t="inlineStr">
        <is>
          <t>1200 AR</t>
        </is>
      </c>
      <c r="P274" s="115" t="inlineStr">
        <is>
          <t>AR Clerk</t>
        </is>
      </c>
      <c r="Q274" s="115" t="inlineStr">
        <is>
          <t>No</t>
        </is>
      </c>
      <c r="R274" s="138" t="str"/>
      <c r="S274" s="139">
        <f>IF(K274="Matched",0,Mapping_Rules!$B$6-B274)</f>
        <v/>
      </c>
    </row>
    <row r="275">
      <c r="A275" s="140" t="inlineStr">
        <is>
          <t>ERP-00272</t>
        </is>
      </c>
      <c r="B275" s="141" t="n">
        <v>46025</v>
      </c>
      <c r="C275" s="140" t="inlineStr">
        <is>
          <t>AR</t>
        </is>
      </c>
      <c r="D275" s="140" t="inlineStr">
        <is>
          <t>Coastline Foods</t>
        </is>
      </c>
      <c r="E275" s="140" t="inlineStr">
        <is>
          <t>REF-100272</t>
        </is>
      </c>
      <c r="F275" s="142" t="n">
        <v>580.33</v>
      </c>
      <c r="G275" s="143">
        <f>IFERROR(XLOOKUP(E275,Bank_Statement!$D$4:$D$448,Bank_Statement!$G$4:$G$448,""),"")</f>
        <v/>
      </c>
      <c r="H275" s="142">
        <f>IF(G275="","",F275-G275)</f>
        <v/>
      </c>
      <c r="I275" s="144">
        <f>IFERROR(XLOOKUP(E275,Bank_Statement!$D$4:$D$448,Bank_Statement!$B$4:$B$448,""),"")</f>
        <v/>
      </c>
      <c r="J275" s="145">
        <f>IF(I275="","",ABS(B275-I275))</f>
        <v/>
      </c>
      <c r="K275" s="146">
        <f>IF(G275="","Unmatched ERP",IF(AND(ABS(H275)&lt;=Mapping_Rules!$B$4,ABS(J275)&lt;=Mapping_Rules!$B$5),"Matched","Review"))</f>
        <v/>
      </c>
      <c r="L275" s="146">
        <f>IF(K275="Matched","None",IF(G275="","Missing from bank",IF(ABS(H275)&gt;Mapping_Rules!$B$4,"Amount variance","Date variance")))</f>
        <v/>
      </c>
      <c r="M275" s="146">
        <f>IF(K275="Matched","Low",IF(OR(IFERROR(ABS(H275),0)&gt;Mapping_Rules!$B$7,IFERROR(J275,0)&gt;Mapping_Rules!$B$8),"High","Medium"))</f>
        <v/>
      </c>
      <c r="N275" s="146">
        <f>IF(K275="Matched","No action needed",IF(L275="Missing from bank","Check bank date or posting",IF(L275="Amount variance","Check invoice/payment amount","Check timing difference")))</f>
        <v/>
      </c>
      <c r="O275" s="140" t="inlineStr">
        <is>
          <t>1200 AR</t>
        </is>
      </c>
      <c r="P275" s="140" t="inlineStr">
        <is>
          <t>AR Clerk</t>
        </is>
      </c>
      <c r="Q275" s="140" t="inlineStr">
        <is>
          <t>No</t>
        </is>
      </c>
      <c r="R275" s="147" t="str"/>
      <c r="S275" s="148">
        <f>IF(K275="Matched",0,Mapping_Rules!$B$6-B275)</f>
        <v/>
      </c>
    </row>
    <row r="276">
      <c r="A276" s="115" t="inlineStr">
        <is>
          <t>ERP-00273</t>
        </is>
      </c>
      <c r="B276" s="125" t="n">
        <v>46047</v>
      </c>
      <c r="C276" s="115" t="inlineStr">
        <is>
          <t>AR</t>
        </is>
      </c>
      <c r="D276" s="115" t="inlineStr">
        <is>
          <t>Harbour Design Co.</t>
        </is>
      </c>
      <c r="E276" s="115" t="inlineStr">
        <is>
          <t>REF-100273</t>
        </is>
      </c>
      <c r="F276" s="126" t="n">
        <v>4816.4</v>
      </c>
      <c r="G276" s="134">
        <f>IFERROR(XLOOKUP(E276,Bank_Statement!$D$4:$D$448,Bank_Statement!$G$4:$G$448,""),"")</f>
        <v/>
      </c>
      <c r="H276" s="126">
        <f>IF(G276="","",F276-G276)</f>
        <v/>
      </c>
      <c r="I276" s="135">
        <f>IFERROR(XLOOKUP(E276,Bank_Statement!$D$4:$D$448,Bank_Statement!$B$4:$B$448,""),"")</f>
        <v/>
      </c>
      <c r="J276" s="136">
        <f>IF(I276="","",ABS(B276-I276))</f>
        <v/>
      </c>
      <c r="K276" s="137">
        <f>IF(G276="","Unmatched ERP",IF(AND(ABS(H276)&lt;=Mapping_Rules!$B$4,ABS(J276)&lt;=Mapping_Rules!$B$5),"Matched","Review"))</f>
        <v/>
      </c>
      <c r="L276" s="137">
        <f>IF(K276="Matched","None",IF(G276="","Missing from bank",IF(ABS(H276)&gt;Mapping_Rules!$B$4,"Amount variance","Date variance")))</f>
        <v/>
      </c>
      <c r="M276" s="137">
        <f>IF(K276="Matched","Low",IF(OR(IFERROR(ABS(H276),0)&gt;Mapping_Rules!$B$7,IFERROR(J276,0)&gt;Mapping_Rules!$B$8),"High","Medium"))</f>
        <v/>
      </c>
      <c r="N276" s="137">
        <f>IF(K276="Matched","No action needed",IF(L276="Missing from bank","Check bank date or posting",IF(L276="Amount variance","Check invoice/payment amount","Check timing difference")))</f>
        <v/>
      </c>
      <c r="O276" s="115" t="inlineStr">
        <is>
          <t>1200 AR</t>
        </is>
      </c>
      <c r="P276" s="115" t="inlineStr">
        <is>
          <t>AR Clerk</t>
        </is>
      </c>
      <c r="Q276" s="115" t="inlineStr">
        <is>
          <t>No</t>
        </is>
      </c>
      <c r="R276" s="138" t="str"/>
      <c r="S276" s="139">
        <f>IF(K276="Matched",0,Mapping_Rules!$B$6-B276)</f>
        <v/>
      </c>
    </row>
    <row r="277">
      <c r="A277" s="140" t="inlineStr">
        <is>
          <t>ERP-00274</t>
        </is>
      </c>
      <c r="B277" s="141" t="n">
        <v>46033</v>
      </c>
      <c r="C277" s="140" t="inlineStr">
        <is>
          <t>AP</t>
        </is>
      </c>
      <c r="D277" s="140" t="inlineStr">
        <is>
          <t>Pacific Office Supplies</t>
        </is>
      </c>
      <c r="E277" s="140" t="inlineStr">
        <is>
          <t>REF-100274</t>
        </is>
      </c>
      <c r="F277" s="142" t="n">
        <v>-1376.26</v>
      </c>
      <c r="G277" s="143">
        <f>IFERROR(XLOOKUP(E277,Bank_Statement!$D$4:$D$448,Bank_Statement!$G$4:$G$448,""),"")</f>
        <v/>
      </c>
      <c r="H277" s="142">
        <f>IF(G277="","",F277-G277)</f>
        <v/>
      </c>
      <c r="I277" s="144">
        <f>IFERROR(XLOOKUP(E277,Bank_Statement!$D$4:$D$448,Bank_Statement!$B$4:$B$448,""),"")</f>
        <v/>
      </c>
      <c r="J277" s="145">
        <f>IF(I277="","",ABS(B277-I277))</f>
        <v/>
      </c>
      <c r="K277" s="146">
        <f>IF(G277="","Unmatched ERP",IF(AND(ABS(H277)&lt;=Mapping_Rules!$B$4,ABS(J277)&lt;=Mapping_Rules!$B$5),"Matched","Review"))</f>
        <v/>
      </c>
      <c r="L277" s="146">
        <f>IF(K277="Matched","None",IF(G277="","Missing from bank",IF(ABS(H277)&gt;Mapping_Rules!$B$4,"Amount variance","Date variance")))</f>
        <v/>
      </c>
      <c r="M277" s="146">
        <f>IF(K277="Matched","Low",IF(OR(IFERROR(ABS(H277),0)&gt;Mapping_Rules!$B$7,IFERROR(J277,0)&gt;Mapping_Rules!$B$8),"High","Medium"))</f>
        <v/>
      </c>
      <c r="N277" s="146">
        <f>IF(K277="Matched","No action needed",IF(L277="Missing from bank","Check bank date or posting",IF(L277="Amount variance","Check invoice/payment amount","Check timing difference")))</f>
        <v/>
      </c>
      <c r="O277" s="140" t="inlineStr">
        <is>
          <t>2000 AP</t>
        </is>
      </c>
      <c r="P277" s="140" t="inlineStr">
        <is>
          <t>AP Clerk</t>
        </is>
      </c>
      <c r="Q277" s="140" t="inlineStr">
        <is>
          <t>No</t>
        </is>
      </c>
      <c r="R277" s="147" t="str"/>
      <c r="S277" s="148">
        <f>IF(K277="Matched",0,Mapping_Rules!$B$6-B277)</f>
        <v/>
      </c>
    </row>
    <row r="278">
      <c r="A278" s="115" t="inlineStr">
        <is>
          <t>ERP-00275</t>
        </is>
      </c>
      <c r="B278" s="125" t="n">
        <v>46045</v>
      </c>
      <c r="C278" s="115" t="inlineStr">
        <is>
          <t>AR</t>
        </is>
      </c>
      <c r="D278" s="115" t="inlineStr">
        <is>
          <t>Coastline Foods</t>
        </is>
      </c>
      <c r="E278" s="115" t="inlineStr">
        <is>
          <t>REF-100275</t>
        </is>
      </c>
      <c r="F278" s="126" t="n">
        <v>3461.88</v>
      </c>
      <c r="G278" s="134">
        <f>IFERROR(XLOOKUP(E278,Bank_Statement!$D$4:$D$448,Bank_Statement!$G$4:$G$448,""),"")</f>
        <v/>
      </c>
      <c r="H278" s="126">
        <f>IF(G278="","",F278-G278)</f>
        <v/>
      </c>
      <c r="I278" s="135">
        <f>IFERROR(XLOOKUP(E278,Bank_Statement!$D$4:$D$448,Bank_Statement!$B$4:$B$448,""),"")</f>
        <v/>
      </c>
      <c r="J278" s="136">
        <f>IF(I278="","",ABS(B278-I278))</f>
        <v/>
      </c>
      <c r="K278" s="137">
        <f>IF(G278="","Unmatched ERP",IF(AND(ABS(H278)&lt;=Mapping_Rules!$B$4,ABS(J278)&lt;=Mapping_Rules!$B$5),"Matched","Review"))</f>
        <v/>
      </c>
      <c r="L278" s="137">
        <f>IF(K278="Matched","None",IF(G278="","Missing from bank",IF(ABS(H278)&gt;Mapping_Rules!$B$4,"Amount variance","Date variance")))</f>
        <v/>
      </c>
      <c r="M278" s="137">
        <f>IF(K278="Matched","Low",IF(OR(IFERROR(ABS(H278),0)&gt;Mapping_Rules!$B$7,IFERROR(J278,0)&gt;Mapping_Rules!$B$8),"High","Medium"))</f>
        <v/>
      </c>
      <c r="N278" s="137">
        <f>IF(K278="Matched","No action needed",IF(L278="Missing from bank","Check bank date or posting",IF(L278="Amount variance","Check invoice/payment amount","Check timing difference")))</f>
        <v/>
      </c>
      <c r="O278" s="115" t="inlineStr">
        <is>
          <t>1200 AR</t>
        </is>
      </c>
      <c r="P278" s="115" t="inlineStr">
        <is>
          <t>AR Clerk</t>
        </is>
      </c>
      <c r="Q278" s="115" t="inlineStr">
        <is>
          <t>No</t>
        </is>
      </c>
      <c r="R278" s="138" t="str"/>
      <c r="S278" s="139">
        <f>IF(K278="Matched",0,Mapping_Rules!$B$6-B278)</f>
        <v/>
      </c>
    </row>
    <row r="279">
      <c r="A279" s="140" t="inlineStr">
        <is>
          <t>ERP-00276</t>
        </is>
      </c>
      <c r="B279" s="141" t="n">
        <v>46040</v>
      </c>
      <c r="C279" s="140" t="inlineStr">
        <is>
          <t>AR</t>
        </is>
      </c>
      <c r="D279" s="140" t="inlineStr">
        <is>
          <t>Raincity Tech</t>
        </is>
      </c>
      <c r="E279" s="140" t="inlineStr">
        <is>
          <t>REF-100276</t>
        </is>
      </c>
      <c r="F279" s="142" t="n">
        <v>2334.04</v>
      </c>
      <c r="G279" s="143">
        <f>IFERROR(XLOOKUP(E279,Bank_Statement!$D$4:$D$448,Bank_Statement!$G$4:$G$448,""),"")</f>
        <v/>
      </c>
      <c r="H279" s="142">
        <f>IF(G279="","",F279-G279)</f>
        <v/>
      </c>
      <c r="I279" s="144">
        <f>IFERROR(XLOOKUP(E279,Bank_Statement!$D$4:$D$448,Bank_Statement!$B$4:$B$448,""),"")</f>
        <v/>
      </c>
      <c r="J279" s="145">
        <f>IF(I279="","",ABS(B279-I279))</f>
        <v/>
      </c>
      <c r="K279" s="146">
        <f>IF(G279="","Unmatched ERP",IF(AND(ABS(H279)&lt;=Mapping_Rules!$B$4,ABS(J279)&lt;=Mapping_Rules!$B$5),"Matched","Review"))</f>
        <v/>
      </c>
      <c r="L279" s="146">
        <f>IF(K279="Matched","None",IF(G279="","Missing from bank",IF(ABS(H279)&gt;Mapping_Rules!$B$4,"Amount variance","Date variance")))</f>
        <v/>
      </c>
      <c r="M279" s="146">
        <f>IF(K279="Matched","Low",IF(OR(IFERROR(ABS(H279),0)&gt;Mapping_Rules!$B$7,IFERROR(J279,0)&gt;Mapping_Rules!$B$8),"High","Medium"))</f>
        <v/>
      </c>
      <c r="N279" s="146">
        <f>IF(K279="Matched","No action needed",IF(L279="Missing from bank","Check bank date or posting",IF(L279="Amount variance","Check invoice/payment amount","Check timing difference")))</f>
        <v/>
      </c>
      <c r="O279" s="140" t="inlineStr">
        <is>
          <t>1200 AR</t>
        </is>
      </c>
      <c r="P279" s="140" t="inlineStr">
        <is>
          <t>AR Clerk</t>
        </is>
      </c>
      <c r="Q279" s="140" t="inlineStr">
        <is>
          <t>No</t>
        </is>
      </c>
      <c r="R279" s="147" t="str"/>
      <c r="S279" s="148">
        <f>IF(K279="Matched",0,Mapping_Rules!$B$6-B279)</f>
        <v/>
      </c>
    </row>
    <row r="280">
      <c r="A280" s="115" t="inlineStr">
        <is>
          <t>ERP-00277</t>
        </is>
      </c>
      <c r="B280" s="125" t="n">
        <v>46033</v>
      </c>
      <c r="C280" s="115" t="inlineStr">
        <is>
          <t>Payroll</t>
        </is>
      </c>
      <c r="D280" s="115" t="inlineStr">
        <is>
          <t>Payroll Batch</t>
        </is>
      </c>
      <c r="E280" s="115" t="inlineStr">
        <is>
          <t>REF-100277</t>
        </is>
      </c>
      <c r="F280" s="126" t="n">
        <v>-7875.22</v>
      </c>
      <c r="G280" s="134">
        <f>IFERROR(XLOOKUP(E280,Bank_Statement!$D$4:$D$448,Bank_Statement!$G$4:$G$448,""),"")</f>
        <v/>
      </c>
      <c r="H280" s="126">
        <f>IF(G280="","",F280-G280)</f>
        <v/>
      </c>
      <c r="I280" s="135">
        <f>IFERROR(XLOOKUP(E280,Bank_Statement!$D$4:$D$448,Bank_Statement!$B$4:$B$448,""),"")</f>
        <v/>
      </c>
      <c r="J280" s="136">
        <f>IF(I280="","",ABS(B280-I280))</f>
        <v/>
      </c>
      <c r="K280" s="137">
        <f>IF(G280="","Unmatched ERP",IF(AND(ABS(H280)&lt;=Mapping_Rules!$B$4,ABS(J280)&lt;=Mapping_Rules!$B$5),"Matched","Review"))</f>
        <v/>
      </c>
      <c r="L280" s="137">
        <f>IF(K280="Matched","None",IF(G280="","Missing from bank",IF(ABS(H280)&gt;Mapping_Rules!$B$4,"Amount variance","Date variance")))</f>
        <v/>
      </c>
      <c r="M280" s="137">
        <f>IF(K280="Matched","Low",IF(OR(IFERROR(ABS(H280),0)&gt;Mapping_Rules!$B$7,IFERROR(J280,0)&gt;Mapping_Rules!$B$8),"High","Medium"))</f>
        <v/>
      </c>
      <c r="N280" s="137">
        <f>IF(K280="Matched","No action needed",IF(L280="Missing from bank","Check bank date or posting",IF(L280="Amount variance","Check invoice/payment amount","Check timing difference")))</f>
        <v/>
      </c>
      <c r="O280" s="115" t="inlineStr">
        <is>
          <t>5300 Payroll</t>
        </is>
      </c>
      <c r="P280" s="115" t="inlineStr">
        <is>
          <t>Accounting Technician</t>
        </is>
      </c>
      <c r="Q280" s="115" t="inlineStr">
        <is>
          <t>No</t>
        </is>
      </c>
      <c r="R280" s="138" t="str"/>
      <c r="S280" s="139">
        <f>IF(K280="Matched",0,Mapping_Rules!$B$6-B280)</f>
        <v/>
      </c>
    </row>
    <row r="281">
      <c r="A281" s="140" t="inlineStr">
        <is>
          <t>ERP-00278</t>
        </is>
      </c>
      <c r="B281" s="141" t="n">
        <v>46023</v>
      </c>
      <c r="C281" s="140" t="inlineStr">
        <is>
          <t>AP</t>
        </is>
      </c>
      <c r="D281" s="140" t="inlineStr">
        <is>
          <t>Amazon Business</t>
        </is>
      </c>
      <c r="E281" s="140" t="inlineStr">
        <is>
          <t>REF-100278</t>
        </is>
      </c>
      <c r="F281" s="142" t="n">
        <v>-3624.35</v>
      </c>
      <c r="G281" s="143">
        <f>IFERROR(XLOOKUP(E281,Bank_Statement!$D$4:$D$448,Bank_Statement!$G$4:$G$448,""),"")</f>
        <v/>
      </c>
      <c r="H281" s="142">
        <f>IF(G281="","",F281-G281)</f>
        <v/>
      </c>
      <c r="I281" s="144">
        <f>IFERROR(XLOOKUP(E281,Bank_Statement!$D$4:$D$448,Bank_Statement!$B$4:$B$448,""),"")</f>
        <v/>
      </c>
      <c r="J281" s="145">
        <f>IF(I281="","",ABS(B281-I281))</f>
        <v/>
      </c>
      <c r="K281" s="146">
        <f>IF(G281="","Unmatched ERP",IF(AND(ABS(H281)&lt;=Mapping_Rules!$B$4,ABS(J281)&lt;=Mapping_Rules!$B$5),"Matched","Review"))</f>
        <v/>
      </c>
      <c r="L281" s="146">
        <f>IF(K281="Matched","None",IF(G281="","Missing from bank",IF(ABS(H281)&gt;Mapping_Rules!$B$4,"Amount variance","Date variance")))</f>
        <v/>
      </c>
      <c r="M281" s="146">
        <f>IF(K281="Matched","Low",IF(OR(IFERROR(ABS(H281),0)&gt;Mapping_Rules!$B$7,IFERROR(J281,0)&gt;Mapping_Rules!$B$8),"High","Medium"))</f>
        <v/>
      </c>
      <c r="N281" s="146">
        <f>IF(K281="Matched","No action needed",IF(L281="Missing from bank","Check bank date or posting",IF(L281="Amount variance","Check invoice/payment amount","Check timing difference")))</f>
        <v/>
      </c>
      <c r="O281" s="140" t="inlineStr">
        <is>
          <t>2000 AP</t>
        </is>
      </c>
      <c r="P281" s="140" t="inlineStr">
        <is>
          <t>AP Clerk</t>
        </is>
      </c>
      <c r="Q281" s="140" t="inlineStr">
        <is>
          <t>No</t>
        </is>
      </c>
      <c r="R281" s="147" t="str"/>
      <c r="S281" s="148">
        <f>IF(K281="Matched",0,Mapping_Rules!$B$6-B281)</f>
        <v/>
      </c>
    </row>
    <row r="282">
      <c r="A282" s="115" t="inlineStr">
        <is>
          <t>ERP-00279</t>
        </is>
      </c>
      <c r="B282" s="125" t="n">
        <v>46041</v>
      </c>
      <c r="C282" s="115" t="inlineStr">
        <is>
          <t>Payroll</t>
        </is>
      </c>
      <c r="D282" s="115" t="inlineStr">
        <is>
          <t>Payroll Batch</t>
        </is>
      </c>
      <c r="E282" s="115" t="inlineStr">
        <is>
          <t>REF-100279</t>
        </is>
      </c>
      <c r="F282" s="126" t="n">
        <v>-9739.870000000001</v>
      </c>
      <c r="G282" s="134">
        <f>IFERROR(XLOOKUP(E282,Bank_Statement!$D$4:$D$448,Bank_Statement!$G$4:$G$448,""),"")</f>
        <v/>
      </c>
      <c r="H282" s="126">
        <f>IF(G282="","",F282-G282)</f>
        <v/>
      </c>
      <c r="I282" s="135">
        <f>IFERROR(XLOOKUP(E282,Bank_Statement!$D$4:$D$448,Bank_Statement!$B$4:$B$448,""),"")</f>
        <v/>
      </c>
      <c r="J282" s="136">
        <f>IF(I282="","",ABS(B282-I282))</f>
        <v/>
      </c>
      <c r="K282" s="137">
        <f>IF(G282="","Unmatched ERP",IF(AND(ABS(H282)&lt;=Mapping_Rules!$B$4,ABS(J282)&lt;=Mapping_Rules!$B$5),"Matched","Review"))</f>
        <v/>
      </c>
      <c r="L282" s="137">
        <f>IF(K282="Matched","None",IF(G282="","Missing from bank",IF(ABS(H282)&gt;Mapping_Rules!$B$4,"Amount variance","Date variance")))</f>
        <v/>
      </c>
      <c r="M282" s="137">
        <f>IF(K282="Matched","Low",IF(OR(IFERROR(ABS(H282),0)&gt;Mapping_Rules!$B$7,IFERROR(J282,0)&gt;Mapping_Rules!$B$8),"High","Medium"))</f>
        <v/>
      </c>
      <c r="N282" s="137">
        <f>IF(K282="Matched","No action needed",IF(L282="Missing from bank","Check bank date or posting",IF(L282="Amount variance","Check invoice/payment amount","Check timing difference")))</f>
        <v/>
      </c>
      <c r="O282" s="115" t="inlineStr">
        <is>
          <t>5300 Payroll</t>
        </is>
      </c>
      <c r="P282" s="115" t="inlineStr">
        <is>
          <t>Accounting Technician</t>
        </is>
      </c>
      <c r="Q282" s="115" t="inlineStr">
        <is>
          <t>No</t>
        </is>
      </c>
      <c r="R282" s="138" t="str"/>
      <c r="S282" s="139">
        <f>IF(K282="Matched",0,Mapping_Rules!$B$6-B282)</f>
        <v/>
      </c>
    </row>
    <row r="283">
      <c r="A283" s="140" t="inlineStr">
        <is>
          <t>ERP-00280</t>
        </is>
      </c>
      <c r="B283" s="141" t="n">
        <v>46043</v>
      </c>
      <c r="C283" s="140" t="inlineStr">
        <is>
          <t>GL</t>
        </is>
      </c>
      <c r="D283" s="140" t="inlineStr">
        <is>
          <t>Maple Retail Group</t>
        </is>
      </c>
      <c r="E283" s="140" t="inlineStr">
        <is>
          <t>REF-100280</t>
        </is>
      </c>
      <c r="F283" s="142" t="n">
        <v>-882.76</v>
      </c>
      <c r="G283" s="143">
        <f>IFERROR(XLOOKUP(E283,Bank_Statement!$D$4:$D$448,Bank_Statement!$G$4:$G$448,""),"")</f>
        <v/>
      </c>
      <c r="H283" s="142">
        <f>IF(G283="","",F283-G283)</f>
        <v/>
      </c>
      <c r="I283" s="144">
        <f>IFERROR(XLOOKUP(E283,Bank_Statement!$D$4:$D$448,Bank_Statement!$B$4:$B$448,""),"")</f>
        <v/>
      </c>
      <c r="J283" s="145">
        <f>IF(I283="","",ABS(B283-I283))</f>
        <v/>
      </c>
      <c r="K283" s="146">
        <f>IF(G283="","Unmatched ERP",IF(AND(ABS(H283)&lt;=Mapping_Rules!$B$4,ABS(J283)&lt;=Mapping_Rules!$B$5),"Matched","Review"))</f>
        <v/>
      </c>
      <c r="L283" s="146">
        <f>IF(K283="Matched","None",IF(G283="","Missing from bank",IF(ABS(H283)&gt;Mapping_Rules!$B$4,"Amount variance","Date variance")))</f>
        <v/>
      </c>
      <c r="M283" s="146">
        <f>IF(K283="Matched","Low",IF(OR(IFERROR(ABS(H283),0)&gt;Mapping_Rules!$B$7,IFERROR(J283,0)&gt;Mapping_Rules!$B$8),"High","Medium"))</f>
        <v/>
      </c>
      <c r="N283" s="146">
        <f>IF(K283="Matched","No action needed",IF(L283="Missing from bank","Check bank date or posting",IF(L283="Amount variance","Check invoice/payment amount","Check timing difference")))</f>
        <v/>
      </c>
      <c r="O283" s="140" t="inlineStr">
        <is>
          <t>2000 AP</t>
        </is>
      </c>
      <c r="P283" s="140" t="inlineStr">
        <is>
          <t>Accounting Technician</t>
        </is>
      </c>
      <c r="Q283" s="140" t="inlineStr">
        <is>
          <t>No</t>
        </is>
      </c>
      <c r="R283" s="147" t="str"/>
      <c r="S283" s="148">
        <f>IF(K283="Matched",0,Mapping_Rules!$B$6-B283)</f>
        <v/>
      </c>
    </row>
    <row r="284">
      <c r="A284" s="115" t="inlineStr">
        <is>
          <t>ERP-00281</t>
        </is>
      </c>
      <c r="B284" s="125" t="n">
        <v>46049</v>
      </c>
      <c r="C284" s="115" t="inlineStr">
        <is>
          <t>Payroll</t>
        </is>
      </c>
      <c r="D284" s="115" t="inlineStr">
        <is>
          <t>Payroll Batch</t>
        </is>
      </c>
      <c r="E284" s="115" t="inlineStr">
        <is>
          <t>REF-100281</t>
        </is>
      </c>
      <c r="F284" s="126" t="n">
        <v>-16205.23</v>
      </c>
      <c r="G284" s="134">
        <f>IFERROR(XLOOKUP(E284,Bank_Statement!$D$4:$D$448,Bank_Statement!$G$4:$G$448,""),"")</f>
        <v/>
      </c>
      <c r="H284" s="126">
        <f>IF(G284="","",F284-G284)</f>
        <v/>
      </c>
      <c r="I284" s="135">
        <f>IFERROR(XLOOKUP(E284,Bank_Statement!$D$4:$D$448,Bank_Statement!$B$4:$B$448,""),"")</f>
        <v/>
      </c>
      <c r="J284" s="136">
        <f>IF(I284="","",ABS(B284-I284))</f>
        <v/>
      </c>
      <c r="K284" s="137">
        <f>IF(G284="","Unmatched ERP",IF(AND(ABS(H284)&lt;=Mapping_Rules!$B$4,ABS(J284)&lt;=Mapping_Rules!$B$5),"Matched","Review"))</f>
        <v/>
      </c>
      <c r="L284" s="137">
        <f>IF(K284="Matched","None",IF(G284="","Missing from bank",IF(ABS(H284)&gt;Mapping_Rules!$B$4,"Amount variance","Date variance")))</f>
        <v/>
      </c>
      <c r="M284" s="137">
        <f>IF(K284="Matched","Low",IF(OR(IFERROR(ABS(H284),0)&gt;Mapping_Rules!$B$7,IFERROR(J284,0)&gt;Mapping_Rules!$B$8),"High","Medium"))</f>
        <v/>
      </c>
      <c r="N284" s="137">
        <f>IF(K284="Matched","No action needed",IF(L284="Missing from bank","Check bank date or posting",IF(L284="Amount variance","Check invoice/payment amount","Check timing difference")))</f>
        <v/>
      </c>
      <c r="O284" s="115" t="inlineStr">
        <is>
          <t>5300 Payroll</t>
        </is>
      </c>
      <c r="P284" s="115" t="inlineStr">
        <is>
          <t>Accounting Technician</t>
        </is>
      </c>
      <c r="Q284" s="115" t="inlineStr">
        <is>
          <t>No</t>
        </is>
      </c>
      <c r="R284" s="138" t="str"/>
      <c r="S284" s="139">
        <f>IF(K284="Matched",0,Mapping_Rules!$B$6-B284)</f>
        <v/>
      </c>
    </row>
    <row r="285">
      <c r="A285" s="140" t="inlineStr">
        <is>
          <t>ERP-00282</t>
        </is>
      </c>
      <c r="B285" s="141" t="n">
        <v>46027</v>
      </c>
      <c r="C285" s="140" t="inlineStr">
        <is>
          <t>AP</t>
        </is>
      </c>
      <c r="D285" s="140" t="inlineStr">
        <is>
          <t>Amazon Business</t>
        </is>
      </c>
      <c r="E285" s="140" t="inlineStr">
        <is>
          <t>REF-100282</t>
        </is>
      </c>
      <c r="F285" s="142" t="n">
        <v>-2870.78</v>
      </c>
      <c r="G285" s="143">
        <f>IFERROR(XLOOKUP(E285,Bank_Statement!$D$4:$D$448,Bank_Statement!$G$4:$G$448,""),"")</f>
        <v/>
      </c>
      <c r="H285" s="142">
        <f>IF(G285="","",F285-G285)</f>
        <v/>
      </c>
      <c r="I285" s="144">
        <f>IFERROR(XLOOKUP(E285,Bank_Statement!$D$4:$D$448,Bank_Statement!$B$4:$B$448,""),"")</f>
        <v/>
      </c>
      <c r="J285" s="145">
        <f>IF(I285="","",ABS(B285-I285))</f>
        <v/>
      </c>
      <c r="K285" s="146">
        <f>IF(G285="","Unmatched ERP",IF(AND(ABS(H285)&lt;=Mapping_Rules!$B$4,ABS(J285)&lt;=Mapping_Rules!$B$5),"Matched","Review"))</f>
        <v/>
      </c>
      <c r="L285" s="146">
        <f>IF(K285="Matched","None",IF(G285="","Missing from bank",IF(ABS(H285)&gt;Mapping_Rules!$B$4,"Amount variance","Date variance")))</f>
        <v/>
      </c>
      <c r="M285" s="146">
        <f>IF(K285="Matched","Low",IF(OR(IFERROR(ABS(H285),0)&gt;Mapping_Rules!$B$7,IFERROR(J285,0)&gt;Mapping_Rules!$B$8),"High","Medium"))</f>
        <v/>
      </c>
      <c r="N285" s="146">
        <f>IF(K285="Matched","No action needed",IF(L285="Missing from bank","Check bank date or posting",IF(L285="Amount variance","Check invoice/payment amount","Check timing difference")))</f>
        <v/>
      </c>
      <c r="O285" s="140" t="inlineStr">
        <is>
          <t>2000 AP</t>
        </is>
      </c>
      <c r="P285" s="140" t="inlineStr">
        <is>
          <t>AP Clerk</t>
        </is>
      </c>
      <c r="Q285" s="140" t="inlineStr">
        <is>
          <t>No</t>
        </is>
      </c>
      <c r="R285" s="147" t="str"/>
      <c r="S285" s="148">
        <f>IF(K285="Matched",0,Mapping_Rules!$B$6-B285)</f>
        <v/>
      </c>
    </row>
    <row r="286">
      <c r="A286" s="115" t="inlineStr">
        <is>
          <t>ERP-00283</t>
        </is>
      </c>
      <c r="B286" s="125" t="n">
        <v>46023</v>
      </c>
      <c r="C286" s="115" t="inlineStr">
        <is>
          <t>AP</t>
        </is>
      </c>
      <c r="D286" s="115" t="inlineStr">
        <is>
          <t>Amazon Business</t>
        </is>
      </c>
      <c r="E286" s="115" t="inlineStr">
        <is>
          <t>REF-100283</t>
        </is>
      </c>
      <c r="F286" s="126" t="n">
        <v>-2597.39</v>
      </c>
      <c r="G286" s="134">
        <f>IFERROR(XLOOKUP(E286,Bank_Statement!$D$4:$D$448,Bank_Statement!$G$4:$G$448,""),"")</f>
        <v/>
      </c>
      <c r="H286" s="126">
        <f>IF(G286="","",F286-G286)</f>
        <v/>
      </c>
      <c r="I286" s="135">
        <f>IFERROR(XLOOKUP(E286,Bank_Statement!$D$4:$D$448,Bank_Statement!$B$4:$B$448,""),"")</f>
        <v/>
      </c>
      <c r="J286" s="136">
        <f>IF(I286="","",ABS(B286-I286))</f>
        <v/>
      </c>
      <c r="K286" s="137">
        <f>IF(G286="","Unmatched ERP",IF(AND(ABS(H286)&lt;=Mapping_Rules!$B$4,ABS(J286)&lt;=Mapping_Rules!$B$5),"Matched","Review"))</f>
        <v/>
      </c>
      <c r="L286" s="137">
        <f>IF(K286="Matched","None",IF(G286="","Missing from bank",IF(ABS(H286)&gt;Mapping_Rules!$B$4,"Amount variance","Date variance")))</f>
        <v/>
      </c>
      <c r="M286" s="137">
        <f>IF(K286="Matched","Low",IF(OR(IFERROR(ABS(H286),0)&gt;Mapping_Rules!$B$7,IFERROR(J286,0)&gt;Mapping_Rules!$B$8),"High","Medium"))</f>
        <v/>
      </c>
      <c r="N286" s="137">
        <f>IF(K286="Matched","No action needed",IF(L286="Missing from bank","Check bank date or posting",IF(L286="Amount variance","Check invoice/payment amount","Check timing difference")))</f>
        <v/>
      </c>
      <c r="O286" s="115" t="inlineStr">
        <is>
          <t>2000 AP</t>
        </is>
      </c>
      <c r="P286" s="115" t="inlineStr">
        <is>
          <t>AP Clerk</t>
        </is>
      </c>
      <c r="Q286" s="115" t="inlineStr">
        <is>
          <t>No</t>
        </is>
      </c>
      <c r="R286" s="138" t="str"/>
      <c r="S286" s="139">
        <f>IF(K286="Matched",0,Mapping_Rules!$B$6-B286)</f>
        <v/>
      </c>
    </row>
    <row r="287">
      <c r="A287" s="140" t="inlineStr">
        <is>
          <t>ERP-00284</t>
        </is>
      </c>
      <c r="B287" s="141" t="n">
        <v>46048</v>
      </c>
      <c r="C287" s="140" t="inlineStr">
        <is>
          <t>Bank Fees</t>
        </is>
      </c>
      <c r="D287" s="140" t="inlineStr">
        <is>
          <t>Bank</t>
        </is>
      </c>
      <c r="E287" s="140" t="inlineStr">
        <is>
          <t>REF-100284</t>
        </is>
      </c>
      <c r="F287" s="142" t="n">
        <v>-25.62</v>
      </c>
      <c r="G287" s="143">
        <f>IFERROR(XLOOKUP(E287,Bank_Statement!$D$4:$D$448,Bank_Statement!$G$4:$G$448,""),"")</f>
        <v/>
      </c>
      <c r="H287" s="142">
        <f>IF(G287="","",F287-G287)</f>
        <v/>
      </c>
      <c r="I287" s="144">
        <f>IFERROR(XLOOKUP(E287,Bank_Statement!$D$4:$D$448,Bank_Statement!$B$4:$B$448,""),"")</f>
        <v/>
      </c>
      <c r="J287" s="145">
        <f>IF(I287="","",ABS(B287-I287))</f>
        <v/>
      </c>
      <c r="K287" s="146">
        <f>IF(G287="","Unmatched ERP",IF(AND(ABS(H287)&lt;=Mapping_Rules!$B$4,ABS(J287)&lt;=Mapping_Rules!$B$5),"Matched","Review"))</f>
        <v/>
      </c>
      <c r="L287" s="146">
        <f>IF(K287="Matched","None",IF(G287="","Missing from bank",IF(ABS(H287)&gt;Mapping_Rules!$B$4,"Amount variance","Date variance")))</f>
        <v/>
      </c>
      <c r="M287" s="146">
        <f>IF(K287="Matched","Low",IF(OR(IFERROR(ABS(H287),0)&gt;Mapping_Rules!$B$7,IFERROR(J287,0)&gt;Mapping_Rules!$B$8),"High","Medium"))</f>
        <v/>
      </c>
      <c r="N287" s="146">
        <f>IF(K287="Matched","No action needed",IF(L287="Missing from bank","Check bank date or posting",IF(L287="Amount variance","Check invoice/payment amount","Check timing difference")))</f>
        <v/>
      </c>
      <c r="O287" s="140" t="inlineStr">
        <is>
          <t>6100 Bank Fees</t>
        </is>
      </c>
      <c r="P287" s="140" t="inlineStr">
        <is>
          <t>Accounting Technician</t>
        </is>
      </c>
      <c r="Q287" s="140" t="inlineStr">
        <is>
          <t>No</t>
        </is>
      </c>
      <c r="R287" s="147" t="str"/>
      <c r="S287" s="148">
        <f>IF(K287="Matched",0,Mapping_Rules!$B$6-B287)</f>
        <v/>
      </c>
    </row>
    <row r="288">
      <c r="A288" s="115" t="inlineStr">
        <is>
          <t>ERP-00285</t>
        </is>
      </c>
      <c r="B288" s="125" t="n">
        <v>46031</v>
      </c>
      <c r="C288" s="115" t="inlineStr">
        <is>
          <t>Payroll</t>
        </is>
      </c>
      <c r="D288" s="115" t="inlineStr">
        <is>
          <t>Payroll Batch</t>
        </is>
      </c>
      <c r="E288" s="115" t="inlineStr">
        <is>
          <t>REF-100285</t>
        </is>
      </c>
      <c r="F288" s="126" t="n">
        <v>-6376.21</v>
      </c>
      <c r="G288" s="134">
        <f>IFERROR(XLOOKUP(E288,Bank_Statement!$D$4:$D$448,Bank_Statement!$G$4:$G$448,""),"")</f>
        <v/>
      </c>
      <c r="H288" s="126">
        <f>IF(G288="","",F288-G288)</f>
        <v/>
      </c>
      <c r="I288" s="135">
        <f>IFERROR(XLOOKUP(E288,Bank_Statement!$D$4:$D$448,Bank_Statement!$B$4:$B$448,""),"")</f>
        <v/>
      </c>
      <c r="J288" s="136">
        <f>IF(I288="","",ABS(B288-I288))</f>
        <v/>
      </c>
      <c r="K288" s="137">
        <f>IF(G288="","Unmatched ERP",IF(AND(ABS(H288)&lt;=Mapping_Rules!$B$4,ABS(J288)&lt;=Mapping_Rules!$B$5),"Matched","Review"))</f>
        <v/>
      </c>
      <c r="L288" s="137">
        <f>IF(K288="Matched","None",IF(G288="","Missing from bank",IF(ABS(H288)&gt;Mapping_Rules!$B$4,"Amount variance","Date variance")))</f>
        <v/>
      </c>
      <c r="M288" s="137">
        <f>IF(K288="Matched","Low",IF(OR(IFERROR(ABS(H288),0)&gt;Mapping_Rules!$B$7,IFERROR(J288,0)&gt;Mapping_Rules!$B$8),"High","Medium"))</f>
        <v/>
      </c>
      <c r="N288" s="137">
        <f>IF(K288="Matched","No action needed",IF(L288="Missing from bank","Check bank date or posting",IF(L288="Amount variance","Check invoice/payment amount","Check timing difference")))</f>
        <v/>
      </c>
      <c r="O288" s="115" t="inlineStr">
        <is>
          <t>5300 Payroll</t>
        </is>
      </c>
      <c r="P288" s="115" t="inlineStr">
        <is>
          <t>Accounting Technician</t>
        </is>
      </c>
      <c r="Q288" s="115" t="inlineStr">
        <is>
          <t>No</t>
        </is>
      </c>
      <c r="R288" s="138" t="str"/>
      <c r="S288" s="139">
        <f>IF(K288="Matched",0,Mapping_Rules!$B$6-B288)</f>
        <v/>
      </c>
    </row>
    <row r="289">
      <c r="A289" s="140" t="inlineStr">
        <is>
          <t>ERP-00286</t>
        </is>
      </c>
      <c r="B289" s="141" t="n">
        <v>46030</v>
      </c>
      <c r="C289" s="140" t="inlineStr">
        <is>
          <t>Bank Fees</t>
        </is>
      </c>
      <c r="D289" s="140" t="inlineStr">
        <is>
          <t>Bank</t>
        </is>
      </c>
      <c r="E289" s="140" t="inlineStr">
        <is>
          <t>REF-100286</t>
        </is>
      </c>
      <c r="F289" s="142" t="n">
        <v>-30.97</v>
      </c>
      <c r="G289" s="143">
        <f>IFERROR(XLOOKUP(E289,Bank_Statement!$D$4:$D$448,Bank_Statement!$G$4:$G$448,""),"")</f>
        <v/>
      </c>
      <c r="H289" s="142">
        <f>IF(G289="","",F289-G289)</f>
        <v/>
      </c>
      <c r="I289" s="144">
        <f>IFERROR(XLOOKUP(E289,Bank_Statement!$D$4:$D$448,Bank_Statement!$B$4:$B$448,""),"")</f>
        <v/>
      </c>
      <c r="J289" s="145">
        <f>IF(I289="","",ABS(B289-I289))</f>
        <v/>
      </c>
      <c r="K289" s="146">
        <f>IF(G289="","Unmatched ERP",IF(AND(ABS(H289)&lt;=Mapping_Rules!$B$4,ABS(J289)&lt;=Mapping_Rules!$B$5),"Matched","Review"))</f>
        <v/>
      </c>
      <c r="L289" s="146">
        <f>IF(K289="Matched","None",IF(G289="","Missing from bank",IF(ABS(H289)&gt;Mapping_Rules!$B$4,"Amount variance","Date variance")))</f>
        <v/>
      </c>
      <c r="M289" s="146">
        <f>IF(K289="Matched","Low",IF(OR(IFERROR(ABS(H289),0)&gt;Mapping_Rules!$B$7,IFERROR(J289,0)&gt;Mapping_Rules!$B$8),"High","Medium"))</f>
        <v/>
      </c>
      <c r="N289" s="146">
        <f>IF(K289="Matched","No action needed",IF(L289="Missing from bank","Check bank date or posting",IF(L289="Amount variance","Check invoice/payment amount","Check timing difference")))</f>
        <v/>
      </c>
      <c r="O289" s="140" t="inlineStr">
        <is>
          <t>6100 Bank Fees</t>
        </is>
      </c>
      <c r="P289" s="140" t="inlineStr">
        <is>
          <t>Accounting Technician</t>
        </is>
      </c>
      <c r="Q289" s="140" t="inlineStr">
        <is>
          <t>No</t>
        </is>
      </c>
      <c r="R289" s="147" t="str"/>
      <c r="S289" s="148">
        <f>IF(K289="Matched",0,Mapping_Rules!$B$6-B289)</f>
        <v/>
      </c>
    </row>
    <row r="290">
      <c r="A290" s="115" t="inlineStr">
        <is>
          <t>ERP-00287</t>
        </is>
      </c>
      <c r="B290" s="125" t="n">
        <v>46038</v>
      </c>
      <c r="C290" s="115" t="inlineStr">
        <is>
          <t>AP</t>
        </is>
      </c>
      <c r="D290" s="115" t="inlineStr">
        <is>
          <t>Pacific Office Supplies</t>
        </is>
      </c>
      <c r="E290" s="115" t="inlineStr">
        <is>
          <t>REF-100287</t>
        </is>
      </c>
      <c r="F290" s="126" t="n">
        <v>-4381.41</v>
      </c>
      <c r="G290" s="134">
        <f>IFERROR(XLOOKUP(E290,Bank_Statement!$D$4:$D$448,Bank_Statement!$G$4:$G$448,""),"")</f>
        <v/>
      </c>
      <c r="H290" s="126">
        <f>IF(G290="","",F290-G290)</f>
        <v/>
      </c>
      <c r="I290" s="135">
        <f>IFERROR(XLOOKUP(E290,Bank_Statement!$D$4:$D$448,Bank_Statement!$B$4:$B$448,""),"")</f>
        <v/>
      </c>
      <c r="J290" s="136">
        <f>IF(I290="","",ABS(B290-I290))</f>
        <v/>
      </c>
      <c r="K290" s="137">
        <f>IF(G290="","Unmatched ERP",IF(AND(ABS(H290)&lt;=Mapping_Rules!$B$4,ABS(J290)&lt;=Mapping_Rules!$B$5),"Matched","Review"))</f>
        <v/>
      </c>
      <c r="L290" s="137">
        <f>IF(K290="Matched","None",IF(G290="","Missing from bank",IF(ABS(H290)&gt;Mapping_Rules!$B$4,"Amount variance","Date variance")))</f>
        <v/>
      </c>
      <c r="M290" s="137">
        <f>IF(K290="Matched","Low",IF(OR(IFERROR(ABS(H290),0)&gt;Mapping_Rules!$B$7,IFERROR(J290,0)&gt;Mapping_Rules!$B$8),"High","Medium"))</f>
        <v/>
      </c>
      <c r="N290" s="137">
        <f>IF(K290="Matched","No action needed",IF(L290="Missing from bank","Check bank date or posting",IF(L290="Amount variance","Check invoice/payment amount","Check timing difference")))</f>
        <v/>
      </c>
      <c r="O290" s="115" t="inlineStr">
        <is>
          <t>2000 AP</t>
        </is>
      </c>
      <c r="P290" s="115" t="inlineStr">
        <is>
          <t>AP Clerk</t>
        </is>
      </c>
      <c r="Q290" s="115" t="inlineStr">
        <is>
          <t>No</t>
        </is>
      </c>
      <c r="R290" s="138" t="str"/>
      <c r="S290" s="139">
        <f>IF(K290="Matched",0,Mapping_Rules!$B$6-B290)</f>
        <v/>
      </c>
    </row>
    <row r="291">
      <c r="A291" s="140" t="inlineStr">
        <is>
          <t>ERP-00288</t>
        </is>
      </c>
      <c r="B291" s="141" t="n">
        <v>46043</v>
      </c>
      <c r="C291" s="140" t="inlineStr">
        <is>
          <t>GL</t>
        </is>
      </c>
      <c r="D291" s="140" t="inlineStr">
        <is>
          <t>Raincity Tech</t>
        </is>
      </c>
      <c r="E291" s="140" t="inlineStr">
        <is>
          <t>REF-100288</t>
        </is>
      </c>
      <c r="F291" s="142" t="n">
        <v>-4887.78</v>
      </c>
      <c r="G291" s="143">
        <f>IFERROR(XLOOKUP(E291,Bank_Statement!$D$4:$D$448,Bank_Statement!$G$4:$G$448,""),"")</f>
        <v/>
      </c>
      <c r="H291" s="142">
        <f>IF(G291="","",F291-G291)</f>
        <v/>
      </c>
      <c r="I291" s="144">
        <f>IFERROR(XLOOKUP(E291,Bank_Statement!$D$4:$D$448,Bank_Statement!$B$4:$B$448,""),"")</f>
        <v/>
      </c>
      <c r="J291" s="145">
        <f>IF(I291="","",ABS(B291-I291))</f>
        <v/>
      </c>
      <c r="K291" s="146">
        <f>IF(G291="","Unmatched ERP",IF(AND(ABS(H291)&lt;=Mapping_Rules!$B$4,ABS(J291)&lt;=Mapping_Rules!$B$5),"Matched","Review"))</f>
        <v/>
      </c>
      <c r="L291" s="146">
        <f>IF(K291="Matched","None",IF(G291="","Missing from bank",IF(ABS(H291)&gt;Mapping_Rules!$B$4,"Amount variance","Date variance")))</f>
        <v/>
      </c>
      <c r="M291" s="146">
        <f>IF(K291="Matched","Low",IF(OR(IFERROR(ABS(H291),0)&gt;Mapping_Rules!$B$7,IFERROR(J291,0)&gt;Mapping_Rules!$B$8),"High","Medium"))</f>
        <v/>
      </c>
      <c r="N291" s="146">
        <f>IF(K291="Matched","No action needed",IF(L291="Missing from bank","Check bank date or posting",IF(L291="Amount variance","Check invoice/payment amount","Check timing difference")))</f>
        <v/>
      </c>
      <c r="O291" s="140" t="inlineStr">
        <is>
          <t>1010 Cash</t>
        </is>
      </c>
      <c r="P291" s="140" t="inlineStr">
        <is>
          <t>Accounting Technician</t>
        </is>
      </c>
      <c r="Q291" s="140" t="inlineStr">
        <is>
          <t>No</t>
        </is>
      </c>
      <c r="R291" s="147" t="str"/>
      <c r="S291" s="148">
        <f>IF(K291="Matched",0,Mapping_Rules!$B$6-B291)</f>
        <v/>
      </c>
    </row>
    <row r="292">
      <c r="A292" s="115" t="inlineStr">
        <is>
          <t>ERP-00289</t>
        </is>
      </c>
      <c r="B292" s="125" t="n">
        <v>46045</v>
      </c>
      <c r="C292" s="115" t="inlineStr">
        <is>
          <t>Payroll</t>
        </is>
      </c>
      <c r="D292" s="115" t="inlineStr">
        <is>
          <t>Payroll Batch</t>
        </is>
      </c>
      <c r="E292" s="115" t="inlineStr">
        <is>
          <t>REF-100289</t>
        </is>
      </c>
      <c r="F292" s="126" t="n">
        <v>-9394.75</v>
      </c>
      <c r="G292" s="134">
        <f>IFERROR(XLOOKUP(E292,Bank_Statement!$D$4:$D$448,Bank_Statement!$G$4:$G$448,""),"")</f>
        <v/>
      </c>
      <c r="H292" s="126">
        <f>IF(G292="","",F292-G292)</f>
        <v/>
      </c>
      <c r="I292" s="135">
        <f>IFERROR(XLOOKUP(E292,Bank_Statement!$D$4:$D$448,Bank_Statement!$B$4:$B$448,""),"")</f>
        <v/>
      </c>
      <c r="J292" s="136">
        <f>IF(I292="","",ABS(B292-I292))</f>
        <v/>
      </c>
      <c r="K292" s="137">
        <f>IF(G292="","Unmatched ERP",IF(AND(ABS(H292)&lt;=Mapping_Rules!$B$4,ABS(J292)&lt;=Mapping_Rules!$B$5),"Matched","Review"))</f>
        <v/>
      </c>
      <c r="L292" s="137">
        <f>IF(K292="Matched","None",IF(G292="","Missing from bank",IF(ABS(H292)&gt;Mapping_Rules!$B$4,"Amount variance","Date variance")))</f>
        <v/>
      </c>
      <c r="M292" s="137">
        <f>IF(K292="Matched","Low",IF(OR(IFERROR(ABS(H292),0)&gt;Mapping_Rules!$B$7,IFERROR(J292,0)&gt;Mapping_Rules!$B$8),"High","Medium"))</f>
        <v/>
      </c>
      <c r="N292" s="137">
        <f>IF(K292="Matched","No action needed",IF(L292="Missing from bank","Check bank date or posting",IF(L292="Amount variance","Check invoice/payment amount","Check timing difference")))</f>
        <v/>
      </c>
      <c r="O292" s="115" t="inlineStr">
        <is>
          <t>5300 Payroll</t>
        </is>
      </c>
      <c r="P292" s="115" t="inlineStr">
        <is>
          <t>Accounting Technician</t>
        </is>
      </c>
      <c r="Q292" s="115" t="inlineStr">
        <is>
          <t>No</t>
        </is>
      </c>
      <c r="R292" s="138" t="str"/>
      <c r="S292" s="139">
        <f>IF(K292="Matched",0,Mapping_Rules!$B$6-B292)</f>
        <v/>
      </c>
    </row>
    <row r="293">
      <c r="A293" s="140" t="inlineStr">
        <is>
          <t>ERP-00290</t>
        </is>
      </c>
      <c r="B293" s="141" t="n">
        <v>46041</v>
      </c>
      <c r="C293" s="140" t="inlineStr">
        <is>
          <t>AR</t>
        </is>
      </c>
      <c r="D293" s="140" t="inlineStr">
        <is>
          <t>Coastline Foods</t>
        </is>
      </c>
      <c r="E293" s="140" t="inlineStr">
        <is>
          <t>REF-100290</t>
        </is>
      </c>
      <c r="F293" s="142" t="n">
        <v>7905.2</v>
      </c>
      <c r="G293" s="143">
        <f>IFERROR(XLOOKUP(E293,Bank_Statement!$D$4:$D$448,Bank_Statement!$G$4:$G$448,""),"")</f>
        <v/>
      </c>
      <c r="H293" s="142">
        <f>IF(G293="","",F293-G293)</f>
        <v/>
      </c>
      <c r="I293" s="144">
        <f>IFERROR(XLOOKUP(E293,Bank_Statement!$D$4:$D$448,Bank_Statement!$B$4:$B$448,""),"")</f>
        <v/>
      </c>
      <c r="J293" s="145">
        <f>IF(I293="","",ABS(B293-I293))</f>
        <v/>
      </c>
      <c r="K293" s="146">
        <f>IF(G293="","Unmatched ERP",IF(AND(ABS(H293)&lt;=Mapping_Rules!$B$4,ABS(J293)&lt;=Mapping_Rules!$B$5),"Matched","Review"))</f>
        <v/>
      </c>
      <c r="L293" s="146">
        <f>IF(K293="Matched","None",IF(G293="","Missing from bank",IF(ABS(H293)&gt;Mapping_Rules!$B$4,"Amount variance","Date variance")))</f>
        <v/>
      </c>
      <c r="M293" s="146">
        <f>IF(K293="Matched","Low",IF(OR(IFERROR(ABS(H293),0)&gt;Mapping_Rules!$B$7,IFERROR(J293,0)&gt;Mapping_Rules!$B$8),"High","Medium"))</f>
        <v/>
      </c>
      <c r="N293" s="146">
        <f>IF(K293="Matched","No action needed",IF(L293="Missing from bank","Check bank date or posting",IF(L293="Amount variance","Check invoice/payment amount","Check timing difference")))</f>
        <v/>
      </c>
      <c r="O293" s="140" t="inlineStr">
        <is>
          <t>1200 AR</t>
        </is>
      </c>
      <c r="P293" s="140" t="inlineStr">
        <is>
          <t>AR Clerk</t>
        </is>
      </c>
      <c r="Q293" s="140" t="inlineStr">
        <is>
          <t>No</t>
        </is>
      </c>
      <c r="R293" s="147" t="str"/>
      <c r="S293" s="148">
        <f>IF(K293="Matched",0,Mapping_Rules!$B$6-B293)</f>
        <v/>
      </c>
    </row>
    <row r="294">
      <c r="A294" s="115" t="inlineStr">
        <is>
          <t>ERP-00291</t>
        </is>
      </c>
      <c r="B294" s="125" t="n">
        <v>46041</v>
      </c>
      <c r="C294" s="115" t="inlineStr">
        <is>
          <t>AP</t>
        </is>
      </c>
      <c r="D294" s="115" t="inlineStr">
        <is>
          <t>Vancouver Courier</t>
        </is>
      </c>
      <c r="E294" s="115" t="inlineStr">
        <is>
          <t>REF-100291</t>
        </is>
      </c>
      <c r="F294" s="126" t="n">
        <v>-4441.79</v>
      </c>
      <c r="G294" s="134">
        <f>IFERROR(XLOOKUP(E294,Bank_Statement!$D$4:$D$448,Bank_Statement!$G$4:$G$448,""),"")</f>
        <v/>
      </c>
      <c r="H294" s="126">
        <f>IF(G294="","",F294-G294)</f>
        <v/>
      </c>
      <c r="I294" s="135">
        <f>IFERROR(XLOOKUP(E294,Bank_Statement!$D$4:$D$448,Bank_Statement!$B$4:$B$448,""),"")</f>
        <v/>
      </c>
      <c r="J294" s="136">
        <f>IF(I294="","",ABS(B294-I294))</f>
        <v/>
      </c>
      <c r="K294" s="137">
        <f>IF(G294="","Unmatched ERP",IF(AND(ABS(H294)&lt;=Mapping_Rules!$B$4,ABS(J294)&lt;=Mapping_Rules!$B$5),"Matched","Review"))</f>
        <v/>
      </c>
      <c r="L294" s="137">
        <f>IF(K294="Matched","None",IF(G294="","Missing from bank",IF(ABS(H294)&gt;Mapping_Rules!$B$4,"Amount variance","Date variance")))</f>
        <v/>
      </c>
      <c r="M294" s="137">
        <f>IF(K294="Matched","Low",IF(OR(IFERROR(ABS(H294),0)&gt;Mapping_Rules!$B$7,IFERROR(J294,0)&gt;Mapping_Rules!$B$8),"High","Medium"))</f>
        <v/>
      </c>
      <c r="N294" s="137">
        <f>IF(K294="Matched","No action needed",IF(L294="Missing from bank","Check bank date or posting",IF(L294="Amount variance","Check invoice/payment amount","Check timing difference")))</f>
        <v/>
      </c>
      <c r="O294" s="115" t="inlineStr">
        <is>
          <t>2000 AP</t>
        </is>
      </c>
      <c r="P294" s="115" t="inlineStr">
        <is>
          <t>AP Clerk</t>
        </is>
      </c>
      <c r="Q294" s="115" t="inlineStr">
        <is>
          <t>No</t>
        </is>
      </c>
      <c r="R294" s="138" t="str"/>
      <c r="S294" s="139">
        <f>IF(K294="Matched",0,Mapping_Rules!$B$6-B294)</f>
        <v/>
      </c>
    </row>
    <row r="295">
      <c r="A295" s="140" t="inlineStr">
        <is>
          <t>ERP-00292</t>
        </is>
      </c>
      <c r="B295" s="141" t="n">
        <v>46050</v>
      </c>
      <c r="C295" s="140" t="inlineStr">
        <is>
          <t>AR</t>
        </is>
      </c>
      <c r="D295" s="140" t="inlineStr">
        <is>
          <t>West Van Fitness</t>
        </is>
      </c>
      <c r="E295" s="140" t="inlineStr">
        <is>
          <t>REF-100292</t>
        </is>
      </c>
      <c r="F295" s="142" t="n">
        <v>2919.94</v>
      </c>
      <c r="G295" s="143">
        <f>IFERROR(XLOOKUP(E295,Bank_Statement!$D$4:$D$448,Bank_Statement!$G$4:$G$448,""),"")</f>
        <v/>
      </c>
      <c r="H295" s="142">
        <f>IF(G295="","",F295-G295)</f>
        <v/>
      </c>
      <c r="I295" s="144">
        <f>IFERROR(XLOOKUP(E295,Bank_Statement!$D$4:$D$448,Bank_Statement!$B$4:$B$448,""),"")</f>
        <v/>
      </c>
      <c r="J295" s="145">
        <f>IF(I295="","",ABS(B295-I295))</f>
        <v/>
      </c>
      <c r="K295" s="146">
        <f>IF(G295="","Unmatched ERP",IF(AND(ABS(H295)&lt;=Mapping_Rules!$B$4,ABS(J295)&lt;=Mapping_Rules!$B$5),"Matched","Review"))</f>
        <v/>
      </c>
      <c r="L295" s="146">
        <f>IF(K295="Matched","None",IF(G295="","Missing from bank",IF(ABS(H295)&gt;Mapping_Rules!$B$4,"Amount variance","Date variance")))</f>
        <v/>
      </c>
      <c r="M295" s="146">
        <f>IF(K295="Matched","Low",IF(OR(IFERROR(ABS(H295),0)&gt;Mapping_Rules!$B$7,IFERROR(J295,0)&gt;Mapping_Rules!$B$8),"High","Medium"))</f>
        <v/>
      </c>
      <c r="N295" s="146">
        <f>IF(K295="Matched","No action needed",IF(L295="Missing from bank","Check bank date or posting",IF(L295="Amount variance","Check invoice/payment amount","Check timing difference")))</f>
        <v/>
      </c>
      <c r="O295" s="140" t="inlineStr">
        <is>
          <t>1200 AR</t>
        </is>
      </c>
      <c r="P295" s="140" t="inlineStr">
        <is>
          <t>AR Clerk</t>
        </is>
      </c>
      <c r="Q295" s="140" t="inlineStr">
        <is>
          <t>No</t>
        </is>
      </c>
      <c r="R295" s="147" t="str"/>
      <c r="S295" s="148">
        <f>IF(K295="Matched",0,Mapping_Rules!$B$6-B295)</f>
        <v/>
      </c>
    </row>
    <row r="296">
      <c r="A296" s="115" t="inlineStr">
        <is>
          <t>ERP-00293</t>
        </is>
      </c>
      <c r="B296" s="125" t="n">
        <v>46030</v>
      </c>
      <c r="C296" s="115" t="inlineStr">
        <is>
          <t>Payroll</t>
        </is>
      </c>
      <c r="D296" s="115" t="inlineStr">
        <is>
          <t>Payroll Batch</t>
        </is>
      </c>
      <c r="E296" s="115" t="inlineStr">
        <is>
          <t>REF-100293</t>
        </is>
      </c>
      <c r="F296" s="126" t="n">
        <v>-7438.59</v>
      </c>
      <c r="G296" s="134">
        <f>IFERROR(XLOOKUP(E296,Bank_Statement!$D$4:$D$448,Bank_Statement!$G$4:$G$448,""),"")</f>
        <v/>
      </c>
      <c r="H296" s="126">
        <f>IF(G296="","",F296-G296)</f>
        <v/>
      </c>
      <c r="I296" s="135">
        <f>IFERROR(XLOOKUP(E296,Bank_Statement!$D$4:$D$448,Bank_Statement!$B$4:$B$448,""),"")</f>
        <v/>
      </c>
      <c r="J296" s="136">
        <f>IF(I296="","",ABS(B296-I296))</f>
        <v/>
      </c>
      <c r="K296" s="137">
        <f>IF(G296="","Unmatched ERP",IF(AND(ABS(H296)&lt;=Mapping_Rules!$B$4,ABS(J296)&lt;=Mapping_Rules!$B$5),"Matched","Review"))</f>
        <v/>
      </c>
      <c r="L296" s="137">
        <f>IF(K296="Matched","None",IF(G296="","Missing from bank",IF(ABS(H296)&gt;Mapping_Rules!$B$4,"Amount variance","Date variance")))</f>
        <v/>
      </c>
      <c r="M296" s="137">
        <f>IF(K296="Matched","Low",IF(OR(IFERROR(ABS(H296),0)&gt;Mapping_Rules!$B$7,IFERROR(J296,0)&gt;Mapping_Rules!$B$8),"High","Medium"))</f>
        <v/>
      </c>
      <c r="N296" s="137">
        <f>IF(K296="Matched","No action needed",IF(L296="Missing from bank","Check bank date or posting",IF(L296="Amount variance","Check invoice/payment amount","Check timing difference")))</f>
        <v/>
      </c>
      <c r="O296" s="115" t="inlineStr">
        <is>
          <t>5300 Payroll</t>
        </is>
      </c>
      <c r="P296" s="115" t="inlineStr">
        <is>
          <t>Accounting Technician</t>
        </is>
      </c>
      <c r="Q296" s="115" t="inlineStr">
        <is>
          <t>No</t>
        </is>
      </c>
      <c r="R296" s="138" t="str"/>
      <c r="S296" s="139">
        <f>IF(K296="Matched",0,Mapping_Rules!$B$6-B296)</f>
        <v/>
      </c>
    </row>
    <row r="297">
      <c r="A297" s="140" t="inlineStr">
        <is>
          <t>ERP-00294</t>
        </is>
      </c>
      <c r="B297" s="141" t="n">
        <v>46048</v>
      </c>
      <c r="C297" s="140" t="inlineStr">
        <is>
          <t>Bank Fees</t>
        </is>
      </c>
      <c r="D297" s="140" t="inlineStr">
        <is>
          <t>Bank</t>
        </is>
      </c>
      <c r="E297" s="140" t="inlineStr">
        <is>
          <t>REF-100294</t>
        </is>
      </c>
      <c r="F297" s="142" t="n">
        <v>-61.42</v>
      </c>
      <c r="G297" s="143">
        <f>IFERROR(XLOOKUP(E297,Bank_Statement!$D$4:$D$448,Bank_Statement!$G$4:$G$448,""),"")</f>
        <v/>
      </c>
      <c r="H297" s="142">
        <f>IF(G297="","",F297-G297)</f>
        <v/>
      </c>
      <c r="I297" s="144">
        <f>IFERROR(XLOOKUP(E297,Bank_Statement!$D$4:$D$448,Bank_Statement!$B$4:$B$448,""),"")</f>
        <v/>
      </c>
      <c r="J297" s="145">
        <f>IF(I297="","",ABS(B297-I297))</f>
        <v/>
      </c>
      <c r="K297" s="146">
        <f>IF(G297="","Unmatched ERP",IF(AND(ABS(H297)&lt;=Mapping_Rules!$B$4,ABS(J297)&lt;=Mapping_Rules!$B$5),"Matched","Review"))</f>
        <v/>
      </c>
      <c r="L297" s="146">
        <f>IF(K297="Matched","None",IF(G297="","Missing from bank",IF(ABS(H297)&gt;Mapping_Rules!$B$4,"Amount variance","Date variance")))</f>
        <v/>
      </c>
      <c r="M297" s="146">
        <f>IF(K297="Matched","Low",IF(OR(IFERROR(ABS(H297),0)&gt;Mapping_Rules!$B$7,IFERROR(J297,0)&gt;Mapping_Rules!$B$8),"High","Medium"))</f>
        <v/>
      </c>
      <c r="N297" s="146">
        <f>IF(K297="Matched","No action needed",IF(L297="Missing from bank","Check bank date or posting",IF(L297="Amount variance","Check invoice/payment amount","Check timing difference")))</f>
        <v/>
      </c>
      <c r="O297" s="140" t="inlineStr">
        <is>
          <t>6100 Bank Fees</t>
        </is>
      </c>
      <c r="P297" s="140" t="inlineStr">
        <is>
          <t>Accounting Technician</t>
        </is>
      </c>
      <c r="Q297" s="140" t="inlineStr">
        <is>
          <t>No</t>
        </is>
      </c>
      <c r="R297" s="147" t="str"/>
      <c r="S297" s="148">
        <f>IF(K297="Matched",0,Mapping_Rules!$B$6-B297)</f>
        <v/>
      </c>
    </row>
    <row r="298">
      <c r="A298" s="115" t="inlineStr">
        <is>
          <t>ERP-00295</t>
        </is>
      </c>
      <c r="B298" s="125" t="n">
        <v>46036</v>
      </c>
      <c r="C298" s="115" t="inlineStr">
        <is>
          <t>AP</t>
        </is>
      </c>
      <c r="D298" s="115" t="inlineStr">
        <is>
          <t>Amazon Business</t>
        </is>
      </c>
      <c r="E298" s="115" t="inlineStr">
        <is>
          <t>REF-100295</t>
        </is>
      </c>
      <c r="F298" s="126" t="n">
        <v>-4123.31</v>
      </c>
      <c r="G298" s="134">
        <f>IFERROR(XLOOKUP(E298,Bank_Statement!$D$4:$D$448,Bank_Statement!$G$4:$G$448,""),"")</f>
        <v/>
      </c>
      <c r="H298" s="126">
        <f>IF(G298="","",F298-G298)</f>
        <v/>
      </c>
      <c r="I298" s="135">
        <f>IFERROR(XLOOKUP(E298,Bank_Statement!$D$4:$D$448,Bank_Statement!$B$4:$B$448,""),"")</f>
        <v/>
      </c>
      <c r="J298" s="136">
        <f>IF(I298="","",ABS(B298-I298))</f>
        <v/>
      </c>
      <c r="K298" s="137">
        <f>IF(G298="","Unmatched ERP",IF(AND(ABS(H298)&lt;=Mapping_Rules!$B$4,ABS(J298)&lt;=Mapping_Rules!$B$5),"Matched","Review"))</f>
        <v/>
      </c>
      <c r="L298" s="137">
        <f>IF(K298="Matched","None",IF(G298="","Missing from bank",IF(ABS(H298)&gt;Mapping_Rules!$B$4,"Amount variance","Date variance")))</f>
        <v/>
      </c>
      <c r="M298" s="137">
        <f>IF(K298="Matched","Low",IF(OR(IFERROR(ABS(H298),0)&gt;Mapping_Rules!$B$7,IFERROR(J298,0)&gt;Mapping_Rules!$B$8),"High","Medium"))</f>
        <v/>
      </c>
      <c r="N298" s="137">
        <f>IF(K298="Matched","No action needed",IF(L298="Missing from bank","Check bank date or posting",IF(L298="Amount variance","Check invoice/payment amount","Check timing difference")))</f>
        <v/>
      </c>
      <c r="O298" s="115" t="inlineStr">
        <is>
          <t>2000 AP</t>
        </is>
      </c>
      <c r="P298" s="115" t="inlineStr">
        <is>
          <t>AP Clerk</t>
        </is>
      </c>
      <c r="Q298" s="115" t="inlineStr">
        <is>
          <t>No</t>
        </is>
      </c>
      <c r="R298" s="138" t="str"/>
      <c r="S298" s="139">
        <f>IF(K298="Matched",0,Mapping_Rules!$B$6-B298)</f>
        <v/>
      </c>
    </row>
    <row r="299">
      <c r="A299" s="140" t="inlineStr">
        <is>
          <t>ERP-00296</t>
        </is>
      </c>
      <c r="B299" s="141" t="n">
        <v>46025</v>
      </c>
      <c r="C299" s="140" t="inlineStr">
        <is>
          <t>AP</t>
        </is>
      </c>
      <c r="D299" s="140" t="inlineStr">
        <is>
          <t>BC Hydro</t>
        </is>
      </c>
      <c r="E299" s="140" t="inlineStr">
        <is>
          <t>REF-100296</t>
        </is>
      </c>
      <c r="F299" s="142" t="n">
        <v>-4435.46</v>
      </c>
      <c r="G299" s="143">
        <f>IFERROR(XLOOKUP(E299,Bank_Statement!$D$4:$D$448,Bank_Statement!$G$4:$G$448,""),"")</f>
        <v/>
      </c>
      <c r="H299" s="142">
        <f>IF(G299="","",F299-G299)</f>
        <v/>
      </c>
      <c r="I299" s="144">
        <f>IFERROR(XLOOKUP(E299,Bank_Statement!$D$4:$D$448,Bank_Statement!$B$4:$B$448,""),"")</f>
        <v/>
      </c>
      <c r="J299" s="145">
        <f>IF(I299="","",ABS(B299-I299))</f>
        <v/>
      </c>
      <c r="K299" s="146">
        <f>IF(G299="","Unmatched ERP",IF(AND(ABS(H299)&lt;=Mapping_Rules!$B$4,ABS(J299)&lt;=Mapping_Rules!$B$5),"Matched","Review"))</f>
        <v/>
      </c>
      <c r="L299" s="146">
        <f>IF(K299="Matched","None",IF(G299="","Missing from bank",IF(ABS(H299)&gt;Mapping_Rules!$B$4,"Amount variance","Date variance")))</f>
        <v/>
      </c>
      <c r="M299" s="146">
        <f>IF(K299="Matched","Low",IF(OR(IFERROR(ABS(H299),0)&gt;Mapping_Rules!$B$7,IFERROR(J299,0)&gt;Mapping_Rules!$B$8),"High","Medium"))</f>
        <v/>
      </c>
      <c r="N299" s="146">
        <f>IF(K299="Matched","No action needed",IF(L299="Missing from bank","Check bank date or posting",IF(L299="Amount variance","Check invoice/payment amount","Check timing difference")))</f>
        <v/>
      </c>
      <c r="O299" s="140" t="inlineStr">
        <is>
          <t>2000 AP</t>
        </is>
      </c>
      <c r="P299" s="140" t="inlineStr">
        <is>
          <t>AP Clerk</t>
        </is>
      </c>
      <c r="Q299" s="140" t="inlineStr">
        <is>
          <t>No</t>
        </is>
      </c>
      <c r="R299" s="147" t="str"/>
      <c r="S299" s="148">
        <f>IF(K299="Matched",0,Mapping_Rules!$B$6-B299)</f>
        <v/>
      </c>
    </row>
    <row r="300">
      <c r="A300" s="115" t="inlineStr">
        <is>
          <t>ERP-00297</t>
        </is>
      </c>
      <c r="B300" s="125" t="n">
        <v>46053</v>
      </c>
      <c r="C300" s="115" t="inlineStr">
        <is>
          <t>AP</t>
        </is>
      </c>
      <c r="D300" s="115" t="inlineStr">
        <is>
          <t>Metro Cleaning Ltd.</t>
        </is>
      </c>
      <c r="E300" s="115" t="inlineStr">
        <is>
          <t>REF-100297</t>
        </is>
      </c>
      <c r="F300" s="126" t="n">
        <v>-4739.44</v>
      </c>
      <c r="G300" s="134">
        <f>IFERROR(XLOOKUP(E300,Bank_Statement!$D$4:$D$448,Bank_Statement!$G$4:$G$448,""),"")</f>
        <v/>
      </c>
      <c r="H300" s="126">
        <f>IF(G300="","",F300-G300)</f>
        <v/>
      </c>
      <c r="I300" s="135">
        <f>IFERROR(XLOOKUP(E300,Bank_Statement!$D$4:$D$448,Bank_Statement!$B$4:$B$448,""),"")</f>
        <v/>
      </c>
      <c r="J300" s="136">
        <f>IF(I300="","",ABS(B300-I300))</f>
        <v/>
      </c>
      <c r="K300" s="137">
        <f>IF(G300="","Unmatched ERP",IF(AND(ABS(H300)&lt;=Mapping_Rules!$B$4,ABS(J300)&lt;=Mapping_Rules!$B$5),"Matched","Review"))</f>
        <v/>
      </c>
      <c r="L300" s="137">
        <f>IF(K300="Matched","None",IF(G300="","Missing from bank",IF(ABS(H300)&gt;Mapping_Rules!$B$4,"Amount variance","Date variance")))</f>
        <v/>
      </c>
      <c r="M300" s="137">
        <f>IF(K300="Matched","Low",IF(OR(IFERROR(ABS(H300),0)&gt;Mapping_Rules!$B$7,IFERROR(J300,0)&gt;Mapping_Rules!$B$8),"High","Medium"))</f>
        <v/>
      </c>
      <c r="N300" s="137">
        <f>IF(K300="Matched","No action needed",IF(L300="Missing from bank","Check bank date or posting",IF(L300="Amount variance","Check invoice/payment amount","Check timing difference")))</f>
        <v/>
      </c>
      <c r="O300" s="115" t="inlineStr">
        <is>
          <t>2000 AP</t>
        </is>
      </c>
      <c r="P300" s="115" t="inlineStr">
        <is>
          <t>AP Clerk</t>
        </is>
      </c>
      <c r="Q300" s="115" t="inlineStr">
        <is>
          <t>No</t>
        </is>
      </c>
      <c r="R300" s="138" t="str"/>
      <c r="S300" s="139">
        <f>IF(K300="Matched",0,Mapping_Rules!$B$6-B300)</f>
        <v/>
      </c>
    </row>
    <row r="301">
      <c r="A301" s="140" t="inlineStr">
        <is>
          <t>ERP-00298</t>
        </is>
      </c>
      <c r="B301" s="141" t="n">
        <v>46040</v>
      </c>
      <c r="C301" s="140" t="inlineStr">
        <is>
          <t>AR</t>
        </is>
      </c>
      <c r="D301" s="140" t="inlineStr">
        <is>
          <t>Maple Retail Group</t>
        </is>
      </c>
      <c r="E301" s="140" t="inlineStr">
        <is>
          <t>REF-100298</t>
        </is>
      </c>
      <c r="F301" s="142" t="n">
        <v>369.29</v>
      </c>
      <c r="G301" s="143">
        <f>IFERROR(XLOOKUP(E301,Bank_Statement!$D$4:$D$448,Bank_Statement!$G$4:$G$448,""),"")</f>
        <v/>
      </c>
      <c r="H301" s="142">
        <f>IF(G301="","",F301-G301)</f>
        <v/>
      </c>
      <c r="I301" s="144">
        <f>IFERROR(XLOOKUP(E301,Bank_Statement!$D$4:$D$448,Bank_Statement!$B$4:$B$448,""),"")</f>
        <v/>
      </c>
      <c r="J301" s="145">
        <f>IF(I301="","",ABS(B301-I301))</f>
        <v/>
      </c>
      <c r="K301" s="146">
        <f>IF(G301="","Unmatched ERP",IF(AND(ABS(H301)&lt;=Mapping_Rules!$B$4,ABS(J301)&lt;=Mapping_Rules!$B$5),"Matched","Review"))</f>
        <v/>
      </c>
      <c r="L301" s="146">
        <f>IF(K301="Matched","None",IF(G301="","Missing from bank",IF(ABS(H301)&gt;Mapping_Rules!$B$4,"Amount variance","Date variance")))</f>
        <v/>
      </c>
      <c r="M301" s="146">
        <f>IF(K301="Matched","Low",IF(OR(IFERROR(ABS(H301),0)&gt;Mapping_Rules!$B$7,IFERROR(J301,0)&gt;Mapping_Rules!$B$8),"High","Medium"))</f>
        <v/>
      </c>
      <c r="N301" s="146">
        <f>IF(K301="Matched","No action needed",IF(L301="Missing from bank","Check bank date or posting",IF(L301="Amount variance","Check invoice/payment amount","Check timing difference")))</f>
        <v/>
      </c>
      <c r="O301" s="140" t="inlineStr">
        <is>
          <t>1200 AR</t>
        </is>
      </c>
      <c r="P301" s="140" t="inlineStr">
        <is>
          <t>AR Clerk</t>
        </is>
      </c>
      <c r="Q301" s="140" t="inlineStr">
        <is>
          <t>No</t>
        </is>
      </c>
      <c r="R301" s="147" t="str"/>
      <c r="S301" s="148">
        <f>IF(K301="Matched",0,Mapping_Rules!$B$6-B301)</f>
        <v/>
      </c>
    </row>
    <row r="302">
      <c r="A302" s="115" t="inlineStr">
        <is>
          <t>ERP-00299</t>
        </is>
      </c>
      <c r="B302" s="125" t="n">
        <v>46023</v>
      </c>
      <c r="C302" s="115" t="inlineStr">
        <is>
          <t>AP</t>
        </is>
      </c>
      <c r="D302" s="115" t="inlineStr">
        <is>
          <t>BC Hydro</t>
        </is>
      </c>
      <c r="E302" s="115" t="inlineStr">
        <is>
          <t>REF-100299</t>
        </is>
      </c>
      <c r="F302" s="126" t="n">
        <v>-4848.51</v>
      </c>
      <c r="G302" s="134">
        <f>IFERROR(XLOOKUP(E302,Bank_Statement!$D$4:$D$448,Bank_Statement!$G$4:$G$448,""),"")</f>
        <v/>
      </c>
      <c r="H302" s="126">
        <f>IF(G302="","",F302-G302)</f>
        <v/>
      </c>
      <c r="I302" s="135">
        <f>IFERROR(XLOOKUP(E302,Bank_Statement!$D$4:$D$448,Bank_Statement!$B$4:$B$448,""),"")</f>
        <v/>
      </c>
      <c r="J302" s="136">
        <f>IF(I302="","",ABS(B302-I302))</f>
        <v/>
      </c>
      <c r="K302" s="137">
        <f>IF(G302="","Unmatched ERP",IF(AND(ABS(H302)&lt;=Mapping_Rules!$B$4,ABS(J302)&lt;=Mapping_Rules!$B$5),"Matched","Review"))</f>
        <v/>
      </c>
      <c r="L302" s="137">
        <f>IF(K302="Matched","None",IF(G302="","Missing from bank",IF(ABS(H302)&gt;Mapping_Rules!$B$4,"Amount variance","Date variance")))</f>
        <v/>
      </c>
      <c r="M302" s="137">
        <f>IF(K302="Matched","Low",IF(OR(IFERROR(ABS(H302),0)&gt;Mapping_Rules!$B$7,IFERROR(J302,0)&gt;Mapping_Rules!$B$8),"High","Medium"))</f>
        <v/>
      </c>
      <c r="N302" s="137">
        <f>IF(K302="Matched","No action needed",IF(L302="Missing from bank","Check bank date or posting",IF(L302="Amount variance","Check invoice/payment amount","Check timing difference")))</f>
        <v/>
      </c>
      <c r="O302" s="115" t="inlineStr">
        <is>
          <t>2000 AP</t>
        </is>
      </c>
      <c r="P302" s="115" t="inlineStr">
        <is>
          <t>AP Clerk</t>
        </is>
      </c>
      <c r="Q302" s="115" t="inlineStr">
        <is>
          <t>No</t>
        </is>
      </c>
      <c r="R302" s="138" t="str"/>
      <c r="S302" s="139">
        <f>IF(K302="Matched",0,Mapping_Rules!$B$6-B302)</f>
        <v/>
      </c>
    </row>
    <row r="303">
      <c r="A303" s="140" t="inlineStr">
        <is>
          <t>ERP-00300</t>
        </is>
      </c>
      <c r="B303" s="141" t="n">
        <v>46028</v>
      </c>
      <c r="C303" s="140" t="inlineStr">
        <is>
          <t>AP</t>
        </is>
      </c>
      <c r="D303" s="140" t="inlineStr">
        <is>
          <t>Metro Cleaning Ltd.</t>
        </is>
      </c>
      <c r="E303" s="140" t="inlineStr">
        <is>
          <t>REF-100300</t>
        </is>
      </c>
      <c r="F303" s="142" t="n">
        <v>-1722.65</v>
      </c>
      <c r="G303" s="143">
        <f>IFERROR(XLOOKUP(E303,Bank_Statement!$D$4:$D$448,Bank_Statement!$G$4:$G$448,""),"")</f>
        <v/>
      </c>
      <c r="H303" s="142">
        <f>IF(G303="","",F303-G303)</f>
        <v/>
      </c>
      <c r="I303" s="144">
        <f>IFERROR(XLOOKUP(E303,Bank_Statement!$D$4:$D$448,Bank_Statement!$B$4:$B$448,""),"")</f>
        <v/>
      </c>
      <c r="J303" s="145">
        <f>IF(I303="","",ABS(B303-I303))</f>
        <v/>
      </c>
      <c r="K303" s="146">
        <f>IF(G303="","Unmatched ERP",IF(AND(ABS(H303)&lt;=Mapping_Rules!$B$4,ABS(J303)&lt;=Mapping_Rules!$B$5),"Matched","Review"))</f>
        <v/>
      </c>
      <c r="L303" s="146">
        <f>IF(K303="Matched","None",IF(G303="","Missing from bank",IF(ABS(H303)&gt;Mapping_Rules!$B$4,"Amount variance","Date variance")))</f>
        <v/>
      </c>
      <c r="M303" s="146">
        <f>IF(K303="Matched","Low",IF(OR(IFERROR(ABS(H303),0)&gt;Mapping_Rules!$B$7,IFERROR(J303,0)&gt;Mapping_Rules!$B$8),"High","Medium"))</f>
        <v/>
      </c>
      <c r="N303" s="146">
        <f>IF(K303="Matched","No action needed",IF(L303="Missing from bank","Check bank date or posting",IF(L303="Amount variance","Check invoice/payment amount","Check timing difference")))</f>
        <v/>
      </c>
      <c r="O303" s="140" t="inlineStr">
        <is>
          <t>2000 AP</t>
        </is>
      </c>
      <c r="P303" s="140" t="inlineStr">
        <is>
          <t>AP Clerk</t>
        </is>
      </c>
      <c r="Q303" s="140" t="inlineStr">
        <is>
          <t>No</t>
        </is>
      </c>
      <c r="R303" s="147" t="str"/>
      <c r="S303" s="148">
        <f>IF(K303="Matched",0,Mapping_Rules!$B$6-B303)</f>
        <v/>
      </c>
    </row>
    <row r="304">
      <c r="A304" s="115" t="inlineStr">
        <is>
          <t>ERP-00301</t>
        </is>
      </c>
      <c r="B304" s="125" t="n">
        <v>46038</v>
      </c>
      <c r="C304" s="115" t="inlineStr">
        <is>
          <t>GL</t>
        </is>
      </c>
      <c r="D304" s="115" t="inlineStr">
        <is>
          <t>Staples Canada</t>
        </is>
      </c>
      <c r="E304" s="115" t="inlineStr">
        <is>
          <t>REF-100301</t>
        </is>
      </c>
      <c r="F304" s="126" t="n">
        <v>1295.91</v>
      </c>
      <c r="G304" s="134">
        <f>IFERROR(XLOOKUP(E304,Bank_Statement!$D$4:$D$448,Bank_Statement!$G$4:$G$448,""),"")</f>
        <v/>
      </c>
      <c r="H304" s="126">
        <f>IF(G304="","",F304-G304)</f>
        <v/>
      </c>
      <c r="I304" s="135">
        <f>IFERROR(XLOOKUP(E304,Bank_Statement!$D$4:$D$448,Bank_Statement!$B$4:$B$448,""),"")</f>
        <v/>
      </c>
      <c r="J304" s="136">
        <f>IF(I304="","",ABS(B304-I304))</f>
        <v/>
      </c>
      <c r="K304" s="137">
        <f>IF(G304="","Unmatched ERP",IF(AND(ABS(H304)&lt;=Mapping_Rules!$B$4,ABS(J304)&lt;=Mapping_Rules!$B$5),"Matched","Review"))</f>
        <v/>
      </c>
      <c r="L304" s="137">
        <f>IF(K304="Matched","None",IF(G304="","Missing from bank",IF(ABS(H304)&gt;Mapping_Rules!$B$4,"Amount variance","Date variance")))</f>
        <v/>
      </c>
      <c r="M304" s="137">
        <f>IF(K304="Matched","Low",IF(OR(IFERROR(ABS(H304),0)&gt;Mapping_Rules!$B$7,IFERROR(J304,0)&gt;Mapping_Rules!$B$8),"High","Medium"))</f>
        <v/>
      </c>
      <c r="N304" s="137">
        <f>IF(K304="Matched","No action needed",IF(L304="Missing from bank","Check bank date or posting",IF(L304="Amount variance","Check invoice/payment amount","Check timing difference")))</f>
        <v/>
      </c>
      <c r="O304" s="115" t="inlineStr">
        <is>
          <t>6100 Bank Fees</t>
        </is>
      </c>
      <c r="P304" s="115" t="inlineStr">
        <is>
          <t>Accounting Technician</t>
        </is>
      </c>
      <c r="Q304" s="115" t="inlineStr">
        <is>
          <t>No</t>
        </is>
      </c>
      <c r="R304" s="138" t="str"/>
      <c r="S304" s="139">
        <f>IF(K304="Matched",0,Mapping_Rules!$B$6-B304)</f>
        <v/>
      </c>
    </row>
    <row r="305">
      <c r="A305" s="140" t="inlineStr">
        <is>
          <t>ERP-00302</t>
        </is>
      </c>
      <c r="B305" s="141" t="n">
        <v>46023</v>
      </c>
      <c r="C305" s="140" t="inlineStr">
        <is>
          <t>Bank Fees</t>
        </is>
      </c>
      <c r="D305" s="140" t="inlineStr">
        <is>
          <t>Bank</t>
        </is>
      </c>
      <c r="E305" s="140" t="inlineStr">
        <is>
          <t>REF-100302</t>
        </is>
      </c>
      <c r="F305" s="142" t="n">
        <v>-43.2</v>
      </c>
      <c r="G305" s="143">
        <f>IFERROR(XLOOKUP(E305,Bank_Statement!$D$4:$D$448,Bank_Statement!$G$4:$G$448,""),"")</f>
        <v/>
      </c>
      <c r="H305" s="142">
        <f>IF(G305="","",F305-G305)</f>
        <v/>
      </c>
      <c r="I305" s="144">
        <f>IFERROR(XLOOKUP(E305,Bank_Statement!$D$4:$D$448,Bank_Statement!$B$4:$B$448,""),"")</f>
        <v/>
      </c>
      <c r="J305" s="145">
        <f>IF(I305="","",ABS(B305-I305))</f>
        <v/>
      </c>
      <c r="K305" s="146">
        <f>IF(G305="","Unmatched ERP",IF(AND(ABS(H305)&lt;=Mapping_Rules!$B$4,ABS(J305)&lt;=Mapping_Rules!$B$5),"Matched","Review"))</f>
        <v/>
      </c>
      <c r="L305" s="146">
        <f>IF(K305="Matched","None",IF(G305="","Missing from bank",IF(ABS(H305)&gt;Mapping_Rules!$B$4,"Amount variance","Date variance")))</f>
        <v/>
      </c>
      <c r="M305" s="146">
        <f>IF(K305="Matched","Low",IF(OR(IFERROR(ABS(H305),0)&gt;Mapping_Rules!$B$7,IFERROR(J305,0)&gt;Mapping_Rules!$B$8),"High","Medium"))</f>
        <v/>
      </c>
      <c r="N305" s="146">
        <f>IF(K305="Matched","No action needed",IF(L305="Missing from bank","Check bank date or posting",IF(L305="Amount variance","Check invoice/payment amount","Check timing difference")))</f>
        <v/>
      </c>
      <c r="O305" s="140" t="inlineStr">
        <is>
          <t>6100 Bank Fees</t>
        </is>
      </c>
      <c r="P305" s="140" t="inlineStr">
        <is>
          <t>Accounting Technician</t>
        </is>
      </c>
      <c r="Q305" s="140" t="inlineStr">
        <is>
          <t>No</t>
        </is>
      </c>
      <c r="R305" s="147" t="str"/>
      <c r="S305" s="148">
        <f>IF(K305="Matched",0,Mapping_Rules!$B$6-B305)</f>
        <v/>
      </c>
    </row>
    <row r="306">
      <c r="A306" s="115" t="inlineStr">
        <is>
          <t>ERP-00303</t>
        </is>
      </c>
      <c r="B306" s="125" t="n">
        <v>46036</v>
      </c>
      <c r="C306" s="115" t="inlineStr">
        <is>
          <t>Payroll</t>
        </is>
      </c>
      <c r="D306" s="115" t="inlineStr">
        <is>
          <t>Payroll Batch</t>
        </is>
      </c>
      <c r="E306" s="115" t="inlineStr">
        <is>
          <t>REF-100303</t>
        </is>
      </c>
      <c r="F306" s="126" t="n">
        <v>-14962.87</v>
      </c>
      <c r="G306" s="134">
        <f>IFERROR(XLOOKUP(E306,Bank_Statement!$D$4:$D$448,Bank_Statement!$G$4:$G$448,""),"")</f>
        <v/>
      </c>
      <c r="H306" s="126">
        <f>IF(G306="","",F306-G306)</f>
        <v/>
      </c>
      <c r="I306" s="135">
        <f>IFERROR(XLOOKUP(E306,Bank_Statement!$D$4:$D$448,Bank_Statement!$B$4:$B$448,""),"")</f>
        <v/>
      </c>
      <c r="J306" s="136">
        <f>IF(I306="","",ABS(B306-I306))</f>
        <v/>
      </c>
      <c r="K306" s="137">
        <f>IF(G306="","Unmatched ERP",IF(AND(ABS(H306)&lt;=Mapping_Rules!$B$4,ABS(J306)&lt;=Mapping_Rules!$B$5),"Matched","Review"))</f>
        <v/>
      </c>
      <c r="L306" s="137">
        <f>IF(K306="Matched","None",IF(G306="","Missing from bank",IF(ABS(H306)&gt;Mapping_Rules!$B$4,"Amount variance","Date variance")))</f>
        <v/>
      </c>
      <c r="M306" s="137">
        <f>IF(K306="Matched","Low",IF(OR(IFERROR(ABS(H306),0)&gt;Mapping_Rules!$B$7,IFERROR(J306,0)&gt;Mapping_Rules!$B$8),"High","Medium"))</f>
        <v/>
      </c>
      <c r="N306" s="137">
        <f>IF(K306="Matched","No action needed",IF(L306="Missing from bank","Check bank date or posting",IF(L306="Amount variance","Check invoice/payment amount","Check timing difference")))</f>
        <v/>
      </c>
      <c r="O306" s="115" t="inlineStr">
        <is>
          <t>5300 Payroll</t>
        </is>
      </c>
      <c r="P306" s="115" t="inlineStr">
        <is>
          <t>Accounting Technician</t>
        </is>
      </c>
      <c r="Q306" s="115" t="inlineStr">
        <is>
          <t>No</t>
        </is>
      </c>
      <c r="R306" s="138" t="str"/>
      <c r="S306" s="139">
        <f>IF(K306="Matched",0,Mapping_Rules!$B$6-B306)</f>
        <v/>
      </c>
    </row>
    <row r="307">
      <c r="A307" s="140" t="inlineStr">
        <is>
          <t>ERP-00304</t>
        </is>
      </c>
      <c r="B307" s="141" t="n">
        <v>46028</v>
      </c>
      <c r="C307" s="140" t="inlineStr">
        <is>
          <t>Bank Fees</t>
        </is>
      </c>
      <c r="D307" s="140" t="inlineStr">
        <is>
          <t>Bank</t>
        </is>
      </c>
      <c r="E307" s="140" t="inlineStr">
        <is>
          <t>REF-100304</t>
        </is>
      </c>
      <c r="F307" s="142" t="n">
        <v>-116.4</v>
      </c>
      <c r="G307" s="143">
        <f>IFERROR(XLOOKUP(E307,Bank_Statement!$D$4:$D$448,Bank_Statement!$G$4:$G$448,""),"")</f>
        <v/>
      </c>
      <c r="H307" s="142">
        <f>IF(G307="","",F307-G307)</f>
        <v/>
      </c>
      <c r="I307" s="144">
        <f>IFERROR(XLOOKUP(E307,Bank_Statement!$D$4:$D$448,Bank_Statement!$B$4:$B$448,""),"")</f>
        <v/>
      </c>
      <c r="J307" s="145">
        <f>IF(I307="","",ABS(B307-I307))</f>
        <v/>
      </c>
      <c r="K307" s="146">
        <f>IF(G307="","Unmatched ERP",IF(AND(ABS(H307)&lt;=Mapping_Rules!$B$4,ABS(J307)&lt;=Mapping_Rules!$B$5),"Matched","Review"))</f>
        <v/>
      </c>
      <c r="L307" s="146">
        <f>IF(K307="Matched","None",IF(G307="","Missing from bank",IF(ABS(H307)&gt;Mapping_Rules!$B$4,"Amount variance","Date variance")))</f>
        <v/>
      </c>
      <c r="M307" s="146">
        <f>IF(K307="Matched","Low",IF(OR(IFERROR(ABS(H307),0)&gt;Mapping_Rules!$B$7,IFERROR(J307,0)&gt;Mapping_Rules!$B$8),"High","Medium"))</f>
        <v/>
      </c>
      <c r="N307" s="146">
        <f>IF(K307="Matched","No action needed",IF(L307="Missing from bank","Check bank date or posting",IF(L307="Amount variance","Check invoice/payment amount","Check timing difference")))</f>
        <v/>
      </c>
      <c r="O307" s="140" t="inlineStr">
        <is>
          <t>6100 Bank Fees</t>
        </is>
      </c>
      <c r="P307" s="140" t="inlineStr">
        <is>
          <t>Accounting Technician</t>
        </is>
      </c>
      <c r="Q307" s="140" t="inlineStr">
        <is>
          <t>No</t>
        </is>
      </c>
      <c r="R307" s="147" t="str"/>
      <c r="S307" s="148">
        <f>IF(K307="Matched",0,Mapping_Rules!$B$6-B307)</f>
        <v/>
      </c>
    </row>
    <row r="308">
      <c r="A308" s="115" t="inlineStr">
        <is>
          <t>ERP-00305</t>
        </is>
      </c>
      <c r="B308" s="125" t="n">
        <v>46048</v>
      </c>
      <c r="C308" s="115" t="inlineStr">
        <is>
          <t>AP</t>
        </is>
      </c>
      <c r="D308" s="115" t="inlineStr">
        <is>
          <t>BC Hydro</t>
        </is>
      </c>
      <c r="E308" s="115" t="inlineStr">
        <is>
          <t>REF-100305</t>
        </is>
      </c>
      <c r="F308" s="126" t="n">
        <v>-1795.44</v>
      </c>
      <c r="G308" s="134">
        <f>IFERROR(XLOOKUP(E308,Bank_Statement!$D$4:$D$448,Bank_Statement!$G$4:$G$448,""),"")</f>
        <v/>
      </c>
      <c r="H308" s="126">
        <f>IF(G308="","",F308-G308)</f>
        <v/>
      </c>
      <c r="I308" s="135">
        <f>IFERROR(XLOOKUP(E308,Bank_Statement!$D$4:$D$448,Bank_Statement!$B$4:$B$448,""),"")</f>
        <v/>
      </c>
      <c r="J308" s="136">
        <f>IF(I308="","",ABS(B308-I308))</f>
        <v/>
      </c>
      <c r="K308" s="137">
        <f>IF(G308="","Unmatched ERP",IF(AND(ABS(H308)&lt;=Mapping_Rules!$B$4,ABS(J308)&lt;=Mapping_Rules!$B$5),"Matched","Review"))</f>
        <v/>
      </c>
      <c r="L308" s="137">
        <f>IF(K308="Matched","None",IF(G308="","Missing from bank",IF(ABS(H308)&gt;Mapping_Rules!$B$4,"Amount variance","Date variance")))</f>
        <v/>
      </c>
      <c r="M308" s="137">
        <f>IF(K308="Matched","Low",IF(OR(IFERROR(ABS(H308),0)&gt;Mapping_Rules!$B$7,IFERROR(J308,0)&gt;Mapping_Rules!$B$8),"High","Medium"))</f>
        <v/>
      </c>
      <c r="N308" s="137">
        <f>IF(K308="Matched","No action needed",IF(L308="Missing from bank","Check bank date or posting",IF(L308="Amount variance","Check invoice/payment amount","Check timing difference")))</f>
        <v/>
      </c>
      <c r="O308" s="115" t="inlineStr">
        <is>
          <t>2000 AP</t>
        </is>
      </c>
      <c r="P308" s="115" t="inlineStr">
        <is>
          <t>AP Clerk</t>
        </is>
      </c>
      <c r="Q308" s="115" t="inlineStr">
        <is>
          <t>No</t>
        </is>
      </c>
      <c r="R308" s="138" t="str"/>
      <c r="S308" s="139">
        <f>IF(K308="Matched",0,Mapping_Rules!$B$6-B308)</f>
        <v/>
      </c>
    </row>
    <row r="309">
      <c r="A309" s="140" t="inlineStr">
        <is>
          <t>ERP-00306</t>
        </is>
      </c>
      <c r="B309" s="141" t="n">
        <v>46040</v>
      </c>
      <c r="C309" s="140" t="inlineStr">
        <is>
          <t>AP</t>
        </is>
      </c>
      <c r="D309" s="140" t="inlineStr">
        <is>
          <t>Vancouver Courier</t>
        </is>
      </c>
      <c r="E309" s="140" t="inlineStr">
        <is>
          <t>REF-100306</t>
        </is>
      </c>
      <c r="F309" s="142" t="n">
        <v>-3446.61</v>
      </c>
      <c r="G309" s="143">
        <f>IFERROR(XLOOKUP(E309,Bank_Statement!$D$4:$D$448,Bank_Statement!$G$4:$G$448,""),"")</f>
        <v/>
      </c>
      <c r="H309" s="142">
        <f>IF(G309="","",F309-G309)</f>
        <v/>
      </c>
      <c r="I309" s="144">
        <f>IFERROR(XLOOKUP(E309,Bank_Statement!$D$4:$D$448,Bank_Statement!$B$4:$B$448,""),"")</f>
        <v/>
      </c>
      <c r="J309" s="145">
        <f>IF(I309="","",ABS(B309-I309))</f>
        <v/>
      </c>
      <c r="K309" s="146">
        <f>IF(G309="","Unmatched ERP",IF(AND(ABS(H309)&lt;=Mapping_Rules!$B$4,ABS(J309)&lt;=Mapping_Rules!$B$5),"Matched","Review"))</f>
        <v/>
      </c>
      <c r="L309" s="146">
        <f>IF(K309="Matched","None",IF(G309="","Missing from bank",IF(ABS(H309)&gt;Mapping_Rules!$B$4,"Amount variance","Date variance")))</f>
        <v/>
      </c>
      <c r="M309" s="146">
        <f>IF(K309="Matched","Low",IF(OR(IFERROR(ABS(H309),0)&gt;Mapping_Rules!$B$7,IFERROR(J309,0)&gt;Mapping_Rules!$B$8),"High","Medium"))</f>
        <v/>
      </c>
      <c r="N309" s="146">
        <f>IF(K309="Matched","No action needed",IF(L309="Missing from bank","Check bank date or posting",IF(L309="Amount variance","Check invoice/payment amount","Check timing difference")))</f>
        <v/>
      </c>
      <c r="O309" s="140" t="inlineStr">
        <is>
          <t>2000 AP</t>
        </is>
      </c>
      <c r="P309" s="140" t="inlineStr">
        <is>
          <t>AP Clerk</t>
        </is>
      </c>
      <c r="Q309" s="140" t="inlineStr">
        <is>
          <t>No</t>
        </is>
      </c>
      <c r="R309" s="147" t="str"/>
      <c r="S309" s="148">
        <f>IF(K309="Matched",0,Mapping_Rules!$B$6-B309)</f>
        <v/>
      </c>
    </row>
    <row r="310">
      <c r="A310" s="115" t="inlineStr">
        <is>
          <t>ERP-00307</t>
        </is>
      </c>
      <c r="B310" s="125" t="n">
        <v>46025</v>
      </c>
      <c r="C310" s="115" t="inlineStr">
        <is>
          <t>Payroll</t>
        </is>
      </c>
      <c r="D310" s="115" t="inlineStr">
        <is>
          <t>Payroll Batch</t>
        </is>
      </c>
      <c r="E310" s="115" t="inlineStr">
        <is>
          <t>REF-100307</t>
        </is>
      </c>
      <c r="F310" s="126" t="n">
        <v>-14037.02</v>
      </c>
      <c r="G310" s="134">
        <f>IFERROR(XLOOKUP(E310,Bank_Statement!$D$4:$D$448,Bank_Statement!$G$4:$G$448,""),"")</f>
        <v/>
      </c>
      <c r="H310" s="126">
        <f>IF(G310="","",F310-G310)</f>
        <v/>
      </c>
      <c r="I310" s="135">
        <f>IFERROR(XLOOKUP(E310,Bank_Statement!$D$4:$D$448,Bank_Statement!$B$4:$B$448,""),"")</f>
        <v/>
      </c>
      <c r="J310" s="136">
        <f>IF(I310="","",ABS(B310-I310))</f>
        <v/>
      </c>
      <c r="K310" s="137">
        <f>IF(G310="","Unmatched ERP",IF(AND(ABS(H310)&lt;=Mapping_Rules!$B$4,ABS(J310)&lt;=Mapping_Rules!$B$5),"Matched","Review"))</f>
        <v/>
      </c>
      <c r="L310" s="137">
        <f>IF(K310="Matched","None",IF(G310="","Missing from bank",IF(ABS(H310)&gt;Mapping_Rules!$B$4,"Amount variance","Date variance")))</f>
        <v/>
      </c>
      <c r="M310" s="137">
        <f>IF(K310="Matched","Low",IF(OR(IFERROR(ABS(H310),0)&gt;Mapping_Rules!$B$7,IFERROR(J310,0)&gt;Mapping_Rules!$B$8),"High","Medium"))</f>
        <v/>
      </c>
      <c r="N310" s="137">
        <f>IF(K310="Matched","No action needed",IF(L310="Missing from bank","Check bank date or posting",IF(L310="Amount variance","Check invoice/payment amount","Check timing difference")))</f>
        <v/>
      </c>
      <c r="O310" s="115" t="inlineStr">
        <is>
          <t>5300 Payroll</t>
        </is>
      </c>
      <c r="P310" s="115" t="inlineStr">
        <is>
          <t>Accounting Technician</t>
        </is>
      </c>
      <c r="Q310" s="115" t="inlineStr">
        <is>
          <t>No</t>
        </is>
      </c>
      <c r="R310" s="138" t="str"/>
      <c r="S310" s="139">
        <f>IF(K310="Matched",0,Mapping_Rules!$B$6-B310)</f>
        <v/>
      </c>
    </row>
    <row r="311">
      <c r="A311" s="140" t="inlineStr">
        <is>
          <t>ERP-00308</t>
        </is>
      </c>
      <c r="B311" s="141" t="n">
        <v>46044</v>
      </c>
      <c r="C311" s="140" t="inlineStr">
        <is>
          <t>AP</t>
        </is>
      </c>
      <c r="D311" s="140" t="inlineStr">
        <is>
          <t>BC Hydro</t>
        </is>
      </c>
      <c r="E311" s="140" t="inlineStr">
        <is>
          <t>REF-100308</t>
        </is>
      </c>
      <c r="F311" s="142" t="n">
        <v>-4909.15</v>
      </c>
      <c r="G311" s="143">
        <f>IFERROR(XLOOKUP(E311,Bank_Statement!$D$4:$D$448,Bank_Statement!$G$4:$G$448,""),"")</f>
        <v/>
      </c>
      <c r="H311" s="142">
        <f>IF(G311="","",F311-G311)</f>
        <v/>
      </c>
      <c r="I311" s="144">
        <f>IFERROR(XLOOKUP(E311,Bank_Statement!$D$4:$D$448,Bank_Statement!$B$4:$B$448,""),"")</f>
        <v/>
      </c>
      <c r="J311" s="145">
        <f>IF(I311="","",ABS(B311-I311))</f>
        <v/>
      </c>
      <c r="K311" s="146">
        <f>IF(G311="","Unmatched ERP",IF(AND(ABS(H311)&lt;=Mapping_Rules!$B$4,ABS(J311)&lt;=Mapping_Rules!$B$5),"Matched","Review"))</f>
        <v/>
      </c>
      <c r="L311" s="146">
        <f>IF(K311="Matched","None",IF(G311="","Missing from bank",IF(ABS(H311)&gt;Mapping_Rules!$B$4,"Amount variance","Date variance")))</f>
        <v/>
      </c>
      <c r="M311" s="146">
        <f>IF(K311="Matched","Low",IF(OR(IFERROR(ABS(H311),0)&gt;Mapping_Rules!$B$7,IFERROR(J311,0)&gt;Mapping_Rules!$B$8),"High","Medium"))</f>
        <v/>
      </c>
      <c r="N311" s="146">
        <f>IF(K311="Matched","No action needed",IF(L311="Missing from bank","Check bank date or posting",IF(L311="Amount variance","Check invoice/payment amount","Check timing difference")))</f>
        <v/>
      </c>
      <c r="O311" s="140" t="inlineStr">
        <is>
          <t>2000 AP</t>
        </is>
      </c>
      <c r="P311" s="140" t="inlineStr">
        <is>
          <t>AP Clerk</t>
        </is>
      </c>
      <c r="Q311" s="140" t="inlineStr">
        <is>
          <t>No</t>
        </is>
      </c>
      <c r="R311" s="147" t="str"/>
      <c r="S311" s="148">
        <f>IF(K311="Matched",0,Mapping_Rules!$B$6-B311)</f>
        <v/>
      </c>
    </row>
    <row r="312">
      <c r="A312" s="115" t="inlineStr">
        <is>
          <t>ERP-00309</t>
        </is>
      </c>
      <c r="B312" s="125" t="n">
        <v>46038</v>
      </c>
      <c r="C312" s="115" t="inlineStr">
        <is>
          <t>AR</t>
        </is>
      </c>
      <c r="D312" s="115" t="inlineStr">
        <is>
          <t>West Van Fitness</t>
        </is>
      </c>
      <c r="E312" s="115" t="inlineStr">
        <is>
          <t>REF-100309</t>
        </is>
      </c>
      <c r="F312" s="126" t="n">
        <v>4380.22</v>
      </c>
      <c r="G312" s="134">
        <f>IFERROR(XLOOKUP(E312,Bank_Statement!$D$4:$D$448,Bank_Statement!$G$4:$G$448,""),"")</f>
        <v/>
      </c>
      <c r="H312" s="126">
        <f>IF(G312="","",F312-G312)</f>
        <v/>
      </c>
      <c r="I312" s="135">
        <f>IFERROR(XLOOKUP(E312,Bank_Statement!$D$4:$D$448,Bank_Statement!$B$4:$B$448,""),"")</f>
        <v/>
      </c>
      <c r="J312" s="136">
        <f>IF(I312="","",ABS(B312-I312))</f>
        <v/>
      </c>
      <c r="K312" s="137">
        <f>IF(G312="","Unmatched ERP",IF(AND(ABS(H312)&lt;=Mapping_Rules!$B$4,ABS(J312)&lt;=Mapping_Rules!$B$5),"Matched","Review"))</f>
        <v/>
      </c>
      <c r="L312" s="137">
        <f>IF(K312="Matched","None",IF(G312="","Missing from bank",IF(ABS(H312)&gt;Mapping_Rules!$B$4,"Amount variance","Date variance")))</f>
        <v/>
      </c>
      <c r="M312" s="137">
        <f>IF(K312="Matched","Low",IF(OR(IFERROR(ABS(H312),0)&gt;Mapping_Rules!$B$7,IFERROR(J312,0)&gt;Mapping_Rules!$B$8),"High","Medium"))</f>
        <v/>
      </c>
      <c r="N312" s="137">
        <f>IF(K312="Matched","No action needed",IF(L312="Missing from bank","Check bank date or posting",IF(L312="Amount variance","Check invoice/payment amount","Check timing difference")))</f>
        <v/>
      </c>
      <c r="O312" s="115" t="inlineStr">
        <is>
          <t>1200 AR</t>
        </is>
      </c>
      <c r="P312" s="115" t="inlineStr">
        <is>
          <t>AR Clerk</t>
        </is>
      </c>
      <c r="Q312" s="115" t="inlineStr">
        <is>
          <t>No</t>
        </is>
      </c>
      <c r="R312" s="138" t="str"/>
      <c r="S312" s="139">
        <f>IF(K312="Matched",0,Mapping_Rules!$B$6-B312)</f>
        <v/>
      </c>
    </row>
    <row r="313">
      <c r="A313" s="140" t="inlineStr">
        <is>
          <t>ERP-00310</t>
        </is>
      </c>
      <c r="B313" s="141" t="n">
        <v>46048</v>
      </c>
      <c r="C313" s="140" t="inlineStr">
        <is>
          <t>AR</t>
        </is>
      </c>
      <c r="D313" s="140" t="inlineStr">
        <is>
          <t>Harbour Design Co.</t>
        </is>
      </c>
      <c r="E313" s="140" t="inlineStr">
        <is>
          <t>REF-100310</t>
        </is>
      </c>
      <c r="F313" s="142" t="n">
        <v>7785.25</v>
      </c>
      <c r="G313" s="143">
        <f>IFERROR(XLOOKUP(E313,Bank_Statement!$D$4:$D$448,Bank_Statement!$G$4:$G$448,""),"")</f>
        <v/>
      </c>
      <c r="H313" s="142">
        <f>IF(G313="","",F313-G313)</f>
        <v/>
      </c>
      <c r="I313" s="144">
        <f>IFERROR(XLOOKUP(E313,Bank_Statement!$D$4:$D$448,Bank_Statement!$B$4:$B$448,""),"")</f>
        <v/>
      </c>
      <c r="J313" s="145">
        <f>IF(I313="","",ABS(B313-I313))</f>
        <v/>
      </c>
      <c r="K313" s="146">
        <f>IF(G313="","Unmatched ERP",IF(AND(ABS(H313)&lt;=Mapping_Rules!$B$4,ABS(J313)&lt;=Mapping_Rules!$B$5),"Matched","Review"))</f>
        <v/>
      </c>
      <c r="L313" s="146">
        <f>IF(K313="Matched","None",IF(G313="","Missing from bank",IF(ABS(H313)&gt;Mapping_Rules!$B$4,"Amount variance","Date variance")))</f>
        <v/>
      </c>
      <c r="M313" s="146">
        <f>IF(K313="Matched","Low",IF(OR(IFERROR(ABS(H313),0)&gt;Mapping_Rules!$B$7,IFERROR(J313,0)&gt;Mapping_Rules!$B$8),"High","Medium"))</f>
        <v/>
      </c>
      <c r="N313" s="146">
        <f>IF(K313="Matched","No action needed",IF(L313="Missing from bank","Check bank date or posting",IF(L313="Amount variance","Check invoice/payment amount","Check timing difference")))</f>
        <v/>
      </c>
      <c r="O313" s="140" t="inlineStr">
        <is>
          <t>1200 AR</t>
        </is>
      </c>
      <c r="P313" s="140" t="inlineStr">
        <is>
          <t>AR Clerk</t>
        </is>
      </c>
      <c r="Q313" s="140" t="inlineStr">
        <is>
          <t>No</t>
        </is>
      </c>
      <c r="R313" s="147" t="str"/>
      <c r="S313" s="148">
        <f>IF(K313="Matched",0,Mapping_Rules!$B$6-B313)</f>
        <v/>
      </c>
    </row>
    <row r="314">
      <c r="A314" s="115" t="inlineStr">
        <is>
          <t>ERP-00311</t>
        </is>
      </c>
      <c r="B314" s="125" t="n">
        <v>46042</v>
      </c>
      <c r="C314" s="115" t="inlineStr">
        <is>
          <t>AP</t>
        </is>
      </c>
      <c r="D314" s="115" t="inlineStr">
        <is>
          <t>Staples Canada</t>
        </is>
      </c>
      <c r="E314" s="115" t="inlineStr">
        <is>
          <t>REF-100311</t>
        </is>
      </c>
      <c r="F314" s="126" t="n">
        <v>-4226.13</v>
      </c>
      <c r="G314" s="134">
        <f>IFERROR(XLOOKUP(E314,Bank_Statement!$D$4:$D$448,Bank_Statement!$G$4:$G$448,""),"")</f>
        <v/>
      </c>
      <c r="H314" s="126">
        <f>IF(G314="","",F314-G314)</f>
        <v/>
      </c>
      <c r="I314" s="135">
        <f>IFERROR(XLOOKUP(E314,Bank_Statement!$D$4:$D$448,Bank_Statement!$B$4:$B$448,""),"")</f>
        <v/>
      </c>
      <c r="J314" s="136">
        <f>IF(I314="","",ABS(B314-I314))</f>
        <v/>
      </c>
      <c r="K314" s="137">
        <f>IF(G314="","Unmatched ERP",IF(AND(ABS(H314)&lt;=Mapping_Rules!$B$4,ABS(J314)&lt;=Mapping_Rules!$B$5),"Matched","Review"))</f>
        <v/>
      </c>
      <c r="L314" s="137">
        <f>IF(K314="Matched","None",IF(G314="","Missing from bank",IF(ABS(H314)&gt;Mapping_Rules!$B$4,"Amount variance","Date variance")))</f>
        <v/>
      </c>
      <c r="M314" s="137">
        <f>IF(K314="Matched","Low",IF(OR(IFERROR(ABS(H314),0)&gt;Mapping_Rules!$B$7,IFERROR(J314,0)&gt;Mapping_Rules!$B$8),"High","Medium"))</f>
        <v/>
      </c>
      <c r="N314" s="137">
        <f>IF(K314="Matched","No action needed",IF(L314="Missing from bank","Check bank date or posting",IF(L314="Amount variance","Check invoice/payment amount","Check timing difference")))</f>
        <v/>
      </c>
      <c r="O314" s="115" t="inlineStr">
        <is>
          <t>2000 AP</t>
        </is>
      </c>
      <c r="P314" s="115" t="inlineStr">
        <is>
          <t>AP Clerk</t>
        </is>
      </c>
      <c r="Q314" s="115" t="inlineStr">
        <is>
          <t>No</t>
        </is>
      </c>
      <c r="R314" s="138" t="str"/>
      <c r="S314" s="139">
        <f>IF(K314="Matched",0,Mapping_Rules!$B$6-B314)</f>
        <v/>
      </c>
    </row>
    <row r="315">
      <c r="A315" s="140" t="inlineStr">
        <is>
          <t>ERP-00312</t>
        </is>
      </c>
      <c r="B315" s="141" t="n">
        <v>46036</v>
      </c>
      <c r="C315" s="140" t="inlineStr">
        <is>
          <t>AP</t>
        </is>
      </c>
      <c r="D315" s="140" t="inlineStr">
        <is>
          <t>Pacific Office Supplies</t>
        </is>
      </c>
      <c r="E315" s="140" t="inlineStr">
        <is>
          <t>REF-100312</t>
        </is>
      </c>
      <c r="F315" s="142" t="n">
        <v>-1663.48</v>
      </c>
      <c r="G315" s="143">
        <f>IFERROR(XLOOKUP(E315,Bank_Statement!$D$4:$D$448,Bank_Statement!$G$4:$G$448,""),"")</f>
        <v/>
      </c>
      <c r="H315" s="142">
        <f>IF(G315="","",F315-G315)</f>
        <v/>
      </c>
      <c r="I315" s="144">
        <f>IFERROR(XLOOKUP(E315,Bank_Statement!$D$4:$D$448,Bank_Statement!$B$4:$B$448,""),"")</f>
        <v/>
      </c>
      <c r="J315" s="145">
        <f>IF(I315="","",ABS(B315-I315))</f>
        <v/>
      </c>
      <c r="K315" s="146">
        <f>IF(G315="","Unmatched ERP",IF(AND(ABS(H315)&lt;=Mapping_Rules!$B$4,ABS(J315)&lt;=Mapping_Rules!$B$5),"Matched","Review"))</f>
        <v/>
      </c>
      <c r="L315" s="146">
        <f>IF(K315="Matched","None",IF(G315="","Missing from bank",IF(ABS(H315)&gt;Mapping_Rules!$B$4,"Amount variance","Date variance")))</f>
        <v/>
      </c>
      <c r="M315" s="146">
        <f>IF(K315="Matched","Low",IF(OR(IFERROR(ABS(H315),0)&gt;Mapping_Rules!$B$7,IFERROR(J315,0)&gt;Mapping_Rules!$B$8),"High","Medium"))</f>
        <v/>
      </c>
      <c r="N315" s="146">
        <f>IF(K315="Matched","No action needed",IF(L315="Missing from bank","Check bank date or posting",IF(L315="Amount variance","Check invoice/payment amount","Check timing difference")))</f>
        <v/>
      </c>
      <c r="O315" s="140" t="inlineStr">
        <is>
          <t>2000 AP</t>
        </is>
      </c>
      <c r="P315" s="140" t="inlineStr">
        <is>
          <t>AP Clerk</t>
        </is>
      </c>
      <c r="Q315" s="140" t="inlineStr">
        <is>
          <t>No</t>
        </is>
      </c>
      <c r="R315" s="147" t="str"/>
      <c r="S315" s="148">
        <f>IF(K315="Matched",0,Mapping_Rules!$B$6-B315)</f>
        <v/>
      </c>
    </row>
    <row r="316">
      <c r="A316" s="115" t="inlineStr">
        <is>
          <t>ERP-00313</t>
        </is>
      </c>
      <c r="B316" s="125" t="n">
        <v>46035</v>
      </c>
      <c r="C316" s="115" t="inlineStr">
        <is>
          <t>AR</t>
        </is>
      </c>
      <c r="D316" s="115" t="inlineStr">
        <is>
          <t>Harbour Design Co.</t>
        </is>
      </c>
      <c r="E316" s="115" t="inlineStr">
        <is>
          <t>REF-100313</t>
        </is>
      </c>
      <c r="F316" s="126" t="n">
        <v>5064.73</v>
      </c>
      <c r="G316" s="134">
        <f>IFERROR(XLOOKUP(E316,Bank_Statement!$D$4:$D$448,Bank_Statement!$G$4:$G$448,""),"")</f>
        <v/>
      </c>
      <c r="H316" s="126">
        <f>IF(G316="","",F316-G316)</f>
        <v/>
      </c>
      <c r="I316" s="135">
        <f>IFERROR(XLOOKUP(E316,Bank_Statement!$D$4:$D$448,Bank_Statement!$B$4:$B$448,""),"")</f>
        <v/>
      </c>
      <c r="J316" s="136">
        <f>IF(I316="","",ABS(B316-I316))</f>
        <v/>
      </c>
      <c r="K316" s="137">
        <f>IF(G316="","Unmatched ERP",IF(AND(ABS(H316)&lt;=Mapping_Rules!$B$4,ABS(J316)&lt;=Mapping_Rules!$B$5),"Matched","Review"))</f>
        <v/>
      </c>
      <c r="L316" s="137">
        <f>IF(K316="Matched","None",IF(G316="","Missing from bank",IF(ABS(H316)&gt;Mapping_Rules!$B$4,"Amount variance","Date variance")))</f>
        <v/>
      </c>
      <c r="M316" s="137">
        <f>IF(K316="Matched","Low",IF(OR(IFERROR(ABS(H316),0)&gt;Mapping_Rules!$B$7,IFERROR(J316,0)&gt;Mapping_Rules!$B$8),"High","Medium"))</f>
        <v/>
      </c>
      <c r="N316" s="137">
        <f>IF(K316="Matched","No action needed",IF(L316="Missing from bank","Check bank date or posting",IF(L316="Amount variance","Check invoice/payment amount","Check timing difference")))</f>
        <v/>
      </c>
      <c r="O316" s="115" t="inlineStr">
        <is>
          <t>1200 AR</t>
        </is>
      </c>
      <c r="P316" s="115" t="inlineStr">
        <is>
          <t>AR Clerk</t>
        </is>
      </c>
      <c r="Q316" s="115" t="inlineStr">
        <is>
          <t>No</t>
        </is>
      </c>
      <c r="R316" s="138" t="str"/>
      <c r="S316" s="139">
        <f>IF(K316="Matched",0,Mapping_Rules!$B$6-B316)</f>
        <v/>
      </c>
    </row>
    <row r="317">
      <c r="A317" s="140" t="inlineStr">
        <is>
          <t>ERP-00314</t>
        </is>
      </c>
      <c r="B317" s="141" t="n">
        <v>46032</v>
      </c>
      <c r="C317" s="140" t="inlineStr">
        <is>
          <t>AR</t>
        </is>
      </c>
      <c r="D317" s="140" t="inlineStr">
        <is>
          <t>Maple Retail Group</t>
        </is>
      </c>
      <c r="E317" s="140" t="inlineStr">
        <is>
          <t>REF-100314</t>
        </is>
      </c>
      <c r="F317" s="142" t="n">
        <v>1119.18</v>
      </c>
      <c r="G317" s="143">
        <f>IFERROR(XLOOKUP(E317,Bank_Statement!$D$4:$D$448,Bank_Statement!$G$4:$G$448,""),"")</f>
        <v/>
      </c>
      <c r="H317" s="142">
        <f>IF(G317="","",F317-G317)</f>
        <v/>
      </c>
      <c r="I317" s="144">
        <f>IFERROR(XLOOKUP(E317,Bank_Statement!$D$4:$D$448,Bank_Statement!$B$4:$B$448,""),"")</f>
        <v/>
      </c>
      <c r="J317" s="145">
        <f>IF(I317="","",ABS(B317-I317))</f>
        <v/>
      </c>
      <c r="K317" s="146">
        <f>IF(G317="","Unmatched ERP",IF(AND(ABS(H317)&lt;=Mapping_Rules!$B$4,ABS(J317)&lt;=Mapping_Rules!$B$5),"Matched","Review"))</f>
        <v/>
      </c>
      <c r="L317" s="146">
        <f>IF(K317="Matched","None",IF(G317="","Missing from bank",IF(ABS(H317)&gt;Mapping_Rules!$B$4,"Amount variance","Date variance")))</f>
        <v/>
      </c>
      <c r="M317" s="146">
        <f>IF(K317="Matched","Low",IF(OR(IFERROR(ABS(H317),0)&gt;Mapping_Rules!$B$7,IFERROR(J317,0)&gt;Mapping_Rules!$B$8),"High","Medium"))</f>
        <v/>
      </c>
      <c r="N317" s="146">
        <f>IF(K317="Matched","No action needed",IF(L317="Missing from bank","Check bank date or posting",IF(L317="Amount variance","Check invoice/payment amount","Check timing difference")))</f>
        <v/>
      </c>
      <c r="O317" s="140" t="inlineStr">
        <is>
          <t>1200 AR</t>
        </is>
      </c>
      <c r="P317" s="140" t="inlineStr">
        <is>
          <t>AR Clerk</t>
        </is>
      </c>
      <c r="Q317" s="140" t="inlineStr">
        <is>
          <t>No</t>
        </is>
      </c>
      <c r="R317" s="147" t="str"/>
      <c r="S317" s="148">
        <f>IF(K317="Matched",0,Mapping_Rules!$B$6-B317)</f>
        <v/>
      </c>
    </row>
    <row r="318">
      <c r="A318" s="115" t="inlineStr">
        <is>
          <t>ERP-00315</t>
        </is>
      </c>
      <c r="B318" s="125" t="n">
        <v>46039</v>
      </c>
      <c r="C318" s="115" t="inlineStr">
        <is>
          <t>AR</t>
        </is>
      </c>
      <c r="D318" s="115" t="inlineStr">
        <is>
          <t>Granville Medical</t>
        </is>
      </c>
      <c r="E318" s="115" t="inlineStr">
        <is>
          <t>REF-100315</t>
        </is>
      </c>
      <c r="F318" s="126" t="n">
        <v>965.15</v>
      </c>
      <c r="G318" s="134">
        <f>IFERROR(XLOOKUP(E318,Bank_Statement!$D$4:$D$448,Bank_Statement!$G$4:$G$448,""),"")</f>
        <v/>
      </c>
      <c r="H318" s="126">
        <f>IF(G318="","",F318-G318)</f>
        <v/>
      </c>
      <c r="I318" s="135">
        <f>IFERROR(XLOOKUP(E318,Bank_Statement!$D$4:$D$448,Bank_Statement!$B$4:$B$448,""),"")</f>
        <v/>
      </c>
      <c r="J318" s="136">
        <f>IF(I318="","",ABS(B318-I318))</f>
        <v/>
      </c>
      <c r="K318" s="137">
        <f>IF(G318="","Unmatched ERP",IF(AND(ABS(H318)&lt;=Mapping_Rules!$B$4,ABS(J318)&lt;=Mapping_Rules!$B$5),"Matched","Review"))</f>
        <v/>
      </c>
      <c r="L318" s="137">
        <f>IF(K318="Matched","None",IF(G318="","Missing from bank",IF(ABS(H318)&gt;Mapping_Rules!$B$4,"Amount variance","Date variance")))</f>
        <v/>
      </c>
      <c r="M318" s="137">
        <f>IF(K318="Matched","Low",IF(OR(IFERROR(ABS(H318),0)&gt;Mapping_Rules!$B$7,IFERROR(J318,0)&gt;Mapping_Rules!$B$8),"High","Medium"))</f>
        <v/>
      </c>
      <c r="N318" s="137">
        <f>IF(K318="Matched","No action needed",IF(L318="Missing from bank","Check bank date or posting",IF(L318="Amount variance","Check invoice/payment amount","Check timing difference")))</f>
        <v/>
      </c>
      <c r="O318" s="115" t="inlineStr">
        <is>
          <t>1200 AR</t>
        </is>
      </c>
      <c r="P318" s="115" t="inlineStr">
        <is>
          <t>AR Clerk</t>
        </is>
      </c>
      <c r="Q318" s="115" t="inlineStr">
        <is>
          <t>No</t>
        </is>
      </c>
      <c r="R318" s="138" t="str"/>
      <c r="S318" s="139">
        <f>IF(K318="Matched",0,Mapping_Rules!$B$6-B318)</f>
        <v/>
      </c>
    </row>
    <row r="319">
      <c r="A319" s="140" t="inlineStr">
        <is>
          <t>ERP-00316</t>
        </is>
      </c>
      <c r="B319" s="141" t="n">
        <v>46026</v>
      </c>
      <c r="C319" s="140" t="inlineStr">
        <is>
          <t>AP</t>
        </is>
      </c>
      <c r="D319" s="140" t="inlineStr">
        <is>
          <t>Metro Cleaning Ltd.</t>
        </is>
      </c>
      <c r="E319" s="140" t="inlineStr">
        <is>
          <t>REF-100316</t>
        </is>
      </c>
      <c r="F319" s="142" t="n">
        <v>-4045.58</v>
      </c>
      <c r="G319" s="143">
        <f>IFERROR(XLOOKUP(E319,Bank_Statement!$D$4:$D$448,Bank_Statement!$G$4:$G$448,""),"")</f>
        <v/>
      </c>
      <c r="H319" s="142">
        <f>IF(G319="","",F319-G319)</f>
        <v/>
      </c>
      <c r="I319" s="144">
        <f>IFERROR(XLOOKUP(E319,Bank_Statement!$D$4:$D$448,Bank_Statement!$B$4:$B$448,""),"")</f>
        <v/>
      </c>
      <c r="J319" s="145">
        <f>IF(I319="","",ABS(B319-I319))</f>
        <v/>
      </c>
      <c r="K319" s="146">
        <f>IF(G319="","Unmatched ERP",IF(AND(ABS(H319)&lt;=Mapping_Rules!$B$4,ABS(J319)&lt;=Mapping_Rules!$B$5),"Matched","Review"))</f>
        <v/>
      </c>
      <c r="L319" s="146">
        <f>IF(K319="Matched","None",IF(G319="","Missing from bank",IF(ABS(H319)&gt;Mapping_Rules!$B$4,"Amount variance","Date variance")))</f>
        <v/>
      </c>
      <c r="M319" s="146">
        <f>IF(K319="Matched","Low",IF(OR(IFERROR(ABS(H319),0)&gt;Mapping_Rules!$B$7,IFERROR(J319,0)&gt;Mapping_Rules!$B$8),"High","Medium"))</f>
        <v/>
      </c>
      <c r="N319" s="146">
        <f>IF(K319="Matched","No action needed",IF(L319="Missing from bank","Check bank date or posting",IF(L319="Amount variance","Check invoice/payment amount","Check timing difference")))</f>
        <v/>
      </c>
      <c r="O319" s="140" t="inlineStr">
        <is>
          <t>2000 AP</t>
        </is>
      </c>
      <c r="P319" s="140" t="inlineStr">
        <is>
          <t>AP Clerk</t>
        </is>
      </c>
      <c r="Q319" s="140" t="inlineStr">
        <is>
          <t>No</t>
        </is>
      </c>
      <c r="R319" s="147" t="str"/>
      <c r="S319" s="148">
        <f>IF(K319="Matched",0,Mapping_Rules!$B$6-B319)</f>
        <v/>
      </c>
    </row>
    <row r="320">
      <c r="A320" s="115" t="inlineStr">
        <is>
          <t>ERP-00317</t>
        </is>
      </c>
      <c r="B320" s="125" t="n">
        <v>46036</v>
      </c>
      <c r="C320" s="115" t="inlineStr">
        <is>
          <t>Bank Fees</t>
        </is>
      </c>
      <c r="D320" s="115" t="inlineStr">
        <is>
          <t>Bank</t>
        </is>
      </c>
      <c r="E320" s="115" t="inlineStr">
        <is>
          <t>REF-100317</t>
        </is>
      </c>
      <c r="F320" s="126" t="n">
        <v>-31.66</v>
      </c>
      <c r="G320" s="134">
        <f>IFERROR(XLOOKUP(E320,Bank_Statement!$D$4:$D$448,Bank_Statement!$G$4:$G$448,""),"")</f>
        <v/>
      </c>
      <c r="H320" s="126">
        <f>IF(G320="","",F320-G320)</f>
        <v/>
      </c>
      <c r="I320" s="135">
        <f>IFERROR(XLOOKUP(E320,Bank_Statement!$D$4:$D$448,Bank_Statement!$B$4:$B$448,""),"")</f>
        <v/>
      </c>
      <c r="J320" s="136">
        <f>IF(I320="","",ABS(B320-I320))</f>
        <v/>
      </c>
      <c r="K320" s="137">
        <f>IF(G320="","Unmatched ERP",IF(AND(ABS(H320)&lt;=Mapping_Rules!$B$4,ABS(J320)&lt;=Mapping_Rules!$B$5),"Matched","Review"))</f>
        <v/>
      </c>
      <c r="L320" s="137">
        <f>IF(K320="Matched","None",IF(G320="","Missing from bank",IF(ABS(H320)&gt;Mapping_Rules!$B$4,"Amount variance","Date variance")))</f>
        <v/>
      </c>
      <c r="M320" s="137">
        <f>IF(K320="Matched","Low",IF(OR(IFERROR(ABS(H320),0)&gt;Mapping_Rules!$B$7,IFERROR(J320,0)&gt;Mapping_Rules!$B$8),"High","Medium"))</f>
        <v/>
      </c>
      <c r="N320" s="137">
        <f>IF(K320="Matched","No action needed",IF(L320="Missing from bank","Check bank date or posting",IF(L320="Amount variance","Check invoice/payment amount","Check timing difference")))</f>
        <v/>
      </c>
      <c r="O320" s="115" t="inlineStr">
        <is>
          <t>6100 Bank Fees</t>
        </is>
      </c>
      <c r="P320" s="115" t="inlineStr">
        <is>
          <t>Accounting Technician</t>
        </is>
      </c>
      <c r="Q320" s="115" t="inlineStr">
        <is>
          <t>No</t>
        </is>
      </c>
      <c r="R320" s="138" t="str"/>
      <c r="S320" s="139">
        <f>IF(K320="Matched",0,Mapping_Rules!$B$6-B320)</f>
        <v/>
      </c>
    </row>
    <row r="321">
      <c r="A321" s="140" t="inlineStr">
        <is>
          <t>ERP-00318</t>
        </is>
      </c>
      <c r="B321" s="141" t="n">
        <v>46046</v>
      </c>
      <c r="C321" s="140" t="inlineStr">
        <is>
          <t>AR</t>
        </is>
      </c>
      <c r="D321" s="140" t="inlineStr">
        <is>
          <t>Coastline Foods</t>
        </is>
      </c>
      <c r="E321" s="140" t="inlineStr">
        <is>
          <t>REF-100318</t>
        </is>
      </c>
      <c r="F321" s="142" t="n">
        <v>3903.95</v>
      </c>
      <c r="G321" s="143">
        <f>IFERROR(XLOOKUP(E321,Bank_Statement!$D$4:$D$448,Bank_Statement!$G$4:$G$448,""),"")</f>
        <v/>
      </c>
      <c r="H321" s="142">
        <f>IF(G321="","",F321-G321)</f>
        <v/>
      </c>
      <c r="I321" s="144">
        <f>IFERROR(XLOOKUP(E321,Bank_Statement!$D$4:$D$448,Bank_Statement!$B$4:$B$448,""),"")</f>
        <v/>
      </c>
      <c r="J321" s="145">
        <f>IF(I321="","",ABS(B321-I321))</f>
        <v/>
      </c>
      <c r="K321" s="146">
        <f>IF(G321="","Unmatched ERP",IF(AND(ABS(H321)&lt;=Mapping_Rules!$B$4,ABS(J321)&lt;=Mapping_Rules!$B$5),"Matched","Review"))</f>
        <v/>
      </c>
      <c r="L321" s="146">
        <f>IF(K321="Matched","None",IF(G321="","Missing from bank",IF(ABS(H321)&gt;Mapping_Rules!$B$4,"Amount variance","Date variance")))</f>
        <v/>
      </c>
      <c r="M321" s="146">
        <f>IF(K321="Matched","Low",IF(OR(IFERROR(ABS(H321),0)&gt;Mapping_Rules!$B$7,IFERROR(J321,0)&gt;Mapping_Rules!$B$8),"High","Medium"))</f>
        <v/>
      </c>
      <c r="N321" s="146">
        <f>IF(K321="Matched","No action needed",IF(L321="Missing from bank","Check bank date or posting",IF(L321="Amount variance","Check invoice/payment amount","Check timing difference")))</f>
        <v/>
      </c>
      <c r="O321" s="140" t="inlineStr">
        <is>
          <t>1200 AR</t>
        </is>
      </c>
      <c r="P321" s="140" t="inlineStr">
        <is>
          <t>AR Clerk</t>
        </is>
      </c>
      <c r="Q321" s="140" t="inlineStr">
        <is>
          <t>No</t>
        </is>
      </c>
      <c r="R321" s="147" t="str"/>
      <c r="S321" s="148">
        <f>IF(K321="Matched",0,Mapping_Rules!$B$6-B321)</f>
        <v/>
      </c>
    </row>
    <row r="322">
      <c r="A322" s="115" t="inlineStr">
        <is>
          <t>ERP-00319</t>
        </is>
      </c>
      <c r="B322" s="125" t="n">
        <v>46047</v>
      </c>
      <c r="C322" s="115" t="inlineStr">
        <is>
          <t>GL</t>
        </is>
      </c>
      <c r="D322" s="115" t="inlineStr">
        <is>
          <t>Harbour Design Co.</t>
        </is>
      </c>
      <c r="E322" s="115" t="inlineStr">
        <is>
          <t>REF-100319</t>
        </is>
      </c>
      <c r="F322" s="126" t="n">
        <v>359.69</v>
      </c>
      <c r="G322" s="134">
        <f>IFERROR(XLOOKUP(E322,Bank_Statement!$D$4:$D$448,Bank_Statement!$G$4:$G$448,""),"")</f>
        <v/>
      </c>
      <c r="H322" s="126">
        <f>IF(G322="","",F322-G322)</f>
        <v/>
      </c>
      <c r="I322" s="135">
        <f>IFERROR(XLOOKUP(E322,Bank_Statement!$D$4:$D$448,Bank_Statement!$B$4:$B$448,""),"")</f>
        <v/>
      </c>
      <c r="J322" s="136">
        <f>IF(I322="","",ABS(B322-I322))</f>
        <v/>
      </c>
      <c r="K322" s="137">
        <f>IF(G322="","Unmatched ERP",IF(AND(ABS(H322)&lt;=Mapping_Rules!$B$4,ABS(J322)&lt;=Mapping_Rules!$B$5),"Matched","Review"))</f>
        <v/>
      </c>
      <c r="L322" s="137">
        <f>IF(K322="Matched","None",IF(G322="","Missing from bank",IF(ABS(H322)&gt;Mapping_Rules!$B$4,"Amount variance","Date variance")))</f>
        <v/>
      </c>
      <c r="M322" s="137">
        <f>IF(K322="Matched","Low",IF(OR(IFERROR(ABS(H322),0)&gt;Mapping_Rules!$B$7,IFERROR(J322,0)&gt;Mapping_Rules!$B$8),"High","Medium"))</f>
        <v/>
      </c>
      <c r="N322" s="137">
        <f>IF(K322="Matched","No action needed",IF(L322="Missing from bank","Check bank date or posting",IF(L322="Amount variance","Check invoice/payment amount","Check timing difference")))</f>
        <v/>
      </c>
      <c r="O322" s="115" t="inlineStr">
        <is>
          <t>2000 AP</t>
        </is>
      </c>
      <c r="P322" s="115" t="inlineStr">
        <is>
          <t>Accounting Technician</t>
        </is>
      </c>
      <c r="Q322" s="115" t="inlineStr">
        <is>
          <t>No</t>
        </is>
      </c>
      <c r="R322" s="138" t="str"/>
      <c r="S322" s="139">
        <f>IF(K322="Matched",0,Mapping_Rules!$B$6-B322)</f>
        <v/>
      </c>
    </row>
    <row r="323">
      <c r="A323" s="140" t="inlineStr">
        <is>
          <t>ERP-00320</t>
        </is>
      </c>
      <c r="B323" s="141" t="n">
        <v>46050</v>
      </c>
      <c r="C323" s="140" t="inlineStr">
        <is>
          <t>AR</t>
        </is>
      </c>
      <c r="D323" s="140" t="inlineStr">
        <is>
          <t>Harbour Design Co.</t>
        </is>
      </c>
      <c r="E323" s="140" t="inlineStr">
        <is>
          <t>REF-100320</t>
        </is>
      </c>
      <c r="F323" s="142" t="n">
        <v>2766.92</v>
      </c>
      <c r="G323" s="143">
        <f>IFERROR(XLOOKUP(E323,Bank_Statement!$D$4:$D$448,Bank_Statement!$G$4:$G$448,""),"")</f>
        <v/>
      </c>
      <c r="H323" s="142">
        <f>IF(G323="","",F323-G323)</f>
        <v/>
      </c>
      <c r="I323" s="144">
        <f>IFERROR(XLOOKUP(E323,Bank_Statement!$D$4:$D$448,Bank_Statement!$B$4:$B$448,""),"")</f>
        <v/>
      </c>
      <c r="J323" s="145">
        <f>IF(I323="","",ABS(B323-I323))</f>
        <v/>
      </c>
      <c r="K323" s="146">
        <f>IF(G323="","Unmatched ERP",IF(AND(ABS(H323)&lt;=Mapping_Rules!$B$4,ABS(J323)&lt;=Mapping_Rules!$B$5),"Matched","Review"))</f>
        <v/>
      </c>
      <c r="L323" s="146">
        <f>IF(K323="Matched","None",IF(G323="","Missing from bank",IF(ABS(H323)&gt;Mapping_Rules!$B$4,"Amount variance","Date variance")))</f>
        <v/>
      </c>
      <c r="M323" s="146">
        <f>IF(K323="Matched","Low",IF(OR(IFERROR(ABS(H323),0)&gt;Mapping_Rules!$B$7,IFERROR(J323,0)&gt;Mapping_Rules!$B$8),"High","Medium"))</f>
        <v/>
      </c>
      <c r="N323" s="146">
        <f>IF(K323="Matched","No action needed",IF(L323="Missing from bank","Check bank date or posting",IF(L323="Amount variance","Check invoice/payment amount","Check timing difference")))</f>
        <v/>
      </c>
      <c r="O323" s="140" t="inlineStr">
        <is>
          <t>1200 AR</t>
        </is>
      </c>
      <c r="P323" s="140" t="inlineStr">
        <is>
          <t>AR Clerk</t>
        </is>
      </c>
      <c r="Q323" s="140" t="inlineStr">
        <is>
          <t>No</t>
        </is>
      </c>
      <c r="R323" s="147" t="str"/>
      <c r="S323" s="148">
        <f>IF(K323="Matched",0,Mapping_Rules!$B$6-B323)</f>
        <v/>
      </c>
    </row>
    <row r="324">
      <c r="A324" s="115" t="inlineStr">
        <is>
          <t>ERP-00321</t>
        </is>
      </c>
      <c r="B324" s="125" t="n">
        <v>46050</v>
      </c>
      <c r="C324" s="115" t="inlineStr">
        <is>
          <t>AR</t>
        </is>
      </c>
      <c r="D324" s="115" t="inlineStr">
        <is>
          <t>Coastline Foods</t>
        </is>
      </c>
      <c r="E324" s="115" t="inlineStr">
        <is>
          <t>REF-100321</t>
        </is>
      </c>
      <c r="F324" s="126" t="n">
        <v>6944.71</v>
      </c>
      <c r="G324" s="134">
        <f>IFERROR(XLOOKUP(E324,Bank_Statement!$D$4:$D$448,Bank_Statement!$G$4:$G$448,""),"")</f>
        <v/>
      </c>
      <c r="H324" s="126">
        <f>IF(G324="","",F324-G324)</f>
        <v/>
      </c>
      <c r="I324" s="135">
        <f>IFERROR(XLOOKUP(E324,Bank_Statement!$D$4:$D$448,Bank_Statement!$B$4:$B$448,""),"")</f>
        <v/>
      </c>
      <c r="J324" s="136">
        <f>IF(I324="","",ABS(B324-I324))</f>
        <v/>
      </c>
      <c r="K324" s="137">
        <f>IF(G324="","Unmatched ERP",IF(AND(ABS(H324)&lt;=Mapping_Rules!$B$4,ABS(J324)&lt;=Mapping_Rules!$B$5),"Matched","Review"))</f>
        <v/>
      </c>
      <c r="L324" s="137">
        <f>IF(K324="Matched","None",IF(G324="","Missing from bank",IF(ABS(H324)&gt;Mapping_Rules!$B$4,"Amount variance","Date variance")))</f>
        <v/>
      </c>
      <c r="M324" s="137">
        <f>IF(K324="Matched","Low",IF(OR(IFERROR(ABS(H324),0)&gt;Mapping_Rules!$B$7,IFERROR(J324,0)&gt;Mapping_Rules!$B$8),"High","Medium"))</f>
        <v/>
      </c>
      <c r="N324" s="137">
        <f>IF(K324="Matched","No action needed",IF(L324="Missing from bank","Check bank date or posting",IF(L324="Amount variance","Check invoice/payment amount","Check timing difference")))</f>
        <v/>
      </c>
      <c r="O324" s="115" t="inlineStr">
        <is>
          <t>1200 AR</t>
        </is>
      </c>
      <c r="P324" s="115" t="inlineStr">
        <is>
          <t>AR Clerk</t>
        </is>
      </c>
      <c r="Q324" s="115" t="inlineStr">
        <is>
          <t>No</t>
        </is>
      </c>
      <c r="R324" s="138" t="str"/>
      <c r="S324" s="139">
        <f>IF(K324="Matched",0,Mapping_Rules!$B$6-B324)</f>
        <v/>
      </c>
    </row>
    <row r="325">
      <c r="A325" s="140" t="inlineStr">
        <is>
          <t>ERP-00322</t>
        </is>
      </c>
      <c r="B325" s="141" t="n">
        <v>46030</v>
      </c>
      <c r="C325" s="140" t="inlineStr">
        <is>
          <t>AP</t>
        </is>
      </c>
      <c r="D325" s="140" t="inlineStr">
        <is>
          <t>North Shore Telecom</t>
        </is>
      </c>
      <c r="E325" s="140" t="inlineStr">
        <is>
          <t>REF-100322</t>
        </is>
      </c>
      <c r="F325" s="142" t="n">
        <v>-2364.63</v>
      </c>
      <c r="G325" s="143">
        <f>IFERROR(XLOOKUP(E325,Bank_Statement!$D$4:$D$448,Bank_Statement!$G$4:$G$448,""),"")</f>
        <v/>
      </c>
      <c r="H325" s="142">
        <f>IF(G325="","",F325-G325)</f>
        <v/>
      </c>
      <c r="I325" s="144">
        <f>IFERROR(XLOOKUP(E325,Bank_Statement!$D$4:$D$448,Bank_Statement!$B$4:$B$448,""),"")</f>
        <v/>
      </c>
      <c r="J325" s="145">
        <f>IF(I325="","",ABS(B325-I325))</f>
        <v/>
      </c>
      <c r="K325" s="146">
        <f>IF(G325="","Unmatched ERP",IF(AND(ABS(H325)&lt;=Mapping_Rules!$B$4,ABS(J325)&lt;=Mapping_Rules!$B$5),"Matched","Review"))</f>
        <v/>
      </c>
      <c r="L325" s="146">
        <f>IF(K325="Matched","None",IF(G325="","Missing from bank",IF(ABS(H325)&gt;Mapping_Rules!$B$4,"Amount variance","Date variance")))</f>
        <v/>
      </c>
      <c r="M325" s="146">
        <f>IF(K325="Matched","Low",IF(OR(IFERROR(ABS(H325),0)&gt;Mapping_Rules!$B$7,IFERROR(J325,0)&gt;Mapping_Rules!$B$8),"High","Medium"))</f>
        <v/>
      </c>
      <c r="N325" s="146">
        <f>IF(K325="Matched","No action needed",IF(L325="Missing from bank","Check bank date or posting",IF(L325="Amount variance","Check invoice/payment amount","Check timing difference")))</f>
        <v/>
      </c>
      <c r="O325" s="140" t="inlineStr">
        <is>
          <t>2000 AP</t>
        </is>
      </c>
      <c r="P325" s="140" t="inlineStr">
        <is>
          <t>AP Clerk</t>
        </is>
      </c>
      <c r="Q325" s="140" t="inlineStr">
        <is>
          <t>No</t>
        </is>
      </c>
      <c r="R325" s="147" t="str"/>
      <c r="S325" s="148">
        <f>IF(K325="Matched",0,Mapping_Rules!$B$6-B325)</f>
        <v/>
      </c>
    </row>
    <row r="326">
      <c r="A326" s="115" t="inlineStr">
        <is>
          <t>ERP-00323</t>
        </is>
      </c>
      <c r="B326" s="125" t="n">
        <v>46036</v>
      </c>
      <c r="C326" s="115" t="inlineStr">
        <is>
          <t>AP</t>
        </is>
      </c>
      <c r="D326" s="115" t="inlineStr">
        <is>
          <t>Staples Canada</t>
        </is>
      </c>
      <c r="E326" s="115" t="inlineStr">
        <is>
          <t>REF-100323</t>
        </is>
      </c>
      <c r="F326" s="126" t="n">
        <v>-3368.76</v>
      </c>
      <c r="G326" s="134">
        <f>IFERROR(XLOOKUP(E326,Bank_Statement!$D$4:$D$448,Bank_Statement!$G$4:$G$448,""),"")</f>
        <v/>
      </c>
      <c r="H326" s="126">
        <f>IF(G326="","",F326-G326)</f>
        <v/>
      </c>
      <c r="I326" s="135">
        <f>IFERROR(XLOOKUP(E326,Bank_Statement!$D$4:$D$448,Bank_Statement!$B$4:$B$448,""),"")</f>
        <v/>
      </c>
      <c r="J326" s="136">
        <f>IF(I326="","",ABS(B326-I326))</f>
        <v/>
      </c>
      <c r="K326" s="137">
        <f>IF(G326="","Unmatched ERP",IF(AND(ABS(H326)&lt;=Mapping_Rules!$B$4,ABS(J326)&lt;=Mapping_Rules!$B$5),"Matched","Review"))</f>
        <v/>
      </c>
      <c r="L326" s="137">
        <f>IF(K326="Matched","None",IF(G326="","Missing from bank",IF(ABS(H326)&gt;Mapping_Rules!$B$4,"Amount variance","Date variance")))</f>
        <v/>
      </c>
      <c r="M326" s="137">
        <f>IF(K326="Matched","Low",IF(OR(IFERROR(ABS(H326),0)&gt;Mapping_Rules!$B$7,IFERROR(J326,0)&gt;Mapping_Rules!$B$8),"High","Medium"))</f>
        <v/>
      </c>
      <c r="N326" s="137">
        <f>IF(K326="Matched","No action needed",IF(L326="Missing from bank","Check bank date or posting",IF(L326="Amount variance","Check invoice/payment amount","Check timing difference")))</f>
        <v/>
      </c>
      <c r="O326" s="115" t="inlineStr">
        <is>
          <t>2000 AP</t>
        </is>
      </c>
      <c r="P326" s="115" t="inlineStr">
        <is>
          <t>AP Clerk</t>
        </is>
      </c>
      <c r="Q326" s="115" t="inlineStr">
        <is>
          <t>No</t>
        </is>
      </c>
      <c r="R326" s="138" t="str"/>
      <c r="S326" s="139">
        <f>IF(K326="Matched",0,Mapping_Rules!$B$6-B326)</f>
        <v/>
      </c>
    </row>
    <row r="327">
      <c r="A327" s="140" t="inlineStr">
        <is>
          <t>ERP-00324</t>
        </is>
      </c>
      <c r="B327" s="141" t="n">
        <v>46033</v>
      </c>
      <c r="C327" s="140" t="inlineStr">
        <is>
          <t>Payroll</t>
        </is>
      </c>
      <c r="D327" s="140" t="inlineStr">
        <is>
          <t>Payroll Batch</t>
        </is>
      </c>
      <c r="E327" s="140" t="inlineStr">
        <is>
          <t>REF-100324</t>
        </is>
      </c>
      <c r="F327" s="142" t="n">
        <v>-11481.44</v>
      </c>
      <c r="G327" s="143">
        <f>IFERROR(XLOOKUP(E327,Bank_Statement!$D$4:$D$448,Bank_Statement!$G$4:$G$448,""),"")</f>
        <v/>
      </c>
      <c r="H327" s="142">
        <f>IF(G327="","",F327-G327)</f>
        <v/>
      </c>
      <c r="I327" s="144">
        <f>IFERROR(XLOOKUP(E327,Bank_Statement!$D$4:$D$448,Bank_Statement!$B$4:$B$448,""),"")</f>
        <v/>
      </c>
      <c r="J327" s="145">
        <f>IF(I327="","",ABS(B327-I327))</f>
        <v/>
      </c>
      <c r="K327" s="146">
        <f>IF(G327="","Unmatched ERP",IF(AND(ABS(H327)&lt;=Mapping_Rules!$B$4,ABS(J327)&lt;=Mapping_Rules!$B$5),"Matched","Review"))</f>
        <v/>
      </c>
      <c r="L327" s="146">
        <f>IF(K327="Matched","None",IF(G327="","Missing from bank",IF(ABS(H327)&gt;Mapping_Rules!$B$4,"Amount variance","Date variance")))</f>
        <v/>
      </c>
      <c r="M327" s="146">
        <f>IF(K327="Matched","Low",IF(OR(IFERROR(ABS(H327),0)&gt;Mapping_Rules!$B$7,IFERROR(J327,0)&gt;Mapping_Rules!$B$8),"High","Medium"))</f>
        <v/>
      </c>
      <c r="N327" s="146">
        <f>IF(K327="Matched","No action needed",IF(L327="Missing from bank","Check bank date or posting",IF(L327="Amount variance","Check invoice/payment amount","Check timing difference")))</f>
        <v/>
      </c>
      <c r="O327" s="140" t="inlineStr">
        <is>
          <t>5300 Payroll</t>
        </is>
      </c>
      <c r="P327" s="140" t="inlineStr">
        <is>
          <t>Accounting Technician</t>
        </is>
      </c>
      <c r="Q327" s="140" t="inlineStr">
        <is>
          <t>No</t>
        </is>
      </c>
      <c r="R327" s="147" t="str"/>
      <c r="S327" s="148">
        <f>IF(K327="Matched",0,Mapping_Rules!$B$6-B327)</f>
        <v/>
      </c>
    </row>
    <row r="328">
      <c r="A328" s="115" t="inlineStr">
        <is>
          <t>ERP-00325</t>
        </is>
      </c>
      <c r="B328" s="125" t="n">
        <v>46053</v>
      </c>
      <c r="C328" s="115" t="inlineStr">
        <is>
          <t>AR</t>
        </is>
      </c>
      <c r="D328" s="115" t="inlineStr">
        <is>
          <t>Harbour Design Co.</t>
        </is>
      </c>
      <c r="E328" s="115" t="inlineStr">
        <is>
          <t>REF-100325</t>
        </is>
      </c>
      <c r="F328" s="126" t="n">
        <v>4283</v>
      </c>
      <c r="G328" s="134">
        <f>IFERROR(XLOOKUP(E328,Bank_Statement!$D$4:$D$448,Bank_Statement!$G$4:$G$448,""),"")</f>
        <v/>
      </c>
      <c r="H328" s="126">
        <f>IF(G328="","",F328-G328)</f>
        <v/>
      </c>
      <c r="I328" s="135">
        <f>IFERROR(XLOOKUP(E328,Bank_Statement!$D$4:$D$448,Bank_Statement!$B$4:$B$448,""),"")</f>
        <v/>
      </c>
      <c r="J328" s="136">
        <f>IF(I328="","",ABS(B328-I328))</f>
        <v/>
      </c>
      <c r="K328" s="137">
        <f>IF(G328="","Unmatched ERP",IF(AND(ABS(H328)&lt;=Mapping_Rules!$B$4,ABS(J328)&lt;=Mapping_Rules!$B$5),"Matched","Review"))</f>
        <v/>
      </c>
      <c r="L328" s="137">
        <f>IF(K328="Matched","None",IF(G328="","Missing from bank",IF(ABS(H328)&gt;Mapping_Rules!$B$4,"Amount variance","Date variance")))</f>
        <v/>
      </c>
      <c r="M328" s="137">
        <f>IF(K328="Matched","Low",IF(OR(IFERROR(ABS(H328),0)&gt;Mapping_Rules!$B$7,IFERROR(J328,0)&gt;Mapping_Rules!$B$8),"High","Medium"))</f>
        <v/>
      </c>
      <c r="N328" s="137">
        <f>IF(K328="Matched","No action needed",IF(L328="Missing from bank","Check bank date or posting",IF(L328="Amount variance","Check invoice/payment amount","Check timing difference")))</f>
        <v/>
      </c>
      <c r="O328" s="115" t="inlineStr">
        <is>
          <t>1200 AR</t>
        </is>
      </c>
      <c r="P328" s="115" t="inlineStr">
        <is>
          <t>AR Clerk</t>
        </is>
      </c>
      <c r="Q328" s="115" t="inlineStr">
        <is>
          <t>No</t>
        </is>
      </c>
      <c r="R328" s="138" t="str"/>
      <c r="S328" s="139">
        <f>IF(K328="Matched",0,Mapping_Rules!$B$6-B328)</f>
        <v/>
      </c>
    </row>
    <row r="329">
      <c r="A329" s="140" t="inlineStr">
        <is>
          <t>ERP-00326</t>
        </is>
      </c>
      <c r="B329" s="141" t="n">
        <v>46025</v>
      </c>
      <c r="C329" s="140" t="inlineStr">
        <is>
          <t>AR</t>
        </is>
      </c>
      <c r="D329" s="140" t="inlineStr">
        <is>
          <t>Coastline Foods</t>
        </is>
      </c>
      <c r="E329" s="140" t="inlineStr">
        <is>
          <t>REF-100326</t>
        </is>
      </c>
      <c r="F329" s="142" t="n">
        <v>2588.95</v>
      </c>
      <c r="G329" s="143">
        <f>IFERROR(XLOOKUP(E329,Bank_Statement!$D$4:$D$448,Bank_Statement!$G$4:$G$448,""),"")</f>
        <v/>
      </c>
      <c r="H329" s="142">
        <f>IF(G329="","",F329-G329)</f>
        <v/>
      </c>
      <c r="I329" s="144">
        <f>IFERROR(XLOOKUP(E329,Bank_Statement!$D$4:$D$448,Bank_Statement!$B$4:$B$448,""),"")</f>
        <v/>
      </c>
      <c r="J329" s="145">
        <f>IF(I329="","",ABS(B329-I329))</f>
        <v/>
      </c>
      <c r="K329" s="146">
        <f>IF(G329="","Unmatched ERP",IF(AND(ABS(H329)&lt;=Mapping_Rules!$B$4,ABS(J329)&lt;=Mapping_Rules!$B$5),"Matched","Review"))</f>
        <v/>
      </c>
      <c r="L329" s="146">
        <f>IF(K329="Matched","None",IF(G329="","Missing from bank",IF(ABS(H329)&gt;Mapping_Rules!$B$4,"Amount variance","Date variance")))</f>
        <v/>
      </c>
      <c r="M329" s="146">
        <f>IF(K329="Matched","Low",IF(OR(IFERROR(ABS(H329),0)&gt;Mapping_Rules!$B$7,IFERROR(J329,0)&gt;Mapping_Rules!$B$8),"High","Medium"))</f>
        <v/>
      </c>
      <c r="N329" s="146">
        <f>IF(K329="Matched","No action needed",IF(L329="Missing from bank","Check bank date or posting",IF(L329="Amount variance","Check invoice/payment amount","Check timing difference")))</f>
        <v/>
      </c>
      <c r="O329" s="140" t="inlineStr">
        <is>
          <t>1200 AR</t>
        </is>
      </c>
      <c r="P329" s="140" t="inlineStr">
        <is>
          <t>AR Clerk</t>
        </is>
      </c>
      <c r="Q329" s="140" t="inlineStr">
        <is>
          <t>No</t>
        </is>
      </c>
      <c r="R329" s="147" t="str"/>
      <c r="S329" s="148">
        <f>IF(K329="Matched",0,Mapping_Rules!$B$6-B329)</f>
        <v/>
      </c>
    </row>
    <row r="330">
      <c r="A330" s="115" t="inlineStr">
        <is>
          <t>ERP-00327</t>
        </is>
      </c>
      <c r="B330" s="125" t="n">
        <v>46041</v>
      </c>
      <c r="C330" s="115" t="inlineStr">
        <is>
          <t>GL</t>
        </is>
      </c>
      <c r="D330" s="115" t="inlineStr">
        <is>
          <t>Harbour Design Co.</t>
        </is>
      </c>
      <c r="E330" s="115" t="inlineStr">
        <is>
          <t>REF-100327</t>
        </is>
      </c>
      <c r="F330" s="126" t="n">
        <v>-2501.8</v>
      </c>
      <c r="G330" s="134">
        <f>IFERROR(XLOOKUP(E330,Bank_Statement!$D$4:$D$448,Bank_Statement!$G$4:$G$448,""),"")</f>
        <v/>
      </c>
      <c r="H330" s="126">
        <f>IF(G330="","",F330-G330)</f>
        <v/>
      </c>
      <c r="I330" s="135">
        <f>IFERROR(XLOOKUP(E330,Bank_Statement!$D$4:$D$448,Bank_Statement!$B$4:$B$448,""),"")</f>
        <v/>
      </c>
      <c r="J330" s="136">
        <f>IF(I330="","",ABS(B330-I330))</f>
        <v/>
      </c>
      <c r="K330" s="137">
        <f>IF(G330="","Unmatched ERP",IF(AND(ABS(H330)&lt;=Mapping_Rules!$B$4,ABS(J330)&lt;=Mapping_Rules!$B$5),"Matched","Review"))</f>
        <v/>
      </c>
      <c r="L330" s="137">
        <f>IF(K330="Matched","None",IF(G330="","Missing from bank",IF(ABS(H330)&gt;Mapping_Rules!$B$4,"Amount variance","Date variance")))</f>
        <v/>
      </c>
      <c r="M330" s="137">
        <f>IF(K330="Matched","Low",IF(OR(IFERROR(ABS(H330),0)&gt;Mapping_Rules!$B$7,IFERROR(J330,0)&gt;Mapping_Rules!$B$8),"High","Medium"))</f>
        <v/>
      </c>
      <c r="N330" s="137">
        <f>IF(K330="Matched","No action needed",IF(L330="Missing from bank","Check bank date or posting",IF(L330="Amount variance","Check invoice/payment amount","Check timing difference")))</f>
        <v/>
      </c>
      <c r="O330" s="115" t="inlineStr">
        <is>
          <t>1200 AR</t>
        </is>
      </c>
      <c r="P330" s="115" t="inlineStr">
        <is>
          <t>Accounting Technician</t>
        </is>
      </c>
      <c r="Q330" s="115" t="inlineStr">
        <is>
          <t>No</t>
        </is>
      </c>
      <c r="R330" s="138" t="str"/>
      <c r="S330" s="139">
        <f>IF(K330="Matched",0,Mapping_Rules!$B$6-B330)</f>
        <v/>
      </c>
    </row>
    <row r="331">
      <c r="A331" s="140" t="inlineStr">
        <is>
          <t>ERP-00328</t>
        </is>
      </c>
      <c r="B331" s="141" t="n">
        <v>46034</v>
      </c>
      <c r="C331" s="140" t="inlineStr">
        <is>
          <t>AR</t>
        </is>
      </c>
      <c r="D331" s="140" t="inlineStr">
        <is>
          <t>Maple Retail Group</t>
        </is>
      </c>
      <c r="E331" s="140" t="inlineStr">
        <is>
          <t>REF-100328</t>
        </is>
      </c>
      <c r="F331" s="142" t="n">
        <v>6496.03</v>
      </c>
      <c r="G331" s="143">
        <f>IFERROR(XLOOKUP(E331,Bank_Statement!$D$4:$D$448,Bank_Statement!$G$4:$G$448,""),"")</f>
        <v/>
      </c>
      <c r="H331" s="142">
        <f>IF(G331="","",F331-G331)</f>
        <v/>
      </c>
      <c r="I331" s="144">
        <f>IFERROR(XLOOKUP(E331,Bank_Statement!$D$4:$D$448,Bank_Statement!$B$4:$B$448,""),"")</f>
        <v/>
      </c>
      <c r="J331" s="145">
        <f>IF(I331="","",ABS(B331-I331))</f>
        <v/>
      </c>
      <c r="K331" s="146">
        <f>IF(G331="","Unmatched ERP",IF(AND(ABS(H331)&lt;=Mapping_Rules!$B$4,ABS(J331)&lt;=Mapping_Rules!$B$5),"Matched","Review"))</f>
        <v/>
      </c>
      <c r="L331" s="146">
        <f>IF(K331="Matched","None",IF(G331="","Missing from bank",IF(ABS(H331)&gt;Mapping_Rules!$B$4,"Amount variance","Date variance")))</f>
        <v/>
      </c>
      <c r="M331" s="146">
        <f>IF(K331="Matched","Low",IF(OR(IFERROR(ABS(H331),0)&gt;Mapping_Rules!$B$7,IFERROR(J331,0)&gt;Mapping_Rules!$B$8),"High","Medium"))</f>
        <v/>
      </c>
      <c r="N331" s="146">
        <f>IF(K331="Matched","No action needed",IF(L331="Missing from bank","Check bank date or posting",IF(L331="Amount variance","Check invoice/payment amount","Check timing difference")))</f>
        <v/>
      </c>
      <c r="O331" s="140" t="inlineStr">
        <is>
          <t>1200 AR</t>
        </is>
      </c>
      <c r="P331" s="140" t="inlineStr">
        <is>
          <t>AR Clerk</t>
        </is>
      </c>
      <c r="Q331" s="140" t="inlineStr">
        <is>
          <t>No</t>
        </is>
      </c>
      <c r="R331" s="147" t="str"/>
      <c r="S331" s="148">
        <f>IF(K331="Matched",0,Mapping_Rules!$B$6-B331)</f>
        <v/>
      </c>
    </row>
    <row r="332">
      <c r="A332" s="115" t="inlineStr">
        <is>
          <t>ERP-00329</t>
        </is>
      </c>
      <c r="B332" s="125" t="n">
        <v>46049</v>
      </c>
      <c r="C332" s="115" t="inlineStr">
        <is>
          <t>AR</t>
        </is>
      </c>
      <c r="D332" s="115" t="inlineStr">
        <is>
          <t>Coastline Foods</t>
        </is>
      </c>
      <c r="E332" s="115" t="inlineStr">
        <is>
          <t>REF-100329</t>
        </is>
      </c>
      <c r="F332" s="126" t="n">
        <v>2635.87</v>
      </c>
      <c r="G332" s="134">
        <f>IFERROR(XLOOKUP(E332,Bank_Statement!$D$4:$D$448,Bank_Statement!$G$4:$G$448,""),"")</f>
        <v/>
      </c>
      <c r="H332" s="126">
        <f>IF(G332="","",F332-G332)</f>
        <v/>
      </c>
      <c r="I332" s="135">
        <f>IFERROR(XLOOKUP(E332,Bank_Statement!$D$4:$D$448,Bank_Statement!$B$4:$B$448,""),"")</f>
        <v/>
      </c>
      <c r="J332" s="136">
        <f>IF(I332="","",ABS(B332-I332))</f>
        <v/>
      </c>
      <c r="K332" s="137">
        <f>IF(G332="","Unmatched ERP",IF(AND(ABS(H332)&lt;=Mapping_Rules!$B$4,ABS(J332)&lt;=Mapping_Rules!$B$5),"Matched","Review"))</f>
        <v/>
      </c>
      <c r="L332" s="137">
        <f>IF(K332="Matched","None",IF(G332="","Missing from bank",IF(ABS(H332)&gt;Mapping_Rules!$B$4,"Amount variance","Date variance")))</f>
        <v/>
      </c>
      <c r="M332" s="137">
        <f>IF(K332="Matched","Low",IF(OR(IFERROR(ABS(H332),0)&gt;Mapping_Rules!$B$7,IFERROR(J332,0)&gt;Mapping_Rules!$B$8),"High","Medium"))</f>
        <v/>
      </c>
      <c r="N332" s="137">
        <f>IF(K332="Matched","No action needed",IF(L332="Missing from bank","Check bank date or posting",IF(L332="Amount variance","Check invoice/payment amount","Check timing difference")))</f>
        <v/>
      </c>
      <c r="O332" s="115" t="inlineStr">
        <is>
          <t>1200 AR</t>
        </is>
      </c>
      <c r="P332" s="115" t="inlineStr">
        <is>
          <t>AR Clerk</t>
        </is>
      </c>
      <c r="Q332" s="115" t="inlineStr">
        <is>
          <t>No</t>
        </is>
      </c>
      <c r="R332" s="138" t="str"/>
      <c r="S332" s="139">
        <f>IF(K332="Matched",0,Mapping_Rules!$B$6-B332)</f>
        <v/>
      </c>
    </row>
    <row r="333">
      <c r="A333" s="140" t="inlineStr">
        <is>
          <t>ERP-00330</t>
        </is>
      </c>
      <c r="B333" s="141" t="n">
        <v>46026</v>
      </c>
      <c r="C333" s="140" t="inlineStr">
        <is>
          <t>GL</t>
        </is>
      </c>
      <c r="D333" s="140" t="inlineStr">
        <is>
          <t>BC Hydro</t>
        </is>
      </c>
      <c r="E333" s="140" t="inlineStr">
        <is>
          <t>REF-100330</t>
        </is>
      </c>
      <c r="F333" s="142" t="n">
        <v>-1088.9</v>
      </c>
      <c r="G333" s="143">
        <f>IFERROR(XLOOKUP(E333,Bank_Statement!$D$4:$D$448,Bank_Statement!$G$4:$G$448,""),"")</f>
        <v/>
      </c>
      <c r="H333" s="142">
        <f>IF(G333="","",F333-G333)</f>
        <v/>
      </c>
      <c r="I333" s="144">
        <f>IFERROR(XLOOKUP(E333,Bank_Statement!$D$4:$D$448,Bank_Statement!$B$4:$B$448,""),"")</f>
        <v/>
      </c>
      <c r="J333" s="145">
        <f>IF(I333="","",ABS(B333-I333))</f>
        <v/>
      </c>
      <c r="K333" s="146">
        <f>IF(G333="","Unmatched ERP",IF(AND(ABS(H333)&lt;=Mapping_Rules!$B$4,ABS(J333)&lt;=Mapping_Rules!$B$5),"Matched","Review"))</f>
        <v/>
      </c>
      <c r="L333" s="146">
        <f>IF(K333="Matched","None",IF(G333="","Missing from bank",IF(ABS(H333)&gt;Mapping_Rules!$B$4,"Amount variance","Date variance")))</f>
        <v/>
      </c>
      <c r="M333" s="146">
        <f>IF(K333="Matched","Low",IF(OR(IFERROR(ABS(H333),0)&gt;Mapping_Rules!$B$7,IFERROR(J333,0)&gt;Mapping_Rules!$B$8),"High","Medium"))</f>
        <v/>
      </c>
      <c r="N333" s="146">
        <f>IF(K333="Matched","No action needed",IF(L333="Missing from bank","Check bank date or posting",IF(L333="Amount variance","Check invoice/payment amount","Check timing difference")))</f>
        <v/>
      </c>
      <c r="O333" s="140" t="inlineStr">
        <is>
          <t>5200 Software</t>
        </is>
      </c>
      <c r="P333" s="140" t="inlineStr">
        <is>
          <t>Accounting Technician</t>
        </is>
      </c>
      <c r="Q333" s="140" t="inlineStr">
        <is>
          <t>No</t>
        </is>
      </c>
      <c r="R333" s="147" t="str"/>
      <c r="S333" s="148">
        <f>IF(K333="Matched",0,Mapping_Rules!$B$6-B333)</f>
        <v/>
      </c>
    </row>
    <row r="334">
      <c r="A334" s="115" t="inlineStr">
        <is>
          <t>ERP-00331</t>
        </is>
      </c>
      <c r="B334" s="125" t="n">
        <v>46049</v>
      </c>
      <c r="C334" s="115" t="inlineStr">
        <is>
          <t>AP</t>
        </is>
      </c>
      <c r="D334" s="115" t="inlineStr">
        <is>
          <t>Pacific Office Supplies</t>
        </is>
      </c>
      <c r="E334" s="115" t="inlineStr">
        <is>
          <t>REF-100331</t>
        </is>
      </c>
      <c r="F334" s="126" t="n">
        <v>-3568.85</v>
      </c>
      <c r="G334" s="134">
        <f>IFERROR(XLOOKUP(E334,Bank_Statement!$D$4:$D$448,Bank_Statement!$G$4:$G$448,""),"")</f>
        <v/>
      </c>
      <c r="H334" s="126">
        <f>IF(G334="","",F334-G334)</f>
        <v/>
      </c>
      <c r="I334" s="135">
        <f>IFERROR(XLOOKUP(E334,Bank_Statement!$D$4:$D$448,Bank_Statement!$B$4:$B$448,""),"")</f>
        <v/>
      </c>
      <c r="J334" s="136">
        <f>IF(I334="","",ABS(B334-I334))</f>
        <v/>
      </c>
      <c r="K334" s="137">
        <f>IF(G334="","Unmatched ERP",IF(AND(ABS(H334)&lt;=Mapping_Rules!$B$4,ABS(J334)&lt;=Mapping_Rules!$B$5),"Matched","Review"))</f>
        <v/>
      </c>
      <c r="L334" s="137">
        <f>IF(K334="Matched","None",IF(G334="","Missing from bank",IF(ABS(H334)&gt;Mapping_Rules!$B$4,"Amount variance","Date variance")))</f>
        <v/>
      </c>
      <c r="M334" s="137">
        <f>IF(K334="Matched","Low",IF(OR(IFERROR(ABS(H334),0)&gt;Mapping_Rules!$B$7,IFERROR(J334,0)&gt;Mapping_Rules!$B$8),"High","Medium"))</f>
        <v/>
      </c>
      <c r="N334" s="137">
        <f>IF(K334="Matched","No action needed",IF(L334="Missing from bank","Check bank date or posting",IF(L334="Amount variance","Check invoice/payment amount","Check timing difference")))</f>
        <v/>
      </c>
      <c r="O334" s="115" t="inlineStr">
        <is>
          <t>2000 AP</t>
        </is>
      </c>
      <c r="P334" s="115" t="inlineStr">
        <is>
          <t>AP Clerk</t>
        </is>
      </c>
      <c r="Q334" s="115" t="inlineStr">
        <is>
          <t>No</t>
        </is>
      </c>
      <c r="R334" s="138" t="str"/>
      <c r="S334" s="139">
        <f>IF(K334="Matched",0,Mapping_Rules!$B$6-B334)</f>
        <v/>
      </c>
    </row>
    <row r="335">
      <c r="A335" s="140" t="inlineStr">
        <is>
          <t>ERP-00332</t>
        </is>
      </c>
      <c r="B335" s="141" t="n">
        <v>46045</v>
      </c>
      <c r="C335" s="140" t="inlineStr">
        <is>
          <t>AP</t>
        </is>
      </c>
      <c r="D335" s="140" t="inlineStr">
        <is>
          <t>Amazon Business</t>
        </is>
      </c>
      <c r="E335" s="140" t="inlineStr">
        <is>
          <t>REF-100332</t>
        </is>
      </c>
      <c r="F335" s="142" t="n">
        <v>-1716.14</v>
      </c>
      <c r="G335" s="143">
        <f>IFERROR(XLOOKUP(E335,Bank_Statement!$D$4:$D$448,Bank_Statement!$G$4:$G$448,""),"")</f>
        <v/>
      </c>
      <c r="H335" s="142">
        <f>IF(G335="","",F335-G335)</f>
        <v/>
      </c>
      <c r="I335" s="144">
        <f>IFERROR(XLOOKUP(E335,Bank_Statement!$D$4:$D$448,Bank_Statement!$B$4:$B$448,""),"")</f>
        <v/>
      </c>
      <c r="J335" s="145">
        <f>IF(I335="","",ABS(B335-I335))</f>
        <v/>
      </c>
      <c r="K335" s="146">
        <f>IF(G335="","Unmatched ERP",IF(AND(ABS(H335)&lt;=Mapping_Rules!$B$4,ABS(J335)&lt;=Mapping_Rules!$B$5),"Matched","Review"))</f>
        <v/>
      </c>
      <c r="L335" s="146">
        <f>IF(K335="Matched","None",IF(G335="","Missing from bank",IF(ABS(H335)&gt;Mapping_Rules!$B$4,"Amount variance","Date variance")))</f>
        <v/>
      </c>
      <c r="M335" s="146">
        <f>IF(K335="Matched","Low",IF(OR(IFERROR(ABS(H335),0)&gt;Mapping_Rules!$B$7,IFERROR(J335,0)&gt;Mapping_Rules!$B$8),"High","Medium"))</f>
        <v/>
      </c>
      <c r="N335" s="146">
        <f>IF(K335="Matched","No action needed",IF(L335="Missing from bank","Check bank date or posting",IF(L335="Amount variance","Check invoice/payment amount","Check timing difference")))</f>
        <v/>
      </c>
      <c r="O335" s="140" t="inlineStr">
        <is>
          <t>2000 AP</t>
        </is>
      </c>
      <c r="P335" s="140" t="inlineStr">
        <is>
          <t>AP Clerk</t>
        </is>
      </c>
      <c r="Q335" s="140" t="inlineStr">
        <is>
          <t>No</t>
        </is>
      </c>
      <c r="R335" s="147" t="str"/>
      <c r="S335" s="148">
        <f>IF(K335="Matched",0,Mapping_Rules!$B$6-B335)</f>
        <v/>
      </c>
    </row>
    <row r="336">
      <c r="A336" s="115" t="inlineStr">
        <is>
          <t>ERP-00333</t>
        </is>
      </c>
      <c r="B336" s="125" t="n">
        <v>46031</v>
      </c>
      <c r="C336" s="115" t="inlineStr">
        <is>
          <t>Payroll</t>
        </is>
      </c>
      <c r="D336" s="115" t="inlineStr">
        <is>
          <t>Payroll Batch</t>
        </is>
      </c>
      <c r="E336" s="115" t="inlineStr">
        <is>
          <t>REF-100333</t>
        </is>
      </c>
      <c r="F336" s="126" t="n">
        <v>-4339.88</v>
      </c>
      <c r="G336" s="134">
        <f>IFERROR(XLOOKUP(E336,Bank_Statement!$D$4:$D$448,Bank_Statement!$G$4:$G$448,""),"")</f>
        <v/>
      </c>
      <c r="H336" s="126">
        <f>IF(G336="","",F336-G336)</f>
        <v/>
      </c>
      <c r="I336" s="135">
        <f>IFERROR(XLOOKUP(E336,Bank_Statement!$D$4:$D$448,Bank_Statement!$B$4:$B$448,""),"")</f>
        <v/>
      </c>
      <c r="J336" s="136">
        <f>IF(I336="","",ABS(B336-I336))</f>
        <v/>
      </c>
      <c r="K336" s="137">
        <f>IF(G336="","Unmatched ERP",IF(AND(ABS(H336)&lt;=Mapping_Rules!$B$4,ABS(J336)&lt;=Mapping_Rules!$B$5),"Matched","Review"))</f>
        <v/>
      </c>
      <c r="L336" s="137">
        <f>IF(K336="Matched","None",IF(G336="","Missing from bank",IF(ABS(H336)&gt;Mapping_Rules!$B$4,"Amount variance","Date variance")))</f>
        <v/>
      </c>
      <c r="M336" s="137">
        <f>IF(K336="Matched","Low",IF(OR(IFERROR(ABS(H336),0)&gt;Mapping_Rules!$B$7,IFERROR(J336,0)&gt;Mapping_Rules!$B$8),"High","Medium"))</f>
        <v/>
      </c>
      <c r="N336" s="137">
        <f>IF(K336="Matched","No action needed",IF(L336="Missing from bank","Check bank date or posting",IF(L336="Amount variance","Check invoice/payment amount","Check timing difference")))</f>
        <v/>
      </c>
      <c r="O336" s="115" t="inlineStr">
        <is>
          <t>5300 Payroll</t>
        </is>
      </c>
      <c r="P336" s="115" t="inlineStr">
        <is>
          <t>Accounting Technician</t>
        </is>
      </c>
      <c r="Q336" s="115" t="inlineStr">
        <is>
          <t>No</t>
        </is>
      </c>
      <c r="R336" s="138" t="str"/>
      <c r="S336" s="139">
        <f>IF(K336="Matched",0,Mapping_Rules!$B$6-B336)</f>
        <v/>
      </c>
    </row>
    <row r="337">
      <c r="A337" s="140" t="inlineStr">
        <is>
          <t>ERP-00334</t>
        </is>
      </c>
      <c r="B337" s="141" t="n">
        <v>46047</v>
      </c>
      <c r="C337" s="140" t="inlineStr">
        <is>
          <t>Payroll</t>
        </is>
      </c>
      <c r="D337" s="140" t="inlineStr">
        <is>
          <t>Payroll Batch</t>
        </is>
      </c>
      <c r="E337" s="140" t="inlineStr">
        <is>
          <t>REF-100334</t>
        </is>
      </c>
      <c r="F337" s="142" t="n">
        <v>-8194.16</v>
      </c>
      <c r="G337" s="143">
        <f>IFERROR(XLOOKUP(E337,Bank_Statement!$D$4:$D$448,Bank_Statement!$G$4:$G$448,""),"")</f>
        <v/>
      </c>
      <c r="H337" s="142">
        <f>IF(G337="","",F337-G337)</f>
        <v/>
      </c>
      <c r="I337" s="144">
        <f>IFERROR(XLOOKUP(E337,Bank_Statement!$D$4:$D$448,Bank_Statement!$B$4:$B$448,""),"")</f>
        <v/>
      </c>
      <c r="J337" s="145">
        <f>IF(I337="","",ABS(B337-I337))</f>
        <v/>
      </c>
      <c r="K337" s="146">
        <f>IF(G337="","Unmatched ERP",IF(AND(ABS(H337)&lt;=Mapping_Rules!$B$4,ABS(J337)&lt;=Mapping_Rules!$B$5),"Matched","Review"))</f>
        <v/>
      </c>
      <c r="L337" s="146">
        <f>IF(K337="Matched","None",IF(G337="","Missing from bank",IF(ABS(H337)&gt;Mapping_Rules!$B$4,"Amount variance","Date variance")))</f>
        <v/>
      </c>
      <c r="M337" s="146">
        <f>IF(K337="Matched","Low",IF(OR(IFERROR(ABS(H337),0)&gt;Mapping_Rules!$B$7,IFERROR(J337,0)&gt;Mapping_Rules!$B$8),"High","Medium"))</f>
        <v/>
      </c>
      <c r="N337" s="146">
        <f>IF(K337="Matched","No action needed",IF(L337="Missing from bank","Check bank date or posting",IF(L337="Amount variance","Check invoice/payment amount","Check timing difference")))</f>
        <v/>
      </c>
      <c r="O337" s="140" t="inlineStr">
        <is>
          <t>5300 Payroll</t>
        </is>
      </c>
      <c r="P337" s="140" t="inlineStr">
        <is>
          <t>Accounting Technician</t>
        </is>
      </c>
      <c r="Q337" s="140" t="inlineStr">
        <is>
          <t>No</t>
        </is>
      </c>
      <c r="R337" s="147" t="str"/>
      <c r="S337" s="148">
        <f>IF(K337="Matched",0,Mapping_Rules!$B$6-B337)</f>
        <v/>
      </c>
    </row>
    <row r="338">
      <c r="A338" s="115" t="inlineStr">
        <is>
          <t>ERP-00335</t>
        </is>
      </c>
      <c r="B338" s="125" t="n">
        <v>46025</v>
      </c>
      <c r="C338" s="115" t="inlineStr">
        <is>
          <t>AR</t>
        </is>
      </c>
      <c r="D338" s="115" t="inlineStr">
        <is>
          <t>Maple Retail Group</t>
        </is>
      </c>
      <c r="E338" s="115" t="inlineStr">
        <is>
          <t>REF-100335</t>
        </is>
      </c>
      <c r="F338" s="126" t="n">
        <v>3513.8</v>
      </c>
      <c r="G338" s="134">
        <f>IFERROR(XLOOKUP(E338,Bank_Statement!$D$4:$D$448,Bank_Statement!$G$4:$G$448,""),"")</f>
        <v/>
      </c>
      <c r="H338" s="126">
        <f>IF(G338="","",F338-G338)</f>
        <v/>
      </c>
      <c r="I338" s="135">
        <f>IFERROR(XLOOKUP(E338,Bank_Statement!$D$4:$D$448,Bank_Statement!$B$4:$B$448,""),"")</f>
        <v/>
      </c>
      <c r="J338" s="136">
        <f>IF(I338="","",ABS(B338-I338))</f>
        <v/>
      </c>
      <c r="K338" s="137">
        <f>IF(G338="","Unmatched ERP",IF(AND(ABS(H338)&lt;=Mapping_Rules!$B$4,ABS(J338)&lt;=Mapping_Rules!$B$5),"Matched","Review"))</f>
        <v/>
      </c>
      <c r="L338" s="137">
        <f>IF(K338="Matched","None",IF(G338="","Missing from bank",IF(ABS(H338)&gt;Mapping_Rules!$B$4,"Amount variance","Date variance")))</f>
        <v/>
      </c>
      <c r="M338" s="137">
        <f>IF(K338="Matched","Low",IF(OR(IFERROR(ABS(H338),0)&gt;Mapping_Rules!$B$7,IFERROR(J338,0)&gt;Mapping_Rules!$B$8),"High","Medium"))</f>
        <v/>
      </c>
      <c r="N338" s="137">
        <f>IF(K338="Matched","No action needed",IF(L338="Missing from bank","Check bank date or posting",IF(L338="Amount variance","Check invoice/payment amount","Check timing difference")))</f>
        <v/>
      </c>
      <c r="O338" s="115" t="inlineStr">
        <is>
          <t>1200 AR</t>
        </is>
      </c>
      <c r="P338" s="115" t="inlineStr">
        <is>
          <t>AR Clerk</t>
        </is>
      </c>
      <c r="Q338" s="115" t="inlineStr">
        <is>
          <t>No</t>
        </is>
      </c>
      <c r="R338" s="138" t="str"/>
      <c r="S338" s="139">
        <f>IF(K338="Matched",0,Mapping_Rules!$B$6-B338)</f>
        <v/>
      </c>
    </row>
    <row r="339">
      <c r="A339" s="140" t="inlineStr">
        <is>
          <t>ERP-00336</t>
        </is>
      </c>
      <c r="B339" s="141" t="n">
        <v>46023</v>
      </c>
      <c r="C339" s="140" t="inlineStr">
        <is>
          <t>Payroll</t>
        </is>
      </c>
      <c r="D339" s="140" t="inlineStr">
        <is>
          <t>Payroll Batch</t>
        </is>
      </c>
      <c r="E339" s="140" t="inlineStr">
        <is>
          <t>REF-100336</t>
        </is>
      </c>
      <c r="F339" s="142" t="n">
        <v>-14783.93</v>
      </c>
      <c r="G339" s="143">
        <f>IFERROR(XLOOKUP(E339,Bank_Statement!$D$4:$D$448,Bank_Statement!$G$4:$G$448,""),"")</f>
        <v/>
      </c>
      <c r="H339" s="142">
        <f>IF(G339="","",F339-G339)</f>
        <v/>
      </c>
      <c r="I339" s="144">
        <f>IFERROR(XLOOKUP(E339,Bank_Statement!$D$4:$D$448,Bank_Statement!$B$4:$B$448,""),"")</f>
        <v/>
      </c>
      <c r="J339" s="145">
        <f>IF(I339="","",ABS(B339-I339))</f>
        <v/>
      </c>
      <c r="K339" s="146">
        <f>IF(G339="","Unmatched ERP",IF(AND(ABS(H339)&lt;=Mapping_Rules!$B$4,ABS(J339)&lt;=Mapping_Rules!$B$5),"Matched","Review"))</f>
        <v/>
      </c>
      <c r="L339" s="146">
        <f>IF(K339="Matched","None",IF(G339="","Missing from bank",IF(ABS(H339)&gt;Mapping_Rules!$B$4,"Amount variance","Date variance")))</f>
        <v/>
      </c>
      <c r="M339" s="146">
        <f>IF(K339="Matched","Low",IF(OR(IFERROR(ABS(H339),0)&gt;Mapping_Rules!$B$7,IFERROR(J339,0)&gt;Mapping_Rules!$B$8),"High","Medium"))</f>
        <v/>
      </c>
      <c r="N339" s="146">
        <f>IF(K339="Matched","No action needed",IF(L339="Missing from bank","Check bank date or posting",IF(L339="Amount variance","Check invoice/payment amount","Check timing difference")))</f>
        <v/>
      </c>
      <c r="O339" s="140" t="inlineStr">
        <is>
          <t>5300 Payroll</t>
        </is>
      </c>
      <c r="P339" s="140" t="inlineStr">
        <is>
          <t>Accounting Technician</t>
        </is>
      </c>
      <c r="Q339" s="140" t="inlineStr">
        <is>
          <t>No</t>
        </is>
      </c>
      <c r="R339" s="147" t="str"/>
      <c r="S339" s="148">
        <f>IF(K339="Matched",0,Mapping_Rules!$B$6-B339)</f>
        <v/>
      </c>
    </row>
    <row r="340">
      <c r="A340" s="115" t="inlineStr">
        <is>
          <t>ERP-00337</t>
        </is>
      </c>
      <c r="B340" s="125" t="n">
        <v>46048</v>
      </c>
      <c r="C340" s="115" t="inlineStr">
        <is>
          <t>AR</t>
        </is>
      </c>
      <c r="D340" s="115" t="inlineStr">
        <is>
          <t>Coastline Foods</t>
        </is>
      </c>
      <c r="E340" s="115" t="inlineStr">
        <is>
          <t>REF-100337</t>
        </is>
      </c>
      <c r="F340" s="126" t="n">
        <v>8233.870000000001</v>
      </c>
      <c r="G340" s="134">
        <f>IFERROR(XLOOKUP(E340,Bank_Statement!$D$4:$D$448,Bank_Statement!$G$4:$G$448,""),"")</f>
        <v/>
      </c>
      <c r="H340" s="126">
        <f>IF(G340="","",F340-G340)</f>
        <v/>
      </c>
      <c r="I340" s="135">
        <f>IFERROR(XLOOKUP(E340,Bank_Statement!$D$4:$D$448,Bank_Statement!$B$4:$B$448,""),"")</f>
        <v/>
      </c>
      <c r="J340" s="136">
        <f>IF(I340="","",ABS(B340-I340))</f>
        <v/>
      </c>
      <c r="K340" s="137">
        <f>IF(G340="","Unmatched ERP",IF(AND(ABS(H340)&lt;=Mapping_Rules!$B$4,ABS(J340)&lt;=Mapping_Rules!$B$5),"Matched","Review"))</f>
        <v/>
      </c>
      <c r="L340" s="137">
        <f>IF(K340="Matched","None",IF(G340="","Missing from bank",IF(ABS(H340)&gt;Mapping_Rules!$B$4,"Amount variance","Date variance")))</f>
        <v/>
      </c>
      <c r="M340" s="137">
        <f>IF(K340="Matched","Low",IF(OR(IFERROR(ABS(H340),0)&gt;Mapping_Rules!$B$7,IFERROR(J340,0)&gt;Mapping_Rules!$B$8),"High","Medium"))</f>
        <v/>
      </c>
      <c r="N340" s="137">
        <f>IF(K340="Matched","No action needed",IF(L340="Missing from bank","Check bank date or posting",IF(L340="Amount variance","Check invoice/payment amount","Check timing difference")))</f>
        <v/>
      </c>
      <c r="O340" s="115" t="inlineStr">
        <is>
          <t>1200 AR</t>
        </is>
      </c>
      <c r="P340" s="115" t="inlineStr">
        <is>
          <t>AR Clerk</t>
        </is>
      </c>
      <c r="Q340" s="115" t="inlineStr">
        <is>
          <t>No</t>
        </is>
      </c>
      <c r="R340" s="138" t="str"/>
      <c r="S340" s="139">
        <f>IF(K340="Matched",0,Mapping_Rules!$B$6-B340)</f>
        <v/>
      </c>
    </row>
    <row r="341">
      <c r="A341" s="140" t="inlineStr">
        <is>
          <t>ERP-00338</t>
        </is>
      </c>
      <c r="B341" s="141" t="n">
        <v>46041</v>
      </c>
      <c r="C341" s="140" t="inlineStr">
        <is>
          <t>AP</t>
        </is>
      </c>
      <c r="D341" s="140" t="inlineStr">
        <is>
          <t>Vancouver Courier</t>
        </is>
      </c>
      <c r="E341" s="140" t="inlineStr">
        <is>
          <t>REF-100338</t>
        </is>
      </c>
      <c r="F341" s="142" t="n">
        <v>-3050.27</v>
      </c>
      <c r="G341" s="143">
        <f>IFERROR(XLOOKUP(E341,Bank_Statement!$D$4:$D$448,Bank_Statement!$G$4:$G$448,""),"")</f>
        <v/>
      </c>
      <c r="H341" s="142">
        <f>IF(G341="","",F341-G341)</f>
        <v/>
      </c>
      <c r="I341" s="144">
        <f>IFERROR(XLOOKUP(E341,Bank_Statement!$D$4:$D$448,Bank_Statement!$B$4:$B$448,""),"")</f>
        <v/>
      </c>
      <c r="J341" s="145">
        <f>IF(I341="","",ABS(B341-I341))</f>
        <v/>
      </c>
      <c r="K341" s="146">
        <f>IF(G341="","Unmatched ERP",IF(AND(ABS(H341)&lt;=Mapping_Rules!$B$4,ABS(J341)&lt;=Mapping_Rules!$B$5),"Matched","Review"))</f>
        <v/>
      </c>
      <c r="L341" s="146">
        <f>IF(K341="Matched","None",IF(G341="","Missing from bank",IF(ABS(H341)&gt;Mapping_Rules!$B$4,"Amount variance","Date variance")))</f>
        <v/>
      </c>
      <c r="M341" s="146">
        <f>IF(K341="Matched","Low",IF(OR(IFERROR(ABS(H341),0)&gt;Mapping_Rules!$B$7,IFERROR(J341,0)&gt;Mapping_Rules!$B$8),"High","Medium"))</f>
        <v/>
      </c>
      <c r="N341" s="146">
        <f>IF(K341="Matched","No action needed",IF(L341="Missing from bank","Check bank date or posting",IF(L341="Amount variance","Check invoice/payment amount","Check timing difference")))</f>
        <v/>
      </c>
      <c r="O341" s="140" t="inlineStr">
        <is>
          <t>2000 AP</t>
        </is>
      </c>
      <c r="P341" s="140" t="inlineStr">
        <is>
          <t>AP Clerk</t>
        </is>
      </c>
      <c r="Q341" s="140" t="inlineStr">
        <is>
          <t>No</t>
        </is>
      </c>
      <c r="R341" s="147" t="str"/>
      <c r="S341" s="148">
        <f>IF(K341="Matched",0,Mapping_Rules!$B$6-B341)</f>
        <v/>
      </c>
    </row>
    <row r="342">
      <c r="A342" s="115" t="inlineStr">
        <is>
          <t>ERP-00339</t>
        </is>
      </c>
      <c r="B342" s="125" t="n">
        <v>46037</v>
      </c>
      <c r="C342" s="115" t="inlineStr">
        <is>
          <t>AR</t>
        </is>
      </c>
      <c r="D342" s="115" t="inlineStr">
        <is>
          <t>Granville Medical</t>
        </is>
      </c>
      <c r="E342" s="115" t="inlineStr">
        <is>
          <t>REF-100339</t>
        </is>
      </c>
      <c r="F342" s="126" t="n">
        <v>1839.36</v>
      </c>
      <c r="G342" s="134">
        <f>IFERROR(XLOOKUP(E342,Bank_Statement!$D$4:$D$448,Bank_Statement!$G$4:$G$448,""),"")</f>
        <v/>
      </c>
      <c r="H342" s="126">
        <f>IF(G342="","",F342-G342)</f>
        <v/>
      </c>
      <c r="I342" s="135">
        <f>IFERROR(XLOOKUP(E342,Bank_Statement!$D$4:$D$448,Bank_Statement!$B$4:$B$448,""),"")</f>
        <v/>
      </c>
      <c r="J342" s="136">
        <f>IF(I342="","",ABS(B342-I342))</f>
        <v/>
      </c>
      <c r="K342" s="137">
        <f>IF(G342="","Unmatched ERP",IF(AND(ABS(H342)&lt;=Mapping_Rules!$B$4,ABS(J342)&lt;=Mapping_Rules!$B$5),"Matched","Review"))</f>
        <v/>
      </c>
      <c r="L342" s="137">
        <f>IF(K342="Matched","None",IF(G342="","Missing from bank",IF(ABS(H342)&gt;Mapping_Rules!$B$4,"Amount variance","Date variance")))</f>
        <v/>
      </c>
      <c r="M342" s="137">
        <f>IF(K342="Matched","Low",IF(OR(IFERROR(ABS(H342),0)&gt;Mapping_Rules!$B$7,IFERROR(J342,0)&gt;Mapping_Rules!$B$8),"High","Medium"))</f>
        <v/>
      </c>
      <c r="N342" s="137">
        <f>IF(K342="Matched","No action needed",IF(L342="Missing from bank","Check bank date or posting",IF(L342="Amount variance","Check invoice/payment amount","Check timing difference")))</f>
        <v/>
      </c>
      <c r="O342" s="115" t="inlineStr">
        <is>
          <t>1200 AR</t>
        </is>
      </c>
      <c r="P342" s="115" t="inlineStr">
        <is>
          <t>AR Clerk</t>
        </is>
      </c>
      <c r="Q342" s="115" t="inlineStr">
        <is>
          <t>No</t>
        </is>
      </c>
      <c r="R342" s="138" t="str"/>
      <c r="S342" s="139">
        <f>IF(K342="Matched",0,Mapping_Rules!$B$6-B342)</f>
        <v/>
      </c>
    </row>
    <row r="343">
      <c r="A343" s="140" t="inlineStr">
        <is>
          <t>ERP-00340</t>
        </is>
      </c>
      <c r="B343" s="141" t="n">
        <v>46034</v>
      </c>
      <c r="C343" s="140" t="inlineStr">
        <is>
          <t>AP</t>
        </is>
      </c>
      <c r="D343" s="140" t="inlineStr">
        <is>
          <t>Metro Cleaning Ltd.</t>
        </is>
      </c>
      <c r="E343" s="140" t="inlineStr">
        <is>
          <t>REF-100340</t>
        </is>
      </c>
      <c r="F343" s="142" t="n">
        <v>-4146.79</v>
      </c>
      <c r="G343" s="143">
        <f>IFERROR(XLOOKUP(E343,Bank_Statement!$D$4:$D$448,Bank_Statement!$G$4:$G$448,""),"")</f>
        <v/>
      </c>
      <c r="H343" s="142">
        <f>IF(G343="","",F343-G343)</f>
        <v/>
      </c>
      <c r="I343" s="144">
        <f>IFERROR(XLOOKUP(E343,Bank_Statement!$D$4:$D$448,Bank_Statement!$B$4:$B$448,""),"")</f>
        <v/>
      </c>
      <c r="J343" s="145">
        <f>IF(I343="","",ABS(B343-I343))</f>
        <v/>
      </c>
      <c r="K343" s="146">
        <f>IF(G343="","Unmatched ERP",IF(AND(ABS(H343)&lt;=Mapping_Rules!$B$4,ABS(J343)&lt;=Mapping_Rules!$B$5),"Matched","Review"))</f>
        <v/>
      </c>
      <c r="L343" s="146">
        <f>IF(K343="Matched","None",IF(G343="","Missing from bank",IF(ABS(H343)&gt;Mapping_Rules!$B$4,"Amount variance","Date variance")))</f>
        <v/>
      </c>
      <c r="M343" s="146">
        <f>IF(K343="Matched","Low",IF(OR(IFERROR(ABS(H343),0)&gt;Mapping_Rules!$B$7,IFERROR(J343,0)&gt;Mapping_Rules!$B$8),"High","Medium"))</f>
        <v/>
      </c>
      <c r="N343" s="146">
        <f>IF(K343="Matched","No action needed",IF(L343="Missing from bank","Check bank date or posting",IF(L343="Amount variance","Check invoice/payment amount","Check timing difference")))</f>
        <v/>
      </c>
      <c r="O343" s="140" t="inlineStr">
        <is>
          <t>2000 AP</t>
        </is>
      </c>
      <c r="P343" s="140" t="inlineStr">
        <is>
          <t>AP Clerk</t>
        </is>
      </c>
      <c r="Q343" s="140" t="inlineStr">
        <is>
          <t>No</t>
        </is>
      </c>
      <c r="R343" s="147" t="str"/>
      <c r="S343" s="148">
        <f>IF(K343="Matched",0,Mapping_Rules!$B$6-B343)</f>
        <v/>
      </c>
    </row>
    <row r="344">
      <c r="A344" s="115" t="inlineStr">
        <is>
          <t>ERP-00341</t>
        </is>
      </c>
      <c r="B344" s="125" t="n">
        <v>46047</v>
      </c>
      <c r="C344" s="115" t="inlineStr">
        <is>
          <t>AP</t>
        </is>
      </c>
      <c r="D344" s="115" t="inlineStr">
        <is>
          <t>Staples Canada</t>
        </is>
      </c>
      <c r="E344" s="115" t="inlineStr">
        <is>
          <t>REF-100341</t>
        </is>
      </c>
      <c r="F344" s="126" t="n">
        <v>-638.14</v>
      </c>
      <c r="G344" s="134">
        <f>IFERROR(XLOOKUP(E344,Bank_Statement!$D$4:$D$448,Bank_Statement!$G$4:$G$448,""),"")</f>
        <v/>
      </c>
      <c r="H344" s="126">
        <f>IF(G344="","",F344-G344)</f>
        <v/>
      </c>
      <c r="I344" s="135">
        <f>IFERROR(XLOOKUP(E344,Bank_Statement!$D$4:$D$448,Bank_Statement!$B$4:$B$448,""),"")</f>
        <v/>
      </c>
      <c r="J344" s="136">
        <f>IF(I344="","",ABS(B344-I344))</f>
        <v/>
      </c>
      <c r="K344" s="137">
        <f>IF(G344="","Unmatched ERP",IF(AND(ABS(H344)&lt;=Mapping_Rules!$B$4,ABS(J344)&lt;=Mapping_Rules!$B$5),"Matched","Review"))</f>
        <v/>
      </c>
      <c r="L344" s="137">
        <f>IF(K344="Matched","None",IF(G344="","Missing from bank",IF(ABS(H344)&gt;Mapping_Rules!$B$4,"Amount variance","Date variance")))</f>
        <v/>
      </c>
      <c r="M344" s="137">
        <f>IF(K344="Matched","Low",IF(OR(IFERROR(ABS(H344),0)&gt;Mapping_Rules!$B$7,IFERROR(J344,0)&gt;Mapping_Rules!$B$8),"High","Medium"))</f>
        <v/>
      </c>
      <c r="N344" s="137">
        <f>IF(K344="Matched","No action needed",IF(L344="Missing from bank","Check bank date or posting",IF(L344="Amount variance","Check invoice/payment amount","Check timing difference")))</f>
        <v/>
      </c>
      <c r="O344" s="115" t="inlineStr">
        <is>
          <t>2000 AP</t>
        </is>
      </c>
      <c r="P344" s="115" t="inlineStr">
        <is>
          <t>AP Clerk</t>
        </is>
      </c>
      <c r="Q344" s="115" t="inlineStr">
        <is>
          <t>No</t>
        </is>
      </c>
      <c r="R344" s="138" t="str"/>
      <c r="S344" s="139">
        <f>IF(K344="Matched",0,Mapping_Rules!$B$6-B344)</f>
        <v/>
      </c>
    </row>
    <row r="345">
      <c r="A345" s="140" t="inlineStr">
        <is>
          <t>ERP-00342</t>
        </is>
      </c>
      <c r="B345" s="141" t="n">
        <v>46030</v>
      </c>
      <c r="C345" s="140" t="inlineStr">
        <is>
          <t>AR</t>
        </is>
      </c>
      <c r="D345" s="140" t="inlineStr">
        <is>
          <t>Granville Medical</t>
        </is>
      </c>
      <c r="E345" s="140" t="inlineStr">
        <is>
          <t>REF-100342</t>
        </is>
      </c>
      <c r="F345" s="142" t="n">
        <v>227.55</v>
      </c>
      <c r="G345" s="143">
        <f>IFERROR(XLOOKUP(E345,Bank_Statement!$D$4:$D$448,Bank_Statement!$G$4:$G$448,""),"")</f>
        <v/>
      </c>
      <c r="H345" s="142">
        <f>IF(G345="","",F345-G345)</f>
        <v/>
      </c>
      <c r="I345" s="144">
        <f>IFERROR(XLOOKUP(E345,Bank_Statement!$D$4:$D$448,Bank_Statement!$B$4:$B$448,""),"")</f>
        <v/>
      </c>
      <c r="J345" s="145">
        <f>IF(I345="","",ABS(B345-I345))</f>
        <v/>
      </c>
      <c r="K345" s="146">
        <f>IF(G345="","Unmatched ERP",IF(AND(ABS(H345)&lt;=Mapping_Rules!$B$4,ABS(J345)&lt;=Mapping_Rules!$B$5),"Matched","Review"))</f>
        <v/>
      </c>
      <c r="L345" s="146">
        <f>IF(K345="Matched","None",IF(G345="","Missing from bank",IF(ABS(H345)&gt;Mapping_Rules!$B$4,"Amount variance","Date variance")))</f>
        <v/>
      </c>
      <c r="M345" s="146">
        <f>IF(K345="Matched","Low",IF(OR(IFERROR(ABS(H345),0)&gt;Mapping_Rules!$B$7,IFERROR(J345,0)&gt;Mapping_Rules!$B$8),"High","Medium"))</f>
        <v/>
      </c>
      <c r="N345" s="146">
        <f>IF(K345="Matched","No action needed",IF(L345="Missing from bank","Check bank date or posting",IF(L345="Amount variance","Check invoice/payment amount","Check timing difference")))</f>
        <v/>
      </c>
      <c r="O345" s="140" t="inlineStr">
        <is>
          <t>1200 AR</t>
        </is>
      </c>
      <c r="P345" s="140" t="inlineStr">
        <is>
          <t>AR Clerk</t>
        </is>
      </c>
      <c r="Q345" s="140" t="inlineStr">
        <is>
          <t>No</t>
        </is>
      </c>
      <c r="R345" s="147" t="str"/>
      <c r="S345" s="148">
        <f>IF(K345="Matched",0,Mapping_Rules!$B$6-B345)</f>
        <v/>
      </c>
    </row>
    <row r="346">
      <c r="A346" s="115" t="inlineStr">
        <is>
          <t>ERP-00343</t>
        </is>
      </c>
      <c r="B346" s="125" t="n">
        <v>46036</v>
      </c>
      <c r="C346" s="115" t="inlineStr">
        <is>
          <t>GL</t>
        </is>
      </c>
      <c r="D346" s="115" t="inlineStr">
        <is>
          <t>Maple Retail Group</t>
        </is>
      </c>
      <c r="E346" s="115" t="inlineStr">
        <is>
          <t>REF-100343</t>
        </is>
      </c>
      <c r="F346" s="126" t="n">
        <v>400.6</v>
      </c>
      <c r="G346" s="134">
        <f>IFERROR(XLOOKUP(E346,Bank_Statement!$D$4:$D$448,Bank_Statement!$G$4:$G$448,""),"")</f>
        <v/>
      </c>
      <c r="H346" s="126">
        <f>IF(G346="","",F346-G346)</f>
        <v/>
      </c>
      <c r="I346" s="135">
        <f>IFERROR(XLOOKUP(E346,Bank_Statement!$D$4:$D$448,Bank_Statement!$B$4:$B$448,""),"")</f>
        <v/>
      </c>
      <c r="J346" s="136">
        <f>IF(I346="","",ABS(B346-I346))</f>
        <v/>
      </c>
      <c r="K346" s="137">
        <f>IF(G346="","Unmatched ERP",IF(AND(ABS(H346)&lt;=Mapping_Rules!$B$4,ABS(J346)&lt;=Mapping_Rules!$B$5),"Matched","Review"))</f>
        <v/>
      </c>
      <c r="L346" s="137">
        <f>IF(K346="Matched","None",IF(G346="","Missing from bank",IF(ABS(H346)&gt;Mapping_Rules!$B$4,"Amount variance","Date variance")))</f>
        <v/>
      </c>
      <c r="M346" s="137">
        <f>IF(K346="Matched","Low",IF(OR(IFERROR(ABS(H346),0)&gt;Mapping_Rules!$B$7,IFERROR(J346,0)&gt;Mapping_Rules!$B$8),"High","Medium"))</f>
        <v/>
      </c>
      <c r="N346" s="137">
        <f>IF(K346="Matched","No action needed",IF(L346="Missing from bank","Check bank date or posting",IF(L346="Amount variance","Check invoice/payment amount","Check timing difference")))</f>
        <v/>
      </c>
      <c r="O346" s="115" t="inlineStr">
        <is>
          <t>1200 AR</t>
        </is>
      </c>
      <c r="P346" s="115" t="inlineStr">
        <is>
          <t>Accounting Technician</t>
        </is>
      </c>
      <c r="Q346" s="115" t="inlineStr">
        <is>
          <t>No</t>
        </is>
      </c>
      <c r="R346" s="138" t="str"/>
      <c r="S346" s="139">
        <f>IF(K346="Matched",0,Mapping_Rules!$B$6-B346)</f>
        <v/>
      </c>
    </row>
    <row r="347">
      <c r="A347" s="140" t="inlineStr">
        <is>
          <t>ERP-00344</t>
        </is>
      </c>
      <c r="B347" s="141" t="n">
        <v>46047</v>
      </c>
      <c r="C347" s="140" t="inlineStr">
        <is>
          <t>Payroll</t>
        </is>
      </c>
      <c r="D347" s="140" t="inlineStr">
        <is>
          <t>Payroll Batch</t>
        </is>
      </c>
      <c r="E347" s="140" t="inlineStr">
        <is>
          <t>REF-100344</t>
        </is>
      </c>
      <c r="F347" s="142" t="n">
        <v>-15180.21</v>
      </c>
      <c r="G347" s="143">
        <f>IFERROR(XLOOKUP(E347,Bank_Statement!$D$4:$D$448,Bank_Statement!$G$4:$G$448,""),"")</f>
        <v/>
      </c>
      <c r="H347" s="142">
        <f>IF(G347="","",F347-G347)</f>
        <v/>
      </c>
      <c r="I347" s="144">
        <f>IFERROR(XLOOKUP(E347,Bank_Statement!$D$4:$D$448,Bank_Statement!$B$4:$B$448,""),"")</f>
        <v/>
      </c>
      <c r="J347" s="145">
        <f>IF(I347="","",ABS(B347-I347))</f>
        <v/>
      </c>
      <c r="K347" s="146">
        <f>IF(G347="","Unmatched ERP",IF(AND(ABS(H347)&lt;=Mapping_Rules!$B$4,ABS(J347)&lt;=Mapping_Rules!$B$5),"Matched","Review"))</f>
        <v/>
      </c>
      <c r="L347" s="146">
        <f>IF(K347="Matched","None",IF(G347="","Missing from bank",IF(ABS(H347)&gt;Mapping_Rules!$B$4,"Amount variance","Date variance")))</f>
        <v/>
      </c>
      <c r="M347" s="146">
        <f>IF(K347="Matched","Low",IF(OR(IFERROR(ABS(H347),0)&gt;Mapping_Rules!$B$7,IFERROR(J347,0)&gt;Mapping_Rules!$B$8),"High","Medium"))</f>
        <v/>
      </c>
      <c r="N347" s="146">
        <f>IF(K347="Matched","No action needed",IF(L347="Missing from bank","Check bank date or posting",IF(L347="Amount variance","Check invoice/payment amount","Check timing difference")))</f>
        <v/>
      </c>
      <c r="O347" s="140" t="inlineStr">
        <is>
          <t>5300 Payroll</t>
        </is>
      </c>
      <c r="P347" s="140" t="inlineStr">
        <is>
          <t>Accounting Technician</t>
        </is>
      </c>
      <c r="Q347" s="140" t="inlineStr">
        <is>
          <t>No</t>
        </is>
      </c>
      <c r="R347" s="147" t="str"/>
      <c r="S347" s="148">
        <f>IF(K347="Matched",0,Mapping_Rules!$B$6-B347)</f>
        <v/>
      </c>
    </row>
    <row r="348">
      <c r="A348" s="115" t="inlineStr">
        <is>
          <t>ERP-00345</t>
        </is>
      </c>
      <c r="B348" s="125" t="n">
        <v>46028</v>
      </c>
      <c r="C348" s="115" t="inlineStr">
        <is>
          <t>AR</t>
        </is>
      </c>
      <c r="D348" s="115" t="inlineStr">
        <is>
          <t>Harbour Design Co.</t>
        </is>
      </c>
      <c r="E348" s="115" t="inlineStr">
        <is>
          <t>REF-100345</t>
        </is>
      </c>
      <c r="F348" s="126" t="n">
        <v>1929.01</v>
      </c>
      <c r="G348" s="134">
        <f>IFERROR(XLOOKUP(E348,Bank_Statement!$D$4:$D$448,Bank_Statement!$G$4:$G$448,""),"")</f>
        <v/>
      </c>
      <c r="H348" s="126">
        <f>IF(G348="","",F348-G348)</f>
        <v/>
      </c>
      <c r="I348" s="135">
        <f>IFERROR(XLOOKUP(E348,Bank_Statement!$D$4:$D$448,Bank_Statement!$B$4:$B$448,""),"")</f>
        <v/>
      </c>
      <c r="J348" s="136">
        <f>IF(I348="","",ABS(B348-I348))</f>
        <v/>
      </c>
      <c r="K348" s="137">
        <f>IF(G348="","Unmatched ERP",IF(AND(ABS(H348)&lt;=Mapping_Rules!$B$4,ABS(J348)&lt;=Mapping_Rules!$B$5),"Matched","Review"))</f>
        <v/>
      </c>
      <c r="L348" s="137">
        <f>IF(K348="Matched","None",IF(G348="","Missing from bank",IF(ABS(H348)&gt;Mapping_Rules!$B$4,"Amount variance","Date variance")))</f>
        <v/>
      </c>
      <c r="M348" s="137">
        <f>IF(K348="Matched","Low",IF(OR(IFERROR(ABS(H348),0)&gt;Mapping_Rules!$B$7,IFERROR(J348,0)&gt;Mapping_Rules!$B$8),"High","Medium"))</f>
        <v/>
      </c>
      <c r="N348" s="137">
        <f>IF(K348="Matched","No action needed",IF(L348="Missing from bank","Check bank date or posting",IF(L348="Amount variance","Check invoice/payment amount","Check timing difference")))</f>
        <v/>
      </c>
      <c r="O348" s="115" t="inlineStr">
        <is>
          <t>1200 AR</t>
        </is>
      </c>
      <c r="P348" s="115" t="inlineStr">
        <is>
          <t>AR Clerk</t>
        </is>
      </c>
      <c r="Q348" s="115" t="inlineStr">
        <is>
          <t>No</t>
        </is>
      </c>
      <c r="R348" s="138" t="str"/>
      <c r="S348" s="139">
        <f>IF(K348="Matched",0,Mapping_Rules!$B$6-B348)</f>
        <v/>
      </c>
    </row>
    <row r="349">
      <c r="A349" s="140" t="inlineStr">
        <is>
          <t>ERP-00346</t>
        </is>
      </c>
      <c r="B349" s="141" t="n">
        <v>46025</v>
      </c>
      <c r="C349" s="140" t="inlineStr">
        <is>
          <t>Payroll</t>
        </is>
      </c>
      <c r="D349" s="140" t="inlineStr">
        <is>
          <t>Payroll Batch</t>
        </is>
      </c>
      <c r="E349" s="140" t="inlineStr">
        <is>
          <t>REF-100346</t>
        </is>
      </c>
      <c r="F349" s="142" t="n">
        <v>-4530.19</v>
      </c>
      <c r="G349" s="143">
        <f>IFERROR(XLOOKUP(E349,Bank_Statement!$D$4:$D$448,Bank_Statement!$G$4:$G$448,""),"")</f>
        <v/>
      </c>
      <c r="H349" s="142">
        <f>IF(G349="","",F349-G349)</f>
        <v/>
      </c>
      <c r="I349" s="144">
        <f>IFERROR(XLOOKUP(E349,Bank_Statement!$D$4:$D$448,Bank_Statement!$B$4:$B$448,""),"")</f>
        <v/>
      </c>
      <c r="J349" s="145">
        <f>IF(I349="","",ABS(B349-I349))</f>
        <v/>
      </c>
      <c r="K349" s="146">
        <f>IF(G349="","Unmatched ERP",IF(AND(ABS(H349)&lt;=Mapping_Rules!$B$4,ABS(J349)&lt;=Mapping_Rules!$B$5),"Matched","Review"))</f>
        <v/>
      </c>
      <c r="L349" s="146">
        <f>IF(K349="Matched","None",IF(G349="","Missing from bank",IF(ABS(H349)&gt;Mapping_Rules!$B$4,"Amount variance","Date variance")))</f>
        <v/>
      </c>
      <c r="M349" s="146">
        <f>IF(K349="Matched","Low",IF(OR(IFERROR(ABS(H349),0)&gt;Mapping_Rules!$B$7,IFERROR(J349,0)&gt;Mapping_Rules!$B$8),"High","Medium"))</f>
        <v/>
      </c>
      <c r="N349" s="146">
        <f>IF(K349="Matched","No action needed",IF(L349="Missing from bank","Check bank date or posting",IF(L349="Amount variance","Check invoice/payment amount","Check timing difference")))</f>
        <v/>
      </c>
      <c r="O349" s="140" t="inlineStr">
        <is>
          <t>5300 Payroll</t>
        </is>
      </c>
      <c r="P349" s="140" t="inlineStr">
        <is>
          <t>Accounting Technician</t>
        </is>
      </c>
      <c r="Q349" s="140" t="inlineStr">
        <is>
          <t>No</t>
        </is>
      </c>
      <c r="R349" s="147" t="str"/>
      <c r="S349" s="148">
        <f>IF(K349="Matched",0,Mapping_Rules!$B$6-B349)</f>
        <v/>
      </c>
    </row>
    <row r="350">
      <c r="A350" s="115" t="inlineStr">
        <is>
          <t>ERP-00347</t>
        </is>
      </c>
      <c r="B350" s="125" t="n">
        <v>46033</v>
      </c>
      <c r="C350" s="115" t="inlineStr">
        <is>
          <t>GL</t>
        </is>
      </c>
      <c r="D350" s="115" t="inlineStr">
        <is>
          <t>BC Hydro</t>
        </is>
      </c>
      <c r="E350" s="115" t="inlineStr">
        <is>
          <t>REF-100347</t>
        </is>
      </c>
      <c r="F350" s="126" t="n">
        <v>1420.99</v>
      </c>
      <c r="G350" s="134">
        <f>IFERROR(XLOOKUP(E350,Bank_Statement!$D$4:$D$448,Bank_Statement!$G$4:$G$448,""),"")</f>
        <v/>
      </c>
      <c r="H350" s="126">
        <f>IF(G350="","",F350-G350)</f>
        <v/>
      </c>
      <c r="I350" s="135">
        <f>IFERROR(XLOOKUP(E350,Bank_Statement!$D$4:$D$448,Bank_Statement!$B$4:$B$448,""),"")</f>
        <v/>
      </c>
      <c r="J350" s="136">
        <f>IF(I350="","",ABS(B350-I350))</f>
        <v/>
      </c>
      <c r="K350" s="137">
        <f>IF(G350="","Unmatched ERP",IF(AND(ABS(H350)&lt;=Mapping_Rules!$B$4,ABS(J350)&lt;=Mapping_Rules!$B$5),"Matched","Review"))</f>
        <v/>
      </c>
      <c r="L350" s="137">
        <f>IF(K350="Matched","None",IF(G350="","Missing from bank",IF(ABS(H350)&gt;Mapping_Rules!$B$4,"Amount variance","Date variance")))</f>
        <v/>
      </c>
      <c r="M350" s="137">
        <f>IF(K350="Matched","Low",IF(OR(IFERROR(ABS(H350),0)&gt;Mapping_Rules!$B$7,IFERROR(J350,0)&gt;Mapping_Rules!$B$8),"High","Medium"))</f>
        <v/>
      </c>
      <c r="N350" s="137">
        <f>IF(K350="Matched","No action needed",IF(L350="Missing from bank","Check bank date or posting",IF(L350="Amount variance","Check invoice/payment amount","Check timing difference")))</f>
        <v/>
      </c>
      <c r="O350" s="115" t="inlineStr">
        <is>
          <t>5100 Utilities</t>
        </is>
      </c>
      <c r="P350" s="115" t="inlineStr">
        <is>
          <t>Accounting Technician</t>
        </is>
      </c>
      <c r="Q350" s="115" t="inlineStr">
        <is>
          <t>No</t>
        </is>
      </c>
      <c r="R350" s="138" t="str"/>
      <c r="S350" s="139">
        <f>IF(K350="Matched",0,Mapping_Rules!$B$6-B350)</f>
        <v/>
      </c>
    </row>
    <row r="351">
      <c r="A351" s="140" t="inlineStr">
        <is>
          <t>ERP-00348</t>
        </is>
      </c>
      <c r="B351" s="141" t="n">
        <v>46032</v>
      </c>
      <c r="C351" s="140" t="inlineStr">
        <is>
          <t>AR</t>
        </is>
      </c>
      <c r="D351" s="140" t="inlineStr">
        <is>
          <t>Coastline Foods</t>
        </is>
      </c>
      <c r="E351" s="140" t="inlineStr">
        <is>
          <t>REF-100348</t>
        </is>
      </c>
      <c r="F351" s="142" t="n">
        <v>4282.31</v>
      </c>
      <c r="G351" s="143">
        <f>IFERROR(XLOOKUP(E351,Bank_Statement!$D$4:$D$448,Bank_Statement!$G$4:$G$448,""),"")</f>
        <v/>
      </c>
      <c r="H351" s="142">
        <f>IF(G351="","",F351-G351)</f>
        <v/>
      </c>
      <c r="I351" s="144">
        <f>IFERROR(XLOOKUP(E351,Bank_Statement!$D$4:$D$448,Bank_Statement!$B$4:$B$448,""),"")</f>
        <v/>
      </c>
      <c r="J351" s="145">
        <f>IF(I351="","",ABS(B351-I351))</f>
        <v/>
      </c>
      <c r="K351" s="146">
        <f>IF(G351="","Unmatched ERP",IF(AND(ABS(H351)&lt;=Mapping_Rules!$B$4,ABS(J351)&lt;=Mapping_Rules!$B$5),"Matched","Review"))</f>
        <v/>
      </c>
      <c r="L351" s="146">
        <f>IF(K351="Matched","None",IF(G351="","Missing from bank",IF(ABS(H351)&gt;Mapping_Rules!$B$4,"Amount variance","Date variance")))</f>
        <v/>
      </c>
      <c r="M351" s="146">
        <f>IF(K351="Matched","Low",IF(OR(IFERROR(ABS(H351),0)&gt;Mapping_Rules!$B$7,IFERROR(J351,0)&gt;Mapping_Rules!$B$8),"High","Medium"))</f>
        <v/>
      </c>
      <c r="N351" s="146">
        <f>IF(K351="Matched","No action needed",IF(L351="Missing from bank","Check bank date or posting",IF(L351="Amount variance","Check invoice/payment amount","Check timing difference")))</f>
        <v/>
      </c>
      <c r="O351" s="140" t="inlineStr">
        <is>
          <t>1200 AR</t>
        </is>
      </c>
      <c r="P351" s="140" t="inlineStr">
        <is>
          <t>AR Clerk</t>
        </is>
      </c>
      <c r="Q351" s="140" t="inlineStr">
        <is>
          <t>No</t>
        </is>
      </c>
      <c r="R351" s="147" t="str"/>
      <c r="S351" s="148">
        <f>IF(K351="Matched",0,Mapping_Rules!$B$6-B351)</f>
        <v/>
      </c>
    </row>
    <row r="352">
      <c r="A352" s="115" t="inlineStr">
        <is>
          <t>ERP-00349</t>
        </is>
      </c>
      <c r="B352" s="125" t="n">
        <v>46023</v>
      </c>
      <c r="C352" s="115" t="inlineStr">
        <is>
          <t>Bank Fees</t>
        </is>
      </c>
      <c r="D352" s="115" t="inlineStr">
        <is>
          <t>Bank</t>
        </is>
      </c>
      <c r="E352" s="115" t="inlineStr">
        <is>
          <t>REF-100349</t>
        </is>
      </c>
      <c r="F352" s="126" t="n">
        <v>-112.4</v>
      </c>
      <c r="G352" s="134">
        <f>IFERROR(XLOOKUP(E352,Bank_Statement!$D$4:$D$448,Bank_Statement!$G$4:$G$448,""),"")</f>
        <v/>
      </c>
      <c r="H352" s="126">
        <f>IF(G352="","",F352-G352)</f>
        <v/>
      </c>
      <c r="I352" s="135">
        <f>IFERROR(XLOOKUP(E352,Bank_Statement!$D$4:$D$448,Bank_Statement!$B$4:$B$448,""),"")</f>
        <v/>
      </c>
      <c r="J352" s="136">
        <f>IF(I352="","",ABS(B352-I352))</f>
        <v/>
      </c>
      <c r="K352" s="137">
        <f>IF(G352="","Unmatched ERP",IF(AND(ABS(H352)&lt;=Mapping_Rules!$B$4,ABS(J352)&lt;=Mapping_Rules!$B$5),"Matched","Review"))</f>
        <v/>
      </c>
      <c r="L352" s="137">
        <f>IF(K352="Matched","None",IF(G352="","Missing from bank",IF(ABS(H352)&gt;Mapping_Rules!$B$4,"Amount variance","Date variance")))</f>
        <v/>
      </c>
      <c r="M352" s="137">
        <f>IF(K352="Matched","Low",IF(OR(IFERROR(ABS(H352),0)&gt;Mapping_Rules!$B$7,IFERROR(J352,0)&gt;Mapping_Rules!$B$8),"High","Medium"))</f>
        <v/>
      </c>
      <c r="N352" s="137">
        <f>IF(K352="Matched","No action needed",IF(L352="Missing from bank","Check bank date or posting",IF(L352="Amount variance","Check invoice/payment amount","Check timing difference")))</f>
        <v/>
      </c>
      <c r="O352" s="115" t="inlineStr">
        <is>
          <t>6100 Bank Fees</t>
        </is>
      </c>
      <c r="P352" s="115" t="inlineStr">
        <is>
          <t>Accounting Technician</t>
        </is>
      </c>
      <c r="Q352" s="115" t="inlineStr">
        <is>
          <t>No</t>
        </is>
      </c>
      <c r="R352" s="138" t="str"/>
      <c r="S352" s="139">
        <f>IF(K352="Matched",0,Mapping_Rules!$B$6-B352)</f>
        <v/>
      </c>
    </row>
    <row r="353">
      <c r="A353" s="140" t="inlineStr">
        <is>
          <t>ERP-00350</t>
        </is>
      </c>
      <c r="B353" s="141" t="n">
        <v>46041</v>
      </c>
      <c r="C353" s="140" t="inlineStr">
        <is>
          <t>AR</t>
        </is>
      </c>
      <c r="D353" s="140" t="inlineStr">
        <is>
          <t>West Van Fitness</t>
        </is>
      </c>
      <c r="E353" s="140" t="inlineStr">
        <is>
          <t>REF-100350</t>
        </is>
      </c>
      <c r="F353" s="142" t="n">
        <v>5852.57</v>
      </c>
      <c r="G353" s="143">
        <f>IFERROR(XLOOKUP(E353,Bank_Statement!$D$4:$D$448,Bank_Statement!$G$4:$G$448,""),"")</f>
        <v/>
      </c>
      <c r="H353" s="142">
        <f>IF(G353="","",F353-G353)</f>
        <v/>
      </c>
      <c r="I353" s="144">
        <f>IFERROR(XLOOKUP(E353,Bank_Statement!$D$4:$D$448,Bank_Statement!$B$4:$B$448,""),"")</f>
        <v/>
      </c>
      <c r="J353" s="145">
        <f>IF(I353="","",ABS(B353-I353))</f>
        <v/>
      </c>
      <c r="K353" s="146">
        <f>IF(G353="","Unmatched ERP",IF(AND(ABS(H353)&lt;=Mapping_Rules!$B$4,ABS(J353)&lt;=Mapping_Rules!$B$5),"Matched","Review"))</f>
        <v/>
      </c>
      <c r="L353" s="146">
        <f>IF(K353="Matched","None",IF(G353="","Missing from bank",IF(ABS(H353)&gt;Mapping_Rules!$B$4,"Amount variance","Date variance")))</f>
        <v/>
      </c>
      <c r="M353" s="146">
        <f>IF(K353="Matched","Low",IF(OR(IFERROR(ABS(H353),0)&gt;Mapping_Rules!$B$7,IFERROR(J353,0)&gt;Mapping_Rules!$B$8),"High","Medium"))</f>
        <v/>
      </c>
      <c r="N353" s="146">
        <f>IF(K353="Matched","No action needed",IF(L353="Missing from bank","Check bank date or posting",IF(L353="Amount variance","Check invoice/payment amount","Check timing difference")))</f>
        <v/>
      </c>
      <c r="O353" s="140" t="inlineStr">
        <is>
          <t>1200 AR</t>
        </is>
      </c>
      <c r="P353" s="140" t="inlineStr">
        <is>
          <t>AR Clerk</t>
        </is>
      </c>
      <c r="Q353" s="140" t="inlineStr">
        <is>
          <t>No</t>
        </is>
      </c>
      <c r="R353" s="147" t="str"/>
      <c r="S353" s="148">
        <f>IF(K353="Matched",0,Mapping_Rules!$B$6-B353)</f>
        <v/>
      </c>
    </row>
    <row r="354">
      <c r="A354" s="115" t="inlineStr">
        <is>
          <t>ERP-00351</t>
        </is>
      </c>
      <c r="B354" s="125" t="n">
        <v>46024</v>
      </c>
      <c r="C354" s="115" t="inlineStr">
        <is>
          <t>Bank Fees</t>
        </is>
      </c>
      <c r="D354" s="115" t="inlineStr">
        <is>
          <t>Bank</t>
        </is>
      </c>
      <c r="E354" s="115" t="inlineStr">
        <is>
          <t>REF-100351</t>
        </is>
      </c>
      <c r="F354" s="126" t="n">
        <v>-114.1</v>
      </c>
      <c r="G354" s="134">
        <f>IFERROR(XLOOKUP(E354,Bank_Statement!$D$4:$D$448,Bank_Statement!$G$4:$G$448,""),"")</f>
        <v/>
      </c>
      <c r="H354" s="126">
        <f>IF(G354="","",F354-G354)</f>
        <v/>
      </c>
      <c r="I354" s="135">
        <f>IFERROR(XLOOKUP(E354,Bank_Statement!$D$4:$D$448,Bank_Statement!$B$4:$B$448,""),"")</f>
        <v/>
      </c>
      <c r="J354" s="136">
        <f>IF(I354="","",ABS(B354-I354))</f>
        <v/>
      </c>
      <c r="K354" s="137">
        <f>IF(G354="","Unmatched ERP",IF(AND(ABS(H354)&lt;=Mapping_Rules!$B$4,ABS(J354)&lt;=Mapping_Rules!$B$5),"Matched","Review"))</f>
        <v/>
      </c>
      <c r="L354" s="137">
        <f>IF(K354="Matched","None",IF(G354="","Missing from bank",IF(ABS(H354)&gt;Mapping_Rules!$B$4,"Amount variance","Date variance")))</f>
        <v/>
      </c>
      <c r="M354" s="137">
        <f>IF(K354="Matched","Low",IF(OR(IFERROR(ABS(H354),0)&gt;Mapping_Rules!$B$7,IFERROR(J354,0)&gt;Mapping_Rules!$B$8),"High","Medium"))</f>
        <v/>
      </c>
      <c r="N354" s="137">
        <f>IF(K354="Matched","No action needed",IF(L354="Missing from bank","Check bank date or posting",IF(L354="Amount variance","Check invoice/payment amount","Check timing difference")))</f>
        <v/>
      </c>
      <c r="O354" s="115" t="inlineStr">
        <is>
          <t>6100 Bank Fees</t>
        </is>
      </c>
      <c r="P354" s="115" t="inlineStr">
        <is>
          <t>Accounting Technician</t>
        </is>
      </c>
      <c r="Q354" s="115" t="inlineStr">
        <is>
          <t>No</t>
        </is>
      </c>
      <c r="R354" s="138" t="str"/>
      <c r="S354" s="139">
        <f>IF(K354="Matched",0,Mapping_Rules!$B$6-B354)</f>
        <v/>
      </c>
    </row>
    <row r="355">
      <c r="A355" s="140" t="inlineStr">
        <is>
          <t>ERP-00352</t>
        </is>
      </c>
      <c r="B355" s="141" t="n">
        <v>46035</v>
      </c>
      <c r="C355" s="140" t="inlineStr">
        <is>
          <t>AP</t>
        </is>
      </c>
      <c r="D355" s="140" t="inlineStr">
        <is>
          <t>Amazon Business</t>
        </is>
      </c>
      <c r="E355" s="140" t="inlineStr">
        <is>
          <t>REF-100352</t>
        </is>
      </c>
      <c r="F355" s="142" t="n">
        <v>-3370.45</v>
      </c>
      <c r="G355" s="143">
        <f>IFERROR(XLOOKUP(E355,Bank_Statement!$D$4:$D$448,Bank_Statement!$G$4:$G$448,""),"")</f>
        <v/>
      </c>
      <c r="H355" s="142">
        <f>IF(G355="","",F355-G355)</f>
        <v/>
      </c>
      <c r="I355" s="144">
        <f>IFERROR(XLOOKUP(E355,Bank_Statement!$D$4:$D$448,Bank_Statement!$B$4:$B$448,""),"")</f>
        <v/>
      </c>
      <c r="J355" s="145">
        <f>IF(I355="","",ABS(B355-I355))</f>
        <v/>
      </c>
      <c r="K355" s="146">
        <f>IF(G355="","Unmatched ERP",IF(AND(ABS(H355)&lt;=Mapping_Rules!$B$4,ABS(J355)&lt;=Mapping_Rules!$B$5),"Matched","Review"))</f>
        <v/>
      </c>
      <c r="L355" s="146">
        <f>IF(K355="Matched","None",IF(G355="","Missing from bank",IF(ABS(H355)&gt;Mapping_Rules!$B$4,"Amount variance","Date variance")))</f>
        <v/>
      </c>
      <c r="M355" s="146">
        <f>IF(K355="Matched","Low",IF(OR(IFERROR(ABS(H355),0)&gt;Mapping_Rules!$B$7,IFERROR(J355,0)&gt;Mapping_Rules!$B$8),"High","Medium"))</f>
        <v/>
      </c>
      <c r="N355" s="146">
        <f>IF(K355="Matched","No action needed",IF(L355="Missing from bank","Check bank date or posting",IF(L355="Amount variance","Check invoice/payment amount","Check timing difference")))</f>
        <v/>
      </c>
      <c r="O355" s="140" t="inlineStr">
        <is>
          <t>2000 AP</t>
        </is>
      </c>
      <c r="P355" s="140" t="inlineStr">
        <is>
          <t>AP Clerk</t>
        </is>
      </c>
      <c r="Q355" s="140" t="inlineStr">
        <is>
          <t>No</t>
        </is>
      </c>
      <c r="R355" s="147" t="str"/>
      <c r="S355" s="148">
        <f>IF(K355="Matched",0,Mapping_Rules!$B$6-B355)</f>
        <v/>
      </c>
    </row>
    <row r="356">
      <c r="A356" s="115" t="inlineStr">
        <is>
          <t>ERP-00353</t>
        </is>
      </c>
      <c r="B356" s="125" t="n">
        <v>46029</v>
      </c>
      <c r="C356" s="115" t="inlineStr">
        <is>
          <t>Bank Fees</t>
        </is>
      </c>
      <c r="D356" s="115" t="inlineStr">
        <is>
          <t>Bank</t>
        </is>
      </c>
      <c r="E356" s="115" t="inlineStr">
        <is>
          <t>REF-100353</t>
        </is>
      </c>
      <c r="F356" s="126" t="n">
        <v>-22.87</v>
      </c>
      <c r="G356" s="134">
        <f>IFERROR(XLOOKUP(E356,Bank_Statement!$D$4:$D$448,Bank_Statement!$G$4:$G$448,""),"")</f>
        <v/>
      </c>
      <c r="H356" s="126">
        <f>IF(G356="","",F356-G356)</f>
        <v/>
      </c>
      <c r="I356" s="135">
        <f>IFERROR(XLOOKUP(E356,Bank_Statement!$D$4:$D$448,Bank_Statement!$B$4:$B$448,""),"")</f>
        <v/>
      </c>
      <c r="J356" s="136">
        <f>IF(I356="","",ABS(B356-I356))</f>
        <v/>
      </c>
      <c r="K356" s="137">
        <f>IF(G356="","Unmatched ERP",IF(AND(ABS(H356)&lt;=Mapping_Rules!$B$4,ABS(J356)&lt;=Mapping_Rules!$B$5),"Matched","Review"))</f>
        <v/>
      </c>
      <c r="L356" s="137">
        <f>IF(K356="Matched","None",IF(G356="","Missing from bank",IF(ABS(H356)&gt;Mapping_Rules!$B$4,"Amount variance","Date variance")))</f>
        <v/>
      </c>
      <c r="M356" s="137">
        <f>IF(K356="Matched","Low",IF(OR(IFERROR(ABS(H356),0)&gt;Mapping_Rules!$B$7,IFERROR(J356,0)&gt;Mapping_Rules!$B$8),"High","Medium"))</f>
        <v/>
      </c>
      <c r="N356" s="137">
        <f>IF(K356="Matched","No action needed",IF(L356="Missing from bank","Check bank date or posting",IF(L356="Amount variance","Check invoice/payment amount","Check timing difference")))</f>
        <v/>
      </c>
      <c r="O356" s="115" t="inlineStr">
        <is>
          <t>6100 Bank Fees</t>
        </is>
      </c>
      <c r="P356" s="115" t="inlineStr">
        <is>
          <t>Accounting Technician</t>
        </is>
      </c>
      <c r="Q356" s="115" t="inlineStr">
        <is>
          <t>No</t>
        </is>
      </c>
      <c r="R356" s="138" t="str"/>
      <c r="S356" s="139">
        <f>IF(K356="Matched",0,Mapping_Rules!$B$6-B356)</f>
        <v/>
      </c>
    </row>
    <row r="357">
      <c r="A357" s="140" t="inlineStr">
        <is>
          <t>ERP-00354</t>
        </is>
      </c>
      <c r="B357" s="141" t="n">
        <v>46036</v>
      </c>
      <c r="C357" s="140" t="inlineStr">
        <is>
          <t>GL</t>
        </is>
      </c>
      <c r="D357" s="140" t="inlineStr">
        <is>
          <t>BC Hydro</t>
        </is>
      </c>
      <c r="E357" s="140" t="inlineStr">
        <is>
          <t>REF-100354</t>
        </is>
      </c>
      <c r="F357" s="142" t="n">
        <v>336.63</v>
      </c>
      <c r="G357" s="143">
        <f>IFERROR(XLOOKUP(E357,Bank_Statement!$D$4:$D$448,Bank_Statement!$G$4:$G$448,""),"")</f>
        <v/>
      </c>
      <c r="H357" s="142">
        <f>IF(G357="","",F357-G357)</f>
        <v/>
      </c>
      <c r="I357" s="144">
        <f>IFERROR(XLOOKUP(E357,Bank_Statement!$D$4:$D$448,Bank_Statement!$B$4:$B$448,""),"")</f>
        <v/>
      </c>
      <c r="J357" s="145">
        <f>IF(I357="","",ABS(B357-I357))</f>
        <v/>
      </c>
      <c r="K357" s="146">
        <f>IF(G357="","Unmatched ERP",IF(AND(ABS(H357)&lt;=Mapping_Rules!$B$4,ABS(J357)&lt;=Mapping_Rules!$B$5),"Matched","Review"))</f>
        <v/>
      </c>
      <c r="L357" s="146">
        <f>IF(K357="Matched","None",IF(G357="","Missing from bank",IF(ABS(H357)&gt;Mapping_Rules!$B$4,"Amount variance","Date variance")))</f>
        <v/>
      </c>
      <c r="M357" s="146">
        <f>IF(K357="Matched","Low",IF(OR(IFERROR(ABS(H357),0)&gt;Mapping_Rules!$B$7,IFERROR(J357,0)&gt;Mapping_Rules!$B$8),"High","Medium"))</f>
        <v/>
      </c>
      <c r="N357" s="146">
        <f>IF(K357="Matched","No action needed",IF(L357="Missing from bank","Check bank date or posting",IF(L357="Amount variance","Check invoice/payment amount","Check timing difference")))</f>
        <v/>
      </c>
      <c r="O357" s="140" t="inlineStr">
        <is>
          <t>5300 Payroll</t>
        </is>
      </c>
      <c r="P357" s="140" t="inlineStr">
        <is>
          <t>Accounting Technician</t>
        </is>
      </c>
      <c r="Q357" s="140" t="inlineStr">
        <is>
          <t>No</t>
        </is>
      </c>
      <c r="R357" s="147" t="str"/>
      <c r="S357" s="148">
        <f>IF(K357="Matched",0,Mapping_Rules!$B$6-B357)</f>
        <v/>
      </c>
    </row>
    <row r="358">
      <c r="A358" s="115" t="inlineStr">
        <is>
          <t>ERP-00355</t>
        </is>
      </c>
      <c r="B358" s="125" t="n">
        <v>46046</v>
      </c>
      <c r="C358" s="115" t="inlineStr">
        <is>
          <t>AR</t>
        </is>
      </c>
      <c r="D358" s="115" t="inlineStr">
        <is>
          <t>Coastline Foods</t>
        </is>
      </c>
      <c r="E358" s="115" t="inlineStr">
        <is>
          <t>REF-100355</t>
        </is>
      </c>
      <c r="F358" s="126" t="n">
        <v>1147.35</v>
      </c>
      <c r="G358" s="134">
        <f>IFERROR(XLOOKUP(E358,Bank_Statement!$D$4:$D$448,Bank_Statement!$G$4:$G$448,""),"")</f>
        <v/>
      </c>
      <c r="H358" s="126">
        <f>IF(G358="","",F358-G358)</f>
        <v/>
      </c>
      <c r="I358" s="135">
        <f>IFERROR(XLOOKUP(E358,Bank_Statement!$D$4:$D$448,Bank_Statement!$B$4:$B$448,""),"")</f>
        <v/>
      </c>
      <c r="J358" s="136">
        <f>IF(I358="","",ABS(B358-I358))</f>
        <v/>
      </c>
      <c r="K358" s="137">
        <f>IF(G358="","Unmatched ERP",IF(AND(ABS(H358)&lt;=Mapping_Rules!$B$4,ABS(J358)&lt;=Mapping_Rules!$B$5),"Matched","Review"))</f>
        <v/>
      </c>
      <c r="L358" s="137">
        <f>IF(K358="Matched","None",IF(G358="","Missing from bank",IF(ABS(H358)&gt;Mapping_Rules!$B$4,"Amount variance","Date variance")))</f>
        <v/>
      </c>
      <c r="M358" s="137">
        <f>IF(K358="Matched","Low",IF(OR(IFERROR(ABS(H358),0)&gt;Mapping_Rules!$B$7,IFERROR(J358,0)&gt;Mapping_Rules!$B$8),"High","Medium"))</f>
        <v/>
      </c>
      <c r="N358" s="137">
        <f>IF(K358="Matched","No action needed",IF(L358="Missing from bank","Check bank date or posting",IF(L358="Amount variance","Check invoice/payment amount","Check timing difference")))</f>
        <v/>
      </c>
      <c r="O358" s="115" t="inlineStr">
        <is>
          <t>1200 AR</t>
        </is>
      </c>
      <c r="P358" s="115" t="inlineStr">
        <is>
          <t>AR Clerk</t>
        </is>
      </c>
      <c r="Q358" s="115" t="inlineStr">
        <is>
          <t>No</t>
        </is>
      </c>
      <c r="R358" s="138" t="str"/>
      <c r="S358" s="139">
        <f>IF(K358="Matched",0,Mapping_Rules!$B$6-B358)</f>
        <v/>
      </c>
    </row>
    <row r="359">
      <c r="A359" s="140" t="inlineStr">
        <is>
          <t>ERP-00356</t>
        </is>
      </c>
      <c r="B359" s="141" t="n">
        <v>46048</v>
      </c>
      <c r="C359" s="140" t="inlineStr">
        <is>
          <t>Payroll</t>
        </is>
      </c>
      <c r="D359" s="140" t="inlineStr">
        <is>
          <t>Payroll Batch</t>
        </is>
      </c>
      <c r="E359" s="140" t="inlineStr">
        <is>
          <t>REF-100356</t>
        </is>
      </c>
      <c r="F359" s="142" t="n">
        <v>-6259.08</v>
      </c>
      <c r="G359" s="143">
        <f>IFERROR(XLOOKUP(E359,Bank_Statement!$D$4:$D$448,Bank_Statement!$G$4:$G$448,""),"")</f>
        <v/>
      </c>
      <c r="H359" s="142">
        <f>IF(G359="","",F359-G359)</f>
        <v/>
      </c>
      <c r="I359" s="144">
        <f>IFERROR(XLOOKUP(E359,Bank_Statement!$D$4:$D$448,Bank_Statement!$B$4:$B$448,""),"")</f>
        <v/>
      </c>
      <c r="J359" s="145">
        <f>IF(I359="","",ABS(B359-I359))</f>
        <v/>
      </c>
      <c r="K359" s="146">
        <f>IF(G359="","Unmatched ERP",IF(AND(ABS(H359)&lt;=Mapping_Rules!$B$4,ABS(J359)&lt;=Mapping_Rules!$B$5),"Matched","Review"))</f>
        <v/>
      </c>
      <c r="L359" s="146">
        <f>IF(K359="Matched","None",IF(G359="","Missing from bank",IF(ABS(H359)&gt;Mapping_Rules!$B$4,"Amount variance","Date variance")))</f>
        <v/>
      </c>
      <c r="M359" s="146">
        <f>IF(K359="Matched","Low",IF(OR(IFERROR(ABS(H359),0)&gt;Mapping_Rules!$B$7,IFERROR(J359,0)&gt;Mapping_Rules!$B$8),"High","Medium"))</f>
        <v/>
      </c>
      <c r="N359" s="146">
        <f>IF(K359="Matched","No action needed",IF(L359="Missing from bank","Check bank date or posting",IF(L359="Amount variance","Check invoice/payment amount","Check timing difference")))</f>
        <v/>
      </c>
      <c r="O359" s="140" t="inlineStr">
        <is>
          <t>5300 Payroll</t>
        </is>
      </c>
      <c r="P359" s="140" t="inlineStr">
        <is>
          <t>Accounting Technician</t>
        </is>
      </c>
      <c r="Q359" s="140" t="inlineStr">
        <is>
          <t>No</t>
        </is>
      </c>
      <c r="R359" s="147" t="str"/>
      <c r="S359" s="148">
        <f>IF(K359="Matched",0,Mapping_Rules!$B$6-B359)</f>
        <v/>
      </c>
    </row>
    <row r="360">
      <c r="A360" s="115" t="inlineStr">
        <is>
          <t>ERP-00357</t>
        </is>
      </c>
      <c r="B360" s="125" t="n">
        <v>46026</v>
      </c>
      <c r="C360" s="115" t="inlineStr">
        <is>
          <t>GL</t>
        </is>
      </c>
      <c r="D360" s="115" t="inlineStr">
        <is>
          <t>Pacific Office Supplies</t>
        </is>
      </c>
      <c r="E360" s="115" t="inlineStr">
        <is>
          <t>REF-100357</t>
        </is>
      </c>
      <c r="F360" s="126" t="n">
        <v>1708.3</v>
      </c>
      <c r="G360" s="134">
        <f>IFERROR(XLOOKUP(E360,Bank_Statement!$D$4:$D$448,Bank_Statement!$G$4:$G$448,""),"")</f>
        <v/>
      </c>
      <c r="H360" s="126">
        <f>IF(G360="","",F360-G360)</f>
        <v/>
      </c>
      <c r="I360" s="135">
        <f>IFERROR(XLOOKUP(E360,Bank_Statement!$D$4:$D$448,Bank_Statement!$B$4:$B$448,""),"")</f>
        <v/>
      </c>
      <c r="J360" s="136">
        <f>IF(I360="","",ABS(B360-I360))</f>
        <v/>
      </c>
      <c r="K360" s="137">
        <f>IF(G360="","Unmatched ERP",IF(AND(ABS(H360)&lt;=Mapping_Rules!$B$4,ABS(J360)&lt;=Mapping_Rules!$B$5),"Matched","Review"))</f>
        <v/>
      </c>
      <c r="L360" s="137">
        <f>IF(K360="Matched","None",IF(G360="","Missing from bank",IF(ABS(H360)&gt;Mapping_Rules!$B$4,"Amount variance","Date variance")))</f>
        <v/>
      </c>
      <c r="M360" s="137">
        <f>IF(K360="Matched","Low",IF(OR(IFERROR(ABS(H360),0)&gt;Mapping_Rules!$B$7,IFERROR(J360,0)&gt;Mapping_Rules!$B$8),"High","Medium"))</f>
        <v/>
      </c>
      <c r="N360" s="137">
        <f>IF(K360="Matched","No action needed",IF(L360="Missing from bank","Check bank date or posting",IF(L360="Amount variance","Check invoice/payment amount","Check timing difference")))</f>
        <v/>
      </c>
      <c r="O360" s="115" t="inlineStr">
        <is>
          <t>1200 AR</t>
        </is>
      </c>
      <c r="P360" s="115" t="inlineStr">
        <is>
          <t>Accounting Technician</t>
        </is>
      </c>
      <c r="Q360" s="115" t="inlineStr">
        <is>
          <t>No</t>
        </is>
      </c>
      <c r="R360" s="138" t="str"/>
      <c r="S360" s="139">
        <f>IF(K360="Matched",0,Mapping_Rules!$B$6-B360)</f>
        <v/>
      </c>
    </row>
    <row r="361">
      <c r="A361" s="140" t="inlineStr">
        <is>
          <t>ERP-00358</t>
        </is>
      </c>
      <c r="B361" s="141" t="n">
        <v>46034</v>
      </c>
      <c r="C361" s="140" t="inlineStr">
        <is>
          <t>AP</t>
        </is>
      </c>
      <c r="D361" s="140" t="inlineStr">
        <is>
          <t>Vancouver Courier</t>
        </is>
      </c>
      <c r="E361" s="140" t="inlineStr">
        <is>
          <t>REF-100358</t>
        </is>
      </c>
      <c r="F361" s="142" t="n">
        <v>-3549.34</v>
      </c>
      <c r="G361" s="143">
        <f>IFERROR(XLOOKUP(E361,Bank_Statement!$D$4:$D$448,Bank_Statement!$G$4:$G$448,""),"")</f>
        <v/>
      </c>
      <c r="H361" s="142">
        <f>IF(G361="","",F361-G361)</f>
        <v/>
      </c>
      <c r="I361" s="144">
        <f>IFERROR(XLOOKUP(E361,Bank_Statement!$D$4:$D$448,Bank_Statement!$B$4:$B$448,""),"")</f>
        <v/>
      </c>
      <c r="J361" s="145">
        <f>IF(I361="","",ABS(B361-I361))</f>
        <v/>
      </c>
      <c r="K361" s="146">
        <f>IF(G361="","Unmatched ERP",IF(AND(ABS(H361)&lt;=Mapping_Rules!$B$4,ABS(J361)&lt;=Mapping_Rules!$B$5),"Matched","Review"))</f>
        <v/>
      </c>
      <c r="L361" s="146">
        <f>IF(K361="Matched","None",IF(G361="","Missing from bank",IF(ABS(H361)&gt;Mapping_Rules!$B$4,"Amount variance","Date variance")))</f>
        <v/>
      </c>
      <c r="M361" s="146">
        <f>IF(K361="Matched","Low",IF(OR(IFERROR(ABS(H361),0)&gt;Mapping_Rules!$B$7,IFERROR(J361,0)&gt;Mapping_Rules!$B$8),"High","Medium"))</f>
        <v/>
      </c>
      <c r="N361" s="146">
        <f>IF(K361="Matched","No action needed",IF(L361="Missing from bank","Check bank date or posting",IF(L361="Amount variance","Check invoice/payment amount","Check timing difference")))</f>
        <v/>
      </c>
      <c r="O361" s="140" t="inlineStr">
        <is>
          <t>2000 AP</t>
        </is>
      </c>
      <c r="P361" s="140" t="inlineStr">
        <is>
          <t>AP Clerk</t>
        </is>
      </c>
      <c r="Q361" s="140" t="inlineStr">
        <is>
          <t>No</t>
        </is>
      </c>
      <c r="R361" s="147" t="str"/>
      <c r="S361" s="148">
        <f>IF(K361="Matched",0,Mapping_Rules!$B$6-B361)</f>
        <v/>
      </c>
    </row>
    <row r="362">
      <c r="A362" s="115" t="inlineStr">
        <is>
          <t>ERP-00359</t>
        </is>
      </c>
      <c r="B362" s="125" t="n">
        <v>46044</v>
      </c>
      <c r="C362" s="115" t="inlineStr">
        <is>
          <t>GL</t>
        </is>
      </c>
      <c r="D362" s="115" t="inlineStr">
        <is>
          <t>BC Hydro</t>
        </is>
      </c>
      <c r="E362" s="115" t="inlineStr">
        <is>
          <t>REF-100359</t>
        </is>
      </c>
      <c r="F362" s="126" t="n">
        <v>3716.86</v>
      </c>
      <c r="G362" s="134">
        <f>IFERROR(XLOOKUP(E362,Bank_Statement!$D$4:$D$448,Bank_Statement!$G$4:$G$448,""),"")</f>
        <v/>
      </c>
      <c r="H362" s="126">
        <f>IF(G362="","",F362-G362)</f>
        <v/>
      </c>
      <c r="I362" s="135">
        <f>IFERROR(XLOOKUP(E362,Bank_Statement!$D$4:$D$448,Bank_Statement!$B$4:$B$448,""),"")</f>
        <v/>
      </c>
      <c r="J362" s="136">
        <f>IF(I362="","",ABS(B362-I362))</f>
        <v/>
      </c>
      <c r="K362" s="137">
        <f>IF(G362="","Unmatched ERP",IF(AND(ABS(H362)&lt;=Mapping_Rules!$B$4,ABS(J362)&lt;=Mapping_Rules!$B$5),"Matched","Review"))</f>
        <v/>
      </c>
      <c r="L362" s="137">
        <f>IF(K362="Matched","None",IF(G362="","Missing from bank",IF(ABS(H362)&gt;Mapping_Rules!$B$4,"Amount variance","Date variance")))</f>
        <v/>
      </c>
      <c r="M362" s="137">
        <f>IF(K362="Matched","Low",IF(OR(IFERROR(ABS(H362),0)&gt;Mapping_Rules!$B$7,IFERROR(J362,0)&gt;Mapping_Rules!$B$8),"High","Medium"))</f>
        <v/>
      </c>
      <c r="N362" s="137">
        <f>IF(K362="Matched","No action needed",IF(L362="Missing from bank","Check bank date or posting",IF(L362="Amount variance","Check invoice/payment amount","Check timing difference")))</f>
        <v/>
      </c>
      <c r="O362" s="115" t="inlineStr">
        <is>
          <t>1010 Cash</t>
        </is>
      </c>
      <c r="P362" s="115" t="inlineStr">
        <is>
          <t>Accounting Technician</t>
        </is>
      </c>
      <c r="Q362" s="115" t="inlineStr">
        <is>
          <t>No</t>
        </is>
      </c>
      <c r="R362" s="138" t="str"/>
      <c r="S362" s="139">
        <f>IF(K362="Matched",0,Mapping_Rules!$B$6-B362)</f>
        <v/>
      </c>
    </row>
    <row r="363">
      <c r="A363" s="140" t="inlineStr">
        <is>
          <t>ERP-00360</t>
        </is>
      </c>
      <c r="B363" s="141" t="n">
        <v>46028</v>
      </c>
      <c r="C363" s="140" t="inlineStr">
        <is>
          <t>Bank Fees</t>
        </is>
      </c>
      <c r="D363" s="140" t="inlineStr">
        <is>
          <t>Bank</t>
        </is>
      </c>
      <c r="E363" s="140" t="inlineStr">
        <is>
          <t>REF-100360</t>
        </is>
      </c>
      <c r="F363" s="142" t="n">
        <v>-103.61</v>
      </c>
      <c r="G363" s="143">
        <f>IFERROR(XLOOKUP(E363,Bank_Statement!$D$4:$D$448,Bank_Statement!$G$4:$G$448,""),"")</f>
        <v/>
      </c>
      <c r="H363" s="142">
        <f>IF(G363="","",F363-G363)</f>
        <v/>
      </c>
      <c r="I363" s="144">
        <f>IFERROR(XLOOKUP(E363,Bank_Statement!$D$4:$D$448,Bank_Statement!$B$4:$B$448,""),"")</f>
        <v/>
      </c>
      <c r="J363" s="145">
        <f>IF(I363="","",ABS(B363-I363))</f>
        <v/>
      </c>
      <c r="K363" s="146">
        <f>IF(G363="","Unmatched ERP",IF(AND(ABS(H363)&lt;=Mapping_Rules!$B$4,ABS(J363)&lt;=Mapping_Rules!$B$5),"Matched","Review"))</f>
        <v/>
      </c>
      <c r="L363" s="146">
        <f>IF(K363="Matched","None",IF(G363="","Missing from bank",IF(ABS(H363)&gt;Mapping_Rules!$B$4,"Amount variance","Date variance")))</f>
        <v/>
      </c>
      <c r="M363" s="146">
        <f>IF(K363="Matched","Low",IF(OR(IFERROR(ABS(H363),0)&gt;Mapping_Rules!$B$7,IFERROR(J363,0)&gt;Mapping_Rules!$B$8),"High","Medium"))</f>
        <v/>
      </c>
      <c r="N363" s="146">
        <f>IF(K363="Matched","No action needed",IF(L363="Missing from bank","Check bank date or posting",IF(L363="Amount variance","Check invoice/payment amount","Check timing difference")))</f>
        <v/>
      </c>
      <c r="O363" s="140" t="inlineStr">
        <is>
          <t>6100 Bank Fees</t>
        </is>
      </c>
      <c r="P363" s="140" t="inlineStr">
        <is>
          <t>Accounting Technician</t>
        </is>
      </c>
      <c r="Q363" s="140" t="inlineStr">
        <is>
          <t>No</t>
        </is>
      </c>
      <c r="R363" s="147" t="str"/>
      <c r="S363" s="148">
        <f>IF(K363="Matched",0,Mapping_Rules!$B$6-B363)</f>
        <v/>
      </c>
    </row>
    <row r="364">
      <c r="A364" s="115" t="inlineStr">
        <is>
          <t>ERP-00361</t>
        </is>
      </c>
      <c r="B364" s="125" t="n">
        <v>46046</v>
      </c>
      <c r="C364" s="115" t="inlineStr">
        <is>
          <t>AP</t>
        </is>
      </c>
      <c r="D364" s="115" t="inlineStr">
        <is>
          <t>Vancouver Courier</t>
        </is>
      </c>
      <c r="E364" s="115" t="inlineStr">
        <is>
          <t>REF-100361</t>
        </is>
      </c>
      <c r="F364" s="126" t="n">
        <v>-556.67</v>
      </c>
      <c r="G364" s="134">
        <f>IFERROR(XLOOKUP(E364,Bank_Statement!$D$4:$D$448,Bank_Statement!$G$4:$G$448,""),"")</f>
        <v/>
      </c>
      <c r="H364" s="126">
        <f>IF(G364="","",F364-G364)</f>
        <v/>
      </c>
      <c r="I364" s="135">
        <f>IFERROR(XLOOKUP(E364,Bank_Statement!$D$4:$D$448,Bank_Statement!$B$4:$B$448,""),"")</f>
        <v/>
      </c>
      <c r="J364" s="136">
        <f>IF(I364="","",ABS(B364-I364))</f>
        <v/>
      </c>
      <c r="K364" s="137">
        <f>IF(G364="","Unmatched ERP",IF(AND(ABS(H364)&lt;=Mapping_Rules!$B$4,ABS(J364)&lt;=Mapping_Rules!$B$5),"Matched","Review"))</f>
        <v/>
      </c>
      <c r="L364" s="137">
        <f>IF(K364="Matched","None",IF(G364="","Missing from bank",IF(ABS(H364)&gt;Mapping_Rules!$B$4,"Amount variance","Date variance")))</f>
        <v/>
      </c>
      <c r="M364" s="137">
        <f>IF(K364="Matched","Low",IF(OR(IFERROR(ABS(H364),0)&gt;Mapping_Rules!$B$7,IFERROR(J364,0)&gt;Mapping_Rules!$B$8),"High","Medium"))</f>
        <v/>
      </c>
      <c r="N364" s="137">
        <f>IF(K364="Matched","No action needed",IF(L364="Missing from bank","Check bank date or posting",IF(L364="Amount variance","Check invoice/payment amount","Check timing difference")))</f>
        <v/>
      </c>
      <c r="O364" s="115" t="inlineStr">
        <is>
          <t>2000 AP</t>
        </is>
      </c>
      <c r="P364" s="115" t="inlineStr">
        <is>
          <t>AP Clerk</t>
        </is>
      </c>
      <c r="Q364" s="115" t="inlineStr">
        <is>
          <t>No</t>
        </is>
      </c>
      <c r="R364" s="138" t="str"/>
      <c r="S364" s="139">
        <f>IF(K364="Matched",0,Mapping_Rules!$B$6-B364)</f>
        <v/>
      </c>
    </row>
    <row r="365">
      <c r="A365" s="140" t="inlineStr">
        <is>
          <t>ERP-00362</t>
        </is>
      </c>
      <c r="B365" s="141" t="n">
        <v>46048</v>
      </c>
      <c r="C365" s="140" t="inlineStr">
        <is>
          <t>AR</t>
        </is>
      </c>
      <c r="D365" s="140" t="inlineStr">
        <is>
          <t>Maple Retail Group</t>
        </is>
      </c>
      <c r="E365" s="140" t="inlineStr">
        <is>
          <t>REF-100362</t>
        </is>
      </c>
      <c r="F365" s="142" t="n">
        <v>8116.56</v>
      </c>
      <c r="G365" s="143">
        <f>IFERROR(XLOOKUP(E365,Bank_Statement!$D$4:$D$448,Bank_Statement!$G$4:$G$448,""),"")</f>
        <v/>
      </c>
      <c r="H365" s="142">
        <f>IF(G365="","",F365-G365)</f>
        <v/>
      </c>
      <c r="I365" s="144">
        <f>IFERROR(XLOOKUP(E365,Bank_Statement!$D$4:$D$448,Bank_Statement!$B$4:$B$448,""),"")</f>
        <v/>
      </c>
      <c r="J365" s="145">
        <f>IF(I365="","",ABS(B365-I365))</f>
        <v/>
      </c>
      <c r="K365" s="146">
        <f>IF(G365="","Unmatched ERP",IF(AND(ABS(H365)&lt;=Mapping_Rules!$B$4,ABS(J365)&lt;=Mapping_Rules!$B$5),"Matched","Review"))</f>
        <v/>
      </c>
      <c r="L365" s="146">
        <f>IF(K365="Matched","None",IF(G365="","Missing from bank",IF(ABS(H365)&gt;Mapping_Rules!$B$4,"Amount variance","Date variance")))</f>
        <v/>
      </c>
      <c r="M365" s="146">
        <f>IF(K365="Matched","Low",IF(OR(IFERROR(ABS(H365),0)&gt;Mapping_Rules!$B$7,IFERROR(J365,0)&gt;Mapping_Rules!$B$8),"High","Medium"))</f>
        <v/>
      </c>
      <c r="N365" s="146">
        <f>IF(K365="Matched","No action needed",IF(L365="Missing from bank","Check bank date or posting",IF(L365="Amount variance","Check invoice/payment amount","Check timing difference")))</f>
        <v/>
      </c>
      <c r="O365" s="140" t="inlineStr">
        <is>
          <t>1200 AR</t>
        </is>
      </c>
      <c r="P365" s="140" t="inlineStr">
        <is>
          <t>AR Clerk</t>
        </is>
      </c>
      <c r="Q365" s="140" t="inlineStr">
        <is>
          <t>No</t>
        </is>
      </c>
      <c r="R365" s="147" t="str"/>
      <c r="S365" s="148">
        <f>IF(K365="Matched",0,Mapping_Rules!$B$6-B365)</f>
        <v/>
      </c>
    </row>
    <row r="366">
      <c r="A366" s="115" t="inlineStr">
        <is>
          <t>ERP-00363</t>
        </is>
      </c>
      <c r="B366" s="125" t="n">
        <v>46047</v>
      </c>
      <c r="C366" s="115" t="inlineStr">
        <is>
          <t>Payroll</t>
        </is>
      </c>
      <c r="D366" s="115" t="inlineStr">
        <is>
          <t>Payroll Batch</t>
        </is>
      </c>
      <c r="E366" s="115" t="inlineStr">
        <is>
          <t>REF-100363</t>
        </is>
      </c>
      <c r="F366" s="126" t="n">
        <v>-7245.86</v>
      </c>
      <c r="G366" s="134">
        <f>IFERROR(XLOOKUP(E366,Bank_Statement!$D$4:$D$448,Bank_Statement!$G$4:$G$448,""),"")</f>
        <v/>
      </c>
      <c r="H366" s="126">
        <f>IF(G366="","",F366-G366)</f>
        <v/>
      </c>
      <c r="I366" s="135">
        <f>IFERROR(XLOOKUP(E366,Bank_Statement!$D$4:$D$448,Bank_Statement!$B$4:$B$448,""),"")</f>
        <v/>
      </c>
      <c r="J366" s="136">
        <f>IF(I366="","",ABS(B366-I366))</f>
        <v/>
      </c>
      <c r="K366" s="137">
        <f>IF(G366="","Unmatched ERP",IF(AND(ABS(H366)&lt;=Mapping_Rules!$B$4,ABS(J366)&lt;=Mapping_Rules!$B$5),"Matched","Review"))</f>
        <v/>
      </c>
      <c r="L366" s="137">
        <f>IF(K366="Matched","None",IF(G366="","Missing from bank",IF(ABS(H366)&gt;Mapping_Rules!$B$4,"Amount variance","Date variance")))</f>
        <v/>
      </c>
      <c r="M366" s="137">
        <f>IF(K366="Matched","Low",IF(OR(IFERROR(ABS(H366),0)&gt;Mapping_Rules!$B$7,IFERROR(J366,0)&gt;Mapping_Rules!$B$8),"High","Medium"))</f>
        <v/>
      </c>
      <c r="N366" s="137">
        <f>IF(K366="Matched","No action needed",IF(L366="Missing from bank","Check bank date or posting",IF(L366="Amount variance","Check invoice/payment amount","Check timing difference")))</f>
        <v/>
      </c>
      <c r="O366" s="115" t="inlineStr">
        <is>
          <t>5300 Payroll</t>
        </is>
      </c>
      <c r="P366" s="115" t="inlineStr">
        <is>
          <t>Accounting Technician</t>
        </is>
      </c>
      <c r="Q366" s="115" t="inlineStr">
        <is>
          <t>No</t>
        </is>
      </c>
      <c r="R366" s="138" t="str"/>
      <c r="S366" s="139">
        <f>IF(K366="Matched",0,Mapping_Rules!$B$6-B366)</f>
        <v/>
      </c>
    </row>
    <row r="367">
      <c r="A367" s="140" t="inlineStr">
        <is>
          <t>ERP-00364</t>
        </is>
      </c>
      <c r="B367" s="141" t="n">
        <v>46048</v>
      </c>
      <c r="C367" s="140" t="inlineStr">
        <is>
          <t>AP</t>
        </is>
      </c>
      <c r="D367" s="140" t="inlineStr">
        <is>
          <t>Amazon Business</t>
        </is>
      </c>
      <c r="E367" s="140" t="inlineStr">
        <is>
          <t>REF-100364</t>
        </is>
      </c>
      <c r="F367" s="142" t="n">
        <v>-1564.61</v>
      </c>
      <c r="G367" s="143">
        <f>IFERROR(XLOOKUP(E367,Bank_Statement!$D$4:$D$448,Bank_Statement!$G$4:$G$448,""),"")</f>
        <v/>
      </c>
      <c r="H367" s="142">
        <f>IF(G367="","",F367-G367)</f>
        <v/>
      </c>
      <c r="I367" s="144">
        <f>IFERROR(XLOOKUP(E367,Bank_Statement!$D$4:$D$448,Bank_Statement!$B$4:$B$448,""),"")</f>
        <v/>
      </c>
      <c r="J367" s="145">
        <f>IF(I367="","",ABS(B367-I367))</f>
        <v/>
      </c>
      <c r="K367" s="146">
        <f>IF(G367="","Unmatched ERP",IF(AND(ABS(H367)&lt;=Mapping_Rules!$B$4,ABS(J367)&lt;=Mapping_Rules!$B$5),"Matched","Review"))</f>
        <v/>
      </c>
      <c r="L367" s="146">
        <f>IF(K367="Matched","None",IF(G367="","Missing from bank",IF(ABS(H367)&gt;Mapping_Rules!$B$4,"Amount variance","Date variance")))</f>
        <v/>
      </c>
      <c r="M367" s="146">
        <f>IF(K367="Matched","Low",IF(OR(IFERROR(ABS(H367),0)&gt;Mapping_Rules!$B$7,IFERROR(J367,0)&gt;Mapping_Rules!$B$8),"High","Medium"))</f>
        <v/>
      </c>
      <c r="N367" s="146">
        <f>IF(K367="Matched","No action needed",IF(L367="Missing from bank","Check bank date or posting",IF(L367="Amount variance","Check invoice/payment amount","Check timing difference")))</f>
        <v/>
      </c>
      <c r="O367" s="140" t="inlineStr">
        <is>
          <t>2000 AP</t>
        </is>
      </c>
      <c r="P367" s="140" t="inlineStr">
        <is>
          <t>AP Clerk</t>
        </is>
      </c>
      <c r="Q367" s="140" t="inlineStr">
        <is>
          <t>No</t>
        </is>
      </c>
      <c r="R367" s="147" t="str"/>
      <c r="S367" s="148">
        <f>IF(K367="Matched",0,Mapping_Rules!$B$6-B367)</f>
        <v/>
      </c>
    </row>
    <row r="368">
      <c r="A368" s="115" t="inlineStr">
        <is>
          <t>ERP-00365</t>
        </is>
      </c>
      <c r="B368" s="125" t="n">
        <v>46047</v>
      </c>
      <c r="C368" s="115" t="inlineStr">
        <is>
          <t>GL</t>
        </is>
      </c>
      <c r="D368" s="115" t="inlineStr">
        <is>
          <t>West Van Fitness</t>
        </is>
      </c>
      <c r="E368" s="115" t="inlineStr">
        <is>
          <t>REF-100365</t>
        </is>
      </c>
      <c r="F368" s="126" t="n">
        <v>-4507.19</v>
      </c>
      <c r="G368" s="134">
        <f>IFERROR(XLOOKUP(E368,Bank_Statement!$D$4:$D$448,Bank_Statement!$G$4:$G$448,""),"")</f>
        <v/>
      </c>
      <c r="H368" s="126">
        <f>IF(G368="","",F368-G368)</f>
        <v/>
      </c>
      <c r="I368" s="135">
        <f>IFERROR(XLOOKUP(E368,Bank_Statement!$D$4:$D$448,Bank_Statement!$B$4:$B$448,""),"")</f>
        <v/>
      </c>
      <c r="J368" s="136">
        <f>IF(I368="","",ABS(B368-I368))</f>
        <v/>
      </c>
      <c r="K368" s="137">
        <f>IF(G368="","Unmatched ERP",IF(AND(ABS(H368)&lt;=Mapping_Rules!$B$4,ABS(J368)&lt;=Mapping_Rules!$B$5),"Matched","Review"))</f>
        <v/>
      </c>
      <c r="L368" s="137">
        <f>IF(K368="Matched","None",IF(G368="","Missing from bank",IF(ABS(H368)&gt;Mapping_Rules!$B$4,"Amount variance","Date variance")))</f>
        <v/>
      </c>
      <c r="M368" s="137">
        <f>IF(K368="Matched","Low",IF(OR(IFERROR(ABS(H368),0)&gt;Mapping_Rules!$B$7,IFERROR(J368,0)&gt;Mapping_Rules!$B$8),"High","Medium"))</f>
        <v/>
      </c>
      <c r="N368" s="137">
        <f>IF(K368="Matched","No action needed",IF(L368="Missing from bank","Check bank date or posting",IF(L368="Amount variance","Check invoice/payment amount","Check timing difference")))</f>
        <v/>
      </c>
      <c r="O368" s="115" t="inlineStr">
        <is>
          <t>5000 Office Expense</t>
        </is>
      </c>
      <c r="P368" s="115" t="inlineStr">
        <is>
          <t>Accounting Technician</t>
        </is>
      </c>
      <c r="Q368" s="115" t="inlineStr">
        <is>
          <t>No</t>
        </is>
      </c>
      <c r="R368" s="138" t="str"/>
      <c r="S368" s="139">
        <f>IF(K368="Matched",0,Mapping_Rules!$B$6-B368)</f>
        <v/>
      </c>
    </row>
    <row r="369">
      <c r="A369" s="140" t="inlineStr">
        <is>
          <t>ERP-00366</t>
        </is>
      </c>
      <c r="B369" s="141" t="n">
        <v>46023</v>
      </c>
      <c r="C369" s="140" t="inlineStr">
        <is>
          <t>AP</t>
        </is>
      </c>
      <c r="D369" s="140" t="inlineStr">
        <is>
          <t>Metro Cleaning Ltd.</t>
        </is>
      </c>
      <c r="E369" s="140" t="inlineStr">
        <is>
          <t>REF-100366</t>
        </is>
      </c>
      <c r="F369" s="142" t="n">
        <v>-3971.96</v>
      </c>
      <c r="G369" s="143">
        <f>IFERROR(XLOOKUP(E369,Bank_Statement!$D$4:$D$448,Bank_Statement!$G$4:$G$448,""),"")</f>
        <v/>
      </c>
      <c r="H369" s="142">
        <f>IF(G369="","",F369-G369)</f>
        <v/>
      </c>
      <c r="I369" s="144">
        <f>IFERROR(XLOOKUP(E369,Bank_Statement!$D$4:$D$448,Bank_Statement!$B$4:$B$448,""),"")</f>
        <v/>
      </c>
      <c r="J369" s="145">
        <f>IF(I369="","",ABS(B369-I369))</f>
        <v/>
      </c>
      <c r="K369" s="146">
        <f>IF(G369="","Unmatched ERP",IF(AND(ABS(H369)&lt;=Mapping_Rules!$B$4,ABS(J369)&lt;=Mapping_Rules!$B$5),"Matched","Review"))</f>
        <v/>
      </c>
      <c r="L369" s="146">
        <f>IF(K369="Matched","None",IF(G369="","Missing from bank",IF(ABS(H369)&gt;Mapping_Rules!$B$4,"Amount variance","Date variance")))</f>
        <v/>
      </c>
      <c r="M369" s="146">
        <f>IF(K369="Matched","Low",IF(OR(IFERROR(ABS(H369),0)&gt;Mapping_Rules!$B$7,IFERROR(J369,0)&gt;Mapping_Rules!$B$8),"High","Medium"))</f>
        <v/>
      </c>
      <c r="N369" s="146">
        <f>IF(K369="Matched","No action needed",IF(L369="Missing from bank","Check bank date or posting",IF(L369="Amount variance","Check invoice/payment amount","Check timing difference")))</f>
        <v/>
      </c>
      <c r="O369" s="140" t="inlineStr">
        <is>
          <t>2000 AP</t>
        </is>
      </c>
      <c r="P369" s="140" t="inlineStr">
        <is>
          <t>AP Clerk</t>
        </is>
      </c>
      <c r="Q369" s="140" t="inlineStr">
        <is>
          <t>No</t>
        </is>
      </c>
      <c r="R369" s="147" t="str"/>
      <c r="S369" s="148">
        <f>IF(K369="Matched",0,Mapping_Rules!$B$6-B369)</f>
        <v/>
      </c>
    </row>
    <row r="370">
      <c r="A370" s="115" t="inlineStr">
        <is>
          <t>ERP-00367</t>
        </is>
      </c>
      <c r="B370" s="125" t="n">
        <v>46046</v>
      </c>
      <c r="C370" s="115" t="inlineStr">
        <is>
          <t>AP</t>
        </is>
      </c>
      <c r="D370" s="115" t="inlineStr">
        <is>
          <t>North Shore Telecom</t>
        </is>
      </c>
      <c r="E370" s="115" t="inlineStr">
        <is>
          <t>REF-100367</t>
        </is>
      </c>
      <c r="F370" s="126" t="n">
        <v>-3322.46</v>
      </c>
      <c r="G370" s="134">
        <f>IFERROR(XLOOKUP(E370,Bank_Statement!$D$4:$D$448,Bank_Statement!$G$4:$G$448,""),"")</f>
        <v/>
      </c>
      <c r="H370" s="126">
        <f>IF(G370="","",F370-G370)</f>
        <v/>
      </c>
      <c r="I370" s="135">
        <f>IFERROR(XLOOKUP(E370,Bank_Statement!$D$4:$D$448,Bank_Statement!$B$4:$B$448,""),"")</f>
        <v/>
      </c>
      <c r="J370" s="136">
        <f>IF(I370="","",ABS(B370-I370))</f>
        <v/>
      </c>
      <c r="K370" s="137">
        <f>IF(G370="","Unmatched ERP",IF(AND(ABS(H370)&lt;=Mapping_Rules!$B$4,ABS(J370)&lt;=Mapping_Rules!$B$5),"Matched","Review"))</f>
        <v/>
      </c>
      <c r="L370" s="137">
        <f>IF(K370="Matched","None",IF(G370="","Missing from bank",IF(ABS(H370)&gt;Mapping_Rules!$B$4,"Amount variance","Date variance")))</f>
        <v/>
      </c>
      <c r="M370" s="137">
        <f>IF(K370="Matched","Low",IF(OR(IFERROR(ABS(H370),0)&gt;Mapping_Rules!$B$7,IFERROR(J370,0)&gt;Mapping_Rules!$B$8),"High","Medium"))</f>
        <v/>
      </c>
      <c r="N370" s="137">
        <f>IF(K370="Matched","No action needed",IF(L370="Missing from bank","Check bank date or posting",IF(L370="Amount variance","Check invoice/payment amount","Check timing difference")))</f>
        <v/>
      </c>
      <c r="O370" s="115" t="inlineStr">
        <is>
          <t>2000 AP</t>
        </is>
      </c>
      <c r="P370" s="115" t="inlineStr">
        <is>
          <t>AP Clerk</t>
        </is>
      </c>
      <c r="Q370" s="115" t="inlineStr">
        <is>
          <t>No</t>
        </is>
      </c>
      <c r="R370" s="138" t="str"/>
      <c r="S370" s="139">
        <f>IF(K370="Matched",0,Mapping_Rules!$B$6-B370)</f>
        <v/>
      </c>
    </row>
    <row r="371">
      <c r="A371" s="140" t="inlineStr">
        <is>
          <t>ERP-00368</t>
        </is>
      </c>
      <c r="B371" s="141" t="n">
        <v>46027</v>
      </c>
      <c r="C371" s="140" t="inlineStr">
        <is>
          <t>GL</t>
        </is>
      </c>
      <c r="D371" s="140" t="inlineStr">
        <is>
          <t>North Shore Telecom</t>
        </is>
      </c>
      <c r="E371" s="140" t="inlineStr">
        <is>
          <t>REF-100368</t>
        </is>
      </c>
      <c r="F371" s="142" t="n">
        <v>267.31</v>
      </c>
      <c r="G371" s="143">
        <f>IFERROR(XLOOKUP(E371,Bank_Statement!$D$4:$D$448,Bank_Statement!$G$4:$G$448,""),"")</f>
        <v/>
      </c>
      <c r="H371" s="142">
        <f>IF(G371="","",F371-G371)</f>
        <v/>
      </c>
      <c r="I371" s="144">
        <f>IFERROR(XLOOKUP(E371,Bank_Statement!$D$4:$D$448,Bank_Statement!$B$4:$B$448,""),"")</f>
        <v/>
      </c>
      <c r="J371" s="145">
        <f>IF(I371="","",ABS(B371-I371))</f>
        <v/>
      </c>
      <c r="K371" s="146">
        <f>IF(G371="","Unmatched ERP",IF(AND(ABS(H371)&lt;=Mapping_Rules!$B$4,ABS(J371)&lt;=Mapping_Rules!$B$5),"Matched","Review"))</f>
        <v/>
      </c>
      <c r="L371" s="146">
        <f>IF(K371="Matched","None",IF(G371="","Missing from bank",IF(ABS(H371)&gt;Mapping_Rules!$B$4,"Amount variance","Date variance")))</f>
        <v/>
      </c>
      <c r="M371" s="146">
        <f>IF(K371="Matched","Low",IF(OR(IFERROR(ABS(H371),0)&gt;Mapping_Rules!$B$7,IFERROR(J371,0)&gt;Mapping_Rules!$B$8),"High","Medium"))</f>
        <v/>
      </c>
      <c r="N371" s="146">
        <f>IF(K371="Matched","No action needed",IF(L371="Missing from bank","Check bank date or posting",IF(L371="Amount variance","Check invoice/payment amount","Check timing difference")))</f>
        <v/>
      </c>
      <c r="O371" s="140" t="inlineStr">
        <is>
          <t>5300 Payroll</t>
        </is>
      </c>
      <c r="P371" s="140" t="inlineStr">
        <is>
          <t>Accounting Technician</t>
        </is>
      </c>
      <c r="Q371" s="140" t="inlineStr">
        <is>
          <t>No</t>
        </is>
      </c>
      <c r="R371" s="147" t="str"/>
      <c r="S371" s="148">
        <f>IF(K371="Matched",0,Mapping_Rules!$B$6-B371)</f>
        <v/>
      </c>
    </row>
    <row r="372">
      <c r="A372" s="115" t="inlineStr">
        <is>
          <t>ERP-00369</t>
        </is>
      </c>
      <c r="B372" s="125" t="n">
        <v>46025</v>
      </c>
      <c r="C372" s="115" t="inlineStr">
        <is>
          <t>AR</t>
        </is>
      </c>
      <c r="D372" s="115" t="inlineStr">
        <is>
          <t>West Van Fitness</t>
        </is>
      </c>
      <c r="E372" s="115" t="inlineStr">
        <is>
          <t>REF-100369</t>
        </is>
      </c>
      <c r="F372" s="126" t="n">
        <v>1264.84</v>
      </c>
      <c r="G372" s="134">
        <f>IFERROR(XLOOKUP(E372,Bank_Statement!$D$4:$D$448,Bank_Statement!$G$4:$G$448,""),"")</f>
        <v/>
      </c>
      <c r="H372" s="126">
        <f>IF(G372="","",F372-G372)</f>
        <v/>
      </c>
      <c r="I372" s="135">
        <f>IFERROR(XLOOKUP(E372,Bank_Statement!$D$4:$D$448,Bank_Statement!$B$4:$B$448,""),"")</f>
        <v/>
      </c>
      <c r="J372" s="136">
        <f>IF(I372="","",ABS(B372-I372))</f>
        <v/>
      </c>
      <c r="K372" s="137">
        <f>IF(G372="","Unmatched ERP",IF(AND(ABS(H372)&lt;=Mapping_Rules!$B$4,ABS(J372)&lt;=Mapping_Rules!$B$5),"Matched","Review"))</f>
        <v/>
      </c>
      <c r="L372" s="137">
        <f>IF(K372="Matched","None",IF(G372="","Missing from bank",IF(ABS(H372)&gt;Mapping_Rules!$B$4,"Amount variance","Date variance")))</f>
        <v/>
      </c>
      <c r="M372" s="137">
        <f>IF(K372="Matched","Low",IF(OR(IFERROR(ABS(H372),0)&gt;Mapping_Rules!$B$7,IFERROR(J372,0)&gt;Mapping_Rules!$B$8),"High","Medium"))</f>
        <v/>
      </c>
      <c r="N372" s="137">
        <f>IF(K372="Matched","No action needed",IF(L372="Missing from bank","Check bank date or posting",IF(L372="Amount variance","Check invoice/payment amount","Check timing difference")))</f>
        <v/>
      </c>
      <c r="O372" s="115" t="inlineStr">
        <is>
          <t>1200 AR</t>
        </is>
      </c>
      <c r="P372" s="115" t="inlineStr">
        <is>
          <t>AR Clerk</t>
        </is>
      </c>
      <c r="Q372" s="115" t="inlineStr">
        <is>
          <t>No</t>
        </is>
      </c>
      <c r="R372" s="138" t="str"/>
      <c r="S372" s="139">
        <f>IF(K372="Matched",0,Mapping_Rules!$B$6-B372)</f>
        <v/>
      </c>
    </row>
    <row r="373">
      <c r="A373" s="140" t="inlineStr">
        <is>
          <t>ERP-00370</t>
        </is>
      </c>
      <c r="B373" s="141" t="n">
        <v>46053</v>
      </c>
      <c r="C373" s="140" t="inlineStr">
        <is>
          <t>AP</t>
        </is>
      </c>
      <c r="D373" s="140" t="inlineStr">
        <is>
          <t>Metro Cleaning Ltd.</t>
        </is>
      </c>
      <c r="E373" s="140" t="inlineStr">
        <is>
          <t>REF-100370</t>
        </is>
      </c>
      <c r="F373" s="142" t="n">
        <v>-1677.26</v>
      </c>
      <c r="G373" s="143">
        <f>IFERROR(XLOOKUP(E373,Bank_Statement!$D$4:$D$448,Bank_Statement!$G$4:$G$448,""),"")</f>
        <v/>
      </c>
      <c r="H373" s="142">
        <f>IF(G373="","",F373-G373)</f>
        <v/>
      </c>
      <c r="I373" s="144">
        <f>IFERROR(XLOOKUP(E373,Bank_Statement!$D$4:$D$448,Bank_Statement!$B$4:$B$448,""),"")</f>
        <v/>
      </c>
      <c r="J373" s="145">
        <f>IF(I373="","",ABS(B373-I373))</f>
        <v/>
      </c>
      <c r="K373" s="146">
        <f>IF(G373="","Unmatched ERP",IF(AND(ABS(H373)&lt;=Mapping_Rules!$B$4,ABS(J373)&lt;=Mapping_Rules!$B$5),"Matched","Review"))</f>
        <v/>
      </c>
      <c r="L373" s="146">
        <f>IF(K373="Matched","None",IF(G373="","Missing from bank",IF(ABS(H373)&gt;Mapping_Rules!$B$4,"Amount variance","Date variance")))</f>
        <v/>
      </c>
      <c r="M373" s="146">
        <f>IF(K373="Matched","Low",IF(OR(IFERROR(ABS(H373),0)&gt;Mapping_Rules!$B$7,IFERROR(J373,0)&gt;Mapping_Rules!$B$8),"High","Medium"))</f>
        <v/>
      </c>
      <c r="N373" s="146">
        <f>IF(K373="Matched","No action needed",IF(L373="Missing from bank","Check bank date or posting",IF(L373="Amount variance","Check invoice/payment amount","Check timing difference")))</f>
        <v/>
      </c>
      <c r="O373" s="140" t="inlineStr">
        <is>
          <t>2000 AP</t>
        </is>
      </c>
      <c r="P373" s="140" t="inlineStr">
        <is>
          <t>AP Clerk</t>
        </is>
      </c>
      <c r="Q373" s="140" t="inlineStr">
        <is>
          <t>No</t>
        </is>
      </c>
      <c r="R373" s="147" t="str"/>
      <c r="S373" s="148">
        <f>IF(K373="Matched",0,Mapping_Rules!$B$6-B373)</f>
        <v/>
      </c>
    </row>
    <row r="374">
      <c r="A374" s="115" t="inlineStr">
        <is>
          <t>ERP-00371</t>
        </is>
      </c>
      <c r="B374" s="125" t="n">
        <v>46031</v>
      </c>
      <c r="C374" s="115" t="inlineStr">
        <is>
          <t>AP</t>
        </is>
      </c>
      <c r="D374" s="115" t="inlineStr">
        <is>
          <t>North Shore Telecom</t>
        </is>
      </c>
      <c r="E374" s="115" t="inlineStr">
        <is>
          <t>REF-100371</t>
        </is>
      </c>
      <c r="F374" s="126" t="n">
        <v>-913</v>
      </c>
      <c r="G374" s="134">
        <f>IFERROR(XLOOKUP(E374,Bank_Statement!$D$4:$D$448,Bank_Statement!$G$4:$G$448,""),"")</f>
        <v/>
      </c>
      <c r="H374" s="126">
        <f>IF(G374="","",F374-G374)</f>
        <v/>
      </c>
      <c r="I374" s="135">
        <f>IFERROR(XLOOKUP(E374,Bank_Statement!$D$4:$D$448,Bank_Statement!$B$4:$B$448,""),"")</f>
        <v/>
      </c>
      <c r="J374" s="136">
        <f>IF(I374="","",ABS(B374-I374))</f>
        <v/>
      </c>
      <c r="K374" s="137">
        <f>IF(G374="","Unmatched ERP",IF(AND(ABS(H374)&lt;=Mapping_Rules!$B$4,ABS(J374)&lt;=Mapping_Rules!$B$5),"Matched","Review"))</f>
        <v/>
      </c>
      <c r="L374" s="137">
        <f>IF(K374="Matched","None",IF(G374="","Missing from bank",IF(ABS(H374)&gt;Mapping_Rules!$B$4,"Amount variance","Date variance")))</f>
        <v/>
      </c>
      <c r="M374" s="137">
        <f>IF(K374="Matched","Low",IF(OR(IFERROR(ABS(H374),0)&gt;Mapping_Rules!$B$7,IFERROR(J374,0)&gt;Mapping_Rules!$B$8),"High","Medium"))</f>
        <v/>
      </c>
      <c r="N374" s="137">
        <f>IF(K374="Matched","No action needed",IF(L374="Missing from bank","Check bank date or posting",IF(L374="Amount variance","Check invoice/payment amount","Check timing difference")))</f>
        <v/>
      </c>
      <c r="O374" s="115" t="inlineStr">
        <is>
          <t>2000 AP</t>
        </is>
      </c>
      <c r="P374" s="115" t="inlineStr">
        <is>
          <t>AP Clerk</t>
        </is>
      </c>
      <c r="Q374" s="115" t="inlineStr">
        <is>
          <t>No</t>
        </is>
      </c>
      <c r="R374" s="138" t="str"/>
      <c r="S374" s="139">
        <f>IF(K374="Matched",0,Mapping_Rules!$B$6-B374)</f>
        <v/>
      </c>
    </row>
    <row r="375">
      <c r="A375" s="140" t="inlineStr">
        <is>
          <t>ERP-00372</t>
        </is>
      </c>
      <c r="B375" s="141" t="n">
        <v>46033</v>
      </c>
      <c r="C375" s="140" t="inlineStr">
        <is>
          <t>AR</t>
        </is>
      </c>
      <c r="D375" s="140" t="inlineStr">
        <is>
          <t>West Van Fitness</t>
        </is>
      </c>
      <c r="E375" s="140" t="inlineStr">
        <is>
          <t>REF-100372</t>
        </is>
      </c>
      <c r="F375" s="142" t="n">
        <v>3141.7</v>
      </c>
      <c r="G375" s="143">
        <f>IFERROR(XLOOKUP(E375,Bank_Statement!$D$4:$D$448,Bank_Statement!$G$4:$G$448,""),"")</f>
        <v/>
      </c>
      <c r="H375" s="142">
        <f>IF(G375="","",F375-G375)</f>
        <v/>
      </c>
      <c r="I375" s="144">
        <f>IFERROR(XLOOKUP(E375,Bank_Statement!$D$4:$D$448,Bank_Statement!$B$4:$B$448,""),"")</f>
        <v/>
      </c>
      <c r="J375" s="145">
        <f>IF(I375="","",ABS(B375-I375))</f>
        <v/>
      </c>
      <c r="K375" s="146">
        <f>IF(G375="","Unmatched ERP",IF(AND(ABS(H375)&lt;=Mapping_Rules!$B$4,ABS(J375)&lt;=Mapping_Rules!$B$5),"Matched","Review"))</f>
        <v/>
      </c>
      <c r="L375" s="146">
        <f>IF(K375="Matched","None",IF(G375="","Missing from bank",IF(ABS(H375)&gt;Mapping_Rules!$B$4,"Amount variance","Date variance")))</f>
        <v/>
      </c>
      <c r="M375" s="146">
        <f>IF(K375="Matched","Low",IF(OR(IFERROR(ABS(H375),0)&gt;Mapping_Rules!$B$7,IFERROR(J375,0)&gt;Mapping_Rules!$B$8),"High","Medium"))</f>
        <v/>
      </c>
      <c r="N375" s="146">
        <f>IF(K375="Matched","No action needed",IF(L375="Missing from bank","Check bank date or posting",IF(L375="Amount variance","Check invoice/payment amount","Check timing difference")))</f>
        <v/>
      </c>
      <c r="O375" s="140" t="inlineStr">
        <is>
          <t>1200 AR</t>
        </is>
      </c>
      <c r="P375" s="140" t="inlineStr">
        <is>
          <t>AR Clerk</t>
        </is>
      </c>
      <c r="Q375" s="140" t="inlineStr">
        <is>
          <t>No</t>
        </is>
      </c>
      <c r="R375" s="147" t="str"/>
      <c r="S375" s="148">
        <f>IF(K375="Matched",0,Mapping_Rules!$B$6-B375)</f>
        <v/>
      </c>
    </row>
    <row r="376">
      <c r="A376" s="115" t="inlineStr">
        <is>
          <t>ERP-00373</t>
        </is>
      </c>
      <c r="B376" s="125" t="n">
        <v>46025</v>
      </c>
      <c r="C376" s="115" t="inlineStr">
        <is>
          <t>AP</t>
        </is>
      </c>
      <c r="D376" s="115" t="inlineStr">
        <is>
          <t>Staples Canada</t>
        </is>
      </c>
      <c r="E376" s="115" t="inlineStr">
        <is>
          <t>REF-100373</t>
        </is>
      </c>
      <c r="F376" s="126" t="n">
        <v>-1941.8</v>
      </c>
      <c r="G376" s="134">
        <f>IFERROR(XLOOKUP(E376,Bank_Statement!$D$4:$D$448,Bank_Statement!$G$4:$G$448,""),"")</f>
        <v/>
      </c>
      <c r="H376" s="126">
        <f>IF(G376="","",F376-G376)</f>
        <v/>
      </c>
      <c r="I376" s="135">
        <f>IFERROR(XLOOKUP(E376,Bank_Statement!$D$4:$D$448,Bank_Statement!$B$4:$B$448,""),"")</f>
        <v/>
      </c>
      <c r="J376" s="136">
        <f>IF(I376="","",ABS(B376-I376))</f>
        <v/>
      </c>
      <c r="K376" s="137">
        <f>IF(G376="","Unmatched ERP",IF(AND(ABS(H376)&lt;=Mapping_Rules!$B$4,ABS(J376)&lt;=Mapping_Rules!$B$5),"Matched","Review"))</f>
        <v/>
      </c>
      <c r="L376" s="137">
        <f>IF(K376="Matched","None",IF(G376="","Missing from bank",IF(ABS(H376)&gt;Mapping_Rules!$B$4,"Amount variance","Date variance")))</f>
        <v/>
      </c>
      <c r="M376" s="137">
        <f>IF(K376="Matched","Low",IF(OR(IFERROR(ABS(H376),0)&gt;Mapping_Rules!$B$7,IFERROR(J376,0)&gt;Mapping_Rules!$B$8),"High","Medium"))</f>
        <v/>
      </c>
      <c r="N376" s="137">
        <f>IF(K376="Matched","No action needed",IF(L376="Missing from bank","Check bank date or posting",IF(L376="Amount variance","Check invoice/payment amount","Check timing difference")))</f>
        <v/>
      </c>
      <c r="O376" s="115" t="inlineStr">
        <is>
          <t>2000 AP</t>
        </is>
      </c>
      <c r="P376" s="115" t="inlineStr">
        <is>
          <t>AP Clerk</t>
        </is>
      </c>
      <c r="Q376" s="115" t="inlineStr">
        <is>
          <t>No</t>
        </is>
      </c>
      <c r="R376" s="138" t="str"/>
      <c r="S376" s="139">
        <f>IF(K376="Matched",0,Mapping_Rules!$B$6-B376)</f>
        <v/>
      </c>
    </row>
    <row r="377">
      <c r="A377" s="140" t="inlineStr">
        <is>
          <t>ERP-00374</t>
        </is>
      </c>
      <c r="B377" s="141" t="n">
        <v>46045</v>
      </c>
      <c r="C377" s="140" t="inlineStr">
        <is>
          <t>AP</t>
        </is>
      </c>
      <c r="D377" s="140" t="inlineStr">
        <is>
          <t>Metro Cleaning Ltd.</t>
        </is>
      </c>
      <c r="E377" s="140" t="inlineStr">
        <is>
          <t>REF-100374</t>
        </is>
      </c>
      <c r="F377" s="142" t="n">
        <v>-2505.02</v>
      </c>
      <c r="G377" s="143">
        <f>IFERROR(XLOOKUP(E377,Bank_Statement!$D$4:$D$448,Bank_Statement!$G$4:$G$448,""),"")</f>
        <v/>
      </c>
      <c r="H377" s="142">
        <f>IF(G377="","",F377-G377)</f>
        <v/>
      </c>
      <c r="I377" s="144">
        <f>IFERROR(XLOOKUP(E377,Bank_Statement!$D$4:$D$448,Bank_Statement!$B$4:$B$448,""),"")</f>
        <v/>
      </c>
      <c r="J377" s="145">
        <f>IF(I377="","",ABS(B377-I377))</f>
        <v/>
      </c>
      <c r="K377" s="146">
        <f>IF(G377="","Unmatched ERP",IF(AND(ABS(H377)&lt;=Mapping_Rules!$B$4,ABS(J377)&lt;=Mapping_Rules!$B$5),"Matched","Review"))</f>
        <v/>
      </c>
      <c r="L377" s="146">
        <f>IF(K377="Matched","None",IF(G377="","Missing from bank",IF(ABS(H377)&gt;Mapping_Rules!$B$4,"Amount variance","Date variance")))</f>
        <v/>
      </c>
      <c r="M377" s="146">
        <f>IF(K377="Matched","Low",IF(OR(IFERROR(ABS(H377),0)&gt;Mapping_Rules!$B$7,IFERROR(J377,0)&gt;Mapping_Rules!$B$8),"High","Medium"))</f>
        <v/>
      </c>
      <c r="N377" s="146">
        <f>IF(K377="Matched","No action needed",IF(L377="Missing from bank","Check bank date or posting",IF(L377="Amount variance","Check invoice/payment amount","Check timing difference")))</f>
        <v/>
      </c>
      <c r="O377" s="140" t="inlineStr">
        <is>
          <t>2000 AP</t>
        </is>
      </c>
      <c r="P377" s="140" t="inlineStr">
        <is>
          <t>AP Clerk</t>
        </is>
      </c>
      <c r="Q377" s="140" t="inlineStr">
        <is>
          <t>No</t>
        </is>
      </c>
      <c r="R377" s="147" t="str"/>
      <c r="S377" s="148">
        <f>IF(K377="Matched",0,Mapping_Rules!$B$6-B377)</f>
        <v/>
      </c>
    </row>
    <row r="378">
      <c r="A378" s="115" t="inlineStr">
        <is>
          <t>ERP-00375</t>
        </is>
      </c>
      <c r="B378" s="125" t="n">
        <v>46050</v>
      </c>
      <c r="C378" s="115" t="inlineStr">
        <is>
          <t>AR</t>
        </is>
      </c>
      <c r="D378" s="115" t="inlineStr">
        <is>
          <t>Harbour Design Co.</t>
        </is>
      </c>
      <c r="E378" s="115" t="inlineStr">
        <is>
          <t>REF-100375</t>
        </is>
      </c>
      <c r="F378" s="126" t="n">
        <v>4743.51</v>
      </c>
      <c r="G378" s="134">
        <f>IFERROR(XLOOKUP(E378,Bank_Statement!$D$4:$D$448,Bank_Statement!$G$4:$G$448,""),"")</f>
        <v/>
      </c>
      <c r="H378" s="126">
        <f>IF(G378="","",F378-G378)</f>
        <v/>
      </c>
      <c r="I378" s="135">
        <f>IFERROR(XLOOKUP(E378,Bank_Statement!$D$4:$D$448,Bank_Statement!$B$4:$B$448,""),"")</f>
        <v/>
      </c>
      <c r="J378" s="136">
        <f>IF(I378="","",ABS(B378-I378))</f>
        <v/>
      </c>
      <c r="K378" s="137">
        <f>IF(G378="","Unmatched ERP",IF(AND(ABS(H378)&lt;=Mapping_Rules!$B$4,ABS(J378)&lt;=Mapping_Rules!$B$5),"Matched","Review"))</f>
        <v/>
      </c>
      <c r="L378" s="137">
        <f>IF(K378="Matched","None",IF(G378="","Missing from bank",IF(ABS(H378)&gt;Mapping_Rules!$B$4,"Amount variance","Date variance")))</f>
        <v/>
      </c>
      <c r="M378" s="137">
        <f>IF(K378="Matched","Low",IF(OR(IFERROR(ABS(H378),0)&gt;Mapping_Rules!$B$7,IFERROR(J378,0)&gt;Mapping_Rules!$B$8),"High","Medium"))</f>
        <v/>
      </c>
      <c r="N378" s="137">
        <f>IF(K378="Matched","No action needed",IF(L378="Missing from bank","Check bank date or posting",IF(L378="Amount variance","Check invoice/payment amount","Check timing difference")))</f>
        <v/>
      </c>
      <c r="O378" s="115" t="inlineStr">
        <is>
          <t>1200 AR</t>
        </is>
      </c>
      <c r="P378" s="115" t="inlineStr">
        <is>
          <t>AR Clerk</t>
        </is>
      </c>
      <c r="Q378" s="115" t="inlineStr">
        <is>
          <t>No</t>
        </is>
      </c>
      <c r="R378" s="138" t="str"/>
      <c r="S378" s="139">
        <f>IF(K378="Matched",0,Mapping_Rules!$B$6-B378)</f>
        <v/>
      </c>
    </row>
    <row r="379">
      <c r="A379" s="140" t="inlineStr">
        <is>
          <t>ERP-00376</t>
        </is>
      </c>
      <c r="B379" s="141" t="n">
        <v>46024</v>
      </c>
      <c r="C379" s="140" t="inlineStr">
        <is>
          <t>Payroll</t>
        </is>
      </c>
      <c r="D379" s="140" t="inlineStr">
        <is>
          <t>Payroll Batch</t>
        </is>
      </c>
      <c r="E379" s="140" t="inlineStr">
        <is>
          <t>REF-100376</t>
        </is>
      </c>
      <c r="F379" s="142" t="n">
        <v>-16747.22</v>
      </c>
      <c r="G379" s="143">
        <f>IFERROR(XLOOKUP(E379,Bank_Statement!$D$4:$D$448,Bank_Statement!$G$4:$G$448,""),"")</f>
        <v/>
      </c>
      <c r="H379" s="142">
        <f>IF(G379="","",F379-G379)</f>
        <v/>
      </c>
      <c r="I379" s="144">
        <f>IFERROR(XLOOKUP(E379,Bank_Statement!$D$4:$D$448,Bank_Statement!$B$4:$B$448,""),"")</f>
        <v/>
      </c>
      <c r="J379" s="145">
        <f>IF(I379="","",ABS(B379-I379))</f>
        <v/>
      </c>
      <c r="K379" s="146">
        <f>IF(G379="","Unmatched ERP",IF(AND(ABS(H379)&lt;=Mapping_Rules!$B$4,ABS(J379)&lt;=Mapping_Rules!$B$5),"Matched","Review"))</f>
        <v/>
      </c>
      <c r="L379" s="146">
        <f>IF(K379="Matched","None",IF(G379="","Missing from bank",IF(ABS(H379)&gt;Mapping_Rules!$B$4,"Amount variance","Date variance")))</f>
        <v/>
      </c>
      <c r="M379" s="146">
        <f>IF(K379="Matched","Low",IF(OR(IFERROR(ABS(H379),0)&gt;Mapping_Rules!$B$7,IFERROR(J379,0)&gt;Mapping_Rules!$B$8),"High","Medium"))</f>
        <v/>
      </c>
      <c r="N379" s="146">
        <f>IF(K379="Matched","No action needed",IF(L379="Missing from bank","Check bank date or posting",IF(L379="Amount variance","Check invoice/payment amount","Check timing difference")))</f>
        <v/>
      </c>
      <c r="O379" s="140" t="inlineStr">
        <is>
          <t>5300 Payroll</t>
        </is>
      </c>
      <c r="P379" s="140" t="inlineStr">
        <is>
          <t>Accounting Technician</t>
        </is>
      </c>
      <c r="Q379" s="140" t="inlineStr">
        <is>
          <t>No</t>
        </is>
      </c>
      <c r="R379" s="147" t="str"/>
      <c r="S379" s="148">
        <f>IF(K379="Matched",0,Mapping_Rules!$B$6-B379)</f>
        <v/>
      </c>
    </row>
    <row r="380">
      <c r="A380" s="115" t="inlineStr">
        <is>
          <t>ERP-00377</t>
        </is>
      </c>
      <c r="B380" s="125" t="n">
        <v>46034</v>
      </c>
      <c r="C380" s="115" t="inlineStr">
        <is>
          <t>GL</t>
        </is>
      </c>
      <c r="D380" s="115" t="inlineStr">
        <is>
          <t>Granville Medical</t>
        </is>
      </c>
      <c r="E380" s="115" t="inlineStr">
        <is>
          <t>REF-100377</t>
        </is>
      </c>
      <c r="F380" s="126" t="n">
        <v>-466</v>
      </c>
      <c r="G380" s="134">
        <f>IFERROR(XLOOKUP(E380,Bank_Statement!$D$4:$D$448,Bank_Statement!$G$4:$G$448,""),"")</f>
        <v/>
      </c>
      <c r="H380" s="126">
        <f>IF(G380="","",F380-G380)</f>
        <v/>
      </c>
      <c r="I380" s="135">
        <f>IFERROR(XLOOKUP(E380,Bank_Statement!$D$4:$D$448,Bank_Statement!$B$4:$B$448,""),"")</f>
        <v/>
      </c>
      <c r="J380" s="136">
        <f>IF(I380="","",ABS(B380-I380))</f>
        <v/>
      </c>
      <c r="K380" s="137">
        <f>IF(G380="","Unmatched ERP",IF(AND(ABS(H380)&lt;=Mapping_Rules!$B$4,ABS(J380)&lt;=Mapping_Rules!$B$5),"Matched","Review"))</f>
        <v/>
      </c>
      <c r="L380" s="137">
        <f>IF(K380="Matched","None",IF(G380="","Missing from bank",IF(ABS(H380)&gt;Mapping_Rules!$B$4,"Amount variance","Date variance")))</f>
        <v/>
      </c>
      <c r="M380" s="137">
        <f>IF(K380="Matched","Low",IF(OR(IFERROR(ABS(H380),0)&gt;Mapping_Rules!$B$7,IFERROR(J380,0)&gt;Mapping_Rules!$B$8),"High","Medium"))</f>
        <v/>
      </c>
      <c r="N380" s="137">
        <f>IF(K380="Matched","No action needed",IF(L380="Missing from bank","Check bank date or posting",IF(L380="Amount variance","Check invoice/payment amount","Check timing difference")))</f>
        <v/>
      </c>
      <c r="O380" s="115" t="inlineStr">
        <is>
          <t>1200 AR</t>
        </is>
      </c>
      <c r="P380" s="115" t="inlineStr">
        <is>
          <t>Accounting Technician</t>
        </is>
      </c>
      <c r="Q380" s="115" t="inlineStr">
        <is>
          <t>No</t>
        </is>
      </c>
      <c r="R380" s="138" t="str"/>
      <c r="S380" s="139">
        <f>IF(K380="Matched",0,Mapping_Rules!$B$6-B380)</f>
        <v/>
      </c>
    </row>
    <row r="381">
      <c r="A381" s="140" t="inlineStr">
        <is>
          <t>ERP-00378</t>
        </is>
      </c>
      <c r="B381" s="141" t="n">
        <v>46025</v>
      </c>
      <c r="C381" s="140" t="inlineStr">
        <is>
          <t>Payroll</t>
        </is>
      </c>
      <c r="D381" s="140" t="inlineStr">
        <is>
          <t>Payroll Batch</t>
        </is>
      </c>
      <c r="E381" s="140" t="inlineStr">
        <is>
          <t>REF-100378</t>
        </is>
      </c>
      <c r="F381" s="142" t="n">
        <v>-14525.66</v>
      </c>
      <c r="G381" s="143">
        <f>IFERROR(XLOOKUP(E381,Bank_Statement!$D$4:$D$448,Bank_Statement!$G$4:$G$448,""),"")</f>
        <v/>
      </c>
      <c r="H381" s="142">
        <f>IF(G381="","",F381-G381)</f>
        <v/>
      </c>
      <c r="I381" s="144">
        <f>IFERROR(XLOOKUP(E381,Bank_Statement!$D$4:$D$448,Bank_Statement!$B$4:$B$448,""),"")</f>
        <v/>
      </c>
      <c r="J381" s="145">
        <f>IF(I381="","",ABS(B381-I381))</f>
        <v/>
      </c>
      <c r="K381" s="146">
        <f>IF(G381="","Unmatched ERP",IF(AND(ABS(H381)&lt;=Mapping_Rules!$B$4,ABS(J381)&lt;=Mapping_Rules!$B$5),"Matched","Review"))</f>
        <v/>
      </c>
      <c r="L381" s="146">
        <f>IF(K381="Matched","None",IF(G381="","Missing from bank",IF(ABS(H381)&gt;Mapping_Rules!$B$4,"Amount variance","Date variance")))</f>
        <v/>
      </c>
      <c r="M381" s="146">
        <f>IF(K381="Matched","Low",IF(OR(IFERROR(ABS(H381),0)&gt;Mapping_Rules!$B$7,IFERROR(J381,0)&gt;Mapping_Rules!$B$8),"High","Medium"))</f>
        <v/>
      </c>
      <c r="N381" s="146">
        <f>IF(K381="Matched","No action needed",IF(L381="Missing from bank","Check bank date or posting",IF(L381="Amount variance","Check invoice/payment amount","Check timing difference")))</f>
        <v/>
      </c>
      <c r="O381" s="140" t="inlineStr">
        <is>
          <t>5300 Payroll</t>
        </is>
      </c>
      <c r="P381" s="140" t="inlineStr">
        <is>
          <t>Accounting Technician</t>
        </is>
      </c>
      <c r="Q381" s="140" t="inlineStr">
        <is>
          <t>No</t>
        </is>
      </c>
      <c r="R381" s="147" t="str"/>
      <c r="S381" s="148">
        <f>IF(K381="Matched",0,Mapping_Rules!$B$6-B381)</f>
        <v/>
      </c>
    </row>
    <row r="382">
      <c r="A382" s="115" t="inlineStr">
        <is>
          <t>ERP-00379</t>
        </is>
      </c>
      <c r="B382" s="125" t="n">
        <v>46036</v>
      </c>
      <c r="C382" s="115" t="inlineStr">
        <is>
          <t>Payroll</t>
        </is>
      </c>
      <c r="D382" s="115" t="inlineStr">
        <is>
          <t>Payroll Batch</t>
        </is>
      </c>
      <c r="E382" s="115" t="inlineStr">
        <is>
          <t>REF-100379</t>
        </is>
      </c>
      <c r="F382" s="126" t="n">
        <v>-8227.48</v>
      </c>
      <c r="G382" s="134">
        <f>IFERROR(XLOOKUP(E382,Bank_Statement!$D$4:$D$448,Bank_Statement!$G$4:$G$448,""),"")</f>
        <v/>
      </c>
      <c r="H382" s="126">
        <f>IF(G382="","",F382-G382)</f>
        <v/>
      </c>
      <c r="I382" s="135">
        <f>IFERROR(XLOOKUP(E382,Bank_Statement!$D$4:$D$448,Bank_Statement!$B$4:$B$448,""),"")</f>
        <v/>
      </c>
      <c r="J382" s="136">
        <f>IF(I382="","",ABS(B382-I382))</f>
        <v/>
      </c>
      <c r="K382" s="137">
        <f>IF(G382="","Unmatched ERP",IF(AND(ABS(H382)&lt;=Mapping_Rules!$B$4,ABS(J382)&lt;=Mapping_Rules!$B$5),"Matched","Review"))</f>
        <v/>
      </c>
      <c r="L382" s="137">
        <f>IF(K382="Matched","None",IF(G382="","Missing from bank",IF(ABS(H382)&gt;Mapping_Rules!$B$4,"Amount variance","Date variance")))</f>
        <v/>
      </c>
      <c r="M382" s="137">
        <f>IF(K382="Matched","Low",IF(OR(IFERROR(ABS(H382),0)&gt;Mapping_Rules!$B$7,IFERROR(J382,0)&gt;Mapping_Rules!$B$8),"High","Medium"))</f>
        <v/>
      </c>
      <c r="N382" s="137">
        <f>IF(K382="Matched","No action needed",IF(L382="Missing from bank","Check bank date or posting",IF(L382="Amount variance","Check invoice/payment amount","Check timing difference")))</f>
        <v/>
      </c>
      <c r="O382" s="115" t="inlineStr">
        <is>
          <t>5300 Payroll</t>
        </is>
      </c>
      <c r="P382" s="115" t="inlineStr">
        <is>
          <t>Accounting Technician</t>
        </is>
      </c>
      <c r="Q382" s="115" t="inlineStr">
        <is>
          <t>No</t>
        </is>
      </c>
      <c r="R382" s="138" t="str"/>
      <c r="S382" s="139">
        <f>IF(K382="Matched",0,Mapping_Rules!$B$6-B382)</f>
        <v/>
      </c>
    </row>
    <row r="383">
      <c r="A383" s="140" t="inlineStr">
        <is>
          <t>ERP-00380</t>
        </is>
      </c>
      <c r="B383" s="141" t="n">
        <v>46052</v>
      </c>
      <c r="C383" s="140" t="inlineStr">
        <is>
          <t>AP</t>
        </is>
      </c>
      <c r="D383" s="140" t="inlineStr">
        <is>
          <t>Metro Cleaning Ltd.</t>
        </is>
      </c>
      <c r="E383" s="140" t="inlineStr">
        <is>
          <t>REF-100380</t>
        </is>
      </c>
      <c r="F383" s="142" t="n">
        <v>-2809.59</v>
      </c>
      <c r="G383" s="143">
        <f>IFERROR(XLOOKUP(E383,Bank_Statement!$D$4:$D$448,Bank_Statement!$G$4:$G$448,""),"")</f>
        <v/>
      </c>
      <c r="H383" s="142">
        <f>IF(G383="","",F383-G383)</f>
        <v/>
      </c>
      <c r="I383" s="144">
        <f>IFERROR(XLOOKUP(E383,Bank_Statement!$D$4:$D$448,Bank_Statement!$B$4:$B$448,""),"")</f>
        <v/>
      </c>
      <c r="J383" s="145">
        <f>IF(I383="","",ABS(B383-I383))</f>
        <v/>
      </c>
      <c r="K383" s="146">
        <f>IF(G383="","Unmatched ERP",IF(AND(ABS(H383)&lt;=Mapping_Rules!$B$4,ABS(J383)&lt;=Mapping_Rules!$B$5),"Matched","Review"))</f>
        <v/>
      </c>
      <c r="L383" s="146">
        <f>IF(K383="Matched","None",IF(G383="","Missing from bank",IF(ABS(H383)&gt;Mapping_Rules!$B$4,"Amount variance","Date variance")))</f>
        <v/>
      </c>
      <c r="M383" s="146">
        <f>IF(K383="Matched","Low",IF(OR(IFERROR(ABS(H383),0)&gt;Mapping_Rules!$B$7,IFERROR(J383,0)&gt;Mapping_Rules!$B$8),"High","Medium"))</f>
        <v/>
      </c>
      <c r="N383" s="146">
        <f>IF(K383="Matched","No action needed",IF(L383="Missing from bank","Check bank date or posting",IF(L383="Amount variance","Check invoice/payment amount","Check timing difference")))</f>
        <v/>
      </c>
      <c r="O383" s="140" t="inlineStr">
        <is>
          <t>2000 AP</t>
        </is>
      </c>
      <c r="P383" s="140" t="inlineStr">
        <is>
          <t>AP Clerk</t>
        </is>
      </c>
      <c r="Q383" s="140" t="inlineStr">
        <is>
          <t>No</t>
        </is>
      </c>
      <c r="R383" s="147" t="str"/>
      <c r="S383" s="148">
        <f>IF(K383="Matched",0,Mapping_Rules!$B$6-B383)</f>
        <v/>
      </c>
    </row>
    <row r="384">
      <c r="A384" s="115" t="inlineStr">
        <is>
          <t>ERP-00381</t>
        </is>
      </c>
      <c r="B384" s="125" t="n">
        <v>46038</v>
      </c>
      <c r="C384" s="115" t="inlineStr">
        <is>
          <t>AR</t>
        </is>
      </c>
      <c r="D384" s="115" t="inlineStr">
        <is>
          <t>West Van Fitness</t>
        </is>
      </c>
      <c r="E384" s="115" t="inlineStr">
        <is>
          <t>REF-100381</t>
        </is>
      </c>
      <c r="F384" s="126" t="n">
        <v>4149.91</v>
      </c>
      <c r="G384" s="134">
        <f>IFERROR(XLOOKUP(E384,Bank_Statement!$D$4:$D$448,Bank_Statement!$G$4:$G$448,""),"")</f>
        <v/>
      </c>
      <c r="H384" s="126">
        <f>IF(G384="","",F384-G384)</f>
        <v/>
      </c>
      <c r="I384" s="135">
        <f>IFERROR(XLOOKUP(E384,Bank_Statement!$D$4:$D$448,Bank_Statement!$B$4:$B$448,""),"")</f>
        <v/>
      </c>
      <c r="J384" s="136">
        <f>IF(I384="","",ABS(B384-I384))</f>
        <v/>
      </c>
      <c r="K384" s="137">
        <f>IF(G384="","Unmatched ERP",IF(AND(ABS(H384)&lt;=Mapping_Rules!$B$4,ABS(J384)&lt;=Mapping_Rules!$B$5),"Matched","Review"))</f>
        <v/>
      </c>
      <c r="L384" s="137">
        <f>IF(K384="Matched","None",IF(G384="","Missing from bank",IF(ABS(H384)&gt;Mapping_Rules!$B$4,"Amount variance","Date variance")))</f>
        <v/>
      </c>
      <c r="M384" s="137">
        <f>IF(K384="Matched","Low",IF(OR(IFERROR(ABS(H384),0)&gt;Mapping_Rules!$B$7,IFERROR(J384,0)&gt;Mapping_Rules!$B$8),"High","Medium"))</f>
        <v/>
      </c>
      <c r="N384" s="137">
        <f>IF(K384="Matched","No action needed",IF(L384="Missing from bank","Check bank date or posting",IF(L384="Amount variance","Check invoice/payment amount","Check timing difference")))</f>
        <v/>
      </c>
      <c r="O384" s="115" t="inlineStr">
        <is>
          <t>1200 AR</t>
        </is>
      </c>
      <c r="P384" s="115" t="inlineStr">
        <is>
          <t>AR Clerk</t>
        </is>
      </c>
      <c r="Q384" s="115" t="inlineStr">
        <is>
          <t>No</t>
        </is>
      </c>
      <c r="R384" s="138" t="str"/>
      <c r="S384" s="139">
        <f>IF(K384="Matched",0,Mapping_Rules!$B$6-B384)</f>
        <v/>
      </c>
    </row>
    <row r="385">
      <c r="A385" s="140" t="inlineStr">
        <is>
          <t>ERP-00382</t>
        </is>
      </c>
      <c r="B385" s="141" t="n">
        <v>46051</v>
      </c>
      <c r="C385" s="140" t="inlineStr">
        <is>
          <t>GL</t>
        </is>
      </c>
      <c r="D385" s="140" t="inlineStr">
        <is>
          <t>BC Hydro</t>
        </is>
      </c>
      <c r="E385" s="140" t="inlineStr">
        <is>
          <t>REF-100382</t>
        </is>
      </c>
      <c r="F385" s="142" t="n">
        <v>-3172.23</v>
      </c>
      <c r="G385" s="143">
        <f>IFERROR(XLOOKUP(E385,Bank_Statement!$D$4:$D$448,Bank_Statement!$G$4:$G$448,""),"")</f>
        <v/>
      </c>
      <c r="H385" s="142">
        <f>IF(G385="","",F385-G385)</f>
        <v/>
      </c>
      <c r="I385" s="144">
        <f>IFERROR(XLOOKUP(E385,Bank_Statement!$D$4:$D$448,Bank_Statement!$B$4:$B$448,""),"")</f>
        <v/>
      </c>
      <c r="J385" s="145">
        <f>IF(I385="","",ABS(B385-I385))</f>
        <v/>
      </c>
      <c r="K385" s="146">
        <f>IF(G385="","Unmatched ERP",IF(AND(ABS(H385)&lt;=Mapping_Rules!$B$4,ABS(J385)&lt;=Mapping_Rules!$B$5),"Matched","Review"))</f>
        <v/>
      </c>
      <c r="L385" s="146">
        <f>IF(K385="Matched","None",IF(G385="","Missing from bank",IF(ABS(H385)&gt;Mapping_Rules!$B$4,"Amount variance","Date variance")))</f>
        <v/>
      </c>
      <c r="M385" s="146">
        <f>IF(K385="Matched","Low",IF(OR(IFERROR(ABS(H385),0)&gt;Mapping_Rules!$B$7,IFERROR(J385,0)&gt;Mapping_Rules!$B$8),"High","Medium"))</f>
        <v/>
      </c>
      <c r="N385" s="146">
        <f>IF(K385="Matched","No action needed",IF(L385="Missing from bank","Check bank date or posting",IF(L385="Amount variance","Check invoice/payment amount","Check timing difference")))</f>
        <v/>
      </c>
      <c r="O385" s="140" t="inlineStr">
        <is>
          <t>1010 Cash</t>
        </is>
      </c>
      <c r="P385" s="140" t="inlineStr">
        <is>
          <t>Accounting Technician</t>
        </is>
      </c>
      <c r="Q385" s="140" t="inlineStr">
        <is>
          <t>No</t>
        </is>
      </c>
      <c r="R385" s="147" t="str"/>
      <c r="S385" s="148">
        <f>IF(K385="Matched",0,Mapping_Rules!$B$6-B385)</f>
        <v/>
      </c>
    </row>
    <row r="386">
      <c r="A386" s="115" t="inlineStr">
        <is>
          <t>ERP-00383</t>
        </is>
      </c>
      <c r="B386" s="125" t="n">
        <v>46041</v>
      </c>
      <c r="C386" s="115" t="inlineStr">
        <is>
          <t>AR</t>
        </is>
      </c>
      <c r="D386" s="115" t="inlineStr">
        <is>
          <t>Granville Medical</t>
        </is>
      </c>
      <c r="E386" s="115" t="inlineStr">
        <is>
          <t>REF-100383</t>
        </is>
      </c>
      <c r="F386" s="126" t="n">
        <v>2408.14</v>
      </c>
      <c r="G386" s="134">
        <f>IFERROR(XLOOKUP(E386,Bank_Statement!$D$4:$D$448,Bank_Statement!$G$4:$G$448,""),"")</f>
        <v/>
      </c>
      <c r="H386" s="126">
        <f>IF(G386="","",F386-G386)</f>
        <v/>
      </c>
      <c r="I386" s="135">
        <f>IFERROR(XLOOKUP(E386,Bank_Statement!$D$4:$D$448,Bank_Statement!$B$4:$B$448,""),"")</f>
        <v/>
      </c>
      <c r="J386" s="136">
        <f>IF(I386="","",ABS(B386-I386))</f>
        <v/>
      </c>
      <c r="K386" s="137">
        <f>IF(G386="","Unmatched ERP",IF(AND(ABS(H386)&lt;=Mapping_Rules!$B$4,ABS(J386)&lt;=Mapping_Rules!$B$5),"Matched","Review"))</f>
        <v/>
      </c>
      <c r="L386" s="137">
        <f>IF(K386="Matched","None",IF(G386="","Missing from bank",IF(ABS(H386)&gt;Mapping_Rules!$B$4,"Amount variance","Date variance")))</f>
        <v/>
      </c>
      <c r="M386" s="137">
        <f>IF(K386="Matched","Low",IF(OR(IFERROR(ABS(H386),0)&gt;Mapping_Rules!$B$7,IFERROR(J386,0)&gt;Mapping_Rules!$B$8),"High","Medium"))</f>
        <v/>
      </c>
      <c r="N386" s="137">
        <f>IF(K386="Matched","No action needed",IF(L386="Missing from bank","Check bank date or posting",IF(L386="Amount variance","Check invoice/payment amount","Check timing difference")))</f>
        <v/>
      </c>
      <c r="O386" s="115" t="inlineStr">
        <is>
          <t>1200 AR</t>
        </is>
      </c>
      <c r="P386" s="115" t="inlineStr">
        <is>
          <t>AR Clerk</t>
        </is>
      </c>
      <c r="Q386" s="115" t="inlineStr">
        <is>
          <t>No</t>
        </is>
      </c>
      <c r="R386" s="138" t="str"/>
      <c r="S386" s="139">
        <f>IF(K386="Matched",0,Mapping_Rules!$B$6-B386)</f>
        <v/>
      </c>
    </row>
    <row r="387">
      <c r="A387" s="140" t="inlineStr">
        <is>
          <t>ERP-00384</t>
        </is>
      </c>
      <c r="B387" s="141" t="n">
        <v>46047</v>
      </c>
      <c r="C387" s="140" t="inlineStr">
        <is>
          <t>AP</t>
        </is>
      </c>
      <c r="D387" s="140" t="inlineStr">
        <is>
          <t>Vancouver Courier</t>
        </is>
      </c>
      <c r="E387" s="140" t="inlineStr">
        <is>
          <t>REF-100384</t>
        </is>
      </c>
      <c r="F387" s="142" t="n">
        <v>-6148.17</v>
      </c>
      <c r="G387" s="143">
        <f>IFERROR(XLOOKUP(E387,Bank_Statement!$D$4:$D$448,Bank_Statement!$G$4:$G$448,""),"")</f>
        <v/>
      </c>
      <c r="H387" s="142">
        <f>IF(G387="","",F387-G387)</f>
        <v/>
      </c>
      <c r="I387" s="144">
        <f>IFERROR(XLOOKUP(E387,Bank_Statement!$D$4:$D$448,Bank_Statement!$B$4:$B$448,""),"")</f>
        <v/>
      </c>
      <c r="J387" s="145">
        <f>IF(I387="","",ABS(B387-I387))</f>
        <v/>
      </c>
      <c r="K387" s="146">
        <f>IF(G387="","Unmatched ERP",IF(AND(ABS(H387)&lt;=Mapping_Rules!$B$4,ABS(J387)&lt;=Mapping_Rules!$B$5),"Matched","Review"))</f>
        <v/>
      </c>
      <c r="L387" s="146">
        <f>IF(K387="Matched","None",IF(G387="","Missing from bank",IF(ABS(H387)&gt;Mapping_Rules!$B$4,"Amount variance","Date variance")))</f>
        <v/>
      </c>
      <c r="M387" s="146">
        <f>IF(K387="Matched","Low",IF(OR(IFERROR(ABS(H387),0)&gt;Mapping_Rules!$B$7,IFERROR(J387,0)&gt;Mapping_Rules!$B$8),"High","Medium"))</f>
        <v/>
      </c>
      <c r="N387" s="146">
        <f>IF(K387="Matched","No action needed",IF(L387="Missing from bank","Check bank date or posting",IF(L387="Amount variance","Check invoice/payment amount","Check timing difference")))</f>
        <v/>
      </c>
      <c r="O387" s="140" t="inlineStr">
        <is>
          <t>2000 AP</t>
        </is>
      </c>
      <c r="P387" s="140" t="inlineStr">
        <is>
          <t>AP Clerk</t>
        </is>
      </c>
      <c r="Q387" s="140" t="inlineStr">
        <is>
          <t>No</t>
        </is>
      </c>
      <c r="R387" s="147" t="str"/>
      <c r="S387" s="148">
        <f>IF(K387="Matched",0,Mapping_Rules!$B$6-B387)</f>
        <v/>
      </c>
    </row>
    <row r="388">
      <c r="A388" s="115" t="inlineStr">
        <is>
          <t>ERP-00385</t>
        </is>
      </c>
      <c r="B388" s="125" t="n">
        <v>46026</v>
      </c>
      <c r="C388" s="115" t="inlineStr">
        <is>
          <t>AP</t>
        </is>
      </c>
      <c r="D388" s="115" t="inlineStr">
        <is>
          <t>North Shore Telecom</t>
        </is>
      </c>
      <c r="E388" s="115" t="inlineStr">
        <is>
          <t>REF-100385</t>
        </is>
      </c>
      <c r="F388" s="126" t="n">
        <v>-1711.15</v>
      </c>
      <c r="G388" s="134">
        <f>IFERROR(XLOOKUP(E388,Bank_Statement!$D$4:$D$448,Bank_Statement!$G$4:$G$448,""),"")</f>
        <v/>
      </c>
      <c r="H388" s="126">
        <f>IF(G388="","",F388-G388)</f>
        <v/>
      </c>
      <c r="I388" s="135">
        <f>IFERROR(XLOOKUP(E388,Bank_Statement!$D$4:$D$448,Bank_Statement!$B$4:$B$448,""),"")</f>
        <v/>
      </c>
      <c r="J388" s="136">
        <f>IF(I388="","",ABS(B388-I388))</f>
        <v/>
      </c>
      <c r="K388" s="137">
        <f>IF(G388="","Unmatched ERP",IF(AND(ABS(H388)&lt;=Mapping_Rules!$B$4,ABS(J388)&lt;=Mapping_Rules!$B$5),"Matched","Review"))</f>
        <v/>
      </c>
      <c r="L388" s="137">
        <f>IF(K388="Matched","None",IF(G388="","Missing from bank",IF(ABS(H388)&gt;Mapping_Rules!$B$4,"Amount variance","Date variance")))</f>
        <v/>
      </c>
      <c r="M388" s="137">
        <f>IF(K388="Matched","Low",IF(OR(IFERROR(ABS(H388),0)&gt;Mapping_Rules!$B$7,IFERROR(J388,0)&gt;Mapping_Rules!$B$8),"High","Medium"))</f>
        <v/>
      </c>
      <c r="N388" s="137">
        <f>IF(K388="Matched","No action needed",IF(L388="Missing from bank","Check bank date or posting",IF(L388="Amount variance","Check invoice/payment amount","Check timing difference")))</f>
        <v/>
      </c>
      <c r="O388" s="115" t="inlineStr">
        <is>
          <t>2000 AP</t>
        </is>
      </c>
      <c r="P388" s="115" t="inlineStr">
        <is>
          <t>AP Clerk</t>
        </is>
      </c>
      <c r="Q388" s="115" t="inlineStr">
        <is>
          <t>No</t>
        </is>
      </c>
      <c r="R388" s="138" t="str"/>
      <c r="S388" s="139">
        <f>IF(K388="Matched",0,Mapping_Rules!$B$6-B388)</f>
        <v/>
      </c>
    </row>
    <row r="389">
      <c r="A389" s="140" t="inlineStr">
        <is>
          <t>ERP-00386</t>
        </is>
      </c>
      <c r="B389" s="141" t="n">
        <v>46049</v>
      </c>
      <c r="C389" s="140" t="inlineStr">
        <is>
          <t>Bank Fees</t>
        </is>
      </c>
      <c r="D389" s="140" t="inlineStr">
        <is>
          <t>Bank</t>
        </is>
      </c>
      <c r="E389" s="140" t="inlineStr">
        <is>
          <t>REF-100386</t>
        </is>
      </c>
      <c r="F389" s="142" t="n">
        <v>-24.98</v>
      </c>
      <c r="G389" s="143">
        <f>IFERROR(XLOOKUP(E389,Bank_Statement!$D$4:$D$448,Bank_Statement!$G$4:$G$448,""),"")</f>
        <v/>
      </c>
      <c r="H389" s="142">
        <f>IF(G389="","",F389-G389)</f>
        <v/>
      </c>
      <c r="I389" s="144">
        <f>IFERROR(XLOOKUP(E389,Bank_Statement!$D$4:$D$448,Bank_Statement!$B$4:$B$448,""),"")</f>
        <v/>
      </c>
      <c r="J389" s="145">
        <f>IF(I389="","",ABS(B389-I389))</f>
        <v/>
      </c>
      <c r="K389" s="146">
        <f>IF(G389="","Unmatched ERP",IF(AND(ABS(H389)&lt;=Mapping_Rules!$B$4,ABS(J389)&lt;=Mapping_Rules!$B$5),"Matched","Review"))</f>
        <v/>
      </c>
      <c r="L389" s="146">
        <f>IF(K389="Matched","None",IF(G389="","Missing from bank",IF(ABS(H389)&gt;Mapping_Rules!$B$4,"Amount variance","Date variance")))</f>
        <v/>
      </c>
      <c r="M389" s="146">
        <f>IF(K389="Matched","Low",IF(OR(IFERROR(ABS(H389),0)&gt;Mapping_Rules!$B$7,IFERROR(J389,0)&gt;Mapping_Rules!$B$8),"High","Medium"))</f>
        <v/>
      </c>
      <c r="N389" s="146">
        <f>IF(K389="Matched","No action needed",IF(L389="Missing from bank","Check bank date or posting",IF(L389="Amount variance","Check invoice/payment amount","Check timing difference")))</f>
        <v/>
      </c>
      <c r="O389" s="140" t="inlineStr">
        <is>
          <t>6100 Bank Fees</t>
        </is>
      </c>
      <c r="P389" s="140" t="inlineStr">
        <is>
          <t>Accounting Technician</t>
        </is>
      </c>
      <c r="Q389" s="140" t="inlineStr">
        <is>
          <t>No</t>
        </is>
      </c>
      <c r="R389" s="147" t="str"/>
      <c r="S389" s="148">
        <f>IF(K389="Matched",0,Mapping_Rules!$B$6-B389)</f>
        <v/>
      </c>
    </row>
    <row r="390">
      <c r="A390" s="115" t="inlineStr">
        <is>
          <t>ERP-00387</t>
        </is>
      </c>
      <c r="B390" s="125" t="n">
        <v>46023</v>
      </c>
      <c r="C390" s="115" t="inlineStr">
        <is>
          <t>GL</t>
        </is>
      </c>
      <c r="D390" s="115" t="inlineStr">
        <is>
          <t>Staples Canada</t>
        </is>
      </c>
      <c r="E390" s="115" t="inlineStr">
        <is>
          <t>REF-100387</t>
        </is>
      </c>
      <c r="F390" s="126" t="n">
        <v>-4740.42</v>
      </c>
      <c r="G390" s="134">
        <f>IFERROR(XLOOKUP(E390,Bank_Statement!$D$4:$D$448,Bank_Statement!$G$4:$G$448,""),"")</f>
        <v/>
      </c>
      <c r="H390" s="126">
        <f>IF(G390="","",F390-G390)</f>
        <v/>
      </c>
      <c r="I390" s="135">
        <f>IFERROR(XLOOKUP(E390,Bank_Statement!$D$4:$D$448,Bank_Statement!$B$4:$B$448,""),"")</f>
        <v/>
      </c>
      <c r="J390" s="136">
        <f>IF(I390="","",ABS(B390-I390))</f>
        <v/>
      </c>
      <c r="K390" s="137">
        <f>IF(G390="","Unmatched ERP",IF(AND(ABS(H390)&lt;=Mapping_Rules!$B$4,ABS(J390)&lt;=Mapping_Rules!$B$5),"Matched","Review"))</f>
        <v/>
      </c>
      <c r="L390" s="137">
        <f>IF(K390="Matched","None",IF(G390="","Missing from bank",IF(ABS(H390)&gt;Mapping_Rules!$B$4,"Amount variance","Date variance")))</f>
        <v/>
      </c>
      <c r="M390" s="137">
        <f>IF(K390="Matched","Low",IF(OR(IFERROR(ABS(H390),0)&gt;Mapping_Rules!$B$7,IFERROR(J390,0)&gt;Mapping_Rules!$B$8),"High","Medium"))</f>
        <v/>
      </c>
      <c r="N390" s="137">
        <f>IF(K390="Matched","No action needed",IF(L390="Missing from bank","Check bank date or posting",IF(L390="Amount variance","Check invoice/payment amount","Check timing difference")))</f>
        <v/>
      </c>
      <c r="O390" s="115" t="inlineStr">
        <is>
          <t>5000 Office Expense</t>
        </is>
      </c>
      <c r="P390" s="115" t="inlineStr">
        <is>
          <t>Accounting Technician</t>
        </is>
      </c>
      <c r="Q390" s="115" t="inlineStr">
        <is>
          <t>No</t>
        </is>
      </c>
      <c r="R390" s="138" t="str"/>
      <c r="S390" s="139">
        <f>IF(K390="Matched",0,Mapping_Rules!$B$6-B390)</f>
        <v/>
      </c>
    </row>
    <row r="391">
      <c r="A391" s="140" t="inlineStr">
        <is>
          <t>ERP-00388</t>
        </is>
      </c>
      <c r="B391" s="141" t="n">
        <v>46030</v>
      </c>
      <c r="C391" s="140" t="inlineStr">
        <is>
          <t>AR</t>
        </is>
      </c>
      <c r="D391" s="140" t="inlineStr">
        <is>
          <t>Maple Retail Group</t>
        </is>
      </c>
      <c r="E391" s="140" t="inlineStr">
        <is>
          <t>REF-100388</t>
        </is>
      </c>
      <c r="F391" s="142" t="n">
        <v>4545.85</v>
      </c>
      <c r="G391" s="143">
        <f>IFERROR(XLOOKUP(E391,Bank_Statement!$D$4:$D$448,Bank_Statement!$G$4:$G$448,""),"")</f>
        <v/>
      </c>
      <c r="H391" s="142">
        <f>IF(G391="","",F391-G391)</f>
        <v/>
      </c>
      <c r="I391" s="144">
        <f>IFERROR(XLOOKUP(E391,Bank_Statement!$D$4:$D$448,Bank_Statement!$B$4:$B$448,""),"")</f>
        <v/>
      </c>
      <c r="J391" s="145">
        <f>IF(I391="","",ABS(B391-I391))</f>
        <v/>
      </c>
      <c r="K391" s="146">
        <f>IF(G391="","Unmatched ERP",IF(AND(ABS(H391)&lt;=Mapping_Rules!$B$4,ABS(J391)&lt;=Mapping_Rules!$B$5),"Matched","Review"))</f>
        <v/>
      </c>
      <c r="L391" s="146">
        <f>IF(K391="Matched","None",IF(G391="","Missing from bank",IF(ABS(H391)&gt;Mapping_Rules!$B$4,"Amount variance","Date variance")))</f>
        <v/>
      </c>
      <c r="M391" s="146">
        <f>IF(K391="Matched","Low",IF(OR(IFERROR(ABS(H391),0)&gt;Mapping_Rules!$B$7,IFERROR(J391,0)&gt;Mapping_Rules!$B$8),"High","Medium"))</f>
        <v/>
      </c>
      <c r="N391" s="146">
        <f>IF(K391="Matched","No action needed",IF(L391="Missing from bank","Check bank date or posting",IF(L391="Amount variance","Check invoice/payment amount","Check timing difference")))</f>
        <v/>
      </c>
      <c r="O391" s="140" t="inlineStr">
        <is>
          <t>1200 AR</t>
        </is>
      </c>
      <c r="P391" s="140" t="inlineStr">
        <is>
          <t>AR Clerk</t>
        </is>
      </c>
      <c r="Q391" s="140" t="inlineStr">
        <is>
          <t>No</t>
        </is>
      </c>
      <c r="R391" s="147" t="str"/>
      <c r="S391" s="148">
        <f>IF(K391="Matched",0,Mapping_Rules!$B$6-B391)</f>
        <v/>
      </c>
    </row>
    <row r="392">
      <c r="A392" s="115" t="inlineStr">
        <is>
          <t>ERP-00389</t>
        </is>
      </c>
      <c r="B392" s="125" t="n">
        <v>46029</v>
      </c>
      <c r="C392" s="115" t="inlineStr">
        <is>
          <t>Payroll</t>
        </is>
      </c>
      <c r="D392" s="115" t="inlineStr">
        <is>
          <t>Payroll Batch</t>
        </is>
      </c>
      <c r="E392" s="115" t="inlineStr">
        <is>
          <t>REF-100389</t>
        </is>
      </c>
      <c r="F392" s="126" t="n">
        <v>-7441.01</v>
      </c>
      <c r="G392" s="134">
        <f>IFERROR(XLOOKUP(E392,Bank_Statement!$D$4:$D$448,Bank_Statement!$G$4:$G$448,""),"")</f>
        <v/>
      </c>
      <c r="H392" s="126">
        <f>IF(G392="","",F392-G392)</f>
        <v/>
      </c>
      <c r="I392" s="135">
        <f>IFERROR(XLOOKUP(E392,Bank_Statement!$D$4:$D$448,Bank_Statement!$B$4:$B$448,""),"")</f>
        <v/>
      </c>
      <c r="J392" s="136">
        <f>IF(I392="","",ABS(B392-I392))</f>
        <v/>
      </c>
      <c r="K392" s="137">
        <f>IF(G392="","Unmatched ERP",IF(AND(ABS(H392)&lt;=Mapping_Rules!$B$4,ABS(J392)&lt;=Mapping_Rules!$B$5),"Matched","Review"))</f>
        <v/>
      </c>
      <c r="L392" s="137">
        <f>IF(K392="Matched","None",IF(G392="","Missing from bank",IF(ABS(H392)&gt;Mapping_Rules!$B$4,"Amount variance","Date variance")))</f>
        <v/>
      </c>
      <c r="M392" s="137">
        <f>IF(K392="Matched","Low",IF(OR(IFERROR(ABS(H392),0)&gt;Mapping_Rules!$B$7,IFERROR(J392,0)&gt;Mapping_Rules!$B$8),"High","Medium"))</f>
        <v/>
      </c>
      <c r="N392" s="137">
        <f>IF(K392="Matched","No action needed",IF(L392="Missing from bank","Check bank date or posting",IF(L392="Amount variance","Check invoice/payment amount","Check timing difference")))</f>
        <v/>
      </c>
      <c r="O392" s="115" t="inlineStr">
        <is>
          <t>5300 Payroll</t>
        </is>
      </c>
      <c r="P392" s="115" t="inlineStr">
        <is>
          <t>Accounting Technician</t>
        </is>
      </c>
      <c r="Q392" s="115" t="inlineStr">
        <is>
          <t>No</t>
        </is>
      </c>
      <c r="R392" s="138" t="str"/>
      <c r="S392" s="139">
        <f>IF(K392="Matched",0,Mapping_Rules!$B$6-B392)</f>
        <v/>
      </c>
    </row>
    <row r="393">
      <c r="A393" s="140" t="inlineStr">
        <is>
          <t>ERP-00390</t>
        </is>
      </c>
      <c r="B393" s="141" t="n">
        <v>46052</v>
      </c>
      <c r="C393" s="140" t="inlineStr">
        <is>
          <t>AP</t>
        </is>
      </c>
      <c r="D393" s="140" t="inlineStr">
        <is>
          <t>Pacific Office Supplies</t>
        </is>
      </c>
      <c r="E393" s="140" t="inlineStr">
        <is>
          <t>REF-100390</t>
        </is>
      </c>
      <c r="F393" s="142" t="n">
        <v>-5260.46</v>
      </c>
      <c r="G393" s="143">
        <f>IFERROR(XLOOKUP(E393,Bank_Statement!$D$4:$D$448,Bank_Statement!$G$4:$G$448,""),"")</f>
        <v/>
      </c>
      <c r="H393" s="142">
        <f>IF(G393="","",F393-G393)</f>
        <v/>
      </c>
      <c r="I393" s="144">
        <f>IFERROR(XLOOKUP(E393,Bank_Statement!$D$4:$D$448,Bank_Statement!$B$4:$B$448,""),"")</f>
        <v/>
      </c>
      <c r="J393" s="145">
        <f>IF(I393="","",ABS(B393-I393))</f>
        <v/>
      </c>
      <c r="K393" s="146">
        <f>IF(G393="","Unmatched ERP",IF(AND(ABS(H393)&lt;=Mapping_Rules!$B$4,ABS(J393)&lt;=Mapping_Rules!$B$5),"Matched","Review"))</f>
        <v/>
      </c>
      <c r="L393" s="146">
        <f>IF(K393="Matched","None",IF(G393="","Missing from bank",IF(ABS(H393)&gt;Mapping_Rules!$B$4,"Amount variance","Date variance")))</f>
        <v/>
      </c>
      <c r="M393" s="146">
        <f>IF(K393="Matched","Low",IF(OR(IFERROR(ABS(H393),0)&gt;Mapping_Rules!$B$7,IFERROR(J393,0)&gt;Mapping_Rules!$B$8),"High","Medium"))</f>
        <v/>
      </c>
      <c r="N393" s="146">
        <f>IF(K393="Matched","No action needed",IF(L393="Missing from bank","Check bank date or posting",IF(L393="Amount variance","Check invoice/payment amount","Check timing difference")))</f>
        <v/>
      </c>
      <c r="O393" s="140" t="inlineStr">
        <is>
          <t>2000 AP</t>
        </is>
      </c>
      <c r="P393" s="140" t="inlineStr">
        <is>
          <t>AP Clerk</t>
        </is>
      </c>
      <c r="Q393" s="140" t="inlineStr">
        <is>
          <t>No</t>
        </is>
      </c>
      <c r="R393" s="147" t="str"/>
      <c r="S393" s="148">
        <f>IF(K393="Matched",0,Mapping_Rules!$B$6-B393)</f>
        <v/>
      </c>
    </row>
    <row r="394">
      <c r="A394" s="115" t="inlineStr">
        <is>
          <t>ERP-00391</t>
        </is>
      </c>
      <c r="B394" s="125" t="n">
        <v>46033</v>
      </c>
      <c r="C394" s="115" t="inlineStr">
        <is>
          <t>AP</t>
        </is>
      </c>
      <c r="D394" s="115" t="inlineStr">
        <is>
          <t>North Shore Telecom</t>
        </is>
      </c>
      <c r="E394" s="115" t="inlineStr">
        <is>
          <t>REF-100391</t>
        </is>
      </c>
      <c r="F394" s="126" t="n">
        <v>-6052.27</v>
      </c>
      <c r="G394" s="134">
        <f>IFERROR(XLOOKUP(E394,Bank_Statement!$D$4:$D$448,Bank_Statement!$G$4:$G$448,""),"")</f>
        <v/>
      </c>
      <c r="H394" s="126">
        <f>IF(G394="","",F394-G394)</f>
        <v/>
      </c>
      <c r="I394" s="135">
        <f>IFERROR(XLOOKUP(E394,Bank_Statement!$D$4:$D$448,Bank_Statement!$B$4:$B$448,""),"")</f>
        <v/>
      </c>
      <c r="J394" s="136">
        <f>IF(I394="","",ABS(B394-I394))</f>
        <v/>
      </c>
      <c r="K394" s="137">
        <f>IF(G394="","Unmatched ERP",IF(AND(ABS(H394)&lt;=Mapping_Rules!$B$4,ABS(J394)&lt;=Mapping_Rules!$B$5),"Matched","Review"))</f>
        <v/>
      </c>
      <c r="L394" s="137">
        <f>IF(K394="Matched","None",IF(G394="","Missing from bank",IF(ABS(H394)&gt;Mapping_Rules!$B$4,"Amount variance","Date variance")))</f>
        <v/>
      </c>
      <c r="M394" s="137">
        <f>IF(K394="Matched","Low",IF(OR(IFERROR(ABS(H394),0)&gt;Mapping_Rules!$B$7,IFERROR(J394,0)&gt;Mapping_Rules!$B$8),"High","Medium"))</f>
        <v/>
      </c>
      <c r="N394" s="137">
        <f>IF(K394="Matched","No action needed",IF(L394="Missing from bank","Check bank date or posting",IF(L394="Amount variance","Check invoice/payment amount","Check timing difference")))</f>
        <v/>
      </c>
      <c r="O394" s="115" t="inlineStr">
        <is>
          <t>2000 AP</t>
        </is>
      </c>
      <c r="P394" s="115" t="inlineStr">
        <is>
          <t>AP Clerk</t>
        </is>
      </c>
      <c r="Q394" s="115" t="inlineStr">
        <is>
          <t>No</t>
        </is>
      </c>
      <c r="R394" s="138" t="str"/>
      <c r="S394" s="139">
        <f>IF(K394="Matched",0,Mapping_Rules!$B$6-B394)</f>
        <v/>
      </c>
    </row>
    <row r="395">
      <c r="A395" s="140" t="inlineStr">
        <is>
          <t>ERP-00392</t>
        </is>
      </c>
      <c r="B395" s="141" t="n">
        <v>46040</v>
      </c>
      <c r="C395" s="140" t="inlineStr">
        <is>
          <t>GL</t>
        </is>
      </c>
      <c r="D395" s="140" t="inlineStr">
        <is>
          <t>Raincity Tech</t>
        </is>
      </c>
      <c r="E395" s="140" t="inlineStr">
        <is>
          <t>REF-100392</t>
        </is>
      </c>
      <c r="F395" s="142" t="n">
        <v>3945.61</v>
      </c>
      <c r="G395" s="143">
        <f>IFERROR(XLOOKUP(E395,Bank_Statement!$D$4:$D$448,Bank_Statement!$G$4:$G$448,""),"")</f>
        <v/>
      </c>
      <c r="H395" s="142">
        <f>IF(G395="","",F395-G395)</f>
        <v/>
      </c>
      <c r="I395" s="144">
        <f>IFERROR(XLOOKUP(E395,Bank_Statement!$D$4:$D$448,Bank_Statement!$B$4:$B$448,""),"")</f>
        <v/>
      </c>
      <c r="J395" s="145">
        <f>IF(I395="","",ABS(B395-I395))</f>
        <v/>
      </c>
      <c r="K395" s="146">
        <f>IF(G395="","Unmatched ERP",IF(AND(ABS(H395)&lt;=Mapping_Rules!$B$4,ABS(J395)&lt;=Mapping_Rules!$B$5),"Matched","Review"))</f>
        <v/>
      </c>
      <c r="L395" s="146">
        <f>IF(K395="Matched","None",IF(G395="","Missing from bank",IF(ABS(H395)&gt;Mapping_Rules!$B$4,"Amount variance","Date variance")))</f>
        <v/>
      </c>
      <c r="M395" s="146">
        <f>IF(K395="Matched","Low",IF(OR(IFERROR(ABS(H395),0)&gt;Mapping_Rules!$B$7,IFERROR(J395,0)&gt;Mapping_Rules!$B$8),"High","Medium"))</f>
        <v/>
      </c>
      <c r="N395" s="146">
        <f>IF(K395="Matched","No action needed",IF(L395="Missing from bank","Check bank date or posting",IF(L395="Amount variance","Check invoice/payment amount","Check timing difference")))</f>
        <v/>
      </c>
      <c r="O395" s="140" t="inlineStr">
        <is>
          <t>2000 AP</t>
        </is>
      </c>
      <c r="P395" s="140" t="inlineStr">
        <is>
          <t>Accounting Technician</t>
        </is>
      </c>
      <c r="Q395" s="140" t="inlineStr">
        <is>
          <t>No</t>
        </is>
      </c>
      <c r="R395" s="147" t="str"/>
      <c r="S395" s="148">
        <f>IF(K395="Matched",0,Mapping_Rules!$B$6-B395)</f>
        <v/>
      </c>
    </row>
    <row r="396">
      <c r="A396" s="115" t="inlineStr">
        <is>
          <t>ERP-00393</t>
        </is>
      </c>
      <c r="B396" s="125" t="n">
        <v>46046</v>
      </c>
      <c r="C396" s="115" t="inlineStr">
        <is>
          <t>AP</t>
        </is>
      </c>
      <c r="D396" s="115" t="inlineStr">
        <is>
          <t>Staples Canada</t>
        </is>
      </c>
      <c r="E396" s="115" t="inlineStr">
        <is>
          <t>REF-100393</t>
        </is>
      </c>
      <c r="F396" s="126" t="n">
        <v>-5886.03</v>
      </c>
      <c r="G396" s="134">
        <f>IFERROR(XLOOKUP(E396,Bank_Statement!$D$4:$D$448,Bank_Statement!$G$4:$G$448,""),"")</f>
        <v/>
      </c>
      <c r="H396" s="126">
        <f>IF(G396="","",F396-G396)</f>
        <v/>
      </c>
      <c r="I396" s="135">
        <f>IFERROR(XLOOKUP(E396,Bank_Statement!$D$4:$D$448,Bank_Statement!$B$4:$B$448,""),"")</f>
        <v/>
      </c>
      <c r="J396" s="136">
        <f>IF(I396="","",ABS(B396-I396))</f>
        <v/>
      </c>
      <c r="K396" s="137">
        <f>IF(G396="","Unmatched ERP",IF(AND(ABS(H396)&lt;=Mapping_Rules!$B$4,ABS(J396)&lt;=Mapping_Rules!$B$5),"Matched","Review"))</f>
        <v/>
      </c>
      <c r="L396" s="137">
        <f>IF(K396="Matched","None",IF(G396="","Missing from bank",IF(ABS(H396)&gt;Mapping_Rules!$B$4,"Amount variance","Date variance")))</f>
        <v/>
      </c>
      <c r="M396" s="137">
        <f>IF(K396="Matched","Low",IF(OR(IFERROR(ABS(H396),0)&gt;Mapping_Rules!$B$7,IFERROR(J396,0)&gt;Mapping_Rules!$B$8),"High","Medium"))</f>
        <v/>
      </c>
      <c r="N396" s="137">
        <f>IF(K396="Matched","No action needed",IF(L396="Missing from bank","Check bank date or posting",IF(L396="Amount variance","Check invoice/payment amount","Check timing difference")))</f>
        <v/>
      </c>
      <c r="O396" s="115" t="inlineStr">
        <is>
          <t>2000 AP</t>
        </is>
      </c>
      <c r="P396" s="115" t="inlineStr">
        <is>
          <t>AP Clerk</t>
        </is>
      </c>
      <c r="Q396" s="115" t="inlineStr">
        <is>
          <t>No</t>
        </is>
      </c>
      <c r="R396" s="138" t="str"/>
      <c r="S396" s="139">
        <f>IF(K396="Matched",0,Mapping_Rules!$B$6-B396)</f>
        <v/>
      </c>
    </row>
    <row r="397">
      <c r="A397" s="140" t="inlineStr">
        <is>
          <t>ERP-00394</t>
        </is>
      </c>
      <c r="B397" s="141" t="n">
        <v>46053</v>
      </c>
      <c r="C397" s="140" t="inlineStr">
        <is>
          <t>AR</t>
        </is>
      </c>
      <c r="D397" s="140" t="inlineStr">
        <is>
          <t>Harbour Design Co.</t>
        </is>
      </c>
      <c r="E397" s="140" t="inlineStr">
        <is>
          <t>REF-100394</t>
        </is>
      </c>
      <c r="F397" s="142" t="n">
        <v>4872.34</v>
      </c>
      <c r="G397" s="143">
        <f>IFERROR(XLOOKUP(E397,Bank_Statement!$D$4:$D$448,Bank_Statement!$G$4:$G$448,""),"")</f>
        <v/>
      </c>
      <c r="H397" s="142">
        <f>IF(G397="","",F397-G397)</f>
        <v/>
      </c>
      <c r="I397" s="144">
        <f>IFERROR(XLOOKUP(E397,Bank_Statement!$D$4:$D$448,Bank_Statement!$B$4:$B$448,""),"")</f>
        <v/>
      </c>
      <c r="J397" s="145">
        <f>IF(I397="","",ABS(B397-I397))</f>
        <v/>
      </c>
      <c r="K397" s="146">
        <f>IF(G397="","Unmatched ERP",IF(AND(ABS(H397)&lt;=Mapping_Rules!$B$4,ABS(J397)&lt;=Mapping_Rules!$B$5),"Matched","Review"))</f>
        <v/>
      </c>
      <c r="L397" s="146">
        <f>IF(K397="Matched","None",IF(G397="","Missing from bank",IF(ABS(H397)&gt;Mapping_Rules!$B$4,"Amount variance","Date variance")))</f>
        <v/>
      </c>
      <c r="M397" s="146">
        <f>IF(K397="Matched","Low",IF(OR(IFERROR(ABS(H397),0)&gt;Mapping_Rules!$B$7,IFERROR(J397,0)&gt;Mapping_Rules!$B$8),"High","Medium"))</f>
        <v/>
      </c>
      <c r="N397" s="146">
        <f>IF(K397="Matched","No action needed",IF(L397="Missing from bank","Check bank date or posting",IF(L397="Amount variance","Check invoice/payment amount","Check timing difference")))</f>
        <v/>
      </c>
      <c r="O397" s="140" t="inlineStr">
        <is>
          <t>1200 AR</t>
        </is>
      </c>
      <c r="P397" s="140" t="inlineStr">
        <is>
          <t>AR Clerk</t>
        </is>
      </c>
      <c r="Q397" s="140" t="inlineStr">
        <is>
          <t>No</t>
        </is>
      </c>
      <c r="R397" s="147" t="str"/>
      <c r="S397" s="148">
        <f>IF(K397="Matched",0,Mapping_Rules!$B$6-B397)</f>
        <v/>
      </c>
    </row>
    <row r="398">
      <c r="A398" s="115" t="inlineStr">
        <is>
          <t>ERP-00395</t>
        </is>
      </c>
      <c r="B398" s="125" t="n">
        <v>46033</v>
      </c>
      <c r="C398" s="115" t="inlineStr">
        <is>
          <t>AP</t>
        </is>
      </c>
      <c r="D398" s="115" t="inlineStr">
        <is>
          <t>Pacific Office Supplies</t>
        </is>
      </c>
      <c r="E398" s="115" t="inlineStr">
        <is>
          <t>REF-100395</t>
        </is>
      </c>
      <c r="F398" s="126" t="n">
        <v>-5108.57</v>
      </c>
      <c r="G398" s="134">
        <f>IFERROR(XLOOKUP(E398,Bank_Statement!$D$4:$D$448,Bank_Statement!$G$4:$G$448,""),"")</f>
        <v/>
      </c>
      <c r="H398" s="126">
        <f>IF(G398="","",F398-G398)</f>
        <v/>
      </c>
      <c r="I398" s="135">
        <f>IFERROR(XLOOKUP(E398,Bank_Statement!$D$4:$D$448,Bank_Statement!$B$4:$B$448,""),"")</f>
        <v/>
      </c>
      <c r="J398" s="136">
        <f>IF(I398="","",ABS(B398-I398))</f>
        <v/>
      </c>
      <c r="K398" s="137">
        <f>IF(G398="","Unmatched ERP",IF(AND(ABS(H398)&lt;=Mapping_Rules!$B$4,ABS(J398)&lt;=Mapping_Rules!$B$5),"Matched","Review"))</f>
        <v/>
      </c>
      <c r="L398" s="137">
        <f>IF(K398="Matched","None",IF(G398="","Missing from bank",IF(ABS(H398)&gt;Mapping_Rules!$B$4,"Amount variance","Date variance")))</f>
        <v/>
      </c>
      <c r="M398" s="137">
        <f>IF(K398="Matched","Low",IF(OR(IFERROR(ABS(H398),0)&gt;Mapping_Rules!$B$7,IFERROR(J398,0)&gt;Mapping_Rules!$B$8),"High","Medium"))</f>
        <v/>
      </c>
      <c r="N398" s="137">
        <f>IF(K398="Matched","No action needed",IF(L398="Missing from bank","Check bank date or posting",IF(L398="Amount variance","Check invoice/payment amount","Check timing difference")))</f>
        <v/>
      </c>
      <c r="O398" s="115" t="inlineStr">
        <is>
          <t>2000 AP</t>
        </is>
      </c>
      <c r="P398" s="115" t="inlineStr">
        <is>
          <t>AP Clerk</t>
        </is>
      </c>
      <c r="Q398" s="115" t="inlineStr">
        <is>
          <t>No</t>
        </is>
      </c>
      <c r="R398" s="138" t="str"/>
      <c r="S398" s="139">
        <f>IF(K398="Matched",0,Mapping_Rules!$B$6-B398)</f>
        <v/>
      </c>
    </row>
    <row r="399">
      <c r="A399" s="140" t="inlineStr">
        <is>
          <t>ERP-00396</t>
        </is>
      </c>
      <c r="B399" s="141" t="n">
        <v>46025</v>
      </c>
      <c r="C399" s="140" t="inlineStr">
        <is>
          <t>AR</t>
        </is>
      </c>
      <c r="D399" s="140" t="inlineStr">
        <is>
          <t>Maple Retail Group</t>
        </is>
      </c>
      <c r="E399" s="140" t="inlineStr">
        <is>
          <t>REF-100396</t>
        </is>
      </c>
      <c r="F399" s="142" t="n">
        <v>6165.45</v>
      </c>
      <c r="G399" s="143">
        <f>IFERROR(XLOOKUP(E399,Bank_Statement!$D$4:$D$448,Bank_Statement!$G$4:$G$448,""),"")</f>
        <v/>
      </c>
      <c r="H399" s="142">
        <f>IF(G399="","",F399-G399)</f>
        <v/>
      </c>
      <c r="I399" s="144">
        <f>IFERROR(XLOOKUP(E399,Bank_Statement!$D$4:$D$448,Bank_Statement!$B$4:$B$448,""),"")</f>
        <v/>
      </c>
      <c r="J399" s="145">
        <f>IF(I399="","",ABS(B399-I399))</f>
        <v/>
      </c>
      <c r="K399" s="146">
        <f>IF(G399="","Unmatched ERP",IF(AND(ABS(H399)&lt;=Mapping_Rules!$B$4,ABS(J399)&lt;=Mapping_Rules!$B$5),"Matched","Review"))</f>
        <v/>
      </c>
      <c r="L399" s="146">
        <f>IF(K399="Matched","None",IF(G399="","Missing from bank",IF(ABS(H399)&gt;Mapping_Rules!$B$4,"Amount variance","Date variance")))</f>
        <v/>
      </c>
      <c r="M399" s="146">
        <f>IF(K399="Matched","Low",IF(OR(IFERROR(ABS(H399),0)&gt;Mapping_Rules!$B$7,IFERROR(J399,0)&gt;Mapping_Rules!$B$8),"High","Medium"))</f>
        <v/>
      </c>
      <c r="N399" s="146">
        <f>IF(K399="Matched","No action needed",IF(L399="Missing from bank","Check bank date or posting",IF(L399="Amount variance","Check invoice/payment amount","Check timing difference")))</f>
        <v/>
      </c>
      <c r="O399" s="140" t="inlineStr">
        <is>
          <t>1200 AR</t>
        </is>
      </c>
      <c r="P399" s="140" t="inlineStr">
        <is>
          <t>AR Clerk</t>
        </is>
      </c>
      <c r="Q399" s="140" t="inlineStr">
        <is>
          <t>No</t>
        </is>
      </c>
      <c r="R399" s="147" t="str"/>
      <c r="S399" s="148">
        <f>IF(K399="Matched",0,Mapping_Rules!$B$6-B399)</f>
        <v/>
      </c>
    </row>
    <row r="400">
      <c r="A400" s="115" t="inlineStr">
        <is>
          <t>ERP-00397</t>
        </is>
      </c>
      <c r="B400" s="125" t="n">
        <v>46051</v>
      </c>
      <c r="C400" s="115" t="inlineStr">
        <is>
          <t>AR</t>
        </is>
      </c>
      <c r="D400" s="115" t="inlineStr">
        <is>
          <t>Granville Medical</t>
        </is>
      </c>
      <c r="E400" s="115" t="inlineStr">
        <is>
          <t>REF-100397</t>
        </is>
      </c>
      <c r="F400" s="126" t="n">
        <v>3082.78</v>
      </c>
      <c r="G400" s="134">
        <f>IFERROR(XLOOKUP(E400,Bank_Statement!$D$4:$D$448,Bank_Statement!$G$4:$G$448,""),"")</f>
        <v/>
      </c>
      <c r="H400" s="126">
        <f>IF(G400="","",F400-G400)</f>
        <v/>
      </c>
      <c r="I400" s="135">
        <f>IFERROR(XLOOKUP(E400,Bank_Statement!$D$4:$D$448,Bank_Statement!$B$4:$B$448,""),"")</f>
        <v/>
      </c>
      <c r="J400" s="136">
        <f>IF(I400="","",ABS(B400-I400))</f>
        <v/>
      </c>
      <c r="K400" s="137">
        <f>IF(G400="","Unmatched ERP",IF(AND(ABS(H400)&lt;=Mapping_Rules!$B$4,ABS(J400)&lt;=Mapping_Rules!$B$5),"Matched","Review"))</f>
        <v/>
      </c>
      <c r="L400" s="137">
        <f>IF(K400="Matched","None",IF(G400="","Missing from bank",IF(ABS(H400)&gt;Mapping_Rules!$B$4,"Amount variance","Date variance")))</f>
        <v/>
      </c>
      <c r="M400" s="137">
        <f>IF(K400="Matched","Low",IF(OR(IFERROR(ABS(H400),0)&gt;Mapping_Rules!$B$7,IFERROR(J400,0)&gt;Mapping_Rules!$B$8),"High","Medium"))</f>
        <v/>
      </c>
      <c r="N400" s="137">
        <f>IF(K400="Matched","No action needed",IF(L400="Missing from bank","Check bank date or posting",IF(L400="Amount variance","Check invoice/payment amount","Check timing difference")))</f>
        <v/>
      </c>
      <c r="O400" s="115" t="inlineStr">
        <is>
          <t>1200 AR</t>
        </is>
      </c>
      <c r="P400" s="115" t="inlineStr">
        <is>
          <t>AR Clerk</t>
        </is>
      </c>
      <c r="Q400" s="115" t="inlineStr">
        <is>
          <t>No</t>
        </is>
      </c>
      <c r="R400" s="138" t="str"/>
      <c r="S400" s="139">
        <f>IF(K400="Matched",0,Mapping_Rules!$B$6-B400)</f>
        <v/>
      </c>
    </row>
    <row r="401">
      <c r="A401" s="140" t="inlineStr">
        <is>
          <t>ERP-00398</t>
        </is>
      </c>
      <c r="B401" s="141" t="n">
        <v>46048</v>
      </c>
      <c r="C401" s="140" t="inlineStr">
        <is>
          <t>Payroll</t>
        </is>
      </c>
      <c r="D401" s="140" t="inlineStr">
        <is>
          <t>Payroll Batch</t>
        </is>
      </c>
      <c r="E401" s="140" t="inlineStr">
        <is>
          <t>REF-100398</t>
        </is>
      </c>
      <c r="F401" s="142" t="n">
        <v>-11939.06</v>
      </c>
      <c r="G401" s="143">
        <f>IFERROR(XLOOKUP(E401,Bank_Statement!$D$4:$D$448,Bank_Statement!$G$4:$G$448,""),"")</f>
        <v/>
      </c>
      <c r="H401" s="142">
        <f>IF(G401="","",F401-G401)</f>
        <v/>
      </c>
      <c r="I401" s="144">
        <f>IFERROR(XLOOKUP(E401,Bank_Statement!$D$4:$D$448,Bank_Statement!$B$4:$B$448,""),"")</f>
        <v/>
      </c>
      <c r="J401" s="145">
        <f>IF(I401="","",ABS(B401-I401))</f>
        <v/>
      </c>
      <c r="K401" s="146">
        <f>IF(G401="","Unmatched ERP",IF(AND(ABS(H401)&lt;=Mapping_Rules!$B$4,ABS(J401)&lt;=Mapping_Rules!$B$5),"Matched","Review"))</f>
        <v/>
      </c>
      <c r="L401" s="146">
        <f>IF(K401="Matched","None",IF(G401="","Missing from bank",IF(ABS(H401)&gt;Mapping_Rules!$B$4,"Amount variance","Date variance")))</f>
        <v/>
      </c>
      <c r="M401" s="146">
        <f>IF(K401="Matched","Low",IF(OR(IFERROR(ABS(H401),0)&gt;Mapping_Rules!$B$7,IFERROR(J401,0)&gt;Mapping_Rules!$B$8),"High","Medium"))</f>
        <v/>
      </c>
      <c r="N401" s="146">
        <f>IF(K401="Matched","No action needed",IF(L401="Missing from bank","Check bank date or posting",IF(L401="Amount variance","Check invoice/payment amount","Check timing difference")))</f>
        <v/>
      </c>
      <c r="O401" s="140" t="inlineStr">
        <is>
          <t>5300 Payroll</t>
        </is>
      </c>
      <c r="P401" s="140" t="inlineStr">
        <is>
          <t>Accounting Technician</t>
        </is>
      </c>
      <c r="Q401" s="140" t="inlineStr">
        <is>
          <t>No</t>
        </is>
      </c>
      <c r="R401" s="147" t="str"/>
      <c r="S401" s="148">
        <f>IF(K401="Matched",0,Mapping_Rules!$B$6-B401)</f>
        <v/>
      </c>
    </row>
    <row r="402">
      <c r="A402" s="115" t="inlineStr">
        <is>
          <t>ERP-00399</t>
        </is>
      </c>
      <c r="B402" s="125" t="n">
        <v>46033</v>
      </c>
      <c r="C402" s="115" t="inlineStr">
        <is>
          <t>AP</t>
        </is>
      </c>
      <c r="D402" s="115" t="inlineStr">
        <is>
          <t>Pacific Office Supplies</t>
        </is>
      </c>
      <c r="E402" s="115" t="inlineStr">
        <is>
          <t>REF-100399</t>
        </is>
      </c>
      <c r="F402" s="126" t="n">
        <v>-534.11</v>
      </c>
      <c r="G402" s="134">
        <f>IFERROR(XLOOKUP(E402,Bank_Statement!$D$4:$D$448,Bank_Statement!$G$4:$G$448,""),"")</f>
        <v/>
      </c>
      <c r="H402" s="126">
        <f>IF(G402="","",F402-G402)</f>
        <v/>
      </c>
      <c r="I402" s="135">
        <f>IFERROR(XLOOKUP(E402,Bank_Statement!$D$4:$D$448,Bank_Statement!$B$4:$B$448,""),"")</f>
        <v/>
      </c>
      <c r="J402" s="136">
        <f>IF(I402="","",ABS(B402-I402))</f>
        <v/>
      </c>
      <c r="K402" s="137">
        <f>IF(G402="","Unmatched ERP",IF(AND(ABS(H402)&lt;=Mapping_Rules!$B$4,ABS(J402)&lt;=Mapping_Rules!$B$5),"Matched","Review"))</f>
        <v/>
      </c>
      <c r="L402" s="137">
        <f>IF(K402="Matched","None",IF(G402="","Missing from bank",IF(ABS(H402)&gt;Mapping_Rules!$B$4,"Amount variance","Date variance")))</f>
        <v/>
      </c>
      <c r="M402" s="137">
        <f>IF(K402="Matched","Low",IF(OR(IFERROR(ABS(H402),0)&gt;Mapping_Rules!$B$7,IFERROR(J402,0)&gt;Mapping_Rules!$B$8),"High","Medium"))</f>
        <v/>
      </c>
      <c r="N402" s="137">
        <f>IF(K402="Matched","No action needed",IF(L402="Missing from bank","Check bank date or posting",IF(L402="Amount variance","Check invoice/payment amount","Check timing difference")))</f>
        <v/>
      </c>
      <c r="O402" s="115" t="inlineStr">
        <is>
          <t>2000 AP</t>
        </is>
      </c>
      <c r="P402" s="115" t="inlineStr">
        <is>
          <t>AP Clerk</t>
        </is>
      </c>
      <c r="Q402" s="115" t="inlineStr">
        <is>
          <t>No</t>
        </is>
      </c>
      <c r="R402" s="138" t="str"/>
      <c r="S402" s="139">
        <f>IF(K402="Matched",0,Mapping_Rules!$B$6-B402)</f>
        <v/>
      </c>
    </row>
    <row r="403">
      <c r="A403" s="140" t="inlineStr">
        <is>
          <t>ERP-00400</t>
        </is>
      </c>
      <c r="B403" s="141" t="n">
        <v>46051</v>
      </c>
      <c r="C403" s="140" t="inlineStr">
        <is>
          <t>Bank Fees</t>
        </is>
      </c>
      <c r="D403" s="140" t="inlineStr">
        <is>
          <t>Bank</t>
        </is>
      </c>
      <c r="E403" s="140" t="inlineStr">
        <is>
          <t>REF-100400</t>
        </is>
      </c>
      <c r="F403" s="142" t="n">
        <v>-43.86</v>
      </c>
      <c r="G403" s="143">
        <f>IFERROR(XLOOKUP(E403,Bank_Statement!$D$4:$D$448,Bank_Statement!$G$4:$G$448,""),"")</f>
        <v/>
      </c>
      <c r="H403" s="142">
        <f>IF(G403="","",F403-G403)</f>
        <v/>
      </c>
      <c r="I403" s="144">
        <f>IFERROR(XLOOKUP(E403,Bank_Statement!$D$4:$D$448,Bank_Statement!$B$4:$B$448,""),"")</f>
        <v/>
      </c>
      <c r="J403" s="145">
        <f>IF(I403="","",ABS(B403-I403))</f>
        <v/>
      </c>
      <c r="K403" s="146">
        <f>IF(G403="","Unmatched ERP",IF(AND(ABS(H403)&lt;=Mapping_Rules!$B$4,ABS(J403)&lt;=Mapping_Rules!$B$5),"Matched","Review"))</f>
        <v/>
      </c>
      <c r="L403" s="146">
        <f>IF(K403="Matched","None",IF(G403="","Missing from bank",IF(ABS(H403)&gt;Mapping_Rules!$B$4,"Amount variance","Date variance")))</f>
        <v/>
      </c>
      <c r="M403" s="146">
        <f>IF(K403="Matched","Low",IF(OR(IFERROR(ABS(H403),0)&gt;Mapping_Rules!$B$7,IFERROR(J403,0)&gt;Mapping_Rules!$B$8),"High","Medium"))</f>
        <v/>
      </c>
      <c r="N403" s="146">
        <f>IF(K403="Matched","No action needed",IF(L403="Missing from bank","Check bank date or posting",IF(L403="Amount variance","Check invoice/payment amount","Check timing difference")))</f>
        <v/>
      </c>
      <c r="O403" s="140" t="inlineStr">
        <is>
          <t>6100 Bank Fees</t>
        </is>
      </c>
      <c r="P403" s="140" t="inlineStr">
        <is>
          <t>Accounting Technician</t>
        </is>
      </c>
      <c r="Q403" s="140" t="inlineStr">
        <is>
          <t>No</t>
        </is>
      </c>
      <c r="R403" s="147" t="str"/>
      <c r="S403" s="148">
        <f>IF(K403="Matched",0,Mapping_Rules!$B$6-B403)</f>
        <v/>
      </c>
    </row>
    <row r="404">
      <c r="A404" s="115" t="inlineStr">
        <is>
          <t>ERP-00401</t>
        </is>
      </c>
      <c r="B404" s="125" t="n">
        <v>46028</v>
      </c>
      <c r="C404" s="115" t="inlineStr">
        <is>
          <t>AR</t>
        </is>
      </c>
      <c r="D404" s="115" t="inlineStr">
        <is>
          <t>Granville Medical</t>
        </is>
      </c>
      <c r="E404" s="115" t="inlineStr">
        <is>
          <t>REF-100401</t>
        </is>
      </c>
      <c r="F404" s="126" t="n">
        <v>1461.82</v>
      </c>
      <c r="G404" s="134">
        <f>IFERROR(XLOOKUP(E404,Bank_Statement!$D$4:$D$448,Bank_Statement!$G$4:$G$448,""),"")</f>
        <v/>
      </c>
      <c r="H404" s="126">
        <f>IF(G404="","",F404-G404)</f>
        <v/>
      </c>
      <c r="I404" s="135">
        <f>IFERROR(XLOOKUP(E404,Bank_Statement!$D$4:$D$448,Bank_Statement!$B$4:$B$448,""),"")</f>
        <v/>
      </c>
      <c r="J404" s="136">
        <f>IF(I404="","",ABS(B404-I404))</f>
        <v/>
      </c>
      <c r="K404" s="137">
        <f>IF(G404="","Unmatched ERP",IF(AND(ABS(H404)&lt;=Mapping_Rules!$B$4,ABS(J404)&lt;=Mapping_Rules!$B$5),"Matched","Review"))</f>
        <v/>
      </c>
      <c r="L404" s="137">
        <f>IF(K404="Matched","None",IF(G404="","Missing from bank",IF(ABS(H404)&gt;Mapping_Rules!$B$4,"Amount variance","Date variance")))</f>
        <v/>
      </c>
      <c r="M404" s="137">
        <f>IF(K404="Matched","Low",IF(OR(IFERROR(ABS(H404),0)&gt;Mapping_Rules!$B$7,IFERROR(J404,0)&gt;Mapping_Rules!$B$8),"High","Medium"))</f>
        <v/>
      </c>
      <c r="N404" s="137">
        <f>IF(K404="Matched","No action needed",IF(L404="Missing from bank","Check bank date or posting",IF(L404="Amount variance","Check invoice/payment amount","Check timing difference")))</f>
        <v/>
      </c>
      <c r="O404" s="115" t="inlineStr">
        <is>
          <t>1200 AR</t>
        </is>
      </c>
      <c r="P404" s="115" t="inlineStr">
        <is>
          <t>AR Clerk</t>
        </is>
      </c>
      <c r="Q404" s="115" t="inlineStr">
        <is>
          <t>No</t>
        </is>
      </c>
      <c r="R404" s="138" t="str"/>
      <c r="S404" s="139">
        <f>IF(K404="Matched",0,Mapping_Rules!$B$6-B404)</f>
        <v/>
      </c>
    </row>
    <row r="405">
      <c r="A405" s="140" t="inlineStr">
        <is>
          <t>ERP-00402</t>
        </is>
      </c>
      <c r="B405" s="141" t="n">
        <v>46040</v>
      </c>
      <c r="C405" s="140" t="inlineStr">
        <is>
          <t>GL</t>
        </is>
      </c>
      <c r="D405" s="140" t="inlineStr">
        <is>
          <t>West Van Fitness</t>
        </is>
      </c>
      <c r="E405" s="140" t="inlineStr">
        <is>
          <t>REF-100402</t>
        </is>
      </c>
      <c r="F405" s="142" t="n">
        <v>-2723.62</v>
      </c>
      <c r="G405" s="143">
        <f>IFERROR(XLOOKUP(E405,Bank_Statement!$D$4:$D$448,Bank_Statement!$G$4:$G$448,""),"")</f>
        <v/>
      </c>
      <c r="H405" s="142">
        <f>IF(G405="","",F405-G405)</f>
        <v/>
      </c>
      <c r="I405" s="144">
        <f>IFERROR(XLOOKUP(E405,Bank_Statement!$D$4:$D$448,Bank_Statement!$B$4:$B$448,""),"")</f>
        <v/>
      </c>
      <c r="J405" s="145">
        <f>IF(I405="","",ABS(B405-I405))</f>
        <v/>
      </c>
      <c r="K405" s="146">
        <f>IF(G405="","Unmatched ERP",IF(AND(ABS(H405)&lt;=Mapping_Rules!$B$4,ABS(J405)&lt;=Mapping_Rules!$B$5),"Matched","Review"))</f>
        <v/>
      </c>
      <c r="L405" s="146">
        <f>IF(K405="Matched","None",IF(G405="","Missing from bank",IF(ABS(H405)&gt;Mapping_Rules!$B$4,"Amount variance","Date variance")))</f>
        <v/>
      </c>
      <c r="M405" s="146">
        <f>IF(K405="Matched","Low",IF(OR(IFERROR(ABS(H405),0)&gt;Mapping_Rules!$B$7,IFERROR(J405,0)&gt;Mapping_Rules!$B$8),"High","Medium"))</f>
        <v/>
      </c>
      <c r="N405" s="146">
        <f>IF(K405="Matched","No action needed",IF(L405="Missing from bank","Check bank date or posting",IF(L405="Amount variance","Check invoice/payment amount","Check timing difference")))</f>
        <v/>
      </c>
      <c r="O405" s="140" t="inlineStr">
        <is>
          <t>5100 Utilities</t>
        </is>
      </c>
      <c r="P405" s="140" t="inlineStr">
        <is>
          <t>Accounting Technician</t>
        </is>
      </c>
      <c r="Q405" s="140" t="inlineStr">
        <is>
          <t>No</t>
        </is>
      </c>
      <c r="R405" s="147" t="str"/>
      <c r="S405" s="148">
        <f>IF(K405="Matched",0,Mapping_Rules!$B$6-B405)</f>
        <v/>
      </c>
    </row>
    <row r="406">
      <c r="A406" s="115" t="inlineStr">
        <is>
          <t>ERP-00403</t>
        </is>
      </c>
      <c r="B406" s="125" t="n">
        <v>46034</v>
      </c>
      <c r="C406" s="115" t="inlineStr">
        <is>
          <t>AP</t>
        </is>
      </c>
      <c r="D406" s="115" t="inlineStr">
        <is>
          <t>Pacific Office Supplies</t>
        </is>
      </c>
      <c r="E406" s="115" t="inlineStr">
        <is>
          <t>REF-100403</t>
        </is>
      </c>
      <c r="F406" s="126" t="n">
        <v>-1882.64</v>
      </c>
      <c r="G406" s="134">
        <f>IFERROR(XLOOKUP(E406,Bank_Statement!$D$4:$D$448,Bank_Statement!$G$4:$G$448,""),"")</f>
        <v/>
      </c>
      <c r="H406" s="126">
        <f>IF(G406="","",F406-G406)</f>
        <v/>
      </c>
      <c r="I406" s="135">
        <f>IFERROR(XLOOKUP(E406,Bank_Statement!$D$4:$D$448,Bank_Statement!$B$4:$B$448,""),"")</f>
        <v/>
      </c>
      <c r="J406" s="136">
        <f>IF(I406="","",ABS(B406-I406))</f>
        <v/>
      </c>
      <c r="K406" s="137">
        <f>IF(G406="","Unmatched ERP",IF(AND(ABS(H406)&lt;=Mapping_Rules!$B$4,ABS(J406)&lt;=Mapping_Rules!$B$5),"Matched","Review"))</f>
        <v/>
      </c>
      <c r="L406" s="137">
        <f>IF(K406="Matched","None",IF(G406="","Missing from bank",IF(ABS(H406)&gt;Mapping_Rules!$B$4,"Amount variance","Date variance")))</f>
        <v/>
      </c>
      <c r="M406" s="137">
        <f>IF(K406="Matched","Low",IF(OR(IFERROR(ABS(H406),0)&gt;Mapping_Rules!$B$7,IFERROR(J406,0)&gt;Mapping_Rules!$B$8),"High","Medium"))</f>
        <v/>
      </c>
      <c r="N406" s="137">
        <f>IF(K406="Matched","No action needed",IF(L406="Missing from bank","Check bank date or posting",IF(L406="Amount variance","Check invoice/payment amount","Check timing difference")))</f>
        <v/>
      </c>
      <c r="O406" s="115" t="inlineStr">
        <is>
          <t>2000 AP</t>
        </is>
      </c>
      <c r="P406" s="115" t="inlineStr">
        <is>
          <t>AP Clerk</t>
        </is>
      </c>
      <c r="Q406" s="115" t="inlineStr">
        <is>
          <t>No</t>
        </is>
      </c>
      <c r="R406" s="138" t="str"/>
      <c r="S406" s="139">
        <f>IF(K406="Matched",0,Mapping_Rules!$B$6-B406)</f>
        <v/>
      </c>
    </row>
    <row r="407">
      <c r="A407" s="140" t="inlineStr">
        <is>
          <t>ERP-00404</t>
        </is>
      </c>
      <c r="B407" s="141" t="n">
        <v>46043</v>
      </c>
      <c r="C407" s="140" t="inlineStr">
        <is>
          <t>AP</t>
        </is>
      </c>
      <c r="D407" s="140" t="inlineStr">
        <is>
          <t>Pacific Office Supplies</t>
        </is>
      </c>
      <c r="E407" s="140" t="inlineStr">
        <is>
          <t>REF-100404</t>
        </is>
      </c>
      <c r="F407" s="142" t="n">
        <v>-2978.25</v>
      </c>
      <c r="G407" s="143">
        <f>IFERROR(XLOOKUP(E407,Bank_Statement!$D$4:$D$448,Bank_Statement!$G$4:$G$448,""),"")</f>
        <v/>
      </c>
      <c r="H407" s="142">
        <f>IF(G407="","",F407-G407)</f>
        <v/>
      </c>
      <c r="I407" s="144">
        <f>IFERROR(XLOOKUP(E407,Bank_Statement!$D$4:$D$448,Bank_Statement!$B$4:$B$448,""),"")</f>
        <v/>
      </c>
      <c r="J407" s="145">
        <f>IF(I407="","",ABS(B407-I407))</f>
        <v/>
      </c>
      <c r="K407" s="146">
        <f>IF(G407="","Unmatched ERP",IF(AND(ABS(H407)&lt;=Mapping_Rules!$B$4,ABS(J407)&lt;=Mapping_Rules!$B$5),"Matched","Review"))</f>
        <v/>
      </c>
      <c r="L407" s="146">
        <f>IF(K407="Matched","None",IF(G407="","Missing from bank",IF(ABS(H407)&gt;Mapping_Rules!$B$4,"Amount variance","Date variance")))</f>
        <v/>
      </c>
      <c r="M407" s="146">
        <f>IF(K407="Matched","Low",IF(OR(IFERROR(ABS(H407),0)&gt;Mapping_Rules!$B$7,IFERROR(J407,0)&gt;Mapping_Rules!$B$8),"High","Medium"))</f>
        <v/>
      </c>
      <c r="N407" s="146">
        <f>IF(K407="Matched","No action needed",IF(L407="Missing from bank","Check bank date or posting",IF(L407="Amount variance","Check invoice/payment amount","Check timing difference")))</f>
        <v/>
      </c>
      <c r="O407" s="140" t="inlineStr">
        <is>
          <t>2000 AP</t>
        </is>
      </c>
      <c r="P407" s="140" t="inlineStr">
        <is>
          <t>AP Clerk</t>
        </is>
      </c>
      <c r="Q407" s="140" t="inlineStr">
        <is>
          <t>No</t>
        </is>
      </c>
      <c r="R407" s="147" t="str"/>
      <c r="S407" s="148">
        <f>IF(K407="Matched",0,Mapping_Rules!$B$6-B407)</f>
        <v/>
      </c>
    </row>
    <row r="408">
      <c r="A408" s="115" t="inlineStr">
        <is>
          <t>ERP-00405</t>
        </is>
      </c>
      <c r="B408" s="125" t="n">
        <v>46044</v>
      </c>
      <c r="C408" s="115" t="inlineStr">
        <is>
          <t>AP</t>
        </is>
      </c>
      <c r="D408" s="115" t="inlineStr">
        <is>
          <t>Staples Canada</t>
        </is>
      </c>
      <c r="E408" s="115" t="inlineStr">
        <is>
          <t>REF-100405</t>
        </is>
      </c>
      <c r="F408" s="126" t="n">
        <v>-3410.05</v>
      </c>
      <c r="G408" s="134">
        <f>IFERROR(XLOOKUP(E408,Bank_Statement!$D$4:$D$448,Bank_Statement!$G$4:$G$448,""),"")</f>
        <v/>
      </c>
      <c r="H408" s="126">
        <f>IF(G408="","",F408-G408)</f>
        <v/>
      </c>
      <c r="I408" s="135">
        <f>IFERROR(XLOOKUP(E408,Bank_Statement!$D$4:$D$448,Bank_Statement!$B$4:$B$448,""),"")</f>
        <v/>
      </c>
      <c r="J408" s="136">
        <f>IF(I408="","",ABS(B408-I408))</f>
        <v/>
      </c>
      <c r="K408" s="137">
        <f>IF(G408="","Unmatched ERP",IF(AND(ABS(H408)&lt;=Mapping_Rules!$B$4,ABS(J408)&lt;=Mapping_Rules!$B$5),"Matched","Review"))</f>
        <v/>
      </c>
      <c r="L408" s="137">
        <f>IF(K408="Matched","None",IF(G408="","Missing from bank",IF(ABS(H408)&gt;Mapping_Rules!$B$4,"Amount variance","Date variance")))</f>
        <v/>
      </c>
      <c r="M408" s="137">
        <f>IF(K408="Matched","Low",IF(OR(IFERROR(ABS(H408),0)&gt;Mapping_Rules!$B$7,IFERROR(J408,0)&gt;Mapping_Rules!$B$8),"High","Medium"))</f>
        <v/>
      </c>
      <c r="N408" s="137">
        <f>IF(K408="Matched","No action needed",IF(L408="Missing from bank","Check bank date or posting",IF(L408="Amount variance","Check invoice/payment amount","Check timing difference")))</f>
        <v/>
      </c>
      <c r="O408" s="115" t="inlineStr">
        <is>
          <t>2000 AP</t>
        </is>
      </c>
      <c r="P408" s="115" t="inlineStr">
        <is>
          <t>AP Clerk</t>
        </is>
      </c>
      <c r="Q408" s="115" t="inlineStr">
        <is>
          <t>No</t>
        </is>
      </c>
      <c r="R408" s="138" t="str"/>
      <c r="S408" s="139">
        <f>IF(K408="Matched",0,Mapping_Rules!$B$6-B408)</f>
        <v/>
      </c>
    </row>
    <row r="409">
      <c r="A409" s="140" t="inlineStr">
        <is>
          <t>ERP-00406</t>
        </is>
      </c>
      <c r="B409" s="141" t="n">
        <v>46034</v>
      </c>
      <c r="C409" s="140" t="inlineStr">
        <is>
          <t>AP</t>
        </is>
      </c>
      <c r="D409" s="140" t="inlineStr">
        <is>
          <t>Pacific Office Supplies</t>
        </is>
      </c>
      <c r="E409" s="140" t="inlineStr">
        <is>
          <t>REF-100406</t>
        </is>
      </c>
      <c r="F409" s="142" t="n">
        <v>-1691.37</v>
      </c>
      <c r="G409" s="143">
        <f>IFERROR(XLOOKUP(E409,Bank_Statement!$D$4:$D$448,Bank_Statement!$G$4:$G$448,""),"")</f>
        <v/>
      </c>
      <c r="H409" s="142">
        <f>IF(G409="","",F409-G409)</f>
        <v/>
      </c>
      <c r="I409" s="144">
        <f>IFERROR(XLOOKUP(E409,Bank_Statement!$D$4:$D$448,Bank_Statement!$B$4:$B$448,""),"")</f>
        <v/>
      </c>
      <c r="J409" s="145">
        <f>IF(I409="","",ABS(B409-I409))</f>
        <v/>
      </c>
      <c r="K409" s="146">
        <f>IF(G409="","Unmatched ERP",IF(AND(ABS(H409)&lt;=Mapping_Rules!$B$4,ABS(J409)&lt;=Mapping_Rules!$B$5),"Matched","Review"))</f>
        <v/>
      </c>
      <c r="L409" s="146">
        <f>IF(K409="Matched","None",IF(G409="","Missing from bank",IF(ABS(H409)&gt;Mapping_Rules!$B$4,"Amount variance","Date variance")))</f>
        <v/>
      </c>
      <c r="M409" s="146">
        <f>IF(K409="Matched","Low",IF(OR(IFERROR(ABS(H409),0)&gt;Mapping_Rules!$B$7,IFERROR(J409,0)&gt;Mapping_Rules!$B$8),"High","Medium"))</f>
        <v/>
      </c>
      <c r="N409" s="146">
        <f>IF(K409="Matched","No action needed",IF(L409="Missing from bank","Check bank date or posting",IF(L409="Amount variance","Check invoice/payment amount","Check timing difference")))</f>
        <v/>
      </c>
      <c r="O409" s="140" t="inlineStr">
        <is>
          <t>2000 AP</t>
        </is>
      </c>
      <c r="P409" s="140" t="inlineStr">
        <is>
          <t>AP Clerk</t>
        </is>
      </c>
      <c r="Q409" s="140" t="inlineStr">
        <is>
          <t>No</t>
        </is>
      </c>
      <c r="R409" s="147" t="str"/>
      <c r="S409" s="148">
        <f>IF(K409="Matched",0,Mapping_Rules!$B$6-B409)</f>
        <v/>
      </c>
    </row>
    <row r="410">
      <c r="A410" s="115" t="inlineStr">
        <is>
          <t>ERP-00407</t>
        </is>
      </c>
      <c r="B410" s="125" t="n">
        <v>46027</v>
      </c>
      <c r="C410" s="115" t="inlineStr">
        <is>
          <t>GL</t>
        </is>
      </c>
      <c r="D410" s="115" t="inlineStr">
        <is>
          <t>Granville Medical</t>
        </is>
      </c>
      <c r="E410" s="115" t="inlineStr">
        <is>
          <t>REF-100407</t>
        </is>
      </c>
      <c r="F410" s="126" t="n">
        <v>-528.6799999999999</v>
      </c>
      <c r="G410" s="134">
        <f>IFERROR(XLOOKUP(E410,Bank_Statement!$D$4:$D$448,Bank_Statement!$G$4:$G$448,""),"")</f>
        <v/>
      </c>
      <c r="H410" s="126">
        <f>IF(G410="","",F410-G410)</f>
        <v/>
      </c>
      <c r="I410" s="135">
        <f>IFERROR(XLOOKUP(E410,Bank_Statement!$D$4:$D$448,Bank_Statement!$B$4:$B$448,""),"")</f>
        <v/>
      </c>
      <c r="J410" s="136">
        <f>IF(I410="","",ABS(B410-I410))</f>
        <v/>
      </c>
      <c r="K410" s="137">
        <f>IF(G410="","Unmatched ERP",IF(AND(ABS(H410)&lt;=Mapping_Rules!$B$4,ABS(J410)&lt;=Mapping_Rules!$B$5),"Matched","Review"))</f>
        <v/>
      </c>
      <c r="L410" s="137">
        <f>IF(K410="Matched","None",IF(G410="","Missing from bank",IF(ABS(H410)&gt;Mapping_Rules!$B$4,"Amount variance","Date variance")))</f>
        <v/>
      </c>
      <c r="M410" s="137">
        <f>IF(K410="Matched","Low",IF(OR(IFERROR(ABS(H410),0)&gt;Mapping_Rules!$B$7,IFERROR(J410,0)&gt;Mapping_Rules!$B$8),"High","Medium"))</f>
        <v/>
      </c>
      <c r="N410" s="137">
        <f>IF(K410="Matched","No action needed",IF(L410="Missing from bank","Check bank date or posting",IF(L410="Amount variance","Check invoice/payment amount","Check timing difference")))</f>
        <v/>
      </c>
      <c r="O410" s="115" t="inlineStr">
        <is>
          <t>5300 Payroll</t>
        </is>
      </c>
      <c r="P410" s="115" t="inlineStr">
        <is>
          <t>Accounting Technician</t>
        </is>
      </c>
      <c r="Q410" s="115" t="inlineStr">
        <is>
          <t>No</t>
        </is>
      </c>
      <c r="R410" s="138" t="str"/>
      <c r="S410" s="139">
        <f>IF(K410="Matched",0,Mapping_Rules!$B$6-B410)</f>
        <v/>
      </c>
    </row>
    <row r="411">
      <c r="A411" s="140" t="inlineStr">
        <is>
          <t>ERP-00408</t>
        </is>
      </c>
      <c r="B411" s="141" t="n">
        <v>46036</v>
      </c>
      <c r="C411" s="140" t="inlineStr">
        <is>
          <t>Bank Fees</t>
        </is>
      </c>
      <c r="D411" s="140" t="inlineStr">
        <is>
          <t>Bank</t>
        </is>
      </c>
      <c r="E411" s="140" t="inlineStr">
        <is>
          <t>REF-100408</t>
        </is>
      </c>
      <c r="F411" s="142" t="n">
        <v>-84.01000000000001</v>
      </c>
      <c r="G411" s="143">
        <f>IFERROR(XLOOKUP(E411,Bank_Statement!$D$4:$D$448,Bank_Statement!$G$4:$G$448,""),"")</f>
        <v/>
      </c>
      <c r="H411" s="142">
        <f>IF(G411="","",F411-G411)</f>
        <v/>
      </c>
      <c r="I411" s="144">
        <f>IFERROR(XLOOKUP(E411,Bank_Statement!$D$4:$D$448,Bank_Statement!$B$4:$B$448,""),"")</f>
        <v/>
      </c>
      <c r="J411" s="145">
        <f>IF(I411="","",ABS(B411-I411))</f>
        <v/>
      </c>
      <c r="K411" s="146">
        <f>IF(G411="","Unmatched ERP",IF(AND(ABS(H411)&lt;=Mapping_Rules!$B$4,ABS(J411)&lt;=Mapping_Rules!$B$5),"Matched","Review"))</f>
        <v/>
      </c>
      <c r="L411" s="146">
        <f>IF(K411="Matched","None",IF(G411="","Missing from bank",IF(ABS(H411)&gt;Mapping_Rules!$B$4,"Amount variance","Date variance")))</f>
        <v/>
      </c>
      <c r="M411" s="146">
        <f>IF(K411="Matched","Low",IF(OR(IFERROR(ABS(H411),0)&gt;Mapping_Rules!$B$7,IFERROR(J411,0)&gt;Mapping_Rules!$B$8),"High","Medium"))</f>
        <v/>
      </c>
      <c r="N411" s="146">
        <f>IF(K411="Matched","No action needed",IF(L411="Missing from bank","Check bank date or posting",IF(L411="Amount variance","Check invoice/payment amount","Check timing difference")))</f>
        <v/>
      </c>
      <c r="O411" s="140" t="inlineStr">
        <is>
          <t>6100 Bank Fees</t>
        </is>
      </c>
      <c r="P411" s="140" t="inlineStr">
        <is>
          <t>Accounting Technician</t>
        </is>
      </c>
      <c r="Q411" s="140" t="inlineStr">
        <is>
          <t>No</t>
        </is>
      </c>
      <c r="R411" s="147" t="str"/>
      <c r="S411" s="148">
        <f>IF(K411="Matched",0,Mapping_Rules!$B$6-B411)</f>
        <v/>
      </c>
    </row>
    <row r="412">
      <c r="A412" s="115" t="inlineStr">
        <is>
          <t>ERP-00409</t>
        </is>
      </c>
      <c r="B412" s="125" t="n">
        <v>46038</v>
      </c>
      <c r="C412" s="115" t="inlineStr">
        <is>
          <t>AP</t>
        </is>
      </c>
      <c r="D412" s="115" t="inlineStr">
        <is>
          <t>BC Hydro</t>
        </is>
      </c>
      <c r="E412" s="115" t="inlineStr">
        <is>
          <t>REF-100409</t>
        </is>
      </c>
      <c r="F412" s="126" t="n">
        <v>-5605</v>
      </c>
      <c r="G412" s="134">
        <f>IFERROR(XLOOKUP(E412,Bank_Statement!$D$4:$D$448,Bank_Statement!$G$4:$G$448,""),"")</f>
        <v/>
      </c>
      <c r="H412" s="126">
        <f>IF(G412="","",F412-G412)</f>
        <v/>
      </c>
      <c r="I412" s="135">
        <f>IFERROR(XLOOKUP(E412,Bank_Statement!$D$4:$D$448,Bank_Statement!$B$4:$B$448,""),"")</f>
        <v/>
      </c>
      <c r="J412" s="136">
        <f>IF(I412="","",ABS(B412-I412))</f>
        <v/>
      </c>
      <c r="K412" s="137">
        <f>IF(G412="","Unmatched ERP",IF(AND(ABS(H412)&lt;=Mapping_Rules!$B$4,ABS(J412)&lt;=Mapping_Rules!$B$5),"Matched","Review"))</f>
        <v/>
      </c>
      <c r="L412" s="137">
        <f>IF(K412="Matched","None",IF(G412="","Missing from bank",IF(ABS(H412)&gt;Mapping_Rules!$B$4,"Amount variance","Date variance")))</f>
        <v/>
      </c>
      <c r="M412" s="137">
        <f>IF(K412="Matched","Low",IF(OR(IFERROR(ABS(H412),0)&gt;Mapping_Rules!$B$7,IFERROR(J412,0)&gt;Mapping_Rules!$B$8),"High","Medium"))</f>
        <v/>
      </c>
      <c r="N412" s="137">
        <f>IF(K412="Matched","No action needed",IF(L412="Missing from bank","Check bank date or posting",IF(L412="Amount variance","Check invoice/payment amount","Check timing difference")))</f>
        <v/>
      </c>
      <c r="O412" s="115" t="inlineStr">
        <is>
          <t>2000 AP</t>
        </is>
      </c>
      <c r="P412" s="115" t="inlineStr">
        <is>
          <t>AP Clerk</t>
        </is>
      </c>
      <c r="Q412" s="115" t="inlineStr">
        <is>
          <t>No</t>
        </is>
      </c>
      <c r="R412" s="138" t="str"/>
      <c r="S412" s="139">
        <f>IF(K412="Matched",0,Mapping_Rules!$B$6-B412)</f>
        <v/>
      </c>
    </row>
    <row r="413">
      <c r="A413" s="140" t="inlineStr">
        <is>
          <t>ERP-00410</t>
        </is>
      </c>
      <c r="B413" s="141" t="n">
        <v>46047</v>
      </c>
      <c r="C413" s="140" t="inlineStr">
        <is>
          <t>AR</t>
        </is>
      </c>
      <c r="D413" s="140" t="inlineStr">
        <is>
          <t>Coastline Foods</t>
        </is>
      </c>
      <c r="E413" s="140" t="inlineStr">
        <is>
          <t>REF-100410</t>
        </is>
      </c>
      <c r="F413" s="142" t="n">
        <v>8267.58</v>
      </c>
      <c r="G413" s="143">
        <f>IFERROR(XLOOKUP(E413,Bank_Statement!$D$4:$D$448,Bank_Statement!$G$4:$G$448,""),"")</f>
        <v/>
      </c>
      <c r="H413" s="142">
        <f>IF(G413="","",F413-G413)</f>
        <v/>
      </c>
      <c r="I413" s="144">
        <f>IFERROR(XLOOKUP(E413,Bank_Statement!$D$4:$D$448,Bank_Statement!$B$4:$B$448,""),"")</f>
        <v/>
      </c>
      <c r="J413" s="145">
        <f>IF(I413="","",ABS(B413-I413))</f>
        <v/>
      </c>
      <c r="K413" s="146">
        <f>IF(G413="","Unmatched ERP",IF(AND(ABS(H413)&lt;=Mapping_Rules!$B$4,ABS(J413)&lt;=Mapping_Rules!$B$5),"Matched","Review"))</f>
        <v/>
      </c>
      <c r="L413" s="146">
        <f>IF(K413="Matched","None",IF(G413="","Missing from bank",IF(ABS(H413)&gt;Mapping_Rules!$B$4,"Amount variance","Date variance")))</f>
        <v/>
      </c>
      <c r="M413" s="146">
        <f>IF(K413="Matched","Low",IF(OR(IFERROR(ABS(H413),0)&gt;Mapping_Rules!$B$7,IFERROR(J413,0)&gt;Mapping_Rules!$B$8),"High","Medium"))</f>
        <v/>
      </c>
      <c r="N413" s="146">
        <f>IF(K413="Matched","No action needed",IF(L413="Missing from bank","Check bank date or posting",IF(L413="Amount variance","Check invoice/payment amount","Check timing difference")))</f>
        <v/>
      </c>
      <c r="O413" s="140" t="inlineStr">
        <is>
          <t>1200 AR</t>
        </is>
      </c>
      <c r="P413" s="140" t="inlineStr">
        <is>
          <t>AR Clerk</t>
        </is>
      </c>
      <c r="Q413" s="140" t="inlineStr">
        <is>
          <t>No</t>
        </is>
      </c>
      <c r="R413" s="147" t="str"/>
      <c r="S413" s="148">
        <f>IF(K413="Matched",0,Mapping_Rules!$B$6-B413)</f>
        <v/>
      </c>
    </row>
    <row r="414">
      <c r="A414" s="115" t="inlineStr">
        <is>
          <t>ERP-00411</t>
        </is>
      </c>
      <c r="B414" s="125" t="n">
        <v>46036</v>
      </c>
      <c r="C414" s="115" t="inlineStr">
        <is>
          <t>AP</t>
        </is>
      </c>
      <c r="D414" s="115" t="inlineStr">
        <is>
          <t>Vancouver Courier</t>
        </is>
      </c>
      <c r="E414" s="115" t="inlineStr">
        <is>
          <t>REF-100411</t>
        </is>
      </c>
      <c r="F414" s="126" t="n">
        <v>-3918.62</v>
      </c>
      <c r="G414" s="134">
        <f>IFERROR(XLOOKUP(E414,Bank_Statement!$D$4:$D$448,Bank_Statement!$G$4:$G$448,""),"")</f>
        <v/>
      </c>
      <c r="H414" s="126">
        <f>IF(G414="","",F414-G414)</f>
        <v/>
      </c>
      <c r="I414" s="135">
        <f>IFERROR(XLOOKUP(E414,Bank_Statement!$D$4:$D$448,Bank_Statement!$B$4:$B$448,""),"")</f>
        <v/>
      </c>
      <c r="J414" s="136">
        <f>IF(I414="","",ABS(B414-I414))</f>
        <v/>
      </c>
      <c r="K414" s="137">
        <f>IF(G414="","Unmatched ERP",IF(AND(ABS(H414)&lt;=Mapping_Rules!$B$4,ABS(J414)&lt;=Mapping_Rules!$B$5),"Matched","Review"))</f>
        <v/>
      </c>
      <c r="L414" s="137">
        <f>IF(K414="Matched","None",IF(G414="","Missing from bank",IF(ABS(H414)&gt;Mapping_Rules!$B$4,"Amount variance","Date variance")))</f>
        <v/>
      </c>
      <c r="M414" s="137">
        <f>IF(K414="Matched","Low",IF(OR(IFERROR(ABS(H414),0)&gt;Mapping_Rules!$B$7,IFERROR(J414,0)&gt;Mapping_Rules!$B$8),"High","Medium"))</f>
        <v/>
      </c>
      <c r="N414" s="137">
        <f>IF(K414="Matched","No action needed",IF(L414="Missing from bank","Check bank date or posting",IF(L414="Amount variance","Check invoice/payment amount","Check timing difference")))</f>
        <v/>
      </c>
      <c r="O414" s="115" t="inlineStr">
        <is>
          <t>2000 AP</t>
        </is>
      </c>
      <c r="P414" s="115" t="inlineStr">
        <is>
          <t>AP Clerk</t>
        </is>
      </c>
      <c r="Q414" s="115" t="inlineStr">
        <is>
          <t>No</t>
        </is>
      </c>
      <c r="R414" s="138" t="str"/>
      <c r="S414" s="139">
        <f>IF(K414="Matched",0,Mapping_Rules!$B$6-B414)</f>
        <v/>
      </c>
    </row>
    <row r="415">
      <c r="A415" s="140" t="inlineStr">
        <is>
          <t>ERP-00412</t>
        </is>
      </c>
      <c r="B415" s="141" t="n">
        <v>46040</v>
      </c>
      <c r="C415" s="140" t="inlineStr">
        <is>
          <t>AR</t>
        </is>
      </c>
      <c r="D415" s="140" t="inlineStr">
        <is>
          <t>Raincity Tech</t>
        </is>
      </c>
      <c r="E415" s="140" t="inlineStr">
        <is>
          <t>REF-100412</t>
        </is>
      </c>
      <c r="F415" s="142" t="n">
        <v>7302.81</v>
      </c>
      <c r="G415" s="143">
        <f>IFERROR(XLOOKUP(E415,Bank_Statement!$D$4:$D$448,Bank_Statement!$G$4:$G$448,""),"")</f>
        <v/>
      </c>
      <c r="H415" s="142">
        <f>IF(G415="","",F415-G415)</f>
        <v/>
      </c>
      <c r="I415" s="144">
        <f>IFERROR(XLOOKUP(E415,Bank_Statement!$D$4:$D$448,Bank_Statement!$B$4:$B$448,""),"")</f>
        <v/>
      </c>
      <c r="J415" s="145">
        <f>IF(I415="","",ABS(B415-I415))</f>
        <v/>
      </c>
      <c r="K415" s="146">
        <f>IF(G415="","Unmatched ERP",IF(AND(ABS(H415)&lt;=Mapping_Rules!$B$4,ABS(J415)&lt;=Mapping_Rules!$B$5),"Matched","Review"))</f>
        <v/>
      </c>
      <c r="L415" s="146">
        <f>IF(K415="Matched","None",IF(G415="","Missing from bank",IF(ABS(H415)&gt;Mapping_Rules!$B$4,"Amount variance","Date variance")))</f>
        <v/>
      </c>
      <c r="M415" s="146">
        <f>IF(K415="Matched","Low",IF(OR(IFERROR(ABS(H415),0)&gt;Mapping_Rules!$B$7,IFERROR(J415,0)&gt;Mapping_Rules!$B$8),"High","Medium"))</f>
        <v/>
      </c>
      <c r="N415" s="146">
        <f>IF(K415="Matched","No action needed",IF(L415="Missing from bank","Check bank date or posting",IF(L415="Amount variance","Check invoice/payment amount","Check timing difference")))</f>
        <v/>
      </c>
      <c r="O415" s="140" t="inlineStr">
        <is>
          <t>1200 AR</t>
        </is>
      </c>
      <c r="P415" s="140" t="inlineStr">
        <is>
          <t>AR Clerk</t>
        </is>
      </c>
      <c r="Q415" s="140" t="inlineStr">
        <is>
          <t>No</t>
        </is>
      </c>
      <c r="R415" s="147" t="str"/>
      <c r="S415" s="148">
        <f>IF(K415="Matched",0,Mapping_Rules!$B$6-B415)</f>
        <v/>
      </c>
    </row>
    <row r="416">
      <c r="A416" s="115" t="inlineStr">
        <is>
          <t>ERP-00413</t>
        </is>
      </c>
      <c r="B416" s="125" t="n">
        <v>46023</v>
      </c>
      <c r="C416" s="115" t="inlineStr">
        <is>
          <t>GL</t>
        </is>
      </c>
      <c r="D416" s="115" t="inlineStr">
        <is>
          <t>Raincity Tech</t>
        </is>
      </c>
      <c r="E416" s="115" t="inlineStr">
        <is>
          <t>REF-100413</t>
        </is>
      </c>
      <c r="F416" s="126" t="n">
        <v>-2958.5</v>
      </c>
      <c r="G416" s="134">
        <f>IFERROR(XLOOKUP(E416,Bank_Statement!$D$4:$D$448,Bank_Statement!$G$4:$G$448,""),"")</f>
        <v/>
      </c>
      <c r="H416" s="126">
        <f>IF(G416="","",F416-G416)</f>
        <v/>
      </c>
      <c r="I416" s="135">
        <f>IFERROR(XLOOKUP(E416,Bank_Statement!$D$4:$D$448,Bank_Statement!$B$4:$B$448,""),"")</f>
        <v/>
      </c>
      <c r="J416" s="136">
        <f>IF(I416="","",ABS(B416-I416))</f>
        <v/>
      </c>
      <c r="K416" s="137">
        <f>IF(G416="","Unmatched ERP",IF(AND(ABS(H416)&lt;=Mapping_Rules!$B$4,ABS(J416)&lt;=Mapping_Rules!$B$5),"Matched","Review"))</f>
        <v/>
      </c>
      <c r="L416" s="137">
        <f>IF(K416="Matched","None",IF(G416="","Missing from bank",IF(ABS(H416)&gt;Mapping_Rules!$B$4,"Amount variance","Date variance")))</f>
        <v/>
      </c>
      <c r="M416" s="137">
        <f>IF(K416="Matched","Low",IF(OR(IFERROR(ABS(H416),0)&gt;Mapping_Rules!$B$7,IFERROR(J416,0)&gt;Mapping_Rules!$B$8),"High","Medium"))</f>
        <v/>
      </c>
      <c r="N416" s="137">
        <f>IF(K416="Matched","No action needed",IF(L416="Missing from bank","Check bank date or posting",IF(L416="Amount variance","Check invoice/payment amount","Check timing difference")))</f>
        <v/>
      </c>
      <c r="O416" s="115" t="inlineStr">
        <is>
          <t>1200 AR</t>
        </is>
      </c>
      <c r="P416" s="115" t="inlineStr">
        <is>
          <t>Accounting Technician</t>
        </is>
      </c>
      <c r="Q416" s="115" t="inlineStr">
        <is>
          <t>No</t>
        </is>
      </c>
      <c r="R416" s="138" t="str"/>
      <c r="S416" s="139">
        <f>IF(K416="Matched",0,Mapping_Rules!$B$6-B416)</f>
        <v/>
      </c>
    </row>
    <row r="417">
      <c r="A417" s="140" t="inlineStr">
        <is>
          <t>ERP-00414</t>
        </is>
      </c>
      <c r="B417" s="141" t="n">
        <v>46041</v>
      </c>
      <c r="C417" s="140" t="inlineStr">
        <is>
          <t>GL</t>
        </is>
      </c>
      <c r="D417" s="140" t="inlineStr">
        <is>
          <t>Harbour Design Co.</t>
        </is>
      </c>
      <c r="E417" s="140" t="inlineStr">
        <is>
          <t>REF-100414</t>
        </is>
      </c>
      <c r="F417" s="142" t="n">
        <v>-1466.16</v>
      </c>
      <c r="G417" s="143">
        <f>IFERROR(XLOOKUP(E417,Bank_Statement!$D$4:$D$448,Bank_Statement!$G$4:$G$448,""),"")</f>
        <v/>
      </c>
      <c r="H417" s="142">
        <f>IF(G417="","",F417-G417)</f>
        <v/>
      </c>
      <c r="I417" s="144">
        <f>IFERROR(XLOOKUP(E417,Bank_Statement!$D$4:$D$448,Bank_Statement!$B$4:$B$448,""),"")</f>
        <v/>
      </c>
      <c r="J417" s="145">
        <f>IF(I417="","",ABS(B417-I417))</f>
        <v/>
      </c>
      <c r="K417" s="146">
        <f>IF(G417="","Unmatched ERP",IF(AND(ABS(H417)&lt;=Mapping_Rules!$B$4,ABS(J417)&lt;=Mapping_Rules!$B$5),"Matched","Review"))</f>
        <v/>
      </c>
      <c r="L417" s="146">
        <f>IF(K417="Matched","None",IF(G417="","Missing from bank",IF(ABS(H417)&gt;Mapping_Rules!$B$4,"Amount variance","Date variance")))</f>
        <v/>
      </c>
      <c r="M417" s="146">
        <f>IF(K417="Matched","Low",IF(OR(IFERROR(ABS(H417),0)&gt;Mapping_Rules!$B$7,IFERROR(J417,0)&gt;Mapping_Rules!$B$8),"High","Medium"))</f>
        <v/>
      </c>
      <c r="N417" s="146">
        <f>IF(K417="Matched","No action needed",IF(L417="Missing from bank","Check bank date or posting",IF(L417="Amount variance","Check invoice/payment amount","Check timing difference")))</f>
        <v/>
      </c>
      <c r="O417" s="140" t="inlineStr">
        <is>
          <t>5200 Software</t>
        </is>
      </c>
      <c r="P417" s="140" t="inlineStr">
        <is>
          <t>Accounting Technician</t>
        </is>
      </c>
      <c r="Q417" s="140" t="inlineStr">
        <is>
          <t>No</t>
        </is>
      </c>
      <c r="R417" s="147" t="str"/>
      <c r="S417" s="148">
        <f>IF(K417="Matched",0,Mapping_Rules!$B$6-B417)</f>
        <v/>
      </c>
    </row>
    <row r="418">
      <c r="A418" s="115" t="inlineStr">
        <is>
          <t>ERP-00415</t>
        </is>
      </c>
      <c r="B418" s="125" t="n">
        <v>46038</v>
      </c>
      <c r="C418" s="115" t="inlineStr">
        <is>
          <t>AP</t>
        </is>
      </c>
      <c r="D418" s="115" t="inlineStr">
        <is>
          <t>Metro Cleaning Ltd.</t>
        </is>
      </c>
      <c r="E418" s="115" t="inlineStr">
        <is>
          <t>REF-100415</t>
        </is>
      </c>
      <c r="F418" s="126" t="n">
        <v>-2546.2</v>
      </c>
      <c r="G418" s="134">
        <f>IFERROR(XLOOKUP(E418,Bank_Statement!$D$4:$D$448,Bank_Statement!$G$4:$G$448,""),"")</f>
        <v/>
      </c>
      <c r="H418" s="126">
        <f>IF(G418="","",F418-G418)</f>
        <v/>
      </c>
      <c r="I418" s="135">
        <f>IFERROR(XLOOKUP(E418,Bank_Statement!$D$4:$D$448,Bank_Statement!$B$4:$B$448,""),"")</f>
        <v/>
      </c>
      <c r="J418" s="136">
        <f>IF(I418="","",ABS(B418-I418))</f>
        <v/>
      </c>
      <c r="K418" s="137">
        <f>IF(G418="","Unmatched ERP",IF(AND(ABS(H418)&lt;=Mapping_Rules!$B$4,ABS(J418)&lt;=Mapping_Rules!$B$5),"Matched","Review"))</f>
        <v/>
      </c>
      <c r="L418" s="137">
        <f>IF(K418="Matched","None",IF(G418="","Missing from bank",IF(ABS(H418)&gt;Mapping_Rules!$B$4,"Amount variance","Date variance")))</f>
        <v/>
      </c>
      <c r="M418" s="137">
        <f>IF(K418="Matched","Low",IF(OR(IFERROR(ABS(H418),0)&gt;Mapping_Rules!$B$7,IFERROR(J418,0)&gt;Mapping_Rules!$B$8),"High","Medium"))</f>
        <v/>
      </c>
      <c r="N418" s="137">
        <f>IF(K418="Matched","No action needed",IF(L418="Missing from bank","Check bank date or posting",IF(L418="Amount variance","Check invoice/payment amount","Check timing difference")))</f>
        <v/>
      </c>
      <c r="O418" s="115" t="inlineStr">
        <is>
          <t>2000 AP</t>
        </is>
      </c>
      <c r="P418" s="115" t="inlineStr">
        <is>
          <t>AP Clerk</t>
        </is>
      </c>
      <c r="Q418" s="115" t="inlineStr">
        <is>
          <t>No</t>
        </is>
      </c>
      <c r="R418" s="138" t="str"/>
      <c r="S418" s="139">
        <f>IF(K418="Matched",0,Mapping_Rules!$B$6-B418)</f>
        <v/>
      </c>
    </row>
    <row r="419">
      <c r="A419" s="140" t="inlineStr">
        <is>
          <t>ERP-00416</t>
        </is>
      </c>
      <c r="B419" s="141" t="n">
        <v>46045</v>
      </c>
      <c r="C419" s="140" t="inlineStr">
        <is>
          <t>AP</t>
        </is>
      </c>
      <c r="D419" s="140" t="inlineStr">
        <is>
          <t>Staples Canada</t>
        </is>
      </c>
      <c r="E419" s="140" t="inlineStr">
        <is>
          <t>REF-100416</t>
        </is>
      </c>
      <c r="F419" s="142" t="n">
        <v>-2988.34</v>
      </c>
      <c r="G419" s="143">
        <f>IFERROR(XLOOKUP(E419,Bank_Statement!$D$4:$D$448,Bank_Statement!$G$4:$G$448,""),"")</f>
        <v/>
      </c>
      <c r="H419" s="142">
        <f>IF(G419="","",F419-G419)</f>
        <v/>
      </c>
      <c r="I419" s="144">
        <f>IFERROR(XLOOKUP(E419,Bank_Statement!$D$4:$D$448,Bank_Statement!$B$4:$B$448,""),"")</f>
        <v/>
      </c>
      <c r="J419" s="145">
        <f>IF(I419="","",ABS(B419-I419))</f>
        <v/>
      </c>
      <c r="K419" s="146">
        <f>IF(G419="","Unmatched ERP",IF(AND(ABS(H419)&lt;=Mapping_Rules!$B$4,ABS(J419)&lt;=Mapping_Rules!$B$5),"Matched","Review"))</f>
        <v/>
      </c>
      <c r="L419" s="146">
        <f>IF(K419="Matched","None",IF(G419="","Missing from bank",IF(ABS(H419)&gt;Mapping_Rules!$B$4,"Amount variance","Date variance")))</f>
        <v/>
      </c>
      <c r="M419" s="146">
        <f>IF(K419="Matched","Low",IF(OR(IFERROR(ABS(H419),0)&gt;Mapping_Rules!$B$7,IFERROR(J419,0)&gt;Mapping_Rules!$B$8),"High","Medium"))</f>
        <v/>
      </c>
      <c r="N419" s="146">
        <f>IF(K419="Matched","No action needed",IF(L419="Missing from bank","Check bank date or posting",IF(L419="Amount variance","Check invoice/payment amount","Check timing difference")))</f>
        <v/>
      </c>
      <c r="O419" s="140" t="inlineStr">
        <is>
          <t>2000 AP</t>
        </is>
      </c>
      <c r="P419" s="140" t="inlineStr">
        <is>
          <t>AP Clerk</t>
        </is>
      </c>
      <c r="Q419" s="140" t="inlineStr">
        <is>
          <t>No</t>
        </is>
      </c>
      <c r="R419" s="147" t="str"/>
      <c r="S419" s="148">
        <f>IF(K419="Matched",0,Mapping_Rules!$B$6-B419)</f>
        <v/>
      </c>
    </row>
    <row r="420">
      <c r="A420" s="115" t="inlineStr">
        <is>
          <t>ERP-00417</t>
        </is>
      </c>
      <c r="B420" s="125" t="n">
        <v>46049</v>
      </c>
      <c r="C420" s="115" t="inlineStr">
        <is>
          <t>AR</t>
        </is>
      </c>
      <c r="D420" s="115" t="inlineStr">
        <is>
          <t>Harbour Design Co.</t>
        </is>
      </c>
      <c r="E420" s="115" t="inlineStr">
        <is>
          <t>REF-100417</t>
        </is>
      </c>
      <c r="F420" s="126" t="n">
        <v>5868.51</v>
      </c>
      <c r="G420" s="134">
        <f>IFERROR(XLOOKUP(E420,Bank_Statement!$D$4:$D$448,Bank_Statement!$G$4:$G$448,""),"")</f>
        <v/>
      </c>
      <c r="H420" s="126">
        <f>IF(G420="","",F420-G420)</f>
        <v/>
      </c>
      <c r="I420" s="135">
        <f>IFERROR(XLOOKUP(E420,Bank_Statement!$D$4:$D$448,Bank_Statement!$B$4:$B$448,""),"")</f>
        <v/>
      </c>
      <c r="J420" s="136">
        <f>IF(I420="","",ABS(B420-I420))</f>
        <v/>
      </c>
      <c r="K420" s="137">
        <f>IF(G420="","Unmatched ERP",IF(AND(ABS(H420)&lt;=Mapping_Rules!$B$4,ABS(J420)&lt;=Mapping_Rules!$B$5),"Matched","Review"))</f>
        <v/>
      </c>
      <c r="L420" s="137">
        <f>IF(K420="Matched","None",IF(G420="","Missing from bank",IF(ABS(H420)&gt;Mapping_Rules!$B$4,"Amount variance","Date variance")))</f>
        <v/>
      </c>
      <c r="M420" s="137">
        <f>IF(K420="Matched","Low",IF(OR(IFERROR(ABS(H420),0)&gt;Mapping_Rules!$B$7,IFERROR(J420,0)&gt;Mapping_Rules!$B$8),"High","Medium"))</f>
        <v/>
      </c>
      <c r="N420" s="137">
        <f>IF(K420="Matched","No action needed",IF(L420="Missing from bank","Check bank date or posting",IF(L420="Amount variance","Check invoice/payment amount","Check timing difference")))</f>
        <v/>
      </c>
      <c r="O420" s="115" t="inlineStr">
        <is>
          <t>1200 AR</t>
        </is>
      </c>
      <c r="P420" s="115" t="inlineStr">
        <is>
          <t>AR Clerk</t>
        </is>
      </c>
      <c r="Q420" s="115" t="inlineStr">
        <is>
          <t>No</t>
        </is>
      </c>
      <c r="R420" s="138" t="str"/>
      <c r="S420" s="139">
        <f>IF(K420="Matched",0,Mapping_Rules!$B$6-B420)</f>
        <v/>
      </c>
    </row>
    <row r="421">
      <c r="A421" s="140" t="inlineStr">
        <is>
          <t>ERP-00418</t>
        </is>
      </c>
      <c r="B421" s="141" t="n">
        <v>46033</v>
      </c>
      <c r="C421" s="140" t="inlineStr">
        <is>
          <t>AP</t>
        </is>
      </c>
      <c r="D421" s="140" t="inlineStr">
        <is>
          <t>BC Hydro</t>
        </is>
      </c>
      <c r="E421" s="140" t="inlineStr">
        <is>
          <t>REF-100418</t>
        </is>
      </c>
      <c r="F421" s="142" t="n">
        <v>-3782.47</v>
      </c>
      <c r="G421" s="143">
        <f>IFERROR(XLOOKUP(E421,Bank_Statement!$D$4:$D$448,Bank_Statement!$G$4:$G$448,""),"")</f>
        <v/>
      </c>
      <c r="H421" s="142">
        <f>IF(G421="","",F421-G421)</f>
        <v/>
      </c>
      <c r="I421" s="144">
        <f>IFERROR(XLOOKUP(E421,Bank_Statement!$D$4:$D$448,Bank_Statement!$B$4:$B$448,""),"")</f>
        <v/>
      </c>
      <c r="J421" s="145">
        <f>IF(I421="","",ABS(B421-I421))</f>
        <v/>
      </c>
      <c r="K421" s="146">
        <f>IF(G421="","Unmatched ERP",IF(AND(ABS(H421)&lt;=Mapping_Rules!$B$4,ABS(J421)&lt;=Mapping_Rules!$B$5),"Matched","Review"))</f>
        <v/>
      </c>
      <c r="L421" s="146">
        <f>IF(K421="Matched","None",IF(G421="","Missing from bank",IF(ABS(H421)&gt;Mapping_Rules!$B$4,"Amount variance","Date variance")))</f>
        <v/>
      </c>
      <c r="M421" s="146">
        <f>IF(K421="Matched","Low",IF(OR(IFERROR(ABS(H421),0)&gt;Mapping_Rules!$B$7,IFERROR(J421,0)&gt;Mapping_Rules!$B$8),"High","Medium"))</f>
        <v/>
      </c>
      <c r="N421" s="146">
        <f>IF(K421="Matched","No action needed",IF(L421="Missing from bank","Check bank date or posting",IF(L421="Amount variance","Check invoice/payment amount","Check timing difference")))</f>
        <v/>
      </c>
      <c r="O421" s="140" t="inlineStr">
        <is>
          <t>2000 AP</t>
        </is>
      </c>
      <c r="P421" s="140" t="inlineStr">
        <is>
          <t>AP Clerk</t>
        </is>
      </c>
      <c r="Q421" s="140" t="inlineStr">
        <is>
          <t>No</t>
        </is>
      </c>
      <c r="R421" s="147" t="str"/>
      <c r="S421" s="148">
        <f>IF(K421="Matched",0,Mapping_Rules!$B$6-B421)</f>
        <v/>
      </c>
    </row>
    <row r="422">
      <c r="A422" s="115" t="inlineStr">
        <is>
          <t>ERP-00419</t>
        </is>
      </c>
      <c r="B422" s="125" t="n">
        <v>46047</v>
      </c>
      <c r="C422" s="115" t="inlineStr">
        <is>
          <t>AR</t>
        </is>
      </c>
      <c r="D422" s="115" t="inlineStr">
        <is>
          <t>Raincity Tech</t>
        </is>
      </c>
      <c r="E422" s="115" t="inlineStr">
        <is>
          <t>REF-100419</t>
        </is>
      </c>
      <c r="F422" s="126" t="n">
        <v>7005.5</v>
      </c>
      <c r="G422" s="134">
        <f>IFERROR(XLOOKUP(E422,Bank_Statement!$D$4:$D$448,Bank_Statement!$G$4:$G$448,""),"")</f>
        <v/>
      </c>
      <c r="H422" s="126">
        <f>IF(G422="","",F422-G422)</f>
        <v/>
      </c>
      <c r="I422" s="135">
        <f>IFERROR(XLOOKUP(E422,Bank_Statement!$D$4:$D$448,Bank_Statement!$B$4:$B$448,""),"")</f>
        <v/>
      </c>
      <c r="J422" s="136">
        <f>IF(I422="","",ABS(B422-I422))</f>
        <v/>
      </c>
      <c r="K422" s="137">
        <f>IF(G422="","Unmatched ERP",IF(AND(ABS(H422)&lt;=Mapping_Rules!$B$4,ABS(J422)&lt;=Mapping_Rules!$B$5),"Matched","Review"))</f>
        <v/>
      </c>
      <c r="L422" s="137">
        <f>IF(K422="Matched","None",IF(G422="","Missing from bank",IF(ABS(H422)&gt;Mapping_Rules!$B$4,"Amount variance","Date variance")))</f>
        <v/>
      </c>
      <c r="M422" s="137">
        <f>IF(K422="Matched","Low",IF(OR(IFERROR(ABS(H422),0)&gt;Mapping_Rules!$B$7,IFERROR(J422,0)&gt;Mapping_Rules!$B$8),"High","Medium"))</f>
        <v/>
      </c>
      <c r="N422" s="137">
        <f>IF(K422="Matched","No action needed",IF(L422="Missing from bank","Check bank date or posting",IF(L422="Amount variance","Check invoice/payment amount","Check timing difference")))</f>
        <v/>
      </c>
      <c r="O422" s="115" t="inlineStr">
        <is>
          <t>1200 AR</t>
        </is>
      </c>
      <c r="P422" s="115" t="inlineStr">
        <is>
          <t>AR Clerk</t>
        </is>
      </c>
      <c r="Q422" s="115" t="inlineStr">
        <is>
          <t>No</t>
        </is>
      </c>
      <c r="R422" s="138" t="str"/>
      <c r="S422" s="139">
        <f>IF(K422="Matched",0,Mapping_Rules!$B$6-B422)</f>
        <v/>
      </c>
    </row>
    <row r="423">
      <c r="A423" s="140" t="inlineStr">
        <is>
          <t>ERP-00420</t>
        </is>
      </c>
      <c r="B423" s="141" t="n">
        <v>46050</v>
      </c>
      <c r="C423" s="140" t="inlineStr">
        <is>
          <t>AR</t>
        </is>
      </c>
      <c r="D423" s="140" t="inlineStr">
        <is>
          <t>West Van Fitness</t>
        </is>
      </c>
      <c r="E423" s="140" t="inlineStr">
        <is>
          <t>REF-100420</t>
        </is>
      </c>
      <c r="F423" s="142" t="n">
        <v>391.72</v>
      </c>
      <c r="G423" s="143">
        <f>IFERROR(XLOOKUP(E423,Bank_Statement!$D$4:$D$448,Bank_Statement!$G$4:$G$448,""),"")</f>
        <v/>
      </c>
      <c r="H423" s="142">
        <f>IF(G423="","",F423-G423)</f>
        <v/>
      </c>
      <c r="I423" s="144">
        <f>IFERROR(XLOOKUP(E423,Bank_Statement!$D$4:$D$448,Bank_Statement!$B$4:$B$448,""),"")</f>
        <v/>
      </c>
      <c r="J423" s="145">
        <f>IF(I423="","",ABS(B423-I423))</f>
        <v/>
      </c>
      <c r="K423" s="146">
        <f>IF(G423="","Unmatched ERP",IF(AND(ABS(H423)&lt;=Mapping_Rules!$B$4,ABS(J423)&lt;=Mapping_Rules!$B$5),"Matched","Review"))</f>
        <v/>
      </c>
      <c r="L423" s="146">
        <f>IF(K423="Matched","None",IF(G423="","Missing from bank",IF(ABS(H423)&gt;Mapping_Rules!$B$4,"Amount variance","Date variance")))</f>
        <v/>
      </c>
      <c r="M423" s="146">
        <f>IF(K423="Matched","Low",IF(OR(IFERROR(ABS(H423),0)&gt;Mapping_Rules!$B$7,IFERROR(J423,0)&gt;Mapping_Rules!$B$8),"High","Medium"))</f>
        <v/>
      </c>
      <c r="N423" s="146">
        <f>IF(K423="Matched","No action needed",IF(L423="Missing from bank","Check bank date or posting",IF(L423="Amount variance","Check invoice/payment amount","Check timing difference")))</f>
        <v/>
      </c>
      <c r="O423" s="140" t="inlineStr">
        <is>
          <t>1200 AR</t>
        </is>
      </c>
      <c r="P423" s="140" t="inlineStr">
        <is>
          <t>AR Clerk</t>
        </is>
      </c>
      <c r="Q423" s="140" t="inlineStr">
        <is>
          <t>No</t>
        </is>
      </c>
      <c r="R423" s="147" t="str"/>
      <c r="S423" s="148">
        <f>IF(K423="Matched",0,Mapping_Rules!$B$6-B423)</f>
        <v/>
      </c>
    </row>
    <row r="424">
      <c r="A424" s="115" t="inlineStr">
        <is>
          <t>ERP-00421</t>
        </is>
      </c>
      <c r="B424" s="125" t="n">
        <v>46030</v>
      </c>
      <c r="C424" s="115" t="inlineStr">
        <is>
          <t>AP</t>
        </is>
      </c>
      <c r="D424" s="115" t="inlineStr">
        <is>
          <t>Pacific Office Supplies</t>
        </is>
      </c>
      <c r="E424" s="115" t="inlineStr">
        <is>
          <t>REF-100421</t>
        </is>
      </c>
      <c r="F424" s="126" t="n">
        <v>-5698.35</v>
      </c>
      <c r="G424" s="134">
        <f>IFERROR(XLOOKUP(E424,Bank_Statement!$D$4:$D$448,Bank_Statement!$G$4:$G$448,""),"")</f>
        <v/>
      </c>
      <c r="H424" s="126">
        <f>IF(G424="","",F424-G424)</f>
        <v/>
      </c>
      <c r="I424" s="135">
        <f>IFERROR(XLOOKUP(E424,Bank_Statement!$D$4:$D$448,Bank_Statement!$B$4:$B$448,""),"")</f>
        <v/>
      </c>
      <c r="J424" s="136">
        <f>IF(I424="","",ABS(B424-I424))</f>
        <v/>
      </c>
      <c r="K424" s="137">
        <f>IF(G424="","Unmatched ERP",IF(AND(ABS(H424)&lt;=Mapping_Rules!$B$4,ABS(J424)&lt;=Mapping_Rules!$B$5),"Matched","Review"))</f>
        <v/>
      </c>
      <c r="L424" s="137">
        <f>IF(K424="Matched","None",IF(G424="","Missing from bank",IF(ABS(H424)&gt;Mapping_Rules!$B$4,"Amount variance","Date variance")))</f>
        <v/>
      </c>
      <c r="M424" s="137">
        <f>IF(K424="Matched","Low",IF(OR(IFERROR(ABS(H424),0)&gt;Mapping_Rules!$B$7,IFERROR(J424,0)&gt;Mapping_Rules!$B$8),"High","Medium"))</f>
        <v/>
      </c>
      <c r="N424" s="137">
        <f>IF(K424="Matched","No action needed",IF(L424="Missing from bank","Check bank date or posting",IF(L424="Amount variance","Check invoice/payment amount","Check timing difference")))</f>
        <v/>
      </c>
      <c r="O424" s="115" t="inlineStr">
        <is>
          <t>2000 AP</t>
        </is>
      </c>
      <c r="P424" s="115" t="inlineStr">
        <is>
          <t>AP Clerk</t>
        </is>
      </c>
      <c r="Q424" s="115" t="inlineStr">
        <is>
          <t>No</t>
        </is>
      </c>
      <c r="R424" s="138" t="str"/>
      <c r="S424" s="139">
        <f>IF(K424="Matched",0,Mapping_Rules!$B$6-B424)</f>
        <v/>
      </c>
    </row>
    <row r="425">
      <c r="A425" s="140" t="inlineStr">
        <is>
          <t>ERP-00422</t>
        </is>
      </c>
      <c r="B425" s="141" t="n">
        <v>46043</v>
      </c>
      <c r="C425" s="140" t="inlineStr">
        <is>
          <t>Bank Fees</t>
        </is>
      </c>
      <c r="D425" s="140" t="inlineStr">
        <is>
          <t>Bank</t>
        </is>
      </c>
      <c r="E425" s="140" t="inlineStr">
        <is>
          <t>REF-100422</t>
        </is>
      </c>
      <c r="F425" s="142" t="n">
        <v>-83.34</v>
      </c>
      <c r="G425" s="143">
        <f>IFERROR(XLOOKUP(E425,Bank_Statement!$D$4:$D$448,Bank_Statement!$G$4:$G$448,""),"")</f>
        <v/>
      </c>
      <c r="H425" s="142">
        <f>IF(G425="","",F425-G425)</f>
        <v/>
      </c>
      <c r="I425" s="144">
        <f>IFERROR(XLOOKUP(E425,Bank_Statement!$D$4:$D$448,Bank_Statement!$B$4:$B$448,""),"")</f>
        <v/>
      </c>
      <c r="J425" s="145">
        <f>IF(I425="","",ABS(B425-I425))</f>
        <v/>
      </c>
      <c r="K425" s="146">
        <f>IF(G425="","Unmatched ERP",IF(AND(ABS(H425)&lt;=Mapping_Rules!$B$4,ABS(J425)&lt;=Mapping_Rules!$B$5),"Matched","Review"))</f>
        <v/>
      </c>
      <c r="L425" s="146">
        <f>IF(K425="Matched","None",IF(G425="","Missing from bank",IF(ABS(H425)&gt;Mapping_Rules!$B$4,"Amount variance","Date variance")))</f>
        <v/>
      </c>
      <c r="M425" s="146">
        <f>IF(K425="Matched","Low",IF(OR(IFERROR(ABS(H425),0)&gt;Mapping_Rules!$B$7,IFERROR(J425,0)&gt;Mapping_Rules!$B$8),"High","Medium"))</f>
        <v/>
      </c>
      <c r="N425" s="146">
        <f>IF(K425="Matched","No action needed",IF(L425="Missing from bank","Check bank date or posting",IF(L425="Amount variance","Check invoice/payment amount","Check timing difference")))</f>
        <v/>
      </c>
      <c r="O425" s="140" t="inlineStr">
        <is>
          <t>6100 Bank Fees</t>
        </is>
      </c>
      <c r="P425" s="140" t="inlineStr">
        <is>
          <t>Accounting Technician</t>
        </is>
      </c>
      <c r="Q425" s="140" t="inlineStr">
        <is>
          <t>No</t>
        </is>
      </c>
      <c r="R425" s="147" t="str"/>
      <c r="S425" s="148">
        <f>IF(K425="Matched",0,Mapping_Rules!$B$6-B425)</f>
        <v/>
      </c>
    </row>
    <row r="426">
      <c r="A426" s="115" t="inlineStr">
        <is>
          <t>ERP-00423</t>
        </is>
      </c>
      <c r="B426" s="125" t="n">
        <v>46050</v>
      </c>
      <c r="C426" s="115" t="inlineStr">
        <is>
          <t>AR</t>
        </is>
      </c>
      <c r="D426" s="115" t="inlineStr">
        <is>
          <t>West Van Fitness</t>
        </is>
      </c>
      <c r="E426" s="115" t="inlineStr">
        <is>
          <t>REF-100423</t>
        </is>
      </c>
      <c r="F426" s="126" t="n">
        <v>3070.5</v>
      </c>
      <c r="G426" s="134">
        <f>IFERROR(XLOOKUP(E426,Bank_Statement!$D$4:$D$448,Bank_Statement!$G$4:$G$448,""),"")</f>
        <v/>
      </c>
      <c r="H426" s="126">
        <f>IF(G426="","",F426-G426)</f>
        <v/>
      </c>
      <c r="I426" s="135">
        <f>IFERROR(XLOOKUP(E426,Bank_Statement!$D$4:$D$448,Bank_Statement!$B$4:$B$448,""),"")</f>
        <v/>
      </c>
      <c r="J426" s="136">
        <f>IF(I426="","",ABS(B426-I426))</f>
        <v/>
      </c>
      <c r="K426" s="137">
        <f>IF(G426="","Unmatched ERP",IF(AND(ABS(H426)&lt;=Mapping_Rules!$B$4,ABS(J426)&lt;=Mapping_Rules!$B$5),"Matched","Review"))</f>
        <v/>
      </c>
      <c r="L426" s="137">
        <f>IF(K426="Matched","None",IF(G426="","Missing from bank",IF(ABS(H426)&gt;Mapping_Rules!$B$4,"Amount variance","Date variance")))</f>
        <v/>
      </c>
      <c r="M426" s="137">
        <f>IF(K426="Matched","Low",IF(OR(IFERROR(ABS(H426),0)&gt;Mapping_Rules!$B$7,IFERROR(J426,0)&gt;Mapping_Rules!$B$8),"High","Medium"))</f>
        <v/>
      </c>
      <c r="N426" s="137">
        <f>IF(K426="Matched","No action needed",IF(L426="Missing from bank","Check bank date or posting",IF(L426="Amount variance","Check invoice/payment amount","Check timing difference")))</f>
        <v/>
      </c>
      <c r="O426" s="115" t="inlineStr">
        <is>
          <t>1200 AR</t>
        </is>
      </c>
      <c r="P426" s="115" t="inlineStr">
        <is>
          <t>AR Clerk</t>
        </is>
      </c>
      <c r="Q426" s="115" t="inlineStr">
        <is>
          <t>No</t>
        </is>
      </c>
      <c r="R426" s="138" t="str"/>
      <c r="S426" s="139">
        <f>IF(K426="Matched",0,Mapping_Rules!$B$6-B426)</f>
        <v/>
      </c>
    </row>
    <row r="427">
      <c r="A427" s="140" t="inlineStr">
        <is>
          <t>ERP-00424</t>
        </is>
      </c>
      <c r="B427" s="141" t="n">
        <v>46035</v>
      </c>
      <c r="C427" s="140" t="inlineStr">
        <is>
          <t>AP</t>
        </is>
      </c>
      <c r="D427" s="140" t="inlineStr">
        <is>
          <t>Vancouver Courier</t>
        </is>
      </c>
      <c r="E427" s="140" t="inlineStr">
        <is>
          <t>REF-100424</t>
        </is>
      </c>
      <c r="F427" s="142" t="n">
        <v>-3582.22</v>
      </c>
      <c r="G427" s="143">
        <f>IFERROR(XLOOKUP(E427,Bank_Statement!$D$4:$D$448,Bank_Statement!$G$4:$G$448,""),"")</f>
        <v/>
      </c>
      <c r="H427" s="142">
        <f>IF(G427="","",F427-G427)</f>
        <v/>
      </c>
      <c r="I427" s="144">
        <f>IFERROR(XLOOKUP(E427,Bank_Statement!$D$4:$D$448,Bank_Statement!$B$4:$B$448,""),"")</f>
        <v/>
      </c>
      <c r="J427" s="145">
        <f>IF(I427="","",ABS(B427-I427))</f>
        <v/>
      </c>
      <c r="K427" s="146">
        <f>IF(G427="","Unmatched ERP",IF(AND(ABS(H427)&lt;=Mapping_Rules!$B$4,ABS(J427)&lt;=Mapping_Rules!$B$5),"Matched","Review"))</f>
        <v/>
      </c>
      <c r="L427" s="146">
        <f>IF(K427="Matched","None",IF(G427="","Missing from bank",IF(ABS(H427)&gt;Mapping_Rules!$B$4,"Amount variance","Date variance")))</f>
        <v/>
      </c>
      <c r="M427" s="146">
        <f>IF(K427="Matched","Low",IF(OR(IFERROR(ABS(H427),0)&gt;Mapping_Rules!$B$7,IFERROR(J427,0)&gt;Mapping_Rules!$B$8),"High","Medium"))</f>
        <v/>
      </c>
      <c r="N427" s="146">
        <f>IF(K427="Matched","No action needed",IF(L427="Missing from bank","Check bank date or posting",IF(L427="Amount variance","Check invoice/payment amount","Check timing difference")))</f>
        <v/>
      </c>
      <c r="O427" s="140" t="inlineStr">
        <is>
          <t>2000 AP</t>
        </is>
      </c>
      <c r="P427" s="140" t="inlineStr">
        <is>
          <t>AP Clerk</t>
        </is>
      </c>
      <c r="Q427" s="140" t="inlineStr">
        <is>
          <t>No</t>
        </is>
      </c>
      <c r="R427" s="147" t="str"/>
      <c r="S427" s="148">
        <f>IF(K427="Matched",0,Mapping_Rules!$B$6-B427)</f>
        <v/>
      </c>
    </row>
    <row r="428">
      <c r="A428" s="115" t="inlineStr">
        <is>
          <t>ERP-00425</t>
        </is>
      </c>
      <c r="B428" s="125" t="n">
        <v>46036</v>
      </c>
      <c r="C428" s="115" t="inlineStr">
        <is>
          <t>AR</t>
        </is>
      </c>
      <c r="D428" s="115" t="inlineStr">
        <is>
          <t>Harbour Design Co.</t>
        </is>
      </c>
      <c r="E428" s="115" t="inlineStr">
        <is>
          <t>REF-100425</t>
        </is>
      </c>
      <c r="F428" s="126" t="n">
        <v>224.3</v>
      </c>
      <c r="G428" s="134">
        <f>IFERROR(XLOOKUP(E428,Bank_Statement!$D$4:$D$448,Bank_Statement!$G$4:$G$448,""),"")</f>
        <v/>
      </c>
      <c r="H428" s="126">
        <f>IF(G428="","",F428-G428)</f>
        <v/>
      </c>
      <c r="I428" s="135">
        <f>IFERROR(XLOOKUP(E428,Bank_Statement!$D$4:$D$448,Bank_Statement!$B$4:$B$448,""),"")</f>
        <v/>
      </c>
      <c r="J428" s="136">
        <f>IF(I428="","",ABS(B428-I428))</f>
        <v/>
      </c>
      <c r="K428" s="137">
        <f>IF(G428="","Unmatched ERP",IF(AND(ABS(H428)&lt;=Mapping_Rules!$B$4,ABS(J428)&lt;=Mapping_Rules!$B$5),"Matched","Review"))</f>
        <v/>
      </c>
      <c r="L428" s="137">
        <f>IF(K428="Matched","None",IF(G428="","Missing from bank",IF(ABS(H428)&gt;Mapping_Rules!$B$4,"Amount variance","Date variance")))</f>
        <v/>
      </c>
      <c r="M428" s="137">
        <f>IF(K428="Matched","Low",IF(OR(IFERROR(ABS(H428),0)&gt;Mapping_Rules!$B$7,IFERROR(J428,0)&gt;Mapping_Rules!$B$8),"High","Medium"))</f>
        <v/>
      </c>
      <c r="N428" s="137">
        <f>IF(K428="Matched","No action needed",IF(L428="Missing from bank","Check bank date or posting",IF(L428="Amount variance","Check invoice/payment amount","Check timing difference")))</f>
        <v/>
      </c>
      <c r="O428" s="115" t="inlineStr">
        <is>
          <t>1200 AR</t>
        </is>
      </c>
      <c r="P428" s="115" t="inlineStr">
        <is>
          <t>AR Clerk</t>
        </is>
      </c>
      <c r="Q428" s="115" t="inlineStr">
        <is>
          <t>No</t>
        </is>
      </c>
      <c r="R428" s="138" t="str"/>
      <c r="S428" s="139">
        <f>IF(K428="Matched",0,Mapping_Rules!$B$6-B428)</f>
        <v/>
      </c>
    </row>
    <row r="429">
      <c r="A429" s="140" t="inlineStr">
        <is>
          <t>ERP-00426</t>
        </is>
      </c>
      <c r="B429" s="141" t="n">
        <v>46042</v>
      </c>
      <c r="C429" s="140" t="inlineStr">
        <is>
          <t>Payroll</t>
        </is>
      </c>
      <c r="D429" s="140" t="inlineStr">
        <is>
          <t>Payroll Batch</t>
        </is>
      </c>
      <c r="E429" s="140" t="inlineStr">
        <is>
          <t>REF-100426</t>
        </is>
      </c>
      <c r="F429" s="142" t="n">
        <v>-6929.17</v>
      </c>
      <c r="G429" s="143">
        <f>IFERROR(XLOOKUP(E429,Bank_Statement!$D$4:$D$448,Bank_Statement!$G$4:$G$448,""),"")</f>
        <v/>
      </c>
      <c r="H429" s="142">
        <f>IF(G429="","",F429-G429)</f>
        <v/>
      </c>
      <c r="I429" s="144">
        <f>IFERROR(XLOOKUP(E429,Bank_Statement!$D$4:$D$448,Bank_Statement!$B$4:$B$448,""),"")</f>
        <v/>
      </c>
      <c r="J429" s="145">
        <f>IF(I429="","",ABS(B429-I429))</f>
        <v/>
      </c>
      <c r="K429" s="146">
        <f>IF(G429="","Unmatched ERP",IF(AND(ABS(H429)&lt;=Mapping_Rules!$B$4,ABS(J429)&lt;=Mapping_Rules!$B$5),"Matched","Review"))</f>
        <v/>
      </c>
      <c r="L429" s="146">
        <f>IF(K429="Matched","None",IF(G429="","Missing from bank",IF(ABS(H429)&gt;Mapping_Rules!$B$4,"Amount variance","Date variance")))</f>
        <v/>
      </c>
      <c r="M429" s="146">
        <f>IF(K429="Matched","Low",IF(OR(IFERROR(ABS(H429),0)&gt;Mapping_Rules!$B$7,IFERROR(J429,0)&gt;Mapping_Rules!$B$8),"High","Medium"))</f>
        <v/>
      </c>
      <c r="N429" s="146">
        <f>IF(K429="Matched","No action needed",IF(L429="Missing from bank","Check bank date or posting",IF(L429="Amount variance","Check invoice/payment amount","Check timing difference")))</f>
        <v/>
      </c>
      <c r="O429" s="140" t="inlineStr">
        <is>
          <t>5300 Payroll</t>
        </is>
      </c>
      <c r="P429" s="140" t="inlineStr">
        <is>
          <t>Accounting Technician</t>
        </is>
      </c>
      <c r="Q429" s="140" t="inlineStr">
        <is>
          <t>No</t>
        </is>
      </c>
      <c r="R429" s="147" t="str"/>
      <c r="S429" s="148">
        <f>IF(K429="Matched",0,Mapping_Rules!$B$6-B429)</f>
        <v/>
      </c>
    </row>
    <row r="430">
      <c r="A430" s="115" t="inlineStr">
        <is>
          <t>ERP-00427</t>
        </is>
      </c>
      <c r="B430" s="125" t="n">
        <v>46050</v>
      </c>
      <c r="C430" s="115" t="inlineStr">
        <is>
          <t>AP</t>
        </is>
      </c>
      <c r="D430" s="115" t="inlineStr">
        <is>
          <t>Metro Cleaning Ltd.</t>
        </is>
      </c>
      <c r="E430" s="115" t="inlineStr">
        <is>
          <t>REF-100427</t>
        </is>
      </c>
      <c r="F430" s="126" t="n">
        <v>-1415.44</v>
      </c>
      <c r="G430" s="134">
        <f>IFERROR(XLOOKUP(E430,Bank_Statement!$D$4:$D$448,Bank_Statement!$G$4:$G$448,""),"")</f>
        <v/>
      </c>
      <c r="H430" s="126">
        <f>IF(G430="","",F430-G430)</f>
        <v/>
      </c>
      <c r="I430" s="135">
        <f>IFERROR(XLOOKUP(E430,Bank_Statement!$D$4:$D$448,Bank_Statement!$B$4:$B$448,""),"")</f>
        <v/>
      </c>
      <c r="J430" s="136">
        <f>IF(I430="","",ABS(B430-I430))</f>
        <v/>
      </c>
      <c r="K430" s="137">
        <f>IF(G430="","Unmatched ERP",IF(AND(ABS(H430)&lt;=Mapping_Rules!$B$4,ABS(J430)&lt;=Mapping_Rules!$B$5),"Matched","Review"))</f>
        <v/>
      </c>
      <c r="L430" s="137">
        <f>IF(K430="Matched","None",IF(G430="","Missing from bank",IF(ABS(H430)&gt;Mapping_Rules!$B$4,"Amount variance","Date variance")))</f>
        <v/>
      </c>
      <c r="M430" s="137">
        <f>IF(K430="Matched","Low",IF(OR(IFERROR(ABS(H430),0)&gt;Mapping_Rules!$B$7,IFERROR(J430,0)&gt;Mapping_Rules!$B$8),"High","Medium"))</f>
        <v/>
      </c>
      <c r="N430" s="137">
        <f>IF(K430="Matched","No action needed",IF(L430="Missing from bank","Check bank date or posting",IF(L430="Amount variance","Check invoice/payment amount","Check timing difference")))</f>
        <v/>
      </c>
      <c r="O430" s="115" t="inlineStr">
        <is>
          <t>2000 AP</t>
        </is>
      </c>
      <c r="P430" s="115" t="inlineStr">
        <is>
          <t>AP Clerk</t>
        </is>
      </c>
      <c r="Q430" s="115" t="inlineStr">
        <is>
          <t>No</t>
        </is>
      </c>
      <c r="R430" s="138" t="str"/>
      <c r="S430" s="139">
        <f>IF(K430="Matched",0,Mapping_Rules!$B$6-B430)</f>
        <v/>
      </c>
    </row>
    <row r="431">
      <c r="A431" s="140" t="inlineStr">
        <is>
          <t>ERP-00428</t>
        </is>
      </c>
      <c r="B431" s="141" t="n">
        <v>46035</v>
      </c>
      <c r="C431" s="140" t="inlineStr">
        <is>
          <t>AR</t>
        </is>
      </c>
      <c r="D431" s="140" t="inlineStr">
        <is>
          <t>Maple Retail Group</t>
        </is>
      </c>
      <c r="E431" s="140" t="inlineStr">
        <is>
          <t>REF-100428</t>
        </is>
      </c>
      <c r="F431" s="142" t="n">
        <v>4421.14</v>
      </c>
      <c r="G431" s="143">
        <f>IFERROR(XLOOKUP(E431,Bank_Statement!$D$4:$D$448,Bank_Statement!$G$4:$G$448,""),"")</f>
        <v/>
      </c>
      <c r="H431" s="142">
        <f>IF(G431="","",F431-G431)</f>
        <v/>
      </c>
      <c r="I431" s="144">
        <f>IFERROR(XLOOKUP(E431,Bank_Statement!$D$4:$D$448,Bank_Statement!$B$4:$B$448,""),"")</f>
        <v/>
      </c>
      <c r="J431" s="145">
        <f>IF(I431="","",ABS(B431-I431))</f>
        <v/>
      </c>
      <c r="K431" s="146">
        <f>IF(G431="","Unmatched ERP",IF(AND(ABS(H431)&lt;=Mapping_Rules!$B$4,ABS(J431)&lt;=Mapping_Rules!$B$5),"Matched","Review"))</f>
        <v/>
      </c>
      <c r="L431" s="146">
        <f>IF(K431="Matched","None",IF(G431="","Missing from bank",IF(ABS(H431)&gt;Mapping_Rules!$B$4,"Amount variance","Date variance")))</f>
        <v/>
      </c>
      <c r="M431" s="146">
        <f>IF(K431="Matched","Low",IF(OR(IFERROR(ABS(H431),0)&gt;Mapping_Rules!$B$7,IFERROR(J431,0)&gt;Mapping_Rules!$B$8),"High","Medium"))</f>
        <v/>
      </c>
      <c r="N431" s="146">
        <f>IF(K431="Matched","No action needed",IF(L431="Missing from bank","Check bank date or posting",IF(L431="Amount variance","Check invoice/payment amount","Check timing difference")))</f>
        <v/>
      </c>
      <c r="O431" s="140" t="inlineStr">
        <is>
          <t>1200 AR</t>
        </is>
      </c>
      <c r="P431" s="140" t="inlineStr">
        <is>
          <t>AR Clerk</t>
        </is>
      </c>
      <c r="Q431" s="140" t="inlineStr">
        <is>
          <t>No</t>
        </is>
      </c>
      <c r="R431" s="147" t="str"/>
      <c r="S431" s="148">
        <f>IF(K431="Matched",0,Mapping_Rules!$B$6-B431)</f>
        <v/>
      </c>
    </row>
    <row r="432">
      <c r="A432" s="115" t="inlineStr">
        <is>
          <t>ERP-00429</t>
        </is>
      </c>
      <c r="B432" s="125" t="n">
        <v>46026</v>
      </c>
      <c r="C432" s="115" t="inlineStr">
        <is>
          <t>AR</t>
        </is>
      </c>
      <c r="D432" s="115" t="inlineStr">
        <is>
          <t>Raincity Tech</t>
        </is>
      </c>
      <c r="E432" s="115" t="inlineStr">
        <is>
          <t>REF-100429</t>
        </is>
      </c>
      <c r="F432" s="126" t="n">
        <v>8402.809999999999</v>
      </c>
      <c r="G432" s="134">
        <f>IFERROR(XLOOKUP(E432,Bank_Statement!$D$4:$D$448,Bank_Statement!$G$4:$G$448,""),"")</f>
        <v/>
      </c>
      <c r="H432" s="126">
        <f>IF(G432="","",F432-G432)</f>
        <v/>
      </c>
      <c r="I432" s="135">
        <f>IFERROR(XLOOKUP(E432,Bank_Statement!$D$4:$D$448,Bank_Statement!$B$4:$B$448,""),"")</f>
        <v/>
      </c>
      <c r="J432" s="136">
        <f>IF(I432="","",ABS(B432-I432))</f>
        <v/>
      </c>
      <c r="K432" s="137">
        <f>IF(G432="","Unmatched ERP",IF(AND(ABS(H432)&lt;=Mapping_Rules!$B$4,ABS(J432)&lt;=Mapping_Rules!$B$5),"Matched","Review"))</f>
        <v/>
      </c>
      <c r="L432" s="137">
        <f>IF(K432="Matched","None",IF(G432="","Missing from bank",IF(ABS(H432)&gt;Mapping_Rules!$B$4,"Amount variance","Date variance")))</f>
        <v/>
      </c>
      <c r="M432" s="137">
        <f>IF(K432="Matched","Low",IF(OR(IFERROR(ABS(H432),0)&gt;Mapping_Rules!$B$7,IFERROR(J432,0)&gt;Mapping_Rules!$B$8),"High","Medium"))</f>
        <v/>
      </c>
      <c r="N432" s="137">
        <f>IF(K432="Matched","No action needed",IF(L432="Missing from bank","Check bank date or posting",IF(L432="Amount variance","Check invoice/payment amount","Check timing difference")))</f>
        <v/>
      </c>
      <c r="O432" s="115" t="inlineStr">
        <is>
          <t>1200 AR</t>
        </is>
      </c>
      <c r="P432" s="115" t="inlineStr">
        <is>
          <t>AR Clerk</t>
        </is>
      </c>
      <c r="Q432" s="115" t="inlineStr">
        <is>
          <t>No</t>
        </is>
      </c>
      <c r="R432" s="138" t="str"/>
      <c r="S432" s="139">
        <f>IF(K432="Matched",0,Mapping_Rules!$B$6-B432)</f>
        <v/>
      </c>
    </row>
    <row r="433">
      <c r="A433" s="140" t="inlineStr">
        <is>
          <t>ERP-00430</t>
        </is>
      </c>
      <c r="B433" s="141" t="n">
        <v>46039</v>
      </c>
      <c r="C433" s="140" t="inlineStr">
        <is>
          <t>GL</t>
        </is>
      </c>
      <c r="D433" s="140" t="inlineStr">
        <is>
          <t>Pacific Office Supplies</t>
        </is>
      </c>
      <c r="E433" s="140" t="inlineStr">
        <is>
          <t>REF-100430</t>
        </is>
      </c>
      <c r="F433" s="142" t="n">
        <v>-4036.88</v>
      </c>
      <c r="G433" s="143">
        <f>IFERROR(XLOOKUP(E433,Bank_Statement!$D$4:$D$448,Bank_Statement!$G$4:$G$448,""),"")</f>
        <v/>
      </c>
      <c r="H433" s="142">
        <f>IF(G433="","",F433-G433)</f>
        <v/>
      </c>
      <c r="I433" s="144">
        <f>IFERROR(XLOOKUP(E433,Bank_Statement!$D$4:$D$448,Bank_Statement!$B$4:$B$448,""),"")</f>
        <v/>
      </c>
      <c r="J433" s="145">
        <f>IF(I433="","",ABS(B433-I433))</f>
        <v/>
      </c>
      <c r="K433" s="146">
        <f>IF(G433="","Unmatched ERP",IF(AND(ABS(H433)&lt;=Mapping_Rules!$B$4,ABS(J433)&lt;=Mapping_Rules!$B$5),"Matched","Review"))</f>
        <v/>
      </c>
      <c r="L433" s="146">
        <f>IF(K433="Matched","None",IF(G433="","Missing from bank",IF(ABS(H433)&gt;Mapping_Rules!$B$4,"Amount variance","Date variance")))</f>
        <v/>
      </c>
      <c r="M433" s="146">
        <f>IF(K433="Matched","Low",IF(OR(IFERROR(ABS(H433),0)&gt;Mapping_Rules!$B$7,IFERROR(J433,0)&gt;Mapping_Rules!$B$8),"High","Medium"))</f>
        <v/>
      </c>
      <c r="N433" s="146">
        <f>IF(K433="Matched","No action needed",IF(L433="Missing from bank","Check bank date or posting",IF(L433="Amount variance","Check invoice/payment amount","Check timing difference")))</f>
        <v/>
      </c>
      <c r="O433" s="140" t="inlineStr">
        <is>
          <t>5300 Payroll</t>
        </is>
      </c>
      <c r="P433" s="140" t="inlineStr">
        <is>
          <t>Accounting Technician</t>
        </is>
      </c>
      <c r="Q433" s="140" t="inlineStr">
        <is>
          <t>No</t>
        </is>
      </c>
      <c r="R433" s="147" t="str"/>
      <c r="S433" s="148">
        <f>IF(K433="Matched",0,Mapping_Rules!$B$6-B433)</f>
        <v/>
      </c>
    </row>
    <row r="434">
      <c r="A434" s="115" t="inlineStr">
        <is>
          <t>ERP-00431</t>
        </is>
      </c>
      <c r="B434" s="125" t="n">
        <v>46031</v>
      </c>
      <c r="C434" s="115" t="inlineStr">
        <is>
          <t>Payroll</t>
        </is>
      </c>
      <c r="D434" s="115" t="inlineStr">
        <is>
          <t>Payroll Batch</t>
        </is>
      </c>
      <c r="E434" s="115" t="inlineStr">
        <is>
          <t>REF-100431</t>
        </is>
      </c>
      <c r="F434" s="126" t="n">
        <v>-8366.68</v>
      </c>
      <c r="G434" s="134">
        <f>IFERROR(XLOOKUP(E434,Bank_Statement!$D$4:$D$448,Bank_Statement!$G$4:$G$448,""),"")</f>
        <v/>
      </c>
      <c r="H434" s="126">
        <f>IF(G434="","",F434-G434)</f>
        <v/>
      </c>
      <c r="I434" s="135">
        <f>IFERROR(XLOOKUP(E434,Bank_Statement!$D$4:$D$448,Bank_Statement!$B$4:$B$448,""),"")</f>
        <v/>
      </c>
      <c r="J434" s="136">
        <f>IF(I434="","",ABS(B434-I434))</f>
        <v/>
      </c>
      <c r="K434" s="137">
        <f>IF(G434="","Unmatched ERP",IF(AND(ABS(H434)&lt;=Mapping_Rules!$B$4,ABS(J434)&lt;=Mapping_Rules!$B$5),"Matched","Review"))</f>
        <v/>
      </c>
      <c r="L434" s="137">
        <f>IF(K434="Matched","None",IF(G434="","Missing from bank",IF(ABS(H434)&gt;Mapping_Rules!$B$4,"Amount variance","Date variance")))</f>
        <v/>
      </c>
      <c r="M434" s="137">
        <f>IF(K434="Matched","Low",IF(OR(IFERROR(ABS(H434),0)&gt;Mapping_Rules!$B$7,IFERROR(J434,0)&gt;Mapping_Rules!$B$8),"High","Medium"))</f>
        <v/>
      </c>
      <c r="N434" s="137">
        <f>IF(K434="Matched","No action needed",IF(L434="Missing from bank","Check bank date or posting",IF(L434="Amount variance","Check invoice/payment amount","Check timing difference")))</f>
        <v/>
      </c>
      <c r="O434" s="115" t="inlineStr">
        <is>
          <t>5300 Payroll</t>
        </is>
      </c>
      <c r="P434" s="115" t="inlineStr">
        <is>
          <t>Accounting Technician</t>
        </is>
      </c>
      <c r="Q434" s="115" t="inlineStr">
        <is>
          <t>No</t>
        </is>
      </c>
      <c r="R434" s="138" t="str"/>
      <c r="S434" s="139">
        <f>IF(K434="Matched",0,Mapping_Rules!$B$6-B434)</f>
        <v/>
      </c>
    </row>
    <row r="435">
      <c r="A435" s="140" t="inlineStr">
        <is>
          <t>ERP-00432</t>
        </is>
      </c>
      <c r="B435" s="141" t="n">
        <v>46045</v>
      </c>
      <c r="C435" s="140" t="inlineStr">
        <is>
          <t>AP</t>
        </is>
      </c>
      <c r="D435" s="140" t="inlineStr">
        <is>
          <t>Amazon Business</t>
        </is>
      </c>
      <c r="E435" s="140" t="inlineStr">
        <is>
          <t>REF-100432</t>
        </is>
      </c>
      <c r="F435" s="142" t="n">
        <v>-3986.48</v>
      </c>
      <c r="G435" s="143">
        <f>IFERROR(XLOOKUP(E435,Bank_Statement!$D$4:$D$448,Bank_Statement!$G$4:$G$448,""),"")</f>
        <v/>
      </c>
      <c r="H435" s="142">
        <f>IF(G435="","",F435-G435)</f>
        <v/>
      </c>
      <c r="I435" s="144">
        <f>IFERROR(XLOOKUP(E435,Bank_Statement!$D$4:$D$448,Bank_Statement!$B$4:$B$448,""),"")</f>
        <v/>
      </c>
      <c r="J435" s="145">
        <f>IF(I435="","",ABS(B435-I435))</f>
        <v/>
      </c>
      <c r="K435" s="146">
        <f>IF(G435="","Unmatched ERP",IF(AND(ABS(H435)&lt;=Mapping_Rules!$B$4,ABS(J435)&lt;=Mapping_Rules!$B$5),"Matched","Review"))</f>
        <v/>
      </c>
      <c r="L435" s="146">
        <f>IF(K435="Matched","None",IF(G435="","Missing from bank",IF(ABS(H435)&gt;Mapping_Rules!$B$4,"Amount variance","Date variance")))</f>
        <v/>
      </c>
      <c r="M435" s="146">
        <f>IF(K435="Matched","Low",IF(OR(IFERROR(ABS(H435),0)&gt;Mapping_Rules!$B$7,IFERROR(J435,0)&gt;Mapping_Rules!$B$8),"High","Medium"))</f>
        <v/>
      </c>
      <c r="N435" s="146">
        <f>IF(K435="Matched","No action needed",IF(L435="Missing from bank","Check bank date or posting",IF(L435="Amount variance","Check invoice/payment amount","Check timing difference")))</f>
        <v/>
      </c>
      <c r="O435" s="140" t="inlineStr">
        <is>
          <t>2000 AP</t>
        </is>
      </c>
      <c r="P435" s="140" t="inlineStr">
        <is>
          <t>AP Clerk</t>
        </is>
      </c>
      <c r="Q435" s="140" t="inlineStr">
        <is>
          <t>No</t>
        </is>
      </c>
      <c r="R435" s="147" t="str"/>
      <c r="S435" s="148">
        <f>IF(K435="Matched",0,Mapping_Rules!$B$6-B435)</f>
        <v/>
      </c>
    </row>
    <row r="436">
      <c r="A436" s="115" t="inlineStr">
        <is>
          <t>ERP-00433</t>
        </is>
      </c>
      <c r="B436" s="125" t="n">
        <v>46051</v>
      </c>
      <c r="C436" s="115" t="inlineStr">
        <is>
          <t>AR</t>
        </is>
      </c>
      <c r="D436" s="115" t="inlineStr">
        <is>
          <t>Raincity Tech</t>
        </is>
      </c>
      <c r="E436" s="115" t="inlineStr">
        <is>
          <t>REF-100433</t>
        </is>
      </c>
      <c r="F436" s="126" t="n">
        <v>964.99</v>
      </c>
      <c r="G436" s="134">
        <f>IFERROR(XLOOKUP(E436,Bank_Statement!$D$4:$D$448,Bank_Statement!$G$4:$G$448,""),"")</f>
        <v/>
      </c>
      <c r="H436" s="126">
        <f>IF(G436="","",F436-G436)</f>
        <v/>
      </c>
      <c r="I436" s="135">
        <f>IFERROR(XLOOKUP(E436,Bank_Statement!$D$4:$D$448,Bank_Statement!$B$4:$B$448,""),"")</f>
        <v/>
      </c>
      <c r="J436" s="136">
        <f>IF(I436="","",ABS(B436-I436))</f>
        <v/>
      </c>
      <c r="K436" s="137">
        <f>IF(G436="","Unmatched ERP",IF(AND(ABS(H436)&lt;=Mapping_Rules!$B$4,ABS(J436)&lt;=Mapping_Rules!$B$5),"Matched","Review"))</f>
        <v/>
      </c>
      <c r="L436" s="137">
        <f>IF(K436="Matched","None",IF(G436="","Missing from bank",IF(ABS(H436)&gt;Mapping_Rules!$B$4,"Amount variance","Date variance")))</f>
        <v/>
      </c>
      <c r="M436" s="137">
        <f>IF(K436="Matched","Low",IF(OR(IFERROR(ABS(H436),0)&gt;Mapping_Rules!$B$7,IFERROR(J436,0)&gt;Mapping_Rules!$B$8),"High","Medium"))</f>
        <v/>
      </c>
      <c r="N436" s="137">
        <f>IF(K436="Matched","No action needed",IF(L436="Missing from bank","Check bank date or posting",IF(L436="Amount variance","Check invoice/payment amount","Check timing difference")))</f>
        <v/>
      </c>
      <c r="O436" s="115" t="inlineStr">
        <is>
          <t>1200 AR</t>
        </is>
      </c>
      <c r="P436" s="115" t="inlineStr">
        <is>
          <t>AR Clerk</t>
        </is>
      </c>
      <c r="Q436" s="115" t="inlineStr">
        <is>
          <t>No</t>
        </is>
      </c>
      <c r="R436" s="138" t="str"/>
      <c r="S436" s="139">
        <f>IF(K436="Matched",0,Mapping_Rules!$B$6-B436)</f>
        <v/>
      </c>
    </row>
    <row r="437">
      <c r="A437" s="140" t="inlineStr">
        <is>
          <t>ERP-00434</t>
        </is>
      </c>
      <c r="B437" s="141" t="n">
        <v>46051</v>
      </c>
      <c r="C437" s="140" t="inlineStr">
        <is>
          <t>AP</t>
        </is>
      </c>
      <c r="D437" s="140" t="inlineStr">
        <is>
          <t>Pacific Office Supplies</t>
        </is>
      </c>
      <c r="E437" s="140" t="inlineStr">
        <is>
          <t>REF-100434</t>
        </is>
      </c>
      <c r="F437" s="142" t="n">
        <v>-1440.19</v>
      </c>
      <c r="G437" s="143">
        <f>IFERROR(XLOOKUP(E437,Bank_Statement!$D$4:$D$448,Bank_Statement!$G$4:$G$448,""),"")</f>
        <v/>
      </c>
      <c r="H437" s="142">
        <f>IF(G437="","",F437-G437)</f>
        <v/>
      </c>
      <c r="I437" s="144">
        <f>IFERROR(XLOOKUP(E437,Bank_Statement!$D$4:$D$448,Bank_Statement!$B$4:$B$448,""),"")</f>
        <v/>
      </c>
      <c r="J437" s="145">
        <f>IF(I437="","",ABS(B437-I437))</f>
        <v/>
      </c>
      <c r="K437" s="146">
        <f>IF(G437="","Unmatched ERP",IF(AND(ABS(H437)&lt;=Mapping_Rules!$B$4,ABS(J437)&lt;=Mapping_Rules!$B$5),"Matched","Review"))</f>
        <v/>
      </c>
      <c r="L437" s="146">
        <f>IF(K437="Matched","None",IF(G437="","Missing from bank",IF(ABS(H437)&gt;Mapping_Rules!$B$4,"Amount variance","Date variance")))</f>
        <v/>
      </c>
      <c r="M437" s="146">
        <f>IF(K437="Matched","Low",IF(OR(IFERROR(ABS(H437),0)&gt;Mapping_Rules!$B$7,IFERROR(J437,0)&gt;Mapping_Rules!$B$8),"High","Medium"))</f>
        <v/>
      </c>
      <c r="N437" s="146">
        <f>IF(K437="Matched","No action needed",IF(L437="Missing from bank","Check bank date or posting",IF(L437="Amount variance","Check invoice/payment amount","Check timing difference")))</f>
        <v/>
      </c>
      <c r="O437" s="140" t="inlineStr">
        <is>
          <t>2000 AP</t>
        </is>
      </c>
      <c r="P437" s="140" t="inlineStr">
        <is>
          <t>AP Clerk</t>
        </is>
      </c>
      <c r="Q437" s="140" t="inlineStr">
        <is>
          <t>No</t>
        </is>
      </c>
      <c r="R437" s="147" t="str"/>
      <c r="S437" s="148">
        <f>IF(K437="Matched",0,Mapping_Rules!$B$6-B437)</f>
        <v/>
      </c>
    </row>
    <row r="438">
      <c r="A438" s="115" t="inlineStr">
        <is>
          <t>ERP-00435</t>
        </is>
      </c>
      <c r="B438" s="125" t="n">
        <v>46041</v>
      </c>
      <c r="C438" s="115" t="inlineStr">
        <is>
          <t>AP</t>
        </is>
      </c>
      <c r="D438" s="115" t="inlineStr">
        <is>
          <t>Vancouver Courier</t>
        </is>
      </c>
      <c r="E438" s="115" t="inlineStr">
        <is>
          <t>REF-100435</t>
        </is>
      </c>
      <c r="F438" s="126" t="n">
        <v>-800.8200000000001</v>
      </c>
      <c r="G438" s="134">
        <f>IFERROR(XLOOKUP(E438,Bank_Statement!$D$4:$D$448,Bank_Statement!$G$4:$G$448,""),"")</f>
        <v/>
      </c>
      <c r="H438" s="126">
        <f>IF(G438="","",F438-G438)</f>
        <v/>
      </c>
      <c r="I438" s="135">
        <f>IFERROR(XLOOKUP(E438,Bank_Statement!$D$4:$D$448,Bank_Statement!$B$4:$B$448,""),"")</f>
        <v/>
      </c>
      <c r="J438" s="136">
        <f>IF(I438="","",ABS(B438-I438))</f>
        <v/>
      </c>
      <c r="K438" s="137">
        <f>IF(G438="","Unmatched ERP",IF(AND(ABS(H438)&lt;=Mapping_Rules!$B$4,ABS(J438)&lt;=Mapping_Rules!$B$5),"Matched","Review"))</f>
        <v/>
      </c>
      <c r="L438" s="137">
        <f>IF(K438="Matched","None",IF(G438="","Missing from bank",IF(ABS(H438)&gt;Mapping_Rules!$B$4,"Amount variance","Date variance")))</f>
        <v/>
      </c>
      <c r="M438" s="137">
        <f>IF(K438="Matched","Low",IF(OR(IFERROR(ABS(H438),0)&gt;Mapping_Rules!$B$7,IFERROR(J438,0)&gt;Mapping_Rules!$B$8),"High","Medium"))</f>
        <v/>
      </c>
      <c r="N438" s="137">
        <f>IF(K438="Matched","No action needed",IF(L438="Missing from bank","Check bank date or posting",IF(L438="Amount variance","Check invoice/payment amount","Check timing difference")))</f>
        <v/>
      </c>
      <c r="O438" s="115" t="inlineStr">
        <is>
          <t>2000 AP</t>
        </is>
      </c>
      <c r="P438" s="115" t="inlineStr">
        <is>
          <t>AP Clerk</t>
        </is>
      </c>
      <c r="Q438" s="115" t="inlineStr">
        <is>
          <t>No</t>
        </is>
      </c>
      <c r="R438" s="138" t="str"/>
      <c r="S438" s="139">
        <f>IF(K438="Matched",0,Mapping_Rules!$B$6-B438)</f>
        <v/>
      </c>
    </row>
    <row r="439">
      <c r="A439" s="140" t="inlineStr">
        <is>
          <t>ERP-00436</t>
        </is>
      </c>
      <c r="B439" s="141" t="n">
        <v>46029</v>
      </c>
      <c r="C439" s="140" t="inlineStr">
        <is>
          <t>AR</t>
        </is>
      </c>
      <c r="D439" s="140" t="inlineStr">
        <is>
          <t>Harbour Design Co.</t>
        </is>
      </c>
      <c r="E439" s="140" t="inlineStr">
        <is>
          <t>REF-100436</t>
        </is>
      </c>
      <c r="F439" s="142" t="n">
        <v>3336.94</v>
      </c>
      <c r="G439" s="143">
        <f>IFERROR(XLOOKUP(E439,Bank_Statement!$D$4:$D$448,Bank_Statement!$G$4:$G$448,""),"")</f>
        <v/>
      </c>
      <c r="H439" s="142">
        <f>IF(G439="","",F439-G439)</f>
        <v/>
      </c>
      <c r="I439" s="144">
        <f>IFERROR(XLOOKUP(E439,Bank_Statement!$D$4:$D$448,Bank_Statement!$B$4:$B$448,""),"")</f>
        <v/>
      </c>
      <c r="J439" s="145">
        <f>IF(I439="","",ABS(B439-I439))</f>
        <v/>
      </c>
      <c r="K439" s="146">
        <f>IF(G439="","Unmatched ERP",IF(AND(ABS(H439)&lt;=Mapping_Rules!$B$4,ABS(J439)&lt;=Mapping_Rules!$B$5),"Matched","Review"))</f>
        <v/>
      </c>
      <c r="L439" s="146">
        <f>IF(K439="Matched","None",IF(G439="","Missing from bank",IF(ABS(H439)&gt;Mapping_Rules!$B$4,"Amount variance","Date variance")))</f>
        <v/>
      </c>
      <c r="M439" s="146">
        <f>IF(K439="Matched","Low",IF(OR(IFERROR(ABS(H439),0)&gt;Mapping_Rules!$B$7,IFERROR(J439,0)&gt;Mapping_Rules!$B$8),"High","Medium"))</f>
        <v/>
      </c>
      <c r="N439" s="146">
        <f>IF(K439="Matched","No action needed",IF(L439="Missing from bank","Check bank date or posting",IF(L439="Amount variance","Check invoice/payment amount","Check timing difference")))</f>
        <v/>
      </c>
      <c r="O439" s="140" t="inlineStr">
        <is>
          <t>1200 AR</t>
        </is>
      </c>
      <c r="P439" s="140" t="inlineStr">
        <is>
          <t>AR Clerk</t>
        </is>
      </c>
      <c r="Q439" s="140" t="inlineStr">
        <is>
          <t>No</t>
        </is>
      </c>
      <c r="R439" s="147" t="str"/>
      <c r="S439" s="148">
        <f>IF(K439="Matched",0,Mapping_Rules!$B$6-B439)</f>
        <v/>
      </c>
    </row>
    <row r="440">
      <c r="A440" s="115" t="inlineStr">
        <is>
          <t>ERP-00437</t>
        </is>
      </c>
      <c r="B440" s="125" t="n">
        <v>46029</v>
      </c>
      <c r="C440" s="115" t="inlineStr">
        <is>
          <t>AP</t>
        </is>
      </c>
      <c r="D440" s="115" t="inlineStr">
        <is>
          <t>Amazon Business</t>
        </is>
      </c>
      <c r="E440" s="115" t="inlineStr">
        <is>
          <t>REF-100437</t>
        </is>
      </c>
      <c r="F440" s="126" t="n">
        <v>-5544.21</v>
      </c>
      <c r="G440" s="134">
        <f>IFERROR(XLOOKUP(E440,Bank_Statement!$D$4:$D$448,Bank_Statement!$G$4:$G$448,""),"")</f>
        <v/>
      </c>
      <c r="H440" s="126">
        <f>IF(G440="","",F440-G440)</f>
        <v/>
      </c>
      <c r="I440" s="135">
        <f>IFERROR(XLOOKUP(E440,Bank_Statement!$D$4:$D$448,Bank_Statement!$B$4:$B$448,""),"")</f>
        <v/>
      </c>
      <c r="J440" s="136">
        <f>IF(I440="","",ABS(B440-I440))</f>
        <v/>
      </c>
      <c r="K440" s="137">
        <f>IF(G440="","Unmatched ERP",IF(AND(ABS(H440)&lt;=Mapping_Rules!$B$4,ABS(J440)&lt;=Mapping_Rules!$B$5),"Matched","Review"))</f>
        <v/>
      </c>
      <c r="L440" s="137">
        <f>IF(K440="Matched","None",IF(G440="","Missing from bank",IF(ABS(H440)&gt;Mapping_Rules!$B$4,"Amount variance","Date variance")))</f>
        <v/>
      </c>
      <c r="M440" s="137">
        <f>IF(K440="Matched","Low",IF(OR(IFERROR(ABS(H440),0)&gt;Mapping_Rules!$B$7,IFERROR(J440,0)&gt;Mapping_Rules!$B$8),"High","Medium"))</f>
        <v/>
      </c>
      <c r="N440" s="137">
        <f>IF(K440="Matched","No action needed",IF(L440="Missing from bank","Check bank date or posting",IF(L440="Amount variance","Check invoice/payment amount","Check timing difference")))</f>
        <v/>
      </c>
      <c r="O440" s="115" t="inlineStr">
        <is>
          <t>2000 AP</t>
        </is>
      </c>
      <c r="P440" s="115" t="inlineStr">
        <is>
          <t>AP Clerk</t>
        </is>
      </c>
      <c r="Q440" s="115" t="inlineStr">
        <is>
          <t>No</t>
        </is>
      </c>
      <c r="R440" s="138" t="str"/>
      <c r="S440" s="139">
        <f>IF(K440="Matched",0,Mapping_Rules!$B$6-B440)</f>
        <v/>
      </c>
    </row>
    <row r="441">
      <c r="A441" s="140" t="inlineStr">
        <is>
          <t>ERP-00438</t>
        </is>
      </c>
      <c r="B441" s="141" t="n">
        <v>46038</v>
      </c>
      <c r="C441" s="140" t="inlineStr">
        <is>
          <t>AP</t>
        </is>
      </c>
      <c r="D441" s="140" t="inlineStr">
        <is>
          <t>North Shore Telecom</t>
        </is>
      </c>
      <c r="E441" s="140" t="inlineStr">
        <is>
          <t>REF-100438</t>
        </is>
      </c>
      <c r="F441" s="142" t="n">
        <v>-1998.09</v>
      </c>
      <c r="G441" s="143">
        <f>IFERROR(XLOOKUP(E441,Bank_Statement!$D$4:$D$448,Bank_Statement!$G$4:$G$448,""),"")</f>
        <v/>
      </c>
      <c r="H441" s="142">
        <f>IF(G441="","",F441-G441)</f>
        <v/>
      </c>
      <c r="I441" s="144">
        <f>IFERROR(XLOOKUP(E441,Bank_Statement!$D$4:$D$448,Bank_Statement!$B$4:$B$448,""),"")</f>
        <v/>
      </c>
      <c r="J441" s="145">
        <f>IF(I441="","",ABS(B441-I441))</f>
        <v/>
      </c>
      <c r="K441" s="146">
        <f>IF(G441="","Unmatched ERP",IF(AND(ABS(H441)&lt;=Mapping_Rules!$B$4,ABS(J441)&lt;=Mapping_Rules!$B$5),"Matched","Review"))</f>
        <v/>
      </c>
      <c r="L441" s="146">
        <f>IF(K441="Matched","None",IF(G441="","Missing from bank",IF(ABS(H441)&gt;Mapping_Rules!$B$4,"Amount variance","Date variance")))</f>
        <v/>
      </c>
      <c r="M441" s="146">
        <f>IF(K441="Matched","Low",IF(OR(IFERROR(ABS(H441),0)&gt;Mapping_Rules!$B$7,IFERROR(J441,0)&gt;Mapping_Rules!$B$8),"High","Medium"))</f>
        <v/>
      </c>
      <c r="N441" s="146">
        <f>IF(K441="Matched","No action needed",IF(L441="Missing from bank","Check bank date or posting",IF(L441="Amount variance","Check invoice/payment amount","Check timing difference")))</f>
        <v/>
      </c>
      <c r="O441" s="140" t="inlineStr">
        <is>
          <t>2000 AP</t>
        </is>
      </c>
      <c r="P441" s="140" t="inlineStr">
        <is>
          <t>AP Clerk</t>
        </is>
      </c>
      <c r="Q441" s="140" t="inlineStr">
        <is>
          <t>No</t>
        </is>
      </c>
      <c r="R441" s="147" t="str"/>
      <c r="S441" s="148">
        <f>IF(K441="Matched",0,Mapping_Rules!$B$6-B441)</f>
        <v/>
      </c>
    </row>
    <row r="442">
      <c r="A442" s="115" t="inlineStr">
        <is>
          <t>ERP-00439</t>
        </is>
      </c>
      <c r="B442" s="125" t="n">
        <v>46028</v>
      </c>
      <c r="C442" s="115" t="inlineStr">
        <is>
          <t>AR</t>
        </is>
      </c>
      <c r="D442" s="115" t="inlineStr">
        <is>
          <t>Coastline Foods</t>
        </is>
      </c>
      <c r="E442" s="115" t="inlineStr">
        <is>
          <t>REF-100439</t>
        </is>
      </c>
      <c r="F442" s="126" t="n">
        <v>4237.97</v>
      </c>
      <c r="G442" s="134">
        <f>IFERROR(XLOOKUP(E442,Bank_Statement!$D$4:$D$448,Bank_Statement!$G$4:$G$448,""),"")</f>
        <v/>
      </c>
      <c r="H442" s="126">
        <f>IF(G442="","",F442-G442)</f>
        <v/>
      </c>
      <c r="I442" s="135">
        <f>IFERROR(XLOOKUP(E442,Bank_Statement!$D$4:$D$448,Bank_Statement!$B$4:$B$448,""),"")</f>
        <v/>
      </c>
      <c r="J442" s="136">
        <f>IF(I442="","",ABS(B442-I442))</f>
        <v/>
      </c>
      <c r="K442" s="137">
        <f>IF(G442="","Unmatched ERP",IF(AND(ABS(H442)&lt;=Mapping_Rules!$B$4,ABS(J442)&lt;=Mapping_Rules!$B$5),"Matched","Review"))</f>
        <v/>
      </c>
      <c r="L442" s="137">
        <f>IF(K442="Matched","None",IF(G442="","Missing from bank",IF(ABS(H442)&gt;Mapping_Rules!$B$4,"Amount variance","Date variance")))</f>
        <v/>
      </c>
      <c r="M442" s="137">
        <f>IF(K442="Matched","Low",IF(OR(IFERROR(ABS(H442),0)&gt;Mapping_Rules!$B$7,IFERROR(J442,0)&gt;Mapping_Rules!$B$8),"High","Medium"))</f>
        <v/>
      </c>
      <c r="N442" s="137">
        <f>IF(K442="Matched","No action needed",IF(L442="Missing from bank","Check bank date or posting",IF(L442="Amount variance","Check invoice/payment amount","Check timing difference")))</f>
        <v/>
      </c>
      <c r="O442" s="115" t="inlineStr">
        <is>
          <t>1200 AR</t>
        </is>
      </c>
      <c r="P442" s="115" t="inlineStr">
        <is>
          <t>AR Clerk</t>
        </is>
      </c>
      <c r="Q442" s="115" t="inlineStr">
        <is>
          <t>No</t>
        </is>
      </c>
      <c r="R442" s="138" t="str"/>
      <c r="S442" s="139">
        <f>IF(K442="Matched",0,Mapping_Rules!$B$6-B442)</f>
        <v/>
      </c>
    </row>
    <row r="443">
      <c r="A443" s="140" t="inlineStr">
        <is>
          <t>ERP-00440</t>
        </is>
      </c>
      <c r="B443" s="141" t="n">
        <v>46053</v>
      </c>
      <c r="C443" s="140" t="inlineStr">
        <is>
          <t>AR</t>
        </is>
      </c>
      <c r="D443" s="140" t="inlineStr">
        <is>
          <t>Maple Retail Group</t>
        </is>
      </c>
      <c r="E443" s="140" t="inlineStr">
        <is>
          <t>REF-100440</t>
        </is>
      </c>
      <c r="F443" s="142" t="n">
        <v>465.01</v>
      </c>
      <c r="G443" s="143">
        <f>IFERROR(XLOOKUP(E443,Bank_Statement!$D$4:$D$448,Bank_Statement!$G$4:$G$448,""),"")</f>
        <v/>
      </c>
      <c r="H443" s="142">
        <f>IF(G443="","",F443-G443)</f>
        <v/>
      </c>
      <c r="I443" s="144">
        <f>IFERROR(XLOOKUP(E443,Bank_Statement!$D$4:$D$448,Bank_Statement!$B$4:$B$448,""),"")</f>
        <v/>
      </c>
      <c r="J443" s="145">
        <f>IF(I443="","",ABS(B443-I443))</f>
        <v/>
      </c>
      <c r="K443" s="146">
        <f>IF(G443="","Unmatched ERP",IF(AND(ABS(H443)&lt;=Mapping_Rules!$B$4,ABS(J443)&lt;=Mapping_Rules!$B$5),"Matched","Review"))</f>
        <v/>
      </c>
      <c r="L443" s="146">
        <f>IF(K443="Matched","None",IF(G443="","Missing from bank",IF(ABS(H443)&gt;Mapping_Rules!$B$4,"Amount variance","Date variance")))</f>
        <v/>
      </c>
      <c r="M443" s="146">
        <f>IF(K443="Matched","Low",IF(OR(IFERROR(ABS(H443),0)&gt;Mapping_Rules!$B$7,IFERROR(J443,0)&gt;Mapping_Rules!$B$8),"High","Medium"))</f>
        <v/>
      </c>
      <c r="N443" s="146">
        <f>IF(K443="Matched","No action needed",IF(L443="Missing from bank","Check bank date or posting",IF(L443="Amount variance","Check invoice/payment amount","Check timing difference")))</f>
        <v/>
      </c>
      <c r="O443" s="140" t="inlineStr">
        <is>
          <t>1200 AR</t>
        </is>
      </c>
      <c r="P443" s="140" t="inlineStr">
        <is>
          <t>AR Clerk</t>
        </is>
      </c>
      <c r="Q443" s="140" t="inlineStr">
        <is>
          <t>No</t>
        </is>
      </c>
      <c r="R443" s="147" t="str"/>
      <c r="S443" s="148">
        <f>IF(K443="Matched",0,Mapping_Rules!$B$6-B443)</f>
        <v/>
      </c>
    </row>
    <row r="444">
      <c r="A444" s="115" t="inlineStr">
        <is>
          <t>ERP-00441</t>
        </is>
      </c>
      <c r="B444" s="125" t="n">
        <v>46051</v>
      </c>
      <c r="C444" s="115" t="inlineStr">
        <is>
          <t>AP</t>
        </is>
      </c>
      <c r="D444" s="115" t="inlineStr">
        <is>
          <t>Vancouver Courier</t>
        </is>
      </c>
      <c r="E444" s="115" t="inlineStr">
        <is>
          <t>REF-100441</t>
        </is>
      </c>
      <c r="F444" s="126" t="n">
        <v>-3329.93</v>
      </c>
      <c r="G444" s="134">
        <f>IFERROR(XLOOKUP(E444,Bank_Statement!$D$4:$D$448,Bank_Statement!$G$4:$G$448,""),"")</f>
        <v/>
      </c>
      <c r="H444" s="126">
        <f>IF(G444="","",F444-G444)</f>
        <v/>
      </c>
      <c r="I444" s="135">
        <f>IFERROR(XLOOKUP(E444,Bank_Statement!$D$4:$D$448,Bank_Statement!$B$4:$B$448,""),"")</f>
        <v/>
      </c>
      <c r="J444" s="136">
        <f>IF(I444="","",ABS(B444-I444))</f>
        <v/>
      </c>
      <c r="K444" s="137">
        <f>IF(G444="","Unmatched ERP",IF(AND(ABS(H444)&lt;=Mapping_Rules!$B$4,ABS(J444)&lt;=Mapping_Rules!$B$5),"Matched","Review"))</f>
        <v/>
      </c>
      <c r="L444" s="137">
        <f>IF(K444="Matched","None",IF(G444="","Missing from bank",IF(ABS(H444)&gt;Mapping_Rules!$B$4,"Amount variance","Date variance")))</f>
        <v/>
      </c>
      <c r="M444" s="137">
        <f>IF(K444="Matched","Low",IF(OR(IFERROR(ABS(H444),0)&gt;Mapping_Rules!$B$7,IFERROR(J444,0)&gt;Mapping_Rules!$B$8),"High","Medium"))</f>
        <v/>
      </c>
      <c r="N444" s="137">
        <f>IF(K444="Matched","No action needed",IF(L444="Missing from bank","Check bank date or posting",IF(L444="Amount variance","Check invoice/payment amount","Check timing difference")))</f>
        <v/>
      </c>
      <c r="O444" s="115" t="inlineStr">
        <is>
          <t>2000 AP</t>
        </is>
      </c>
      <c r="P444" s="115" t="inlineStr">
        <is>
          <t>AP Clerk</t>
        </is>
      </c>
      <c r="Q444" s="115" t="inlineStr">
        <is>
          <t>No</t>
        </is>
      </c>
      <c r="R444" s="138" t="str"/>
      <c r="S444" s="139">
        <f>IF(K444="Matched",0,Mapping_Rules!$B$6-B444)</f>
        <v/>
      </c>
    </row>
    <row r="445">
      <c r="A445" s="140" t="inlineStr">
        <is>
          <t>ERP-00442</t>
        </is>
      </c>
      <c r="B445" s="141" t="n">
        <v>46051</v>
      </c>
      <c r="C445" s="140" t="inlineStr">
        <is>
          <t>AP</t>
        </is>
      </c>
      <c r="D445" s="140" t="inlineStr">
        <is>
          <t>North Shore Telecom</t>
        </is>
      </c>
      <c r="E445" s="140" t="inlineStr">
        <is>
          <t>REF-100442</t>
        </is>
      </c>
      <c r="F445" s="142" t="n">
        <v>-708.5700000000001</v>
      </c>
      <c r="G445" s="143">
        <f>IFERROR(XLOOKUP(E445,Bank_Statement!$D$4:$D$448,Bank_Statement!$G$4:$G$448,""),"")</f>
        <v/>
      </c>
      <c r="H445" s="142">
        <f>IF(G445="","",F445-G445)</f>
        <v/>
      </c>
      <c r="I445" s="144">
        <f>IFERROR(XLOOKUP(E445,Bank_Statement!$D$4:$D$448,Bank_Statement!$B$4:$B$448,""),"")</f>
        <v/>
      </c>
      <c r="J445" s="145">
        <f>IF(I445="","",ABS(B445-I445))</f>
        <v/>
      </c>
      <c r="K445" s="146">
        <f>IF(G445="","Unmatched ERP",IF(AND(ABS(H445)&lt;=Mapping_Rules!$B$4,ABS(J445)&lt;=Mapping_Rules!$B$5),"Matched","Review"))</f>
        <v/>
      </c>
      <c r="L445" s="146">
        <f>IF(K445="Matched","None",IF(G445="","Missing from bank",IF(ABS(H445)&gt;Mapping_Rules!$B$4,"Amount variance","Date variance")))</f>
        <v/>
      </c>
      <c r="M445" s="146">
        <f>IF(K445="Matched","Low",IF(OR(IFERROR(ABS(H445),0)&gt;Mapping_Rules!$B$7,IFERROR(J445,0)&gt;Mapping_Rules!$B$8),"High","Medium"))</f>
        <v/>
      </c>
      <c r="N445" s="146">
        <f>IF(K445="Matched","No action needed",IF(L445="Missing from bank","Check bank date or posting",IF(L445="Amount variance","Check invoice/payment amount","Check timing difference")))</f>
        <v/>
      </c>
      <c r="O445" s="140" t="inlineStr">
        <is>
          <t>2000 AP</t>
        </is>
      </c>
      <c r="P445" s="140" t="inlineStr">
        <is>
          <t>AP Clerk</t>
        </is>
      </c>
      <c r="Q445" s="140" t="inlineStr">
        <is>
          <t>No</t>
        </is>
      </c>
      <c r="R445" s="147" t="str"/>
      <c r="S445" s="148">
        <f>IF(K445="Matched",0,Mapping_Rules!$B$6-B445)</f>
        <v/>
      </c>
    </row>
    <row r="446">
      <c r="A446" s="115" t="inlineStr">
        <is>
          <t>ERP-00443</t>
        </is>
      </c>
      <c r="B446" s="125" t="n">
        <v>46032</v>
      </c>
      <c r="C446" s="115" t="inlineStr">
        <is>
          <t>Bank Fees</t>
        </is>
      </c>
      <c r="D446" s="115" t="inlineStr">
        <is>
          <t>Bank</t>
        </is>
      </c>
      <c r="E446" s="115" t="inlineStr">
        <is>
          <t>REF-100443</t>
        </is>
      </c>
      <c r="F446" s="126" t="n">
        <v>-57.43</v>
      </c>
      <c r="G446" s="134">
        <f>IFERROR(XLOOKUP(E446,Bank_Statement!$D$4:$D$448,Bank_Statement!$G$4:$G$448,""),"")</f>
        <v/>
      </c>
      <c r="H446" s="126">
        <f>IF(G446="","",F446-G446)</f>
        <v/>
      </c>
      <c r="I446" s="135">
        <f>IFERROR(XLOOKUP(E446,Bank_Statement!$D$4:$D$448,Bank_Statement!$B$4:$B$448,""),"")</f>
        <v/>
      </c>
      <c r="J446" s="136">
        <f>IF(I446="","",ABS(B446-I446))</f>
        <v/>
      </c>
      <c r="K446" s="137">
        <f>IF(G446="","Unmatched ERP",IF(AND(ABS(H446)&lt;=Mapping_Rules!$B$4,ABS(J446)&lt;=Mapping_Rules!$B$5),"Matched","Review"))</f>
        <v/>
      </c>
      <c r="L446" s="137">
        <f>IF(K446="Matched","None",IF(G446="","Missing from bank",IF(ABS(H446)&gt;Mapping_Rules!$B$4,"Amount variance","Date variance")))</f>
        <v/>
      </c>
      <c r="M446" s="137">
        <f>IF(K446="Matched","Low",IF(OR(IFERROR(ABS(H446),0)&gt;Mapping_Rules!$B$7,IFERROR(J446,0)&gt;Mapping_Rules!$B$8),"High","Medium"))</f>
        <v/>
      </c>
      <c r="N446" s="137">
        <f>IF(K446="Matched","No action needed",IF(L446="Missing from bank","Check bank date or posting",IF(L446="Amount variance","Check invoice/payment amount","Check timing difference")))</f>
        <v/>
      </c>
      <c r="O446" s="115" t="inlineStr">
        <is>
          <t>6100 Bank Fees</t>
        </is>
      </c>
      <c r="P446" s="115" t="inlineStr">
        <is>
          <t>Accounting Technician</t>
        </is>
      </c>
      <c r="Q446" s="115" t="inlineStr">
        <is>
          <t>No</t>
        </is>
      </c>
      <c r="R446" s="138" t="str"/>
      <c r="S446" s="139">
        <f>IF(K446="Matched",0,Mapping_Rules!$B$6-B446)</f>
        <v/>
      </c>
    </row>
    <row r="447">
      <c r="A447" s="140" t="inlineStr">
        <is>
          <t>ERP-00444</t>
        </is>
      </c>
      <c r="B447" s="141" t="n">
        <v>46027</v>
      </c>
      <c r="C447" s="140" t="inlineStr">
        <is>
          <t>AP</t>
        </is>
      </c>
      <c r="D447" s="140" t="inlineStr">
        <is>
          <t>BC Hydro</t>
        </is>
      </c>
      <c r="E447" s="140" t="inlineStr">
        <is>
          <t>REF-100444</t>
        </is>
      </c>
      <c r="F447" s="142" t="n">
        <v>-2278.62</v>
      </c>
      <c r="G447" s="143">
        <f>IFERROR(XLOOKUP(E447,Bank_Statement!$D$4:$D$448,Bank_Statement!$G$4:$G$448,""),"")</f>
        <v/>
      </c>
      <c r="H447" s="142">
        <f>IF(G447="","",F447-G447)</f>
        <v/>
      </c>
      <c r="I447" s="144">
        <f>IFERROR(XLOOKUP(E447,Bank_Statement!$D$4:$D$448,Bank_Statement!$B$4:$B$448,""),"")</f>
        <v/>
      </c>
      <c r="J447" s="145">
        <f>IF(I447="","",ABS(B447-I447))</f>
        <v/>
      </c>
      <c r="K447" s="146">
        <f>IF(G447="","Unmatched ERP",IF(AND(ABS(H447)&lt;=Mapping_Rules!$B$4,ABS(J447)&lt;=Mapping_Rules!$B$5),"Matched","Review"))</f>
        <v/>
      </c>
      <c r="L447" s="146">
        <f>IF(K447="Matched","None",IF(G447="","Missing from bank",IF(ABS(H447)&gt;Mapping_Rules!$B$4,"Amount variance","Date variance")))</f>
        <v/>
      </c>
      <c r="M447" s="146">
        <f>IF(K447="Matched","Low",IF(OR(IFERROR(ABS(H447),0)&gt;Mapping_Rules!$B$7,IFERROR(J447,0)&gt;Mapping_Rules!$B$8),"High","Medium"))</f>
        <v/>
      </c>
      <c r="N447" s="146">
        <f>IF(K447="Matched","No action needed",IF(L447="Missing from bank","Check bank date or posting",IF(L447="Amount variance","Check invoice/payment amount","Check timing difference")))</f>
        <v/>
      </c>
      <c r="O447" s="140" t="inlineStr">
        <is>
          <t>2000 AP</t>
        </is>
      </c>
      <c r="P447" s="140" t="inlineStr">
        <is>
          <t>AP Clerk</t>
        </is>
      </c>
      <c r="Q447" s="140" t="inlineStr">
        <is>
          <t>No</t>
        </is>
      </c>
      <c r="R447" s="147" t="str"/>
      <c r="S447" s="148">
        <f>IF(K447="Matched",0,Mapping_Rules!$B$6-B447)</f>
        <v/>
      </c>
    </row>
    <row r="448">
      <c r="A448" s="115" t="inlineStr">
        <is>
          <t>ERP-00445</t>
        </is>
      </c>
      <c r="B448" s="125" t="n">
        <v>46052</v>
      </c>
      <c r="C448" s="115" t="inlineStr">
        <is>
          <t>Payroll</t>
        </is>
      </c>
      <c r="D448" s="115" t="inlineStr">
        <is>
          <t>Payroll Batch</t>
        </is>
      </c>
      <c r="E448" s="115" t="inlineStr">
        <is>
          <t>REF-100445</t>
        </is>
      </c>
      <c r="F448" s="126" t="n">
        <v>-2777.31</v>
      </c>
      <c r="G448" s="134">
        <f>IFERROR(XLOOKUP(E448,Bank_Statement!$D$4:$D$448,Bank_Statement!$G$4:$G$448,""),"")</f>
        <v/>
      </c>
      <c r="H448" s="126">
        <f>IF(G448="","",F448-G448)</f>
        <v/>
      </c>
      <c r="I448" s="135">
        <f>IFERROR(XLOOKUP(E448,Bank_Statement!$D$4:$D$448,Bank_Statement!$B$4:$B$448,""),"")</f>
        <v/>
      </c>
      <c r="J448" s="136">
        <f>IF(I448="","",ABS(B448-I448))</f>
        <v/>
      </c>
      <c r="K448" s="137">
        <f>IF(G448="","Unmatched ERP",IF(AND(ABS(H448)&lt;=Mapping_Rules!$B$4,ABS(J448)&lt;=Mapping_Rules!$B$5),"Matched","Review"))</f>
        <v/>
      </c>
      <c r="L448" s="137">
        <f>IF(K448="Matched","None",IF(G448="","Missing from bank",IF(ABS(H448)&gt;Mapping_Rules!$B$4,"Amount variance","Date variance")))</f>
        <v/>
      </c>
      <c r="M448" s="137">
        <f>IF(K448="Matched","Low",IF(OR(IFERROR(ABS(H448),0)&gt;Mapping_Rules!$B$7,IFERROR(J448,0)&gt;Mapping_Rules!$B$8),"High","Medium"))</f>
        <v/>
      </c>
      <c r="N448" s="137">
        <f>IF(K448="Matched","No action needed",IF(L448="Missing from bank","Check bank date or posting",IF(L448="Amount variance","Check invoice/payment amount","Check timing difference")))</f>
        <v/>
      </c>
      <c r="O448" s="115" t="inlineStr">
        <is>
          <t>5300 Payroll</t>
        </is>
      </c>
      <c r="P448" s="115" t="inlineStr">
        <is>
          <t>Accounting Technician</t>
        </is>
      </c>
      <c r="Q448" s="115" t="inlineStr">
        <is>
          <t>No</t>
        </is>
      </c>
      <c r="R448" s="138" t="str"/>
      <c r="S448" s="139">
        <f>IF(K448="Matched",0,Mapping_Rules!$B$6-B448)</f>
        <v/>
      </c>
    </row>
    <row r="449">
      <c r="A449" s="140" t="inlineStr">
        <is>
          <t>ERP-00446</t>
        </is>
      </c>
      <c r="B449" s="141" t="n">
        <v>46028</v>
      </c>
      <c r="C449" s="140" t="inlineStr">
        <is>
          <t>AP</t>
        </is>
      </c>
      <c r="D449" s="140" t="inlineStr">
        <is>
          <t>Staples Canada</t>
        </is>
      </c>
      <c r="E449" s="140" t="inlineStr">
        <is>
          <t>REF-100446</t>
        </is>
      </c>
      <c r="F449" s="142" t="n">
        <v>-4061.31</v>
      </c>
      <c r="G449" s="143">
        <f>IFERROR(XLOOKUP(E449,Bank_Statement!$D$4:$D$448,Bank_Statement!$G$4:$G$448,""),"")</f>
        <v/>
      </c>
      <c r="H449" s="142">
        <f>IF(G449="","",F449-G449)</f>
        <v/>
      </c>
      <c r="I449" s="144">
        <f>IFERROR(XLOOKUP(E449,Bank_Statement!$D$4:$D$448,Bank_Statement!$B$4:$B$448,""),"")</f>
        <v/>
      </c>
      <c r="J449" s="145">
        <f>IF(I449="","",ABS(B449-I449))</f>
        <v/>
      </c>
      <c r="K449" s="146">
        <f>IF(G449="","Unmatched ERP",IF(AND(ABS(H449)&lt;=Mapping_Rules!$B$4,ABS(J449)&lt;=Mapping_Rules!$B$5),"Matched","Review"))</f>
        <v/>
      </c>
      <c r="L449" s="146">
        <f>IF(K449="Matched","None",IF(G449="","Missing from bank",IF(ABS(H449)&gt;Mapping_Rules!$B$4,"Amount variance","Date variance")))</f>
        <v/>
      </c>
      <c r="M449" s="146">
        <f>IF(K449="Matched","Low",IF(OR(IFERROR(ABS(H449),0)&gt;Mapping_Rules!$B$7,IFERROR(J449,0)&gt;Mapping_Rules!$B$8),"High","Medium"))</f>
        <v/>
      </c>
      <c r="N449" s="146">
        <f>IF(K449="Matched","No action needed",IF(L449="Missing from bank","Check bank date or posting",IF(L449="Amount variance","Check invoice/payment amount","Check timing difference")))</f>
        <v/>
      </c>
      <c r="O449" s="140" t="inlineStr">
        <is>
          <t>2000 AP</t>
        </is>
      </c>
      <c r="P449" s="140" t="inlineStr">
        <is>
          <t>AP Clerk</t>
        </is>
      </c>
      <c r="Q449" s="140" t="inlineStr">
        <is>
          <t>No</t>
        </is>
      </c>
      <c r="R449" s="147" t="str"/>
      <c r="S449" s="148">
        <f>IF(K449="Matched",0,Mapping_Rules!$B$6-B449)</f>
        <v/>
      </c>
    </row>
    <row r="450">
      <c r="A450" s="115" t="inlineStr">
        <is>
          <t>ERP-00447</t>
        </is>
      </c>
      <c r="B450" s="125" t="n">
        <v>46031</v>
      </c>
      <c r="C450" s="115" t="inlineStr">
        <is>
          <t>GL</t>
        </is>
      </c>
      <c r="D450" s="115" t="inlineStr">
        <is>
          <t>Raincity Tech</t>
        </is>
      </c>
      <c r="E450" s="115" t="inlineStr">
        <is>
          <t>REF-100447</t>
        </is>
      </c>
      <c r="F450" s="126" t="n">
        <v>-290.51</v>
      </c>
      <c r="G450" s="134">
        <f>IFERROR(XLOOKUP(E450,Bank_Statement!$D$4:$D$448,Bank_Statement!$G$4:$G$448,""),"")</f>
        <v/>
      </c>
      <c r="H450" s="126">
        <f>IF(G450="","",F450-G450)</f>
        <v/>
      </c>
      <c r="I450" s="135">
        <f>IFERROR(XLOOKUP(E450,Bank_Statement!$D$4:$D$448,Bank_Statement!$B$4:$B$448,""),"")</f>
        <v/>
      </c>
      <c r="J450" s="136">
        <f>IF(I450="","",ABS(B450-I450))</f>
        <v/>
      </c>
      <c r="K450" s="137">
        <f>IF(G450="","Unmatched ERP",IF(AND(ABS(H450)&lt;=Mapping_Rules!$B$4,ABS(J450)&lt;=Mapping_Rules!$B$5),"Matched","Review"))</f>
        <v/>
      </c>
      <c r="L450" s="137">
        <f>IF(K450="Matched","None",IF(G450="","Missing from bank",IF(ABS(H450)&gt;Mapping_Rules!$B$4,"Amount variance","Date variance")))</f>
        <v/>
      </c>
      <c r="M450" s="137">
        <f>IF(K450="Matched","Low",IF(OR(IFERROR(ABS(H450),0)&gt;Mapping_Rules!$B$7,IFERROR(J450,0)&gt;Mapping_Rules!$B$8),"High","Medium"))</f>
        <v/>
      </c>
      <c r="N450" s="137">
        <f>IF(K450="Matched","No action needed",IF(L450="Missing from bank","Check bank date or posting",IF(L450="Amount variance","Check invoice/payment amount","Check timing difference")))</f>
        <v/>
      </c>
      <c r="O450" s="115" t="inlineStr">
        <is>
          <t>1200 AR</t>
        </is>
      </c>
      <c r="P450" s="115" t="inlineStr">
        <is>
          <t>Accounting Technician</t>
        </is>
      </c>
      <c r="Q450" s="115" t="inlineStr">
        <is>
          <t>No</t>
        </is>
      </c>
      <c r="R450" s="138" t="str"/>
      <c r="S450" s="139">
        <f>IF(K450="Matched",0,Mapping_Rules!$B$6-B450)</f>
        <v/>
      </c>
    </row>
    <row r="451">
      <c r="A451" s="140" t="inlineStr">
        <is>
          <t>ERP-00448</t>
        </is>
      </c>
      <c r="B451" s="141" t="n">
        <v>46026</v>
      </c>
      <c r="C451" s="140" t="inlineStr">
        <is>
          <t>AR</t>
        </is>
      </c>
      <c r="D451" s="140" t="inlineStr">
        <is>
          <t>Granville Medical</t>
        </is>
      </c>
      <c r="E451" s="140" t="inlineStr">
        <is>
          <t>REF-100448</t>
        </is>
      </c>
      <c r="F451" s="142" t="n">
        <v>6010.6</v>
      </c>
      <c r="G451" s="143">
        <f>IFERROR(XLOOKUP(E451,Bank_Statement!$D$4:$D$448,Bank_Statement!$G$4:$G$448,""),"")</f>
        <v/>
      </c>
      <c r="H451" s="142">
        <f>IF(G451="","",F451-G451)</f>
        <v/>
      </c>
      <c r="I451" s="144">
        <f>IFERROR(XLOOKUP(E451,Bank_Statement!$D$4:$D$448,Bank_Statement!$B$4:$B$448,""),"")</f>
        <v/>
      </c>
      <c r="J451" s="145">
        <f>IF(I451="","",ABS(B451-I451))</f>
        <v/>
      </c>
      <c r="K451" s="146">
        <f>IF(G451="","Unmatched ERP",IF(AND(ABS(H451)&lt;=Mapping_Rules!$B$4,ABS(J451)&lt;=Mapping_Rules!$B$5),"Matched","Review"))</f>
        <v/>
      </c>
      <c r="L451" s="146">
        <f>IF(K451="Matched","None",IF(G451="","Missing from bank",IF(ABS(H451)&gt;Mapping_Rules!$B$4,"Amount variance","Date variance")))</f>
        <v/>
      </c>
      <c r="M451" s="146">
        <f>IF(K451="Matched","Low",IF(OR(IFERROR(ABS(H451),0)&gt;Mapping_Rules!$B$7,IFERROR(J451,0)&gt;Mapping_Rules!$B$8),"High","Medium"))</f>
        <v/>
      </c>
      <c r="N451" s="146">
        <f>IF(K451="Matched","No action needed",IF(L451="Missing from bank","Check bank date or posting",IF(L451="Amount variance","Check invoice/payment amount","Check timing difference")))</f>
        <v/>
      </c>
      <c r="O451" s="140" t="inlineStr">
        <is>
          <t>1200 AR</t>
        </is>
      </c>
      <c r="P451" s="140" t="inlineStr">
        <is>
          <t>AR Clerk</t>
        </is>
      </c>
      <c r="Q451" s="140" t="inlineStr">
        <is>
          <t>No</t>
        </is>
      </c>
      <c r="R451" s="147" t="str"/>
      <c r="S451" s="148">
        <f>IF(K451="Matched",0,Mapping_Rules!$B$6-B451)</f>
        <v/>
      </c>
    </row>
    <row r="452">
      <c r="A452" s="115" t="inlineStr">
        <is>
          <t>ERP-00449</t>
        </is>
      </c>
      <c r="B452" s="125" t="n">
        <v>46031</v>
      </c>
      <c r="C452" s="115" t="inlineStr">
        <is>
          <t>AR</t>
        </is>
      </c>
      <c r="D452" s="115" t="inlineStr">
        <is>
          <t>Harbour Design Co.</t>
        </is>
      </c>
      <c r="E452" s="115" t="inlineStr">
        <is>
          <t>REF-100449</t>
        </is>
      </c>
      <c r="F452" s="126" t="n">
        <v>1295.32</v>
      </c>
      <c r="G452" s="134">
        <f>IFERROR(XLOOKUP(E452,Bank_Statement!$D$4:$D$448,Bank_Statement!$G$4:$G$448,""),"")</f>
        <v/>
      </c>
      <c r="H452" s="126">
        <f>IF(G452="","",F452-G452)</f>
        <v/>
      </c>
      <c r="I452" s="135">
        <f>IFERROR(XLOOKUP(E452,Bank_Statement!$D$4:$D$448,Bank_Statement!$B$4:$B$448,""),"")</f>
        <v/>
      </c>
      <c r="J452" s="136">
        <f>IF(I452="","",ABS(B452-I452))</f>
        <v/>
      </c>
      <c r="K452" s="137">
        <f>IF(G452="","Unmatched ERP",IF(AND(ABS(H452)&lt;=Mapping_Rules!$B$4,ABS(J452)&lt;=Mapping_Rules!$B$5),"Matched","Review"))</f>
        <v/>
      </c>
      <c r="L452" s="137">
        <f>IF(K452="Matched","None",IF(G452="","Missing from bank",IF(ABS(H452)&gt;Mapping_Rules!$B$4,"Amount variance","Date variance")))</f>
        <v/>
      </c>
      <c r="M452" s="137">
        <f>IF(K452="Matched","Low",IF(OR(IFERROR(ABS(H452),0)&gt;Mapping_Rules!$B$7,IFERROR(J452,0)&gt;Mapping_Rules!$B$8),"High","Medium"))</f>
        <v/>
      </c>
      <c r="N452" s="137">
        <f>IF(K452="Matched","No action needed",IF(L452="Missing from bank","Check bank date or posting",IF(L452="Amount variance","Check invoice/payment amount","Check timing difference")))</f>
        <v/>
      </c>
      <c r="O452" s="115" t="inlineStr">
        <is>
          <t>1200 AR</t>
        </is>
      </c>
      <c r="P452" s="115" t="inlineStr">
        <is>
          <t>AR Clerk</t>
        </is>
      </c>
      <c r="Q452" s="115" t="inlineStr">
        <is>
          <t>No</t>
        </is>
      </c>
      <c r="R452" s="138" t="str"/>
      <c r="S452" s="139">
        <f>IF(K452="Matched",0,Mapping_Rules!$B$6-B452)</f>
        <v/>
      </c>
    </row>
    <row r="453">
      <c r="A453" s="140" t="inlineStr">
        <is>
          <t>ERP-00450</t>
        </is>
      </c>
      <c r="B453" s="141" t="n">
        <v>46048</v>
      </c>
      <c r="C453" s="140" t="inlineStr">
        <is>
          <t>AP</t>
        </is>
      </c>
      <c r="D453" s="140" t="inlineStr">
        <is>
          <t>North Shore Telecom</t>
        </is>
      </c>
      <c r="E453" s="140" t="inlineStr">
        <is>
          <t>REF-100450</t>
        </is>
      </c>
      <c r="F453" s="142" t="n">
        <v>-3807.09</v>
      </c>
      <c r="G453" s="143">
        <f>IFERROR(XLOOKUP(E453,Bank_Statement!$D$4:$D$448,Bank_Statement!$G$4:$G$448,""),"")</f>
        <v/>
      </c>
      <c r="H453" s="142">
        <f>IF(G453="","",F453-G453)</f>
        <v/>
      </c>
      <c r="I453" s="144">
        <f>IFERROR(XLOOKUP(E453,Bank_Statement!$D$4:$D$448,Bank_Statement!$B$4:$B$448,""),"")</f>
        <v/>
      </c>
      <c r="J453" s="145">
        <f>IF(I453="","",ABS(B453-I453))</f>
        <v/>
      </c>
      <c r="K453" s="146">
        <f>IF(G453="","Unmatched ERP",IF(AND(ABS(H453)&lt;=Mapping_Rules!$B$4,ABS(J453)&lt;=Mapping_Rules!$B$5),"Matched","Review"))</f>
        <v/>
      </c>
      <c r="L453" s="146">
        <f>IF(K453="Matched","None",IF(G453="","Missing from bank",IF(ABS(H453)&gt;Mapping_Rules!$B$4,"Amount variance","Date variance")))</f>
        <v/>
      </c>
      <c r="M453" s="146">
        <f>IF(K453="Matched","Low",IF(OR(IFERROR(ABS(H453),0)&gt;Mapping_Rules!$B$7,IFERROR(J453,0)&gt;Mapping_Rules!$B$8),"High","Medium"))</f>
        <v/>
      </c>
      <c r="N453" s="146">
        <f>IF(K453="Matched","No action needed",IF(L453="Missing from bank","Check bank date or posting",IF(L453="Amount variance","Check invoice/payment amount","Check timing difference")))</f>
        <v/>
      </c>
      <c r="O453" s="140" t="inlineStr">
        <is>
          <t>2000 AP</t>
        </is>
      </c>
      <c r="P453" s="140" t="inlineStr">
        <is>
          <t>AP Clerk</t>
        </is>
      </c>
      <c r="Q453" s="140" t="inlineStr">
        <is>
          <t>No</t>
        </is>
      </c>
      <c r="R453" s="147" t="str"/>
      <c r="S453" s="148">
        <f>IF(K453="Matched",0,Mapping_Rules!$B$6-B453)</f>
        <v/>
      </c>
    </row>
    <row r="454">
      <c r="A454" s="115" t="inlineStr">
        <is>
          <t>ERP-00451</t>
        </is>
      </c>
      <c r="B454" s="125" t="n">
        <v>46034</v>
      </c>
      <c r="C454" s="115" t="inlineStr">
        <is>
          <t>GL</t>
        </is>
      </c>
      <c r="D454" s="115" t="inlineStr">
        <is>
          <t>Amazon Business</t>
        </is>
      </c>
      <c r="E454" s="115" t="inlineStr">
        <is>
          <t>REF-100451</t>
        </is>
      </c>
      <c r="F454" s="126" t="n">
        <v>-843.85</v>
      </c>
      <c r="G454" s="134">
        <f>IFERROR(XLOOKUP(E454,Bank_Statement!$D$4:$D$448,Bank_Statement!$G$4:$G$448,""),"")</f>
        <v/>
      </c>
      <c r="H454" s="126">
        <f>IF(G454="","",F454-G454)</f>
        <v/>
      </c>
      <c r="I454" s="135">
        <f>IFERROR(XLOOKUP(E454,Bank_Statement!$D$4:$D$448,Bank_Statement!$B$4:$B$448,""),"")</f>
        <v/>
      </c>
      <c r="J454" s="136">
        <f>IF(I454="","",ABS(B454-I454))</f>
        <v/>
      </c>
      <c r="K454" s="137">
        <f>IF(G454="","Unmatched ERP",IF(AND(ABS(H454)&lt;=Mapping_Rules!$B$4,ABS(J454)&lt;=Mapping_Rules!$B$5),"Matched","Review"))</f>
        <v/>
      </c>
      <c r="L454" s="137">
        <f>IF(K454="Matched","None",IF(G454="","Missing from bank",IF(ABS(H454)&gt;Mapping_Rules!$B$4,"Amount variance","Date variance")))</f>
        <v/>
      </c>
      <c r="M454" s="137">
        <f>IF(K454="Matched","Low",IF(OR(IFERROR(ABS(H454),0)&gt;Mapping_Rules!$B$7,IFERROR(J454,0)&gt;Mapping_Rules!$B$8),"High","Medium"))</f>
        <v/>
      </c>
      <c r="N454" s="137">
        <f>IF(K454="Matched","No action needed",IF(L454="Missing from bank","Check bank date or posting",IF(L454="Amount variance","Check invoice/payment amount","Check timing difference")))</f>
        <v/>
      </c>
      <c r="O454" s="115" t="inlineStr">
        <is>
          <t>5000 Office Expense</t>
        </is>
      </c>
      <c r="P454" s="115" t="inlineStr">
        <is>
          <t>Accounting Technician</t>
        </is>
      </c>
      <c r="Q454" s="115" t="inlineStr">
        <is>
          <t>No</t>
        </is>
      </c>
      <c r="R454" s="138" t="str"/>
      <c r="S454" s="139">
        <f>IF(K454="Matched",0,Mapping_Rules!$B$6-B454)</f>
        <v/>
      </c>
    </row>
    <row r="455">
      <c r="A455" s="140" t="inlineStr">
        <is>
          <t>ERP-00452</t>
        </is>
      </c>
      <c r="B455" s="141" t="n">
        <v>46052</v>
      </c>
      <c r="C455" s="140" t="inlineStr">
        <is>
          <t>AP</t>
        </is>
      </c>
      <c r="D455" s="140" t="inlineStr">
        <is>
          <t>Amazon Business</t>
        </is>
      </c>
      <c r="E455" s="140" t="inlineStr">
        <is>
          <t>REF-100452</t>
        </is>
      </c>
      <c r="F455" s="142" t="n">
        <v>-4174.41</v>
      </c>
      <c r="G455" s="143">
        <f>IFERROR(XLOOKUP(E455,Bank_Statement!$D$4:$D$448,Bank_Statement!$G$4:$G$448,""),"")</f>
        <v/>
      </c>
      <c r="H455" s="142">
        <f>IF(G455="","",F455-G455)</f>
        <v/>
      </c>
      <c r="I455" s="144">
        <f>IFERROR(XLOOKUP(E455,Bank_Statement!$D$4:$D$448,Bank_Statement!$B$4:$B$448,""),"")</f>
        <v/>
      </c>
      <c r="J455" s="145">
        <f>IF(I455="","",ABS(B455-I455))</f>
        <v/>
      </c>
      <c r="K455" s="146">
        <f>IF(G455="","Unmatched ERP",IF(AND(ABS(H455)&lt;=Mapping_Rules!$B$4,ABS(J455)&lt;=Mapping_Rules!$B$5),"Matched","Review"))</f>
        <v/>
      </c>
      <c r="L455" s="146">
        <f>IF(K455="Matched","None",IF(G455="","Missing from bank",IF(ABS(H455)&gt;Mapping_Rules!$B$4,"Amount variance","Date variance")))</f>
        <v/>
      </c>
      <c r="M455" s="146">
        <f>IF(K455="Matched","Low",IF(OR(IFERROR(ABS(H455),0)&gt;Mapping_Rules!$B$7,IFERROR(J455,0)&gt;Mapping_Rules!$B$8),"High","Medium"))</f>
        <v/>
      </c>
      <c r="N455" s="146">
        <f>IF(K455="Matched","No action needed",IF(L455="Missing from bank","Check bank date or posting",IF(L455="Amount variance","Check invoice/payment amount","Check timing difference")))</f>
        <v/>
      </c>
      <c r="O455" s="140" t="inlineStr">
        <is>
          <t>2000 AP</t>
        </is>
      </c>
      <c r="P455" s="140" t="inlineStr">
        <is>
          <t>AP Clerk</t>
        </is>
      </c>
      <c r="Q455" s="140" t="inlineStr">
        <is>
          <t>No</t>
        </is>
      </c>
      <c r="R455" s="147" t="str"/>
      <c r="S455" s="148">
        <f>IF(K455="Matched",0,Mapping_Rules!$B$6-B455)</f>
        <v/>
      </c>
    </row>
    <row r="456">
      <c r="A456" s="115" t="inlineStr">
        <is>
          <t>ERP-00453</t>
        </is>
      </c>
      <c r="B456" s="125" t="n">
        <v>46026</v>
      </c>
      <c r="C456" s="115" t="inlineStr">
        <is>
          <t>Payroll</t>
        </is>
      </c>
      <c r="D456" s="115" t="inlineStr">
        <is>
          <t>Payroll Batch</t>
        </is>
      </c>
      <c r="E456" s="115" t="inlineStr">
        <is>
          <t>REF-100453</t>
        </is>
      </c>
      <c r="F456" s="126" t="n">
        <v>-11842.88</v>
      </c>
      <c r="G456" s="134">
        <f>IFERROR(XLOOKUP(E456,Bank_Statement!$D$4:$D$448,Bank_Statement!$G$4:$G$448,""),"")</f>
        <v/>
      </c>
      <c r="H456" s="126">
        <f>IF(G456="","",F456-G456)</f>
        <v/>
      </c>
      <c r="I456" s="135">
        <f>IFERROR(XLOOKUP(E456,Bank_Statement!$D$4:$D$448,Bank_Statement!$B$4:$B$448,""),"")</f>
        <v/>
      </c>
      <c r="J456" s="136">
        <f>IF(I456="","",ABS(B456-I456))</f>
        <v/>
      </c>
      <c r="K456" s="137">
        <f>IF(G456="","Unmatched ERP",IF(AND(ABS(H456)&lt;=Mapping_Rules!$B$4,ABS(J456)&lt;=Mapping_Rules!$B$5),"Matched","Review"))</f>
        <v/>
      </c>
      <c r="L456" s="137">
        <f>IF(K456="Matched","None",IF(G456="","Missing from bank",IF(ABS(H456)&gt;Mapping_Rules!$B$4,"Amount variance","Date variance")))</f>
        <v/>
      </c>
      <c r="M456" s="137">
        <f>IF(K456="Matched","Low",IF(OR(IFERROR(ABS(H456),0)&gt;Mapping_Rules!$B$7,IFERROR(J456,0)&gt;Mapping_Rules!$B$8),"High","Medium"))</f>
        <v/>
      </c>
      <c r="N456" s="137">
        <f>IF(K456="Matched","No action needed",IF(L456="Missing from bank","Check bank date or posting",IF(L456="Amount variance","Check invoice/payment amount","Check timing difference")))</f>
        <v/>
      </c>
      <c r="O456" s="115" t="inlineStr">
        <is>
          <t>5300 Payroll</t>
        </is>
      </c>
      <c r="P456" s="115" t="inlineStr">
        <is>
          <t>Accounting Technician</t>
        </is>
      </c>
      <c r="Q456" s="115" t="inlineStr">
        <is>
          <t>No</t>
        </is>
      </c>
      <c r="R456" s="138" t="str"/>
      <c r="S456" s="139">
        <f>IF(K456="Matched",0,Mapping_Rules!$B$6-B456)</f>
        <v/>
      </c>
    </row>
    <row r="457">
      <c r="A457" s="140" t="inlineStr">
        <is>
          <t>ERP-00454</t>
        </is>
      </c>
      <c r="B457" s="141" t="n">
        <v>46028</v>
      </c>
      <c r="C457" s="140" t="inlineStr">
        <is>
          <t>Payroll</t>
        </is>
      </c>
      <c r="D457" s="140" t="inlineStr">
        <is>
          <t>Payroll Batch</t>
        </is>
      </c>
      <c r="E457" s="140" t="inlineStr">
        <is>
          <t>REF-100454</t>
        </is>
      </c>
      <c r="F457" s="142" t="n">
        <v>-14857.61</v>
      </c>
      <c r="G457" s="143">
        <f>IFERROR(XLOOKUP(E457,Bank_Statement!$D$4:$D$448,Bank_Statement!$G$4:$G$448,""),"")</f>
        <v/>
      </c>
      <c r="H457" s="142">
        <f>IF(G457="","",F457-G457)</f>
        <v/>
      </c>
      <c r="I457" s="144">
        <f>IFERROR(XLOOKUP(E457,Bank_Statement!$D$4:$D$448,Bank_Statement!$B$4:$B$448,""),"")</f>
        <v/>
      </c>
      <c r="J457" s="145">
        <f>IF(I457="","",ABS(B457-I457))</f>
        <v/>
      </c>
      <c r="K457" s="146">
        <f>IF(G457="","Unmatched ERP",IF(AND(ABS(H457)&lt;=Mapping_Rules!$B$4,ABS(J457)&lt;=Mapping_Rules!$B$5),"Matched","Review"))</f>
        <v/>
      </c>
      <c r="L457" s="146">
        <f>IF(K457="Matched","None",IF(G457="","Missing from bank",IF(ABS(H457)&gt;Mapping_Rules!$B$4,"Amount variance","Date variance")))</f>
        <v/>
      </c>
      <c r="M457" s="146">
        <f>IF(K457="Matched","Low",IF(OR(IFERROR(ABS(H457),0)&gt;Mapping_Rules!$B$7,IFERROR(J457,0)&gt;Mapping_Rules!$B$8),"High","Medium"))</f>
        <v/>
      </c>
      <c r="N457" s="146">
        <f>IF(K457="Matched","No action needed",IF(L457="Missing from bank","Check bank date or posting",IF(L457="Amount variance","Check invoice/payment amount","Check timing difference")))</f>
        <v/>
      </c>
      <c r="O457" s="140" t="inlineStr">
        <is>
          <t>5300 Payroll</t>
        </is>
      </c>
      <c r="P457" s="140" t="inlineStr">
        <is>
          <t>Accounting Technician</t>
        </is>
      </c>
      <c r="Q457" s="140" t="inlineStr">
        <is>
          <t>No</t>
        </is>
      </c>
      <c r="R457" s="147" t="str"/>
      <c r="S457" s="148">
        <f>IF(K457="Matched",0,Mapping_Rules!$B$6-B457)</f>
        <v/>
      </c>
    </row>
    <row r="458">
      <c r="A458" s="115" t="inlineStr">
        <is>
          <t>ERP-00455</t>
        </is>
      </c>
      <c r="B458" s="125" t="n">
        <v>46047</v>
      </c>
      <c r="C458" s="115" t="inlineStr">
        <is>
          <t>Payroll</t>
        </is>
      </c>
      <c r="D458" s="115" t="inlineStr">
        <is>
          <t>Payroll Batch</t>
        </is>
      </c>
      <c r="E458" s="115" t="inlineStr">
        <is>
          <t>REF-100455</t>
        </is>
      </c>
      <c r="F458" s="126" t="n">
        <v>-2640.25</v>
      </c>
      <c r="G458" s="134">
        <f>IFERROR(XLOOKUP(E458,Bank_Statement!$D$4:$D$448,Bank_Statement!$G$4:$G$448,""),"")</f>
        <v/>
      </c>
      <c r="H458" s="126">
        <f>IF(G458="","",F458-G458)</f>
        <v/>
      </c>
      <c r="I458" s="135">
        <f>IFERROR(XLOOKUP(E458,Bank_Statement!$D$4:$D$448,Bank_Statement!$B$4:$B$448,""),"")</f>
        <v/>
      </c>
      <c r="J458" s="136">
        <f>IF(I458="","",ABS(B458-I458))</f>
        <v/>
      </c>
      <c r="K458" s="137">
        <f>IF(G458="","Unmatched ERP",IF(AND(ABS(H458)&lt;=Mapping_Rules!$B$4,ABS(J458)&lt;=Mapping_Rules!$B$5),"Matched","Review"))</f>
        <v/>
      </c>
      <c r="L458" s="137">
        <f>IF(K458="Matched","None",IF(G458="","Missing from bank",IF(ABS(H458)&gt;Mapping_Rules!$B$4,"Amount variance","Date variance")))</f>
        <v/>
      </c>
      <c r="M458" s="137">
        <f>IF(K458="Matched","Low",IF(OR(IFERROR(ABS(H458),0)&gt;Mapping_Rules!$B$7,IFERROR(J458,0)&gt;Mapping_Rules!$B$8),"High","Medium"))</f>
        <v/>
      </c>
      <c r="N458" s="137">
        <f>IF(K458="Matched","No action needed",IF(L458="Missing from bank","Check bank date or posting",IF(L458="Amount variance","Check invoice/payment amount","Check timing difference")))</f>
        <v/>
      </c>
      <c r="O458" s="115" t="inlineStr">
        <is>
          <t>5300 Payroll</t>
        </is>
      </c>
      <c r="P458" s="115" t="inlineStr">
        <is>
          <t>Accounting Technician</t>
        </is>
      </c>
      <c r="Q458" s="115" t="inlineStr">
        <is>
          <t>No</t>
        </is>
      </c>
      <c r="R458" s="138" t="str"/>
      <c r="S458" s="139">
        <f>IF(K458="Matched",0,Mapping_Rules!$B$6-B458)</f>
        <v/>
      </c>
    </row>
    <row r="459">
      <c r="A459" s="140" t="inlineStr">
        <is>
          <t>ERP-00456</t>
        </is>
      </c>
      <c r="B459" s="141" t="n">
        <v>46031</v>
      </c>
      <c r="C459" s="140" t="inlineStr">
        <is>
          <t>Payroll</t>
        </is>
      </c>
      <c r="D459" s="140" t="inlineStr">
        <is>
          <t>Payroll Batch</t>
        </is>
      </c>
      <c r="E459" s="140" t="inlineStr">
        <is>
          <t>REF-100456</t>
        </is>
      </c>
      <c r="F459" s="142" t="n">
        <v>-3847.79</v>
      </c>
      <c r="G459" s="143">
        <f>IFERROR(XLOOKUP(E459,Bank_Statement!$D$4:$D$448,Bank_Statement!$G$4:$G$448,""),"")</f>
        <v/>
      </c>
      <c r="H459" s="142">
        <f>IF(G459="","",F459-G459)</f>
        <v/>
      </c>
      <c r="I459" s="144">
        <f>IFERROR(XLOOKUP(E459,Bank_Statement!$D$4:$D$448,Bank_Statement!$B$4:$B$448,""),"")</f>
        <v/>
      </c>
      <c r="J459" s="145">
        <f>IF(I459="","",ABS(B459-I459))</f>
        <v/>
      </c>
      <c r="K459" s="146">
        <f>IF(G459="","Unmatched ERP",IF(AND(ABS(H459)&lt;=Mapping_Rules!$B$4,ABS(J459)&lt;=Mapping_Rules!$B$5),"Matched","Review"))</f>
        <v/>
      </c>
      <c r="L459" s="146">
        <f>IF(K459="Matched","None",IF(G459="","Missing from bank",IF(ABS(H459)&gt;Mapping_Rules!$B$4,"Amount variance","Date variance")))</f>
        <v/>
      </c>
      <c r="M459" s="146">
        <f>IF(K459="Matched","Low",IF(OR(IFERROR(ABS(H459),0)&gt;Mapping_Rules!$B$7,IFERROR(J459,0)&gt;Mapping_Rules!$B$8),"High","Medium"))</f>
        <v/>
      </c>
      <c r="N459" s="146">
        <f>IF(K459="Matched","No action needed",IF(L459="Missing from bank","Check bank date or posting",IF(L459="Amount variance","Check invoice/payment amount","Check timing difference")))</f>
        <v/>
      </c>
      <c r="O459" s="140" t="inlineStr">
        <is>
          <t>5300 Payroll</t>
        </is>
      </c>
      <c r="P459" s="140" t="inlineStr">
        <is>
          <t>Accounting Technician</t>
        </is>
      </c>
      <c r="Q459" s="140" t="inlineStr">
        <is>
          <t>No</t>
        </is>
      </c>
      <c r="R459" s="147" t="str"/>
      <c r="S459" s="148">
        <f>IF(K459="Matched",0,Mapping_Rules!$B$6-B459)</f>
        <v/>
      </c>
    </row>
    <row r="460">
      <c r="A460" s="115" t="inlineStr">
        <is>
          <t>ERP-00457</t>
        </is>
      </c>
      <c r="B460" s="125" t="n">
        <v>46031</v>
      </c>
      <c r="C460" s="115" t="inlineStr">
        <is>
          <t>Payroll</t>
        </is>
      </c>
      <c r="D460" s="115" t="inlineStr">
        <is>
          <t>Payroll Batch</t>
        </is>
      </c>
      <c r="E460" s="115" t="inlineStr">
        <is>
          <t>REF-100457</t>
        </is>
      </c>
      <c r="F460" s="126" t="n">
        <v>-12503.59</v>
      </c>
      <c r="G460" s="134">
        <f>IFERROR(XLOOKUP(E460,Bank_Statement!$D$4:$D$448,Bank_Statement!$G$4:$G$448,""),"")</f>
        <v/>
      </c>
      <c r="H460" s="126">
        <f>IF(G460="","",F460-G460)</f>
        <v/>
      </c>
      <c r="I460" s="135">
        <f>IFERROR(XLOOKUP(E460,Bank_Statement!$D$4:$D$448,Bank_Statement!$B$4:$B$448,""),"")</f>
        <v/>
      </c>
      <c r="J460" s="136">
        <f>IF(I460="","",ABS(B460-I460))</f>
        <v/>
      </c>
      <c r="K460" s="137">
        <f>IF(G460="","Unmatched ERP",IF(AND(ABS(H460)&lt;=Mapping_Rules!$B$4,ABS(J460)&lt;=Mapping_Rules!$B$5),"Matched","Review"))</f>
        <v/>
      </c>
      <c r="L460" s="137">
        <f>IF(K460="Matched","None",IF(G460="","Missing from bank",IF(ABS(H460)&gt;Mapping_Rules!$B$4,"Amount variance","Date variance")))</f>
        <v/>
      </c>
      <c r="M460" s="137">
        <f>IF(K460="Matched","Low",IF(OR(IFERROR(ABS(H460),0)&gt;Mapping_Rules!$B$7,IFERROR(J460,0)&gt;Mapping_Rules!$B$8),"High","Medium"))</f>
        <v/>
      </c>
      <c r="N460" s="137">
        <f>IF(K460="Matched","No action needed",IF(L460="Missing from bank","Check bank date or posting",IF(L460="Amount variance","Check invoice/payment amount","Check timing difference")))</f>
        <v/>
      </c>
      <c r="O460" s="115" t="inlineStr">
        <is>
          <t>5300 Payroll</t>
        </is>
      </c>
      <c r="P460" s="115" t="inlineStr">
        <is>
          <t>Accounting Technician</t>
        </is>
      </c>
      <c r="Q460" s="115" t="inlineStr">
        <is>
          <t>No</t>
        </is>
      </c>
      <c r="R460" s="138" t="str"/>
      <c r="S460" s="139">
        <f>IF(K460="Matched",0,Mapping_Rules!$B$6-B460)</f>
        <v/>
      </c>
    </row>
    <row r="461">
      <c r="A461" s="140" t="inlineStr">
        <is>
          <t>ERP-00458</t>
        </is>
      </c>
      <c r="B461" s="141" t="n">
        <v>46045</v>
      </c>
      <c r="C461" s="140" t="inlineStr">
        <is>
          <t>GL</t>
        </is>
      </c>
      <c r="D461" s="140" t="inlineStr">
        <is>
          <t>Metro Cleaning Ltd.</t>
        </is>
      </c>
      <c r="E461" s="140" t="inlineStr">
        <is>
          <t>REF-100458</t>
        </is>
      </c>
      <c r="F461" s="142" t="n">
        <v>-563.38</v>
      </c>
      <c r="G461" s="143">
        <f>IFERROR(XLOOKUP(E461,Bank_Statement!$D$4:$D$448,Bank_Statement!$G$4:$G$448,""),"")</f>
        <v/>
      </c>
      <c r="H461" s="142">
        <f>IF(G461="","",F461-G461)</f>
        <v/>
      </c>
      <c r="I461" s="144">
        <f>IFERROR(XLOOKUP(E461,Bank_Statement!$D$4:$D$448,Bank_Statement!$B$4:$B$448,""),"")</f>
        <v/>
      </c>
      <c r="J461" s="145">
        <f>IF(I461="","",ABS(B461-I461))</f>
        <v/>
      </c>
      <c r="K461" s="146">
        <f>IF(G461="","Unmatched ERP",IF(AND(ABS(H461)&lt;=Mapping_Rules!$B$4,ABS(J461)&lt;=Mapping_Rules!$B$5),"Matched","Review"))</f>
        <v/>
      </c>
      <c r="L461" s="146">
        <f>IF(K461="Matched","None",IF(G461="","Missing from bank",IF(ABS(H461)&gt;Mapping_Rules!$B$4,"Amount variance","Date variance")))</f>
        <v/>
      </c>
      <c r="M461" s="146">
        <f>IF(K461="Matched","Low",IF(OR(IFERROR(ABS(H461),0)&gt;Mapping_Rules!$B$7,IFERROR(J461,0)&gt;Mapping_Rules!$B$8),"High","Medium"))</f>
        <v/>
      </c>
      <c r="N461" s="146">
        <f>IF(K461="Matched","No action needed",IF(L461="Missing from bank","Check bank date or posting",IF(L461="Amount variance","Check invoice/payment amount","Check timing difference")))</f>
        <v/>
      </c>
      <c r="O461" s="140" t="inlineStr">
        <is>
          <t>6100 Bank Fees</t>
        </is>
      </c>
      <c r="P461" s="140" t="inlineStr">
        <is>
          <t>Accounting Technician</t>
        </is>
      </c>
      <c r="Q461" s="140" t="inlineStr">
        <is>
          <t>No</t>
        </is>
      </c>
      <c r="R461" s="147" t="str"/>
      <c r="S461" s="148">
        <f>IF(K461="Matched",0,Mapping_Rules!$B$6-B461)</f>
        <v/>
      </c>
    </row>
    <row r="462">
      <c r="A462" s="115" t="inlineStr">
        <is>
          <t>ERP-00459</t>
        </is>
      </c>
      <c r="B462" s="125" t="n">
        <v>46042</v>
      </c>
      <c r="C462" s="115" t="inlineStr">
        <is>
          <t>AP</t>
        </is>
      </c>
      <c r="D462" s="115" t="inlineStr">
        <is>
          <t>Staples Canada</t>
        </is>
      </c>
      <c r="E462" s="115" t="inlineStr">
        <is>
          <t>REF-100459</t>
        </is>
      </c>
      <c r="F462" s="126" t="n">
        <v>-5465.3</v>
      </c>
      <c r="G462" s="134">
        <f>IFERROR(XLOOKUP(E462,Bank_Statement!$D$4:$D$448,Bank_Statement!$G$4:$G$448,""),"")</f>
        <v/>
      </c>
      <c r="H462" s="126">
        <f>IF(G462="","",F462-G462)</f>
        <v/>
      </c>
      <c r="I462" s="135">
        <f>IFERROR(XLOOKUP(E462,Bank_Statement!$D$4:$D$448,Bank_Statement!$B$4:$B$448,""),"")</f>
        <v/>
      </c>
      <c r="J462" s="136">
        <f>IF(I462="","",ABS(B462-I462))</f>
        <v/>
      </c>
      <c r="K462" s="137">
        <f>IF(G462="","Unmatched ERP",IF(AND(ABS(H462)&lt;=Mapping_Rules!$B$4,ABS(J462)&lt;=Mapping_Rules!$B$5),"Matched","Review"))</f>
        <v/>
      </c>
      <c r="L462" s="137">
        <f>IF(K462="Matched","None",IF(G462="","Missing from bank",IF(ABS(H462)&gt;Mapping_Rules!$B$4,"Amount variance","Date variance")))</f>
        <v/>
      </c>
      <c r="M462" s="137">
        <f>IF(K462="Matched","Low",IF(OR(IFERROR(ABS(H462),0)&gt;Mapping_Rules!$B$7,IFERROR(J462,0)&gt;Mapping_Rules!$B$8),"High","Medium"))</f>
        <v/>
      </c>
      <c r="N462" s="137">
        <f>IF(K462="Matched","No action needed",IF(L462="Missing from bank","Check bank date or posting",IF(L462="Amount variance","Check invoice/payment amount","Check timing difference")))</f>
        <v/>
      </c>
      <c r="O462" s="115" t="inlineStr">
        <is>
          <t>2000 AP</t>
        </is>
      </c>
      <c r="P462" s="115" t="inlineStr">
        <is>
          <t>AP Clerk</t>
        </is>
      </c>
      <c r="Q462" s="115" t="inlineStr">
        <is>
          <t>No</t>
        </is>
      </c>
      <c r="R462" s="138" t="str"/>
      <c r="S462" s="139">
        <f>IF(K462="Matched",0,Mapping_Rules!$B$6-B462)</f>
        <v/>
      </c>
    </row>
    <row r="463">
      <c r="A463" s="140" t="inlineStr">
        <is>
          <t>ERP-00460</t>
        </is>
      </c>
      <c r="B463" s="141" t="n">
        <v>46026</v>
      </c>
      <c r="C463" s="140" t="inlineStr">
        <is>
          <t>Payroll</t>
        </is>
      </c>
      <c r="D463" s="140" t="inlineStr">
        <is>
          <t>Payroll Batch</t>
        </is>
      </c>
      <c r="E463" s="140" t="inlineStr">
        <is>
          <t>REF-100460</t>
        </is>
      </c>
      <c r="F463" s="142" t="n">
        <v>-8889.969999999999</v>
      </c>
      <c r="G463" s="143">
        <f>IFERROR(XLOOKUP(E463,Bank_Statement!$D$4:$D$448,Bank_Statement!$G$4:$G$448,""),"")</f>
        <v/>
      </c>
      <c r="H463" s="142">
        <f>IF(G463="","",F463-G463)</f>
        <v/>
      </c>
      <c r="I463" s="144">
        <f>IFERROR(XLOOKUP(E463,Bank_Statement!$D$4:$D$448,Bank_Statement!$B$4:$B$448,""),"")</f>
        <v/>
      </c>
      <c r="J463" s="145">
        <f>IF(I463="","",ABS(B463-I463))</f>
        <v/>
      </c>
      <c r="K463" s="146">
        <f>IF(G463="","Unmatched ERP",IF(AND(ABS(H463)&lt;=Mapping_Rules!$B$4,ABS(J463)&lt;=Mapping_Rules!$B$5),"Matched","Review"))</f>
        <v/>
      </c>
      <c r="L463" s="146">
        <f>IF(K463="Matched","None",IF(G463="","Missing from bank",IF(ABS(H463)&gt;Mapping_Rules!$B$4,"Amount variance","Date variance")))</f>
        <v/>
      </c>
      <c r="M463" s="146">
        <f>IF(K463="Matched","Low",IF(OR(IFERROR(ABS(H463),0)&gt;Mapping_Rules!$B$7,IFERROR(J463,0)&gt;Mapping_Rules!$B$8),"High","Medium"))</f>
        <v/>
      </c>
      <c r="N463" s="146">
        <f>IF(K463="Matched","No action needed",IF(L463="Missing from bank","Check bank date or posting",IF(L463="Amount variance","Check invoice/payment amount","Check timing difference")))</f>
        <v/>
      </c>
      <c r="O463" s="140" t="inlineStr">
        <is>
          <t>5300 Payroll</t>
        </is>
      </c>
      <c r="P463" s="140" t="inlineStr">
        <is>
          <t>Accounting Technician</t>
        </is>
      </c>
      <c r="Q463" s="140" t="inlineStr">
        <is>
          <t>No</t>
        </is>
      </c>
      <c r="R463" s="147" t="str"/>
      <c r="S463" s="148">
        <f>IF(K463="Matched",0,Mapping_Rules!$B$6-B463)</f>
        <v/>
      </c>
    </row>
    <row r="464">
      <c r="A464" s="115" t="inlineStr">
        <is>
          <t>ERP-00461</t>
        </is>
      </c>
      <c r="B464" s="125" t="n">
        <v>46044</v>
      </c>
      <c r="C464" s="115" t="inlineStr">
        <is>
          <t>AR</t>
        </is>
      </c>
      <c r="D464" s="115" t="inlineStr">
        <is>
          <t>Harbour Design Co.</t>
        </is>
      </c>
      <c r="E464" s="115" t="inlineStr">
        <is>
          <t>REF-100461</t>
        </is>
      </c>
      <c r="F464" s="126" t="n">
        <v>4965.02</v>
      </c>
      <c r="G464" s="134">
        <f>IFERROR(XLOOKUP(E464,Bank_Statement!$D$4:$D$448,Bank_Statement!$G$4:$G$448,""),"")</f>
        <v/>
      </c>
      <c r="H464" s="126">
        <f>IF(G464="","",F464-G464)</f>
        <v/>
      </c>
      <c r="I464" s="135">
        <f>IFERROR(XLOOKUP(E464,Bank_Statement!$D$4:$D$448,Bank_Statement!$B$4:$B$448,""),"")</f>
        <v/>
      </c>
      <c r="J464" s="136">
        <f>IF(I464="","",ABS(B464-I464))</f>
        <v/>
      </c>
      <c r="K464" s="137">
        <f>IF(G464="","Unmatched ERP",IF(AND(ABS(H464)&lt;=Mapping_Rules!$B$4,ABS(J464)&lt;=Mapping_Rules!$B$5),"Matched","Review"))</f>
        <v/>
      </c>
      <c r="L464" s="137">
        <f>IF(K464="Matched","None",IF(G464="","Missing from bank",IF(ABS(H464)&gt;Mapping_Rules!$B$4,"Amount variance","Date variance")))</f>
        <v/>
      </c>
      <c r="M464" s="137">
        <f>IF(K464="Matched","Low",IF(OR(IFERROR(ABS(H464),0)&gt;Mapping_Rules!$B$7,IFERROR(J464,0)&gt;Mapping_Rules!$B$8),"High","Medium"))</f>
        <v/>
      </c>
      <c r="N464" s="137">
        <f>IF(K464="Matched","No action needed",IF(L464="Missing from bank","Check bank date or posting",IF(L464="Amount variance","Check invoice/payment amount","Check timing difference")))</f>
        <v/>
      </c>
      <c r="O464" s="115" t="inlineStr">
        <is>
          <t>1200 AR</t>
        </is>
      </c>
      <c r="P464" s="115" t="inlineStr">
        <is>
          <t>AR Clerk</t>
        </is>
      </c>
      <c r="Q464" s="115" t="inlineStr">
        <is>
          <t>No</t>
        </is>
      </c>
      <c r="R464" s="138" t="str"/>
      <c r="S464" s="139">
        <f>IF(K464="Matched",0,Mapping_Rules!$B$6-B464)</f>
        <v/>
      </c>
    </row>
    <row r="465">
      <c r="A465" s="140" t="inlineStr">
        <is>
          <t>ERP-00462</t>
        </is>
      </c>
      <c r="B465" s="141" t="n">
        <v>46044</v>
      </c>
      <c r="C465" s="140" t="inlineStr">
        <is>
          <t>Payroll</t>
        </is>
      </c>
      <c r="D465" s="140" t="inlineStr">
        <is>
          <t>Payroll Batch</t>
        </is>
      </c>
      <c r="E465" s="140" t="inlineStr">
        <is>
          <t>REF-100462</t>
        </is>
      </c>
      <c r="F465" s="142" t="n">
        <v>-10026.95</v>
      </c>
      <c r="G465" s="143">
        <f>IFERROR(XLOOKUP(E465,Bank_Statement!$D$4:$D$448,Bank_Statement!$G$4:$G$448,""),"")</f>
        <v/>
      </c>
      <c r="H465" s="142">
        <f>IF(G465="","",F465-G465)</f>
        <v/>
      </c>
      <c r="I465" s="144">
        <f>IFERROR(XLOOKUP(E465,Bank_Statement!$D$4:$D$448,Bank_Statement!$B$4:$B$448,""),"")</f>
        <v/>
      </c>
      <c r="J465" s="145">
        <f>IF(I465="","",ABS(B465-I465))</f>
        <v/>
      </c>
      <c r="K465" s="146">
        <f>IF(G465="","Unmatched ERP",IF(AND(ABS(H465)&lt;=Mapping_Rules!$B$4,ABS(J465)&lt;=Mapping_Rules!$B$5),"Matched","Review"))</f>
        <v/>
      </c>
      <c r="L465" s="146">
        <f>IF(K465="Matched","None",IF(G465="","Missing from bank",IF(ABS(H465)&gt;Mapping_Rules!$B$4,"Amount variance","Date variance")))</f>
        <v/>
      </c>
      <c r="M465" s="146">
        <f>IF(K465="Matched","Low",IF(OR(IFERROR(ABS(H465),0)&gt;Mapping_Rules!$B$7,IFERROR(J465,0)&gt;Mapping_Rules!$B$8),"High","Medium"))</f>
        <v/>
      </c>
      <c r="N465" s="146">
        <f>IF(K465="Matched","No action needed",IF(L465="Missing from bank","Check bank date or posting",IF(L465="Amount variance","Check invoice/payment amount","Check timing difference")))</f>
        <v/>
      </c>
      <c r="O465" s="140" t="inlineStr">
        <is>
          <t>5300 Payroll</t>
        </is>
      </c>
      <c r="P465" s="140" t="inlineStr">
        <is>
          <t>Accounting Technician</t>
        </is>
      </c>
      <c r="Q465" s="140" t="inlineStr">
        <is>
          <t>No</t>
        </is>
      </c>
      <c r="R465" s="147" t="str"/>
      <c r="S465" s="148">
        <f>IF(K465="Matched",0,Mapping_Rules!$B$6-B465)</f>
        <v/>
      </c>
    </row>
    <row r="466">
      <c r="A466" s="115" t="inlineStr">
        <is>
          <t>ERP-00463</t>
        </is>
      </c>
      <c r="B466" s="125" t="n">
        <v>46044</v>
      </c>
      <c r="C466" s="115" t="inlineStr">
        <is>
          <t>GL</t>
        </is>
      </c>
      <c r="D466" s="115" t="inlineStr">
        <is>
          <t>Vancouver Courier</t>
        </is>
      </c>
      <c r="E466" s="115" t="inlineStr">
        <is>
          <t>REF-100463</t>
        </is>
      </c>
      <c r="F466" s="126" t="n">
        <v>-785.84</v>
      </c>
      <c r="G466" s="134">
        <f>IFERROR(XLOOKUP(E466,Bank_Statement!$D$4:$D$448,Bank_Statement!$G$4:$G$448,""),"")</f>
        <v/>
      </c>
      <c r="H466" s="126">
        <f>IF(G466="","",F466-G466)</f>
        <v/>
      </c>
      <c r="I466" s="135">
        <f>IFERROR(XLOOKUP(E466,Bank_Statement!$D$4:$D$448,Bank_Statement!$B$4:$B$448,""),"")</f>
        <v/>
      </c>
      <c r="J466" s="136">
        <f>IF(I466="","",ABS(B466-I466))</f>
        <v/>
      </c>
      <c r="K466" s="137">
        <f>IF(G466="","Unmatched ERP",IF(AND(ABS(H466)&lt;=Mapping_Rules!$B$4,ABS(J466)&lt;=Mapping_Rules!$B$5),"Matched","Review"))</f>
        <v/>
      </c>
      <c r="L466" s="137">
        <f>IF(K466="Matched","None",IF(G466="","Missing from bank",IF(ABS(H466)&gt;Mapping_Rules!$B$4,"Amount variance","Date variance")))</f>
        <v/>
      </c>
      <c r="M466" s="137">
        <f>IF(K466="Matched","Low",IF(OR(IFERROR(ABS(H466),0)&gt;Mapping_Rules!$B$7,IFERROR(J466,0)&gt;Mapping_Rules!$B$8),"High","Medium"))</f>
        <v/>
      </c>
      <c r="N466" s="137">
        <f>IF(K466="Matched","No action needed",IF(L466="Missing from bank","Check bank date or posting",IF(L466="Amount variance","Check invoice/payment amount","Check timing difference")))</f>
        <v/>
      </c>
      <c r="O466" s="115" t="inlineStr">
        <is>
          <t>1010 Cash</t>
        </is>
      </c>
      <c r="P466" s="115" t="inlineStr">
        <is>
          <t>Accounting Technician</t>
        </is>
      </c>
      <c r="Q466" s="115" t="inlineStr">
        <is>
          <t>No</t>
        </is>
      </c>
      <c r="R466" s="138" t="str"/>
      <c r="S466" s="139">
        <f>IF(K466="Matched",0,Mapping_Rules!$B$6-B466)</f>
        <v/>
      </c>
    </row>
    <row r="467">
      <c r="A467" s="140" t="inlineStr">
        <is>
          <t>ERP-00464</t>
        </is>
      </c>
      <c r="B467" s="141" t="n">
        <v>46050</v>
      </c>
      <c r="C467" s="140" t="inlineStr">
        <is>
          <t>AP</t>
        </is>
      </c>
      <c r="D467" s="140" t="inlineStr">
        <is>
          <t>Vancouver Courier</t>
        </is>
      </c>
      <c r="E467" s="140" t="inlineStr">
        <is>
          <t>REF-100464</t>
        </is>
      </c>
      <c r="F467" s="142" t="n">
        <v>-3088.89</v>
      </c>
      <c r="G467" s="143">
        <f>IFERROR(XLOOKUP(E467,Bank_Statement!$D$4:$D$448,Bank_Statement!$G$4:$G$448,""),"")</f>
        <v/>
      </c>
      <c r="H467" s="142">
        <f>IF(G467="","",F467-G467)</f>
        <v/>
      </c>
      <c r="I467" s="144">
        <f>IFERROR(XLOOKUP(E467,Bank_Statement!$D$4:$D$448,Bank_Statement!$B$4:$B$448,""),"")</f>
        <v/>
      </c>
      <c r="J467" s="145">
        <f>IF(I467="","",ABS(B467-I467))</f>
        <v/>
      </c>
      <c r="K467" s="146">
        <f>IF(G467="","Unmatched ERP",IF(AND(ABS(H467)&lt;=Mapping_Rules!$B$4,ABS(J467)&lt;=Mapping_Rules!$B$5),"Matched","Review"))</f>
        <v/>
      </c>
      <c r="L467" s="146">
        <f>IF(K467="Matched","None",IF(G467="","Missing from bank",IF(ABS(H467)&gt;Mapping_Rules!$B$4,"Amount variance","Date variance")))</f>
        <v/>
      </c>
      <c r="M467" s="146">
        <f>IF(K467="Matched","Low",IF(OR(IFERROR(ABS(H467),0)&gt;Mapping_Rules!$B$7,IFERROR(J467,0)&gt;Mapping_Rules!$B$8),"High","Medium"))</f>
        <v/>
      </c>
      <c r="N467" s="146">
        <f>IF(K467="Matched","No action needed",IF(L467="Missing from bank","Check bank date or posting",IF(L467="Amount variance","Check invoice/payment amount","Check timing difference")))</f>
        <v/>
      </c>
      <c r="O467" s="140" t="inlineStr">
        <is>
          <t>2000 AP</t>
        </is>
      </c>
      <c r="P467" s="140" t="inlineStr">
        <is>
          <t>AP Clerk</t>
        </is>
      </c>
      <c r="Q467" s="140" t="inlineStr">
        <is>
          <t>No</t>
        </is>
      </c>
      <c r="R467" s="147" t="str"/>
      <c r="S467" s="148">
        <f>IF(K467="Matched",0,Mapping_Rules!$B$6-B467)</f>
        <v/>
      </c>
    </row>
    <row r="468">
      <c r="A468" s="115" t="inlineStr">
        <is>
          <t>ERP-00465</t>
        </is>
      </c>
      <c r="B468" s="125" t="n">
        <v>46024</v>
      </c>
      <c r="C468" s="115" t="inlineStr">
        <is>
          <t>AR</t>
        </is>
      </c>
      <c r="D468" s="115" t="inlineStr">
        <is>
          <t>West Van Fitness</t>
        </is>
      </c>
      <c r="E468" s="115" t="inlineStr">
        <is>
          <t>REF-100465</t>
        </is>
      </c>
      <c r="F468" s="126" t="n">
        <v>5521.7</v>
      </c>
      <c r="G468" s="134">
        <f>IFERROR(XLOOKUP(E468,Bank_Statement!$D$4:$D$448,Bank_Statement!$G$4:$G$448,""),"")</f>
        <v/>
      </c>
      <c r="H468" s="126">
        <f>IF(G468="","",F468-G468)</f>
        <v/>
      </c>
      <c r="I468" s="135">
        <f>IFERROR(XLOOKUP(E468,Bank_Statement!$D$4:$D$448,Bank_Statement!$B$4:$B$448,""),"")</f>
        <v/>
      </c>
      <c r="J468" s="136">
        <f>IF(I468="","",ABS(B468-I468))</f>
        <v/>
      </c>
      <c r="K468" s="137">
        <f>IF(G468="","Unmatched ERP",IF(AND(ABS(H468)&lt;=Mapping_Rules!$B$4,ABS(J468)&lt;=Mapping_Rules!$B$5),"Matched","Review"))</f>
        <v/>
      </c>
      <c r="L468" s="137">
        <f>IF(K468="Matched","None",IF(G468="","Missing from bank",IF(ABS(H468)&gt;Mapping_Rules!$B$4,"Amount variance","Date variance")))</f>
        <v/>
      </c>
      <c r="M468" s="137">
        <f>IF(K468="Matched","Low",IF(OR(IFERROR(ABS(H468),0)&gt;Mapping_Rules!$B$7,IFERROR(J468,0)&gt;Mapping_Rules!$B$8),"High","Medium"))</f>
        <v/>
      </c>
      <c r="N468" s="137">
        <f>IF(K468="Matched","No action needed",IF(L468="Missing from bank","Check bank date or posting",IF(L468="Amount variance","Check invoice/payment amount","Check timing difference")))</f>
        <v/>
      </c>
      <c r="O468" s="115" t="inlineStr">
        <is>
          <t>1200 AR</t>
        </is>
      </c>
      <c r="P468" s="115" t="inlineStr">
        <is>
          <t>AR Clerk</t>
        </is>
      </c>
      <c r="Q468" s="115" t="inlineStr">
        <is>
          <t>No</t>
        </is>
      </c>
      <c r="R468" s="138" t="str"/>
      <c r="S468" s="139">
        <f>IF(K468="Matched",0,Mapping_Rules!$B$6-B468)</f>
        <v/>
      </c>
    </row>
    <row r="469">
      <c r="A469" s="140" t="inlineStr">
        <is>
          <t>ERP-00466</t>
        </is>
      </c>
      <c r="B469" s="141" t="n">
        <v>46037</v>
      </c>
      <c r="C469" s="140" t="inlineStr">
        <is>
          <t>AP</t>
        </is>
      </c>
      <c r="D469" s="140" t="inlineStr">
        <is>
          <t>BC Hydro</t>
        </is>
      </c>
      <c r="E469" s="140" t="inlineStr">
        <is>
          <t>REF-100466</t>
        </is>
      </c>
      <c r="F469" s="142" t="n">
        <v>-2816.06</v>
      </c>
      <c r="G469" s="143">
        <f>IFERROR(XLOOKUP(E469,Bank_Statement!$D$4:$D$448,Bank_Statement!$G$4:$G$448,""),"")</f>
        <v/>
      </c>
      <c r="H469" s="142">
        <f>IF(G469="","",F469-G469)</f>
        <v/>
      </c>
      <c r="I469" s="144">
        <f>IFERROR(XLOOKUP(E469,Bank_Statement!$D$4:$D$448,Bank_Statement!$B$4:$B$448,""),"")</f>
        <v/>
      </c>
      <c r="J469" s="145">
        <f>IF(I469="","",ABS(B469-I469))</f>
        <v/>
      </c>
      <c r="K469" s="146">
        <f>IF(G469="","Unmatched ERP",IF(AND(ABS(H469)&lt;=Mapping_Rules!$B$4,ABS(J469)&lt;=Mapping_Rules!$B$5),"Matched","Review"))</f>
        <v/>
      </c>
      <c r="L469" s="146">
        <f>IF(K469="Matched","None",IF(G469="","Missing from bank",IF(ABS(H469)&gt;Mapping_Rules!$B$4,"Amount variance","Date variance")))</f>
        <v/>
      </c>
      <c r="M469" s="146">
        <f>IF(K469="Matched","Low",IF(OR(IFERROR(ABS(H469),0)&gt;Mapping_Rules!$B$7,IFERROR(J469,0)&gt;Mapping_Rules!$B$8),"High","Medium"))</f>
        <v/>
      </c>
      <c r="N469" s="146">
        <f>IF(K469="Matched","No action needed",IF(L469="Missing from bank","Check bank date or posting",IF(L469="Amount variance","Check invoice/payment amount","Check timing difference")))</f>
        <v/>
      </c>
      <c r="O469" s="140" t="inlineStr">
        <is>
          <t>2000 AP</t>
        </is>
      </c>
      <c r="P469" s="140" t="inlineStr">
        <is>
          <t>AP Clerk</t>
        </is>
      </c>
      <c r="Q469" s="140" t="inlineStr">
        <is>
          <t>No</t>
        </is>
      </c>
      <c r="R469" s="147" t="str"/>
      <c r="S469" s="148">
        <f>IF(K469="Matched",0,Mapping_Rules!$B$6-B469)</f>
        <v/>
      </c>
    </row>
    <row r="470">
      <c r="A470" s="115" t="inlineStr">
        <is>
          <t>ERP-00467</t>
        </is>
      </c>
      <c r="B470" s="125" t="n">
        <v>46036</v>
      </c>
      <c r="C470" s="115" t="inlineStr">
        <is>
          <t>AP</t>
        </is>
      </c>
      <c r="D470" s="115" t="inlineStr">
        <is>
          <t>Amazon Business</t>
        </is>
      </c>
      <c r="E470" s="115" t="inlineStr">
        <is>
          <t>REF-100467</t>
        </is>
      </c>
      <c r="F470" s="126" t="n">
        <v>-81.04000000000001</v>
      </c>
      <c r="G470" s="134">
        <f>IFERROR(XLOOKUP(E470,Bank_Statement!$D$4:$D$448,Bank_Statement!$G$4:$G$448,""),"")</f>
        <v/>
      </c>
      <c r="H470" s="126">
        <f>IF(G470="","",F470-G470)</f>
        <v/>
      </c>
      <c r="I470" s="135">
        <f>IFERROR(XLOOKUP(E470,Bank_Statement!$D$4:$D$448,Bank_Statement!$B$4:$B$448,""),"")</f>
        <v/>
      </c>
      <c r="J470" s="136">
        <f>IF(I470="","",ABS(B470-I470))</f>
        <v/>
      </c>
      <c r="K470" s="137">
        <f>IF(G470="","Unmatched ERP",IF(AND(ABS(H470)&lt;=Mapping_Rules!$B$4,ABS(J470)&lt;=Mapping_Rules!$B$5),"Matched","Review"))</f>
        <v/>
      </c>
      <c r="L470" s="137">
        <f>IF(K470="Matched","None",IF(G470="","Missing from bank",IF(ABS(H470)&gt;Mapping_Rules!$B$4,"Amount variance","Date variance")))</f>
        <v/>
      </c>
      <c r="M470" s="137">
        <f>IF(K470="Matched","Low",IF(OR(IFERROR(ABS(H470),0)&gt;Mapping_Rules!$B$7,IFERROR(J470,0)&gt;Mapping_Rules!$B$8),"High","Medium"))</f>
        <v/>
      </c>
      <c r="N470" s="137">
        <f>IF(K470="Matched","No action needed",IF(L470="Missing from bank","Check bank date or posting",IF(L470="Amount variance","Check invoice/payment amount","Check timing difference")))</f>
        <v/>
      </c>
      <c r="O470" s="115" t="inlineStr">
        <is>
          <t>2000 AP</t>
        </is>
      </c>
      <c r="P470" s="115" t="inlineStr">
        <is>
          <t>AP Clerk</t>
        </is>
      </c>
      <c r="Q470" s="115" t="inlineStr">
        <is>
          <t>No</t>
        </is>
      </c>
      <c r="R470" s="138" t="str"/>
      <c r="S470" s="139">
        <f>IF(K470="Matched",0,Mapping_Rules!$B$6-B470)</f>
        <v/>
      </c>
    </row>
    <row r="471">
      <c r="A471" s="140" t="inlineStr">
        <is>
          <t>ERP-00468</t>
        </is>
      </c>
      <c r="B471" s="141" t="n">
        <v>46043</v>
      </c>
      <c r="C471" s="140" t="inlineStr">
        <is>
          <t>AP</t>
        </is>
      </c>
      <c r="D471" s="140" t="inlineStr">
        <is>
          <t>Amazon Business</t>
        </is>
      </c>
      <c r="E471" s="140" t="inlineStr">
        <is>
          <t>REF-100468</t>
        </is>
      </c>
      <c r="F471" s="142" t="n">
        <v>-3521.48</v>
      </c>
      <c r="G471" s="143">
        <f>IFERROR(XLOOKUP(E471,Bank_Statement!$D$4:$D$448,Bank_Statement!$G$4:$G$448,""),"")</f>
        <v/>
      </c>
      <c r="H471" s="142">
        <f>IF(G471="","",F471-G471)</f>
        <v/>
      </c>
      <c r="I471" s="144">
        <f>IFERROR(XLOOKUP(E471,Bank_Statement!$D$4:$D$448,Bank_Statement!$B$4:$B$448,""),"")</f>
        <v/>
      </c>
      <c r="J471" s="145">
        <f>IF(I471="","",ABS(B471-I471))</f>
        <v/>
      </c>
      <c r="K471" s="146">
        <f>IF(G471="","Unmatched ERP",IF(AND(ABS(H471)&lt;=Mapping_Rules!$B$4,ABS(J471)&lt;=Mapping_Rules!$B$5),"Matched","Review"))</f>
        <v/>
      </c>
      <c r="L471" s="146">
        <f>IF(K471="Matched","None",IF(G471="","Missing from bank",IF(ABS(H471)&gt;Mapping_Rules!$B$4,"Amount variance","Date variance")))</f>
        <v/>
      </c>
      <c r="M471" s="146">
        <f>IF(K471="Matched","Low",IF(OR(IFERROR(ABS(H471),0)&gt;Mapping_Rules!$B$7,IFERROR(J471,0)&gt;Mapping_Rules!$B$8),"High","Medium"))</f>
        <v/>
      </c>
      <c r="N471" s="146">
        <f>IF(K471="Matched","No action needed",IF(L471="Missing from bank","Check bank date or posting",IF(L471="Amount variance","Check invoice/payment amount","Check timing difference")))</f>
        <v/>
      </c>
      <c r="O471" s="140" t="inlineStr">
        <is>
          <t>2000 AP</t>
        </is>
      </c>
      <c r="P471" s="140" t="inlineStr">
        <is>
          <t>AP Clerk</t>
        </is>
      </c>
      <c r="Q471" s="140" t="inlineStr">
        <is>
          <t>No</t>
        </is>
      </c>
      <c r="R471" s="147" t="str"/>
      <c r="S471" s="148">
        <f>IF(K471="Matched",0,Mapping_Rules!$B$6-B471)</f>
        <v/>
      </c>
    </row>
    <row r="472">
      <c r="A472" s="115" t="inlineStr">
        <is>
          <t>ERP-00469</t>
        </is>
      </c>
      <c r="B472" s="125" t="n">
        <v>46050</v>
      </c>
      <c r="C472" s="115" t="inlineStr">
        <is>
          <t>AR</t>
        </is>
      </c>
      <c r="D472" s="115" t="inlineStr">
        <is>
          <t>West Van Fitness</t>
        </is>
      </c>
      <c r="E472" s="115" t="inlineStr">
        <is>
          <t>REF-100469</t>
        </is>
      </c>
      <c r="F472" s="126" t="n">
        <v>6557.93</v>
      </c>
      <c r="G472" s="134">
        <f>IFERROR(XLOOKUP(E472,Bank_Statement!$D$4:$D$448,Bank_Statement!$G$4:$G$448,""),"")</f>
        <v/>
      </c>
      <c r="H472" s="126">
        <f>IF(G472="","",F472-G472)</f>
        <v/>
      </c>
      <c r="I472" s="135">
        <f>IFERROR(XLOOKUP(E472,Bank_Statement!$D$4:$D$448,Bank_Statement!$B$4:$B$448,""),"")</f>
        <v/>
      </c>
      <c r="J472" s="136">
        <f>IF(I472="","",ABS(B472-I472))</f>
        <v/>
      </c>
      <c r="K472" s="137">
        <f>IF(G472="","Unmatched ERP",IF(AND(ABS(H472)&lt;=Mapping_Rules!$B$4,ABS(J472)&lt;=Mapping_Rules!$B$5),"Matched","Review"))</f>
        <v/>
      </c>
      <c r="L472" s="137">
        <f>IF(K472="Matched","None",IF(G472="","Missing from bank",IF(ABS(H472)&gt;Mapping_Rules!$B$4,"Amount variance","Date variance")))</f>
        <v/>
      </c>
      <c r="M472" s="137">
        <f>IF(K472="Matched","Low",IF(OR(IFERROR(ABS(H472),0)&gt;Mapping_Rules!$B$7,IFERROR(J472,0)&gt;Mapping_Rules!$B$8),"High","Medium"))</f>
        <v/>
      </c>
      <c r="N472" s="137">
        <f>IF(K472="Matched","No action needed",IF(L472="Missing from bank","Check bank date or posting",IF(L472="Amount variance","Check invoice/payment amount","Check timing difference")))</f>
        <v/>
      </c>
      <c r="O472" s="115" t="inlineStr">
        <is>
          <t>1200 AR</t>
        </is>
      </c>
      <c r="P472" s="115" t="inlineStr">
        <is>
          <t>AR Clerk</t>
        </is>
      </c>
      <c r="Q472" s="115" t="inlineStr">
        <is>
          <t>No</t>
        </is>
      </c>
      <c r="R472" s="138" t="str"/>
      <c r="S472" s="139">
        <f>IF(K472="Matched",0,Mapping_Rules!$B$6-B472)</f>
        <v/>
      </c>
    </row>
    <row r="473">
      <c r="A473" s="140" t="inlineStr">
        <is>
          <t>ERP-00470</t>
        </is>
      </c>
      <c r="B473" s="141" t="n">
        <v>46026</v>
      </c>
      <c r="C473" s="140" t="inlineStr">
        <is>
          <t>AP</t>
        </is>
      </c>
      <c r="D473" s="140" t="inlineStr">
        <is>
          <t>Staples Canada</t>
        </is>
      </c>
      <c r="E473" s="140" t="inlineStr">
        <is>
          <t>REF-100470</t>
        </is>
      </c>
      <c r="F473" s="142" t="n">
        <v>-1437.09</v>
      </c>
      <c r="G473" s="143">
        <f>IFERROR(XLOOKUP(E473,Bank_Statement!$D$4:$D$448,Bank_Statement!$G$4:$G$448,""),"")</f>
        <v/>
      </c>
      <c r="H473" s="142">
        <f>IF(G473="","",F473-G473)</f>
        <v/>
      </c>
      <c r="I473" s="144">
        <f>IFERROR(XLOOKUP(E473,Bank_Statement!$D$4:$D$448,Bank_Statement!$B$4:$B$448,""),"")</f>
        <v/>
      </c>
      <c r="J473" s="145">
        <f>IF(I473="","",ABS(B473-I473))</f>
        <v/>
      </c>
      <c r="K473" s="146">
        <f>IF(G473="","Unmatched ERP",IF(AND(ABS(H473)&lt;=Mapping_Rules!$B$4,ABS(J473)&lt;=Mapping_Rules!$B$5),"Matched","Review"))</f>
        <v/>
      </c>
      <c r="L473" s="146">
        <f>IF(K473="Matched","None",IF(G473="","Missing from bank",IF(ABS(H473)&gt;Mapping_Rules!$B$4,"Amount variance","Date variance")))</f>
        <v/>
      </c>
      <c r="M473" s="146">
        <f>IF(K473="Matched","Low",IF(OR(IFERROR(ABS(H473),0)&gt;Mapping_Rules!$B$7,IFERROR(J473,0)&gt;Mapping_Rules!$B$8),"High","Medium"))</f>
        <v/>
      </c>
      <c r="N473" s="146">
        <f>IF(K473="Matched","No action needed",IF(L473="Missing from bank","Check bank date or posting",IF(L473="Amount variance","Check invoice/payment amount","Check timing difference")))</f>
        <v/>
      </c>
      <c r="O473" s="140" t="inlineStr">
        <is>
          <t>2000 AP</t>
        </is>
      </c>
      <c r="P473" s="140" t="inlineStr">
        <is>
          <t>AP Clerk</t>
        </is>
      </c>
      <c r="Q473" s="140" t="inlineStr">
        <is>
          <t>No</t>
        </is>
      </c>
      <c r="R473" s="147" t="str"/>
      <c r="S473" s="148">
        <f>IF(K473="Matched",0,Mapping_Rules!$B$6-B473)</f>
        <v/>
      </c>
    </row>
    <row r="474">
      <c r="A474" s="115" t="inlineStr">
        <is>
          <t>ERP-00471</t>
        </is>
      </c>
      <c r="B474" s="125" t="n">
        <v>46053</v>
      </c>
      <c r="C474" s="115" t="inlineStr">
        <is>
          <t>GL</t>
        </is>
      </c>
      <c r="D474" s="115" t="inlineStr">
        <is>
          <t>Coastline Foods</t>
        </is>
      </c>
      <c r="E474" s="115" t="inlineStr">
        <is>
          <t>REF-100471</t>
        </is>
      </c>
      <c r="F474" s="126" t="n">
        <v>-2633.83</v>
      </c>
      <c r="G474" s="134">
        <f>IFERROR(XLOOKUP(E474,Bank_Statement!$D$4:$D$448,Bank_Statement!$G$4:$G$448,""),"")</f>
        <v/>
      </c>
      <c r="H474" s="126">
        <f>IF(G474="","",F474-G474)</f>
        <v/>
      </c>
      <c r="I474" s="135">
        <f>IFERROR(XLOOKUP(E474,Bank_Statement!$D$4:$D$448,Bank_Statement!$B$4:$B$448,""),"")</f>
        <v/>
      </c>
      <c r="J474" s="136">
        <f>IF(I474="","",ABS(B474-I474))</f>
        <v/>
      </c>
      <c r="K474" s="137">
        <f>IF(G474="","Unmatched ERP",IF(AND(ABS(H474)&lt;=Mapping_Rules!$B$4,ABS(J474)&lt;=Mapping_Rules!$B$5),"Matched","Review"))</f>
        <v/>
      </c>
      <c r="L474" s="137">
        <f>IF(K474="Matched","None",IF(G474="","Missing from bank",IF(ABS(H474)&gt;Mapping_Rules!$B$4,"Amount variance","Date variance")))</f>
        <v/>
      </c>
      <c r="M474" s="137">
        <f>IF(K474="Matched","Low",IF(OR(IFERROR(ABS(H474),0)&gt;Mapping_Rules!$B$7,IFERROR(J474,0)&gt;Mapping_Rules!$B$8),"High","Medium"))</f>
        <v/>
      </c>
      <c r="N474" s="137">
        <f>IF(K474="Matched","No action needed",IF(L474="Missing from bank","Check bank date or posting",IF(L474="Amount variance","Check invoice/payment amount","Check timing difference")))</f>
        <v/>
      </c>
      <c r="O474" s="115" t="inlineStr">
        <is>
          <t>1010 Cash</t>
        </is>
      </c>
      <c r="P474" s="115" t="inlineStr">
        <is>
          <t>Accounting Technician</t>
        </is>
      </c>
      <c r="Q474" s="115" t="inlineStr">
        <is>
          <t>No</t>
        </is>
      </c>
      <c r="R474" s="138" t="str"/>
      <c r="S474" s="139">
        <f>IF(K474="Matched",0,Mapping_Rules!$B$6-B474)</f>
        <v/>
      </c>
    </row>
    <row r="475">
      <c r="A475" s="140" t="inlineStr">
        <is>
          <t>ERP-00472</t>
        </is>
      </c>
      <c r="B475" s="141" t="n">
        <v>46042</v>
      </c>
      <c r="C475" s="140" t="inlineStr">
        <is>
          <t>AP</t>
        </is>
      </c>
      <c r="D475" s="140" t="inlineStr">
        <is>
          <t>Pacific Office Supplies</t>
        </is>
      </c>
      <c r="E475" s="140" t="inlineStr">
        <is>
          <t>REF-100472</t>
        </is>
      </c>
      <c r="F475" s="142" t="n">
        <v>-5772.92</v>
      </c>
      <c r="G475" s="143">
        <f>IFERROR(XLOOKUP(E475,Bank_Statement!$D$4:$D$448,Bank_Statement!$G$4:$G$448,""),"")</f>
        <v/>
      </c>
      <c r="H475" s="142">
        <f>IF(G475="","",F475-G475)</f>
        <v/>
      </c>
      <c r="I475" s="144">
        <f>IFERROR(XLOOKUP(E475,Bank_Statement!$D$4:$D$448,Bank_Statement!$B$4:$B$448,""),"")</f>
        <v/>
      </c>
      <c r="J475" s="145">
        <f>IF(I475="","",ABS(B475-I475))</f>
        <v/>
      </c>
      <c r="K475" s="146">
        <f>IF(G475="","Unmatched ERP",IF(AND(ABS(H475)&lt;=Mapping_Rules!$B$4,ABS(J475)&lt;=Mapping_Rules!$B$5),"Matched","Review"))</f>
        <v/>
      </c>
      <c r="L475" s="146">
        <f>IF(K475="Matched","None",IF(G475="","Missing from bank",IF(ABS(H475)&gt;Mapping_Rules!$B$4,"Amount variance","Date variance")))</f>
        <v/>
      </c>
      <c r="M475" s="146">
        <f>IF(K475="Matched","Low",IF(OR(IFERROR(ABS(H475),0)&gt;Mapping_Rules!$B$7,IFERROR(J475,0)&gt;Mapping_Rules!$B$8),"High","Medium"))</f>
        <v/>
      </c>
      <c r="N475" s="146">
        <f>IF(K475="Matched","No action needed",IF(L475="Missing from bank","Check bank date or posting",IF(L475="Amount variance","Check invoice/payment amount","Check timing difference")))</f>
        <v/>
      </c>
      <c r="O475" s="140" t="inlineStr">
        <is>
          <t>2000 AP</t>
        </is>
      </c>
      <c r="P475" s="140" t="inlineStr">
        <is>
          <t>AP Clerk</t>
        </is>
      </c>
      <c r="Q475" s="140" t="inlineStr">
        <is>
          <t>No</t>
        </is>
      </c>
      <c r="R475" s="147" t="str"/>
      <c r="S475" s="148">
        <f>IF(K475="Matched",0,Mapping_Rules!$B$6-B475)</f>
        <v/>
      </c>
    </row>
    <row r="476">
      <c r="A476" s="115" t="inlineStr">
        <is>
          <t>ERP-00473</t>
        </is>
      </c>
      <c r="B476" s="125" t="n">
        <v>46026</v>
      </c>
      <c r="C476" s="115" t="inlineStr">
        <is>
          <t>GL</t>
        </is>
      </c>
      <c r="D476" s="115" t="inlineStr">
        <is>
          <t>Pacific Office Supplies</t>
        </is>
      </c>
      <c r="E476" s="115" t="inlineStr">
        <is>
          <t>REF-100473</t>
        </is>
      </c>
      <c r="F476" s="126" t="n">
        <v>-4636.8</v>
      </c>
      <c r="G476" s="134">
        <f>IFERROR(XLOOKUP(E476,Bank_Statement!$D$4:$D$448,Bank_Statement!$G$4:$G$448,""),"")</f>
        <v/>
      </c>
      <c r="H476" s="126">
        <f>IF(G476="","",F476-G476)</f>
        <v/>
      </c>
      <c r="I476" s="135">
        <f>IFERROR(XLOOKUP(E476,Bank_Statement!$D$4:$D$448,Bank_Statement!$B$4:$B$448,""),"")</f>
        <v/>
      </c>
      <c r="J476" s="136">
        <f>IF(I476="","",ABS(B476-I476))</f>
        <v/>
      </c>
      <c r="K476" s="137">
        <f>IF(G476="","Unmatched ERP",IF(AND(ABS(H476)&lt;=Mapping_Rules!$B$4,ABS(J476)&lt;=Mapping_Rules!$B$5),"Matched","Review"))</f>
        <v/>
      </c>
      <c r="L476" s="137">
        <f>IF(K476="Matched","None",IF(G476="","Missing from bank",IF(ABS(H476)&gt;Mapping_Rules!$B$4,"Amount variance","Date variance")))</f>
        <v/>
      </c>
      <c r="M476" s="137">
        <f>IF(K476="Matched","Low",IF(OR(IFERROR(ABS(H476),0)&gt;Mapping_Rules!$B$7,IFERROR(J476,0)&gt;Mapping_Rules!$B$8),"High","Medium"))</f>
        <v/>
      </c>
      <c r="N476" s="137">
        <f>IF(K476="Matched","No action needed",IF(L476="Missing from bank","Check bank date or posting",IF(L476="Amount variance","Check invoice/payment amount","Check timing difference")))</f>
        <v/>
      </c>
      <c r="O476" s="115" t="inlineStr">
        <is>
          <t>1200 AR</t>
        </is>
      </c>
      <c r="P476" s="115" t="inlineStr">
        <is>
          <t>Accounting Technician</t>
        </is>
      </c>
      <c r="Q476" s="115" t="inlineStr">
        <is>
          <t>No</t>
        </is>
      </c>
      <c r="R476" s="138" t="str"/>
      <c r="S476" s="139">
        <f>IF(K476="Matched",0,Mapping_Rules!$B$6-B476)</f>
        <v/>
      </c>
    </row>
    <row r="477">
      <c r="A477" s="140" t="inlineStr">
        <is>
          <t>ERP-00474</t>
        </is>
      </c>
      <c r="B477" s="141" t="n">
        <v>46023</v>
      </c>
      <c r="C477" s="140" t="inlineStr">
        <is>
          <t>AR</t>
        </is>
      </c>
      <c r="D477" s="140" t="inlineStr">
        <is>
          <t>Maple Retail Group</t>
        </is>
      </c>
      <c r="E477" s="140" t="inlineStr">
        <is>
          <t>REF-100474</t>
        </is>
      </c>
      <c r="F477" s="142" t="n">
        <v>4769.44</v>
      </c>
      <c r="G477" s="143">
        <f>IFERROR(XLOOKUP(E477,Bank_Statement!$D$4:$D$448,Bank_Statement!$G$4:$G$448,""),"")</f>
        <v/>
      </c>
      <c r="H477" s="142">
        <f>IF(G477="","",F477-G477)</f>
        <v/>
      </c>
      <c r="I477" s="144">
        <f>IFERROR(XLOOKUP(E477,Bank_Statement!$D$4:$D$448,Bank_Statement!$B$4:$B$448,""),"")</f>
        <v/>
      </c>
      <c r="J477" s="145">
        <f>IF(I477="","",ABS(B477-I477))</f>
        <v/>
      </c>
      <c r="K477" s="146">
        <f>IF(G477="","Unmatched ERP",IF(AND(ABS(H477)&lt;=Mapping_Rules!$B$4,ABS(J477)&lt;=Mapping_Rules!$B$5),"Matched","Review"))</f>
        <v/>
      </c>
      <c r="L477" s="146">
        <f>IF(K477="Matched","None",IF(G477="","Missing from bank",IF(ABS(H477)&gt;Mapping_Rules!$B$4,"Amount variance","Date variance")))</f>
        <v/>
      </c>
      <c r="M477" s="146">
        <f>IF(K477="Matched","Low",IF(OR(IFERROR(ABS(H477),0)&gt;Mapping_Rules!$B$7,IFERROR(J477,0)&gt;Mapping_Rules!$B$8),"High","Medium"))</f>
        <v/>
      </c>
      <c r="N477" s="146">
        <f>IF(K477="Matched","No action needed",IF(L477="Missing from bank","Check bank date or posting",IF(L477="Amount variance","Check invoice/payment amount","Check timing difference")))</f>
        <v/>
      </c>
      <c r="O477" s="140" t="inlineStr">
        <is>
          <t>1200 AR</t>
        </is>
      </c>
      <c r="P477" s="140" t="inlineStr">
        <is>
          <t>AR Clerk</t>
        </is>
      </c>
      <c r="Q477" s="140" t="inlineStr">
        <is>
          <t>No</t>
        </is>
      </c>
      <c r="R477" s="147" t="str"/>
      <c r="S477" s="148">
        <f>IF(K477="Matched",0,Mapping_Rules!$B$6-B477)</f>
        <v/>
      </c>
    </row>
    <row r="478">
      <c r="A478" s="115" t="inlineStr">
        <is>
          <t>ERP-00475</t>
        </is>
      </c>
      <c r="B478" s="125" t="n">
        <v>46028</v>
      </c>
      <c r="C478" s="115" t="inlineStr">
        <is>
          <t>GL</t>
        </is>
      </c>
      <c r="D478" s="115" t="inlineStr">
        <is>
          <t>Metro Cleaning Ltd.</t>
        </is>
      </c>
      <c r="E478" s="115" t="inlineStr">
        <is>
          <t>REF-100475</t>
        </is>
      </c>
      <c r="F478" s="126" t="n">
        <v>-562.59</v>
      </c>
      <c r="G478" s="134">
        <f>IFERROR(XLOOKUP(E478,Bank_Statement!$D$4:$D$448,Bank_Statement!$G$4:$G$448,""),"")</f>
        <v/>
      </c>
      <c r="H478" s="126">
        <f>IF(G478="","",F478-G478)</f>
        <v/>
      </c>
      <c r="I478" s="135">
        <f>IFERROR(XLOOKUP(E478,Bank_Statement!$D$4:$D$448,Bank_Statement!$B$4:$B$448,""),"")</f>
        <v/>
      </c>
      <c r="J478" s="136">
        <f>IF(I478="","",ABS(B478-I478))</f>
        <v/>
      </c>
      <c r="K478" s="137">
        <f>IF(G478="","Unmatched ERP",IF(AND(ABS(H478)&lt;=Mapping_Rules!$B$4,ABS(J478)&lt;=Mapping_Rules!$B$5),"Matched","Review"))</f>
        <v/>
      </c>
      <c r="L478" s="137">
        <f>IF(K478="Matched","None",IF(G478="","Missing from bank",IF(ABS(H478)&gt;Mapping_Rules!$B$4,"Amount variance","Date variance")))</f>
        <v/>
      </c>
      <c r="M478" s="137">
        <f>IF(K478="Matched","Low",IF(OR(IFERROR(ABS(H478),0)&gt;Mapping_Rules!$B$7,IFERROR(J478,0)&gt;Mapping_Rules!$B$8),"High","Medium"))</f>
        <v/>
      </c>
      <c r="N478" s="137">
        <f>IF(K478="Matched","No action needed",IF(L478="Missing from bank","Check bank date or posting",IF(L478="Amount variance","Check invoice/payment amount","Check timing difference")))</f>
        <v/>
      </c>
      <c r="O478" s="115" t="inlineStr">
        <is>
          <t>5200 Software</t>
        </is>
      </c>
      <c r="P478" s="115" t="inlineStr">
        <is>
          <t>Accounting Technician</t>
        </is>
      </c>
      <c r="Q478" s="115" t="inlineStr">
        <is>
          <t>No</t>
        </is>
      </c>
      <c r="R478" s="138" t="str"/>
      <c r="S478" s="139">
        <f>IF(K478="Matched",0,Mapping_Rules!$B$6-B478)</f>
        <v/>
      </c>
    </row>
    <row r="479">
      <c r="A479" s="140" t="inlineStr">
        <is>
          <t>ERP-00476</t>
        </is>
      </c>
      <c r="B479" s="141" t="n">
        <v>46053</v>
      </c>
      <c r="C479" s="140" t="inlineStr">
        <is>
          <t>AP</t>
        </is>
      </c>
      <c r="D479" s="140" t="inlineStr">
        <is>
          <t>Metro Cleaning Ltd.</t>
        </is>
      </c>
      <c r="E479" s="140" t="inlineStr">
        <is>
          <t>REF-100476</t>
        </is>
      </c>
      <c r="F479" s="142" t="n">
        <v>-2851.42</v>
      </c>
      <c r="G479" s="143">
        <f>IFERROR(XLOOKUP(E479,Bank_Statement!$D$4:$D$448,Bank_Statement!$G$4:$G$448,""),"")</f>
        <v/>
      </c>
      <c r="H479" s="142">
        <f>IF(G479="","",F479-G479)</f>
        <v/>
      </c>
      <c r="I479" s="144">
        <f>IFERROR(XLOOKUP(E479,Bank_Statement!$D$4:$D$448,Bank_Statement!$B$4:$B$448,""),"")</f>
        <v/>
      </c>
      <c r="J479" s="145">
        <f>IF(I479="","",ABS(B479-I479))</f>
        <v/>
      </c>
      <c r="K479" s="146">
        <f>IF(G479="","Unmatched ERP",IF(AND(ABS(H479)&lt;=Mapping_Rules!$B$4,ABS(J479)&lt;=Mapping_Rules!$B$5),"Matched","Review"))</f>
        <v/>
      </c>
      <c r="L479" s="146">
        <f>IF(K479="Matched","None",IF(G479="","Missing from bank",IF(ABS(H479)&gt;Mapping_Rules!$B$4,"Amount variance","Date variance")))</f>
        <v/>
      </c>
      <c r="M479" s="146">
        <f>IF(K479="Matched","Low",IF(OR(IFERROR(ABS(H479),0)&gt;Mapping_Rules!$B$7,IFERROR(J479,0)&gt;Mapping_Rules!$B$8),"High","Medium"))</f>
        <v/>
      </c>
      <c r="N479" s="146">
        <f>IF(K479="Matched","No action needed",IF(L479="Missing from bank","Check bank date or posting",IF(L479="Amount variance","Check invoice/payment amount","Check timing difference")))</f>
        <v/>
      </c>
      <c r="O479" s="140" t="inlineStr">
        <is>
          <t>2000 AP</t>
        </is>
      </c>
      <c r="P479" s="140" t="inlineStr">
        <is>
          <t>AP Clerk</t>
        </is>
      </c>
      <c r="Q479" s="140" t="inlineStr">
        <is>
          <t>No</t>
        </is>
      </c>
      <c r="R479" s="147" t="str"/>
      <c r="S479" s="148">
        <f>IF(K479="Matched",0,Mapping_Rules!$B$6-B479)</f>
        <v/>
      </c>
    </row>
    <row r="480">
      <c r="A480" s="115" t="inlineStr">
        <is>
          <t>ERP-00477</t>
        </is>
      </c>
      <c r="B480" s="125" t="n">
        <v>46040</v>
      </c>
      <c r="C480" s="115" t="inlineStr">
        <is>
          <t>Payroll</t>
        </is>
      </c>
      <c r="D480" s="115" t="inlineStr">
        <is>
          <t>Payroll Batch</t>
        </is>
      </c>
      <c r="E480" s="115" t="inlineStr">
        <is>
          <t>REF-100477</t>
        </is>
      </c>
      <c r="F480" s="126" t="n">
        <v>-12822.18</v>
      </c>
      <c r="G480" s="134">
        <f>IFERROR(XLOOKUP(E480,Bank_Statement!$D$4:$D$448,Bank_Statement!$G$4:$G$448,""),"")</f>
        <v/>
      </c>
      <c r="H480" s="126">
        <f>IF(G480="","",F480-G480)</f>
        <v/>
      </c>
      <c r="I480" s="135">
        <f>IFERROR(XLOOKUP(E480,Bank_Statement!$D$4:$D$448,Bank_Statement!$B$4:$B$448,""),"")</f>
        <v/>
      </c>
      <c r="J480" s="136">
        <f>IF(I480="","",ABS(B480-I480))</f>
        <v/>
      </c>
      <c r="K480" s="137">
        <f>IF(G480="","Unmatched ERP",IF(AND(ABS(H480)&lt;=Mapping_Rules!$B$4,ABS(J480)&lt;=Mapping_Rules!$B$5),"Matched","Review"))</f>
        <v/>
      </c>
      <c r="L480" s="137">
        <f>IF(K480="Matched","None",IF(G480="","Missing from bank",IF(ABS(H480)&gt;Mapping_Rules!$B$4,"Amount variance","Date variance")))</f>
        <v/>
      </c>
      <c r="M480" s="137">
        <f>IF(K480="Matched","Low",IF(OR(IFERROR(ABS(H480),0)&gt;Mapping_Rules!$B$7,IFERROR(J480,0)&gt;Mapping_Rules!$B$8),"High","Medium"))</f>
        <v/>
      </c>
      <c r="N480" s="137">
        <f>IF(K480="Matched","No action needed",IF(L480="Missing from bank","Check bank date or posting",IF(L480="Amount variance","Check invoice/payment amount","Check timing difference")))</f>
        <v/>
      </c>
      <c r="O480" s="115" t="inlineStr">
        <is>
          <t>5300 Payroll</t>
        </is>
      </c>
      <c r="P480" s="115" t="inlineStr">
        <is>
          <t>Accounting Technician</t>
        </is>
      </c>
      <c r="Q480" s="115" t="inlineStr">
        <is>
          <t>No</t>
        </is>
      </c>
      <c r="R480" s="138" t="str"/>
      <c r="S480" s="139">
        <f>IF(K480="Matched",0,Mapping_Rules!$B$6-B480)</f>
        <v/>
      </c>
    </row>
    <row r="481">
      <c r="A481" s="140" t="inlineStr">
        <is>
          <t>ERP-00478</t>
        </is>
      </c>
      <c r="B481" s="141" t="n">
        <v>46052</v>
      </c>
      <c r="C481" s="140" t="inlineStr">
        <is>
          <t>GL</t>
        </is>
      </c>
      <c r="D481" s="140" t="inlineStr">
        <is>
          <t>West Van Fitness</t>
        </is>
      </c>
      <c r="E481" s="140" t="inlineStr">
        <is>
          <t>REF-100478</t>
        </is>
      </c>
      <c r="F481" s="142" t="n">
        <v>-3267.93</v>
      </c>
      <c r="G481" s="143">
        <f>IFERROR(XLOOKUP(E481,Bank_Statement!$D$4:$D$448,Bank_Statement!$G$4:$G$448,""),"")</f>
        <v/>
      </c>
      <c r="H481" s="142">
        <f>IF(G481="","",F481-G481)</f>
        <v/>
      </c>
      <c r="I481" s="144">
        <f>IFERROR(XLOOKUP(E481,Bank_Statement!$D$4:$D$448,Bank_Statement!$B$4:$B$448,""),"")</f>
        <v/>
      </c>
      <c r="J481" s="145">
        <f>IF(I481="","",ABS(B481-I481))</f>
        <v/>
      </c>
      <c r="K481" s="146">
        <f>IF(G481="","Unmatched ERP",IF(AND(ABS(H481)&lt;=Mapping_Rules!$B$4,ABS(J481)&lt;=Mapping_Rules!$B$5),"Matched","Review"))</f>
        <v/>
      </c>
      <c r="L481" s="146">
        <f>IF(K481="Matched","None",IF(G481="","Missing from bank",IF(ABS(H481)&gt;Mapping_Rules!$B$4,"Amount variance","Date variance")))</f>
        <v/>
      </c>
      <c r="M481" s="146">
        <f>IF(K481="Matched","Low",IF(OR(IFERROR(ABS(H481),0)&gt;Mapping_Rules!$B$7,IFERROR(J481,0)&gt;Mapping_Rules!$B$8),"High","Medium"))</f>
        <v/>
      </c>
      <c r="N481" s="146">
        <f>IF(K481="Matched","No action needed",IF(L481="Missing from bank","Check bank date or posting",IF(L481="Amount variance","Check invoice/payment amount","Check timing difference")))</f>
        <v/>
      </c>
      <c r="O481" s="140" t="inlineStr">
        <is>
          <t>5200 Software</t>
        </is>
      </c>
      <c r="P481" s="140" t="inlineStr">
        <is>
          <t>Accounting Technician</t>
        </is>
      </c>
      <c r="Q481" s="140" t="inlineStr">
        <is>
          <t>No</t>
        </is>
      </c>
      <c r="R481" s="147" t="str"/>
      <c r="S481" s="148">
        <f>IF(K481="Matched",0,Mapping_Rules!$B$6-B481)</f>
        <v/>
      </c>
    </row>
    <row r="482">
      <c r="A482" s="115" t="inlineStr">
        <is>
          <t>ERP-00479</t>
        </is>
      </c>
      <c r="B482" s="125" t="n">
        <v>46051</v>
      </c>
      <c r="C482" s="115" t="inlineStr">
        <is>
          <t>Payroll</t>
        </is>
      </c>
      <c r="D482" s="115" t="inlineStr">
        <is>
          <t>Payroll Batch</t>
        </is>
      </c>
      <c r="E482" s="115" t="inlineStr">
        <is>
          <t>REF-100479</t>
        </is>
      </c>
      <c r="F482" s="126" t="n">
        <v>-6645.96</v>
      </c>
      <c r="G482" s="134">
        <f>IFERROR(XLOOKUP(E482,Bank_Statement!$D$4:$D$448,Bank_Statement!$G$4:$G$448,""),"")</f>
        <v/>
      </c>
      <c r="H482" s="126">
        <f>IF(G482="","",F482-G482)</f>
        <v/>
      </c>
      <c r="I482" s="135">
        <f>IFERROR(XLOOKUP(E482,Bank_Statement!$D$4:$D$448,Bank_Statement!$B$4:$B$448,""),"")</f>
        <v/>
      </c>
      <c r="J482" s="136">
        <f>IF(I482="","",ABS(B482-I482))</f>
        <v/>
      </c>
      <c r="K482" s="137">
        <f>IF(G482="","Unmatched ERP",IF(AND(ABS(H482)&lt;=Mapping_Rules!$B$4,ABS(J482)&lt;=Mapping_Rules!$B$5),"Matched","Review"))</f>
        <v/>
      </c>
      <c r="L482" s="137">
        <f>IF(K482="Matched","None",IF(G482="","Missing from bank",IF(ABS(H482)&gt;Mapping_Rules!$B$4,"Amount variance","Date variance")))</f>
        <v/>
      </c>
      <c r="M482" s="137">
        <f>IF(K482="Matched","Low",IF(OR(IFERROR(ABS(H482),0)&gt;Mapping_Rules!$B$7,IFERROR(J482,0)&gt;Mapping_Rules!$B$8),"High","Medium"))</f>
        <v/>
      </c>
      <c r="N482" s="137">
        <f>IF(K482="Matched","No action needed",IF(L482="Missing from bank","Check bank date or posting",IF(L482="Amount variance","Check invoice/payment amount","Check timing difference")))</f>
        <v/>
      </c>
      <c r="O482" s="115" t="inlineStr">
        <is>
          <t>5300 Payroll</t>
        </is>
      </c>
      <c r="P482" s="115" t="inlineStr">
        <is>
          <t>Accounting Technician</t>
        </is>
      </c>
      <c r="Q482" s="115" t="inlineStr">
        <is>
          <t>No</t>
        </is>
      </c>
      <c r="R482" s="138" t="str"/>
      <c r="S482" s="139">
        <f>IF(K482="Matched",0,Mapping_Rules!$B$6-B482)</f>
        <v/>
      </c>
    </row>
    <row r="483">
      <c r="A483" s="140" t="inlineStr">
        <is>
          <t>ERP-00480</t>
        </is>
      </c>
      <c r="B483" s="141" t="n">
        <v>46024</v>
      </c>
      <c r="C483" s="140" t="inlineStr">
        <is>
          <t>GL</t>
        </is>
      </c>
      <c r="D483" s="140" t="inlineStr">
        <is>
          <t>BC Hydro</t>
        </is>
      </c>
      <c r="E483" s="140" t="inlineStr">
        <is>
          <t>REF-100480</t>
        </is>
      </c>
      <c r="F483" s="142" t="n">
        <v>-1371.54</v>
      </c>
      <c r="G483" s="143">
        <f>IFERROR(XLOOKUP(E483,Bank_Statement!$D$4:$D$448,Bank_Statement!$G$4:$G$448,""),"")</f>
        <v/>
      </c>
      <c r="H483" s="142">
        <f>IF(G483="","",F483-G483)</f>
        <v/>
      </c>
      <c r="I483" s="144">
        <f>IFERROR(XLOOKUP(E483,Bank_Statement!$D$4:$D$448,Bank_Statement!$B$4:$B$448,""),"")</f>
        <v/>
      </c>
      <c r="J483" s="145">
        <f>IF(I483="","",ABS(B483-I483))</f>
        <v/>
      </c>
      <c r="K483" s="146">
        <f>IF(G483="","Unmatched ERP",IF(AND(ABS(H483)&lt;=Mapping_Rules!$B$4,ABS(J483)&lt;=Mapping_Rules!$B$5),"Matched","Review"))</f>
        <v/>
      </c>
      <c r="L483" s="146">
        <f>IF(K483="Matched","None",IF(G483="","Missing from bank",IF(ABS(H483)&gt;Mapping_Rules!$B$4,"Amount variance","Date variance")))</f>
        <v/>
      </c>
      <c r="M483" s="146">
        <f>IF(K483="Matched","Low",IF(OR(IFERROR(ABS(H483),0)&gt;Mapping_Rules!$B$7,IFERROR(J483,0)&gt;Mapping_Rules!$B$8),"High","Medium"))</f>
        <v/>
      </c>
      <c r="N483" s="146">
        <f>IF(K483="Matched","No action needed",IF(L483="Missing from bank","Check bank date or posting",IF(L483="Amount variance","Check invoice/payment amount","Check timing difference")))</f>
        <v/>
      </c>
      <c r="O483" s="140" t="inlineStr">
        <is>
          <t>5100 Utilities</t>
        </is>
      </c>
      <c r="P483" s="140" t="inlineStr">
        <is>
          <t>Accounting Technician</t>
        </is>
      </c>
      <c r="Q483" s="140" t="inlineStr">
        <is>
          <t>No</t>
        </is>
      </c>
      <c r="R483" s="147" t="str"/>
      <c r="S483" s="148">
        <f>IF(K483="Matched",0,Mapping_Rules!$B$6-B483)</f>
        <v/>
      </c>
    </row>
    <row r="484">
      <c r="A484" s="115" t="inlineStr">
        <is>
          <t>ERP-00481</t>
        </is>
      </c>
      <c r="B484" s="125" t="n">
        <v>46045</v>
      </c>
      <c r="C484" s="115" t="inlineStr">
        <is>
          <t>GL</t>
        </is>
      </c>
      <c r="D484" s="115" t="inlineStr">
        <is>
          <t>BC Hydro</t>
        </is>
      </c>
      <c r="E484" s="115" t="inlineStr">
        <is>
          <t>REF-100481</t>
        </is>
      </c>
      <c r="F484" s="126" t="n">
        <v>3780.29</v>
      </c>
      <c r="G484" s="134">
        <f>IFERROR(XLOOKUP(E484,Bank_Statement!$D$4:$D$448,Bank_Statement!$G$4:$G$448,""),"")</f>
        <v/>
      </c>
      <c r="H484" s="126">
        <f>IF(G484="","",F484-G484)</f>
        <v/>
      </c>
      <c r="I484" s="135">
        <f>IFERROR(XLOOKUP(E484,Bank_Statement!$D$4:$D$448,Bank_Statement!$B$4:$B$448,""),"")</f>
        <v/>
      </c>
      <c r="J484" s="136">
        <f>IF(I484="","",ABS(B484-I484))</f>
        <v/>
      </c>
      <c r="K484" s="137">
        <f>IF(G484="","Unmatched ERP",IF(AND(ABS(H484)&lt;=Mapping_Rules!$B$4,ABS(J484)&lt;=Mapping_Rules!$B$5),"Matched","Review"))</f>
        <v/>
      </c>
      <c r="L484" s="137">
        <f>IF(K484="Matched","None",IF(G484="","Missing from bank",IF(ABS(H484)&gt;Mapping_Rules!$B$4,"Amount variance","Date variance")))</f>
        <v/>
      </c>
      <c r="M484" s="137">
        <f>IF(K484="Matched","Low",IF(OR(IFERROR(ABS(H484),0)&gt;Mapping_Rules!$B$7,IFERROR(J484,0)&gt;Mapping_Rules!$B$8),"High","Medium"))</f>
        <v/>
      </c>
      <c r="N484" s="137">
        <f>IF(K484="Matched","No action needed",IF(L484="Missing from bank","Check bank date or posting",IF(L484="Amount variance","Check invoice/payment amount","Check timing difference")))</f>
        <v/>
      </c>
      <c r="O484" s="115" t="inlineStr">
        <is>
          <t>6100 Bank Fees</t>
        </is>
      </c>
      <c r="P484" s="115" t="inlineStr">
        <is>
          <t>Accounting Technician</t>
        </is>
      </c>
      <c r="Q484" s="115" t="inlineStr">
        <is>
          <t>No</t>
        </is>
      </c>
      <c r="R484" s="138" t="str"/>
      <c r="S484" s="139">
        <f>IF(K484="Matched",0,Mapping_Rules!$B$6-B484)</f>
        <v/>
      </c>
    </row>
    <row r="485">
      <c r="A485" s="140" t="inlineStr">
        <is>
          <t>ERP-00482</t>
        </is>
      </c>
      <c r="B485" s="141" t="n">
        <v>46046</v>
      </c>
      <c r="C485" s="140" t="inlineStr">
        <is>
          <t>AR</t>
        </is>
      </c>
      <c r="D485" s="140" t="inlineStr">
        <is>
          <t>Coastline Foods</t>
        </is>
      </c>
      <c r="E485" s="140" t="inlineStr">
        <is>
          <t>REF-100482</t>
        </is>
      </c>
      <c r="F485" s="142" t="n">
        <v>6349.15</v>
      </c>
      <c r="G485" s="143">
        <f>IFERROR(XLOOKUP(E485,Bank_Statement!$D$4:$D$448,Bank_Statement!$G$4:$G$448,""),"")</f>
        <v/>
      </c>
      <c r="H485" s="142">
        <f>IF(G485="","",F485-G485)</f>
        <v/>
      </c>
      <c r="I485" s="144">
        <f>IFERROR(XLOOKUP(E485,Bank_Statement!$D$4:$D$448,Bank_Statement!$B$4:$B$448,""),"")</f>
        <v/>
      </c>
      <c r="J485" s="145">
        <f>IF(I485="","",ABS(B485-I485))</f>
        <v/>
      </c>
      <c r="K485" s="146">
        <f>IF(G485="","Unmatched ERP",IF(AND(ABS(H485)&lt;=Mapping_Rules!$B$4,ABS(J485)&lt;=Mapping_Rules!$B$5),"Matched","Review"))</f>
        <v/>
      </c>
      <c r="L485" s="146">
        <f>IF(K485="Matched","None",IF(G485="","Missing from bank",IF(ABS(H485)&gt;Mapping_Rules!$B$4,"Amount variance","Date variance")))</f>
        <v/>
      </c>
      <c r="M485" s="146">
        <f>IF(K485="Matched","Low",IF(OR(IFERROR(ABS(H485),0)&gt;Mapping_Rules!$B$7,IFERROR(J485,0)&gt;Mapping_Rules!$B$8),"High","Medium"))</f>
        <v/>
      </c>
      <c r="N485" s="146">
        <f>IF(K485="Matched","No action needed",IF(L485="Missing from bank","Check bank date or posting",IF(L485="Amount variance","Check invoice/payment amount","Check timing difference")))</f>
        <v/>
      </c>
      <c r="O485" s="140" t="inlineStr">
        <is>
          <t>1200 AR</t>
        </is>
      </c>
      <c r="P485" s="140" t="inlineStr">
        <is>
          <t>AR Clerk</t>
        </is>
      </c>
      <c r="Q485" s="140" t="inlineStr">
        <is>
          <t>No</t>
        </is>
      </c>
      <c r="R485" s="147" t="str"/>
      <c r="S485" s="148">
        <f>IF(K485="Matched",0,Mapping_Rules!$B$6-B485)</f>
        <v/>
      </c>
    </row>
    <row r="486">
      <c r="A486" s="115" t="inlineStr">
        <is>
          <t>ERP-00483</t>
        </is>
      </c>
      <c r="B486" s="125" t="n">
        <v>46024</v>
      </c>
      <c r="C486" s="115" t="inlineStr">
        <is>
          <t>Bank Fees</t>
        </is>
      </c>
      <c r="D486" s="115" t="inlineStr">
        <is>
          <t>Bank</t>
        </is>
      </c>
      <c r="E486" s="115" t="inlineStr">
        <is>
          <t>REF-100483</t>
        </is>
      </c>
      <c r="F486" s="126" t="n">
        <v>-49.57</v>
      </c>
      <c r="G486" s="134">
        <f>IFERROR(XLOOKUP(E486,Bank_Statement!$D$4:$D$448,Bank_Statement!$G$4:$G$448,""),"")</f>
        <v/>
      </c>
      <c r="H486" s="126">
        <f>IF(G486="","",F486-G486)</f>
        <v/>
      </c>
      <c r="I486" s="135">
        <f>IFERROR(XLOOKUP(E486,Bank_Statement!$D$4:$D$448,Bank_Statement!$B$4:$B$448,""),"")</f>
        <v/>
      </c>
      <c r="J486" s="136">
        <f>IF(I486="","",ABS(B486-I486))</f>
        <v/>
      </c>
      <c r="K486" s="137">
        <f>IF(G486="","Unmatched ERP",IF(AND(ABS(H486)&lt;=Mapping_Rules!$B$4,ABS(J486)&lt;=Mapping_Rules!$B$5),"Matched","Review"))</f>
        <v/>
      </c>
      <c r="L486" s="137">
        <f>IF(K486="Matched","None",IF(G486="","Missing from bank",IF(ABS(H486)&gt;Mapping_Rules!$B$4,"Amount variance","Date variance")))</f>
        <v/>
      </c>
      <c r="M486" s="137">
        <f>IF(K486="Matched","Low",IF(OR(IFERROR(ABS(H486),0)&gt;Mapping_Rules!$B$7,IFERROR(J486,0)&gt;Mapping_Rules!$B$8),"High","Medium"))</f>
        <v/>
      </c>
      <c r="N486" s="137">
        <f>IF(K486="Matched","No action needed",IF(L486="Missing from bank","Check bank date or posting",IF(L486="Amount variance","Check invoice/payment amount","Check timing difference")))</f>
        <v/>
      </c>
      <c r="O486" s="115" t="inlineStr">
        <is>
          <t>6100 Bank Fees</t>
        </is>
      </c>
      <c r="P486" s="115" t="inlineStr">
        <is>
          <t>Accounting Technician</t>
        </is>
      </c>
      <c r="Q486" s="115" t="inlineStr">
        <is>
          <t>No</t>
        </is>
      </c>
      <c r="R486" s="138" t="str"/>
      <c r="S486" s="139">
        <f>IF(K486="Matched",0,Mapping_Rules!$B$6-B486)</f>
        <v/>
      </c>
    </row>
    <row r="487">
      <c r="A487" s="140" t="inlineStr">
        <is>
          <t>ERP-00484</t>
        </is>
      </c>
      <c r="B487" s="141" t="n">
        <v>46050</v>
      </c>
      <c r="C487" s="140" t="inlineStr">
        <is>
          <t>GL</t>
        </is>
      </c>
      <c r="D487" s="140" t="inlineStr">
        <is>
          <t>Maple Retail Group</t>
        </is>
      </c>
      <c r="E487" s="140" t="inlineStr">
        <is>
          <t>REF-100484</t>
        </is>
      </c>
      <c r="F487" s="142" t="n">
        <v>-4158.42</v>
      </c>
      <c r="G487" s="143">
        <f>IFERROR(XLOOKUP(E487,Bank_Statement!$D$4:$D$448,Bank_Statement!$G$4:$G$448,""),"")</f>
        <v/>
      </c>
      <c r="H487" s="142">
        <f>IF(G487="","",F487-G487)</f>
        <v/>
      </c>
      <c r="I487" s="144">
        <f>IFERROR(XLOOKUP(E487,Bank_Statement!$D$4:$D$448,Bank_Statement!$B$4:$B$448,""),"")</f>
        <v/>
      </c>
      <c r="J487" s="145">
        <f>IF(I487="","",ABS(B487-I487))</f>
        <v/>
      </c>
      <c r="K487" s="146">
        <f>IF(G487="","Unmatched ERP",IF(AND(ABS(H487)&lt;=Mapping_Rules!$B$4,ABS(J487)&lt;=Mapping_Rules!$B$5),"Matched","Review"))</f>
        <v/>
      </c>
      <c r="L487" s="146">
        <f>IF(K487="Matched","None",IF(G487="","Missing from bank",IF(ABS(H487)&gt;Mapping_Rules!$B$4,"Amount variance","Date variance")))</f>
        <v/>
      </c>
      <c r="M487" s="146">
        <f>IF(K487="Matched","Low",IF(OR(IFERROR(ABS(H487),0)&gt;Mapping_Rules!$B$7,IFERROR(J487,0)&gt;Mapping_Rules!$B$8),"High","Medium"))</f>
        <v/>
      </c>
      <c r="N487" s="146">
        <f>IF(K487="Matched","No action needed",IF(L487="Missing from bank","Check bank date or posting",IF(L487="Amount variance","Check invoice/payment amount","Check timing difference")))</f>
        <v/>
      </c>
      <c r="O487" s="140" t="inlineStr">
        <is>
          <t>5200 Software</t>
        </is>
      </c>
      <c r="P487" s="140" t="inlineStr">
        <is>
          <t>Accounting Technician</t>
        </is>
      </c>
      <c r="Q487" s="140" t="inlineStr">
        <is>
          <t>No</t>
        </is>
      </c>
      <c r="R487" s="147" t="str"/>
      <c r="S487" s="148">
        <f>IF(K487="Matched",0,Mapping_Rules!$B$6-B487)</f>
        <v/>
      </c>
    </row>
    <row r="488">
      <c r="A488" s="115" t="inlineStr">
        <is>
          <t>ERP-00485</t>
        </is>
      </c>
      <c r="B488" s="125" t="n">
        <v>46053</v>
      </c>
      <c r="C488" s="115" t="inlineStr">
        <is>
          <t>AP</t>
        </is>
      </c>
      <c r="D488" s="115" t="inlineStr">
        <is>
          <t>BC Hydro</t>
        </is>
      </c>
      <c r="E488" s="115" t="inlineStr">
        <is>
          <t>REF-100485</t>
        </is>
      </c>
      <c r="F488" s="126" t="n">
        <v>-1165.85</v>
      </c>
      <c r="G488" s="134">
        <f>IFERROR(XLOOKUP(E488,Bank_Statement!$D$4:$D$448,Bank_Statement!$G$4:$G$448,""),"")</f>
        <v/>
      </c>
      <c r="H488" s="126">
        <f>IF(G488="","",F488-G488)</f>
        <v/>
      </c>
      <c r="I488" s="135">
        <f>IFERROR(XLOOKUP(E488,Bank_Statement!$D$4:$D$448,Bank_Statement!$B$4:$B$448,""),"")</f>
        <v/>
      </c>
      <c r="J488" s="136">
        <f>IF(I488="","",ABS(B488-I488))</f>
        <v/>
      </c>
      <c r="K488" s="137">
        <f>IF(G488="","Unmatched ERP",IF(AND(ABS(H488)&lt;=Mapping_Rules!$B$4,ABS(J488)&lt;=Mapping_Rules!$B$5),"Matched","Review"))</f>
        <v/>
      </c>
      <c r="L488" s="137">
        <f>IF(K488="Matched","None",IF(G488="","Missing from bank",IF(ABS(H488)&gt;Mapping_Rules!$B$4,"Amount variance","Date variance")))</f>
        <v/>
      </c>
      <c r="M488" s="137">
        <f>IF(K488="Matched","Low",IF(OR(IFERROR(ABS(H488),0)&gt;Mapping_Rules!$B$7,IFERROR(J488,0)&gt;Mapping_Rules!$B$8),"High","Medium"))</f>
        <v/>
      </c>
      <c r="N488" s="137">
        <f>IF(K488="Matched","No action needed",IF(L488="Missing from bank","Check bank date or posting",IF(L488="Amount variance","Check invoice/payment amount","Check timing difference")))</f>
        <v/>
      </c>
      <c r="O488" s="115" t="inlineStr">
        <is>
          <t>2000 AP</t>
        </is>
      </c>
      <c r="P488" s="115" t="inlineStr">
        <is>
          <t>AP Clerk</t>
        </is>
      </c>
      <c r="Q488" s="115" t="inlineStr">
        <is>
          <t>No</t>
        </is>
      </c>
      <c r="R488" s="138" t="str"/>
      <c r="S488" s="139">
        <f>IF(K488="Matched",0,Mapping_Rules!$B$6-B488)</f>
        <v/>
      </c>
    </row>
    <row r="489">
      <c r="A489" s="140" t="inlineStr">
        <is>
          <t>ERP-00486</t>
        </is>
      </c>
      <c r="B489" s="141" t="n">
        <v>46046</v>
      </c>
      <c r="C489" s="140" t="inlineStr">
        <is>
          <t>AR</t>
        </is>
      </c>
      <c r="D489" s="140" t="inlineStr">
        <is>
          <t>Granville Medical</t>
        </is>
      </c>
      <c r="E489" s="140" t="inlineStr">
        <is>
          <t>REF-100486</t>
        </is>
      </c>
      <c r="F489" s="142" t="n">
        <v>489.3</v>
      </c>
      <c r="G489" s="143">
        <f>IFERROR(XLOOKUP(E489,Bank_Statement!$D$4:$D$448,Bank_Statement!$G$4:$G$448,""),"")</f>
        <v/>
      </c>
      <c r="H489" s="142">
        <f>IF(G489="","",F489-G489)</f>
        <v/>
      </c>
      <c r="I489" s="144">
        <f>IFERROR(XLOOKUP(E489,Bank_Statement!$D$4:$D$448,Bank_Statement!$B$4:$B$448,""),"")</f>
        <v/>
      </c>
      <c r="J489" s="145">
        <f>IF(I489="","",ABS(B489-I489))</f>
        <v/>
      </c>
      <c r="K489" s="146">
        <f>IF(G489="","Unmatched ERP",IF(AND(ABS(H489)&lt;=Mapping_Rules!$B$4,ABS(J489)&lt;=Mapping_Rules!$B$5),"Matched","Review"))</f>
        <v/>
      </c>
      <c r="L489" s="146">
        <f>IF(K489="Matched","None",IF(G489="","Missing from bank",IF(ABS(H489)&gt;Mapping_Rules!$B$4,"Amount variance","Date variance")))</f>
        <v/>
      </c>
      <c r="M489" s="146">
        <f>IF(K489="Matched","Low",IF(OR(IFERROR(ABS(H489),0)&gt;Mapping_Rules!$B$7,IFERROR(J489,0)&gt;Mapping_Rules!$B$8),"High","Medium"))</f>
        <v/>
      </c>
      <c r="N489" s="146">
        <f>IF(K489="Matched","No action needed",IF(L489="Missing from bank","Check bank date or posting",IF(L489="Amount variance","Check invoice/payment amount","Check timing difference")))</f>
        <v/>
      </c>
      <c r="O489" s="140" t="inlineStr">
        <is>
          <t>1200 AR</t>
        </is>
      </c>
      <c r="P489" s="140" t="inlineStr">
        <is>
          <t>AR Clerk</t>
        </is>
      </c>
      <c r="Q489" s="140" t="inlineStr">
        <is>
          <t>No</t>
        </is>
      </c>
      <c r="R489" s="147" t="str"/>
      <c r="S489" s="148">
        <f>IF(K489="Matched",0,Mapping_Rules!$B$6-B489)</f>
        <v/>
      </c>
    </row>
    <row r="490">
      <c r="A490" s="115" t="inlineStr">
        <is>
          <t>ERP-00487</t>
        </is>
      </c>
      <c r="B490" s="125" t="n">
        <v>46031</v>
      </c>
      <c r="C490" s="115" t="inlineStr">
        <is>
          <t>AP</t>
        </is>
      </c>
      <c r="D490" s="115" t="inlineStr">
        <is>
          <t>BC Hydro</t>
        </is>
      </c>
      <c r="E490" s="115" t="inlineStr">
        <is>
          <t>REF-100487</t>
        </is>
      </c>
      <c r="F490" s="126" t="n">
        <v>-4423.3</v>
      </c>
      <c r="G490" s="134">
        <f>IFERROR(XLOOKUP(E490,Bank_Statement!$D$4:$D$448,Bank_Statement!$G$4:$G$448,""),"")</f>
        <v/>
      </c>
      <c r="H490" s="126">
        <f>IF(G490="","",F490-G490)</f>
        <v/>
      </c>
      <c r="I490" s="135">
        <f>IFERROR(XLOOKUP(E490,Bank_Statement!$D$4:$D$448,Bank_Statement!$B$4:$B$448,""),"")</f>
        <v/>
      </c>
      <c r="J490" s="136">
        <f>IF(I490="","",ABS(B490-I490))</f>
        <v/>
      </c>
      <c r="K490" s="137">
        <f>IF(G490="","Unmatched ERP",IF(AND(ABS(H490)&lt;=Mapping_Rules!$B$4,ABS(J490)&lt;=Mapping_Rules!$B$5),"Matched","Review"))</f>
        <v/>
      </c>
      <c r="L490" s="137">
        <f>IF(K490="Matched","None",IF(G490="","Missing from bank",IF(ABS(H490)&gt;Mapping_Rules!$B$4,"Amount variance","Date variance")))</f>
        <v/>
      </c>
      <c r="M490" s="137">
        <f>IF(K490="Matched","Low",IF(OR(IFERROR(ABS(H490),0)&gt;Mapping_Rules!$B$7,IFERROR(J490,0)&gt;Mapping_Rules!$B$8),"High","Medium"))</f>
        <v/>
      </c>
      <c r="N490" s="137">
        <f>IF(K490="Matched","No action needed",IF(L490="Missing from bank","Check bank date or posting",IF(L490="Amount variance","Check invoice/payment amount","Check timing difference")))</f>
        <v/>
      </c>
      <c r="O490" s="115" t="inlineStr">
        <is>
          <t>2000 AP</t>
        </is>
      </c>
      <c r="P490" s="115" t="inlineStr">
        <is>
          <t>AP Clerk</t>
        </is>
      </c>
      <c r="Q490" s="115" t="inlineStr">
        <is>
          <t>No</t>
        </is>
      </c>
      <c r="R490" s="138" t="str"/>
      <c r="S490" s="139">
        <f>IF(K490="Matched",0,Mapping_Rules!$B$6-B490)</f>
        <v/>
      </c>
    </row>
    <row r="491">
      <c r="A491" s="140" t="inlineStr">
        <is>
          <t>ERP-00488</t>
        </is>
      </c>
      <c r="B491" s="141" t="n">
        <v>46047</v>
      </c>
      <c r="C491" s="140" t="inlineStr">
        <is>
          <t>Bank Fees</t>
        </is>
      </c>
      <c r="D491" s="140" t="inlineStr">
        <is>
          <t>Bank</t>
        </is>
      </c>
      <c r="E491" s="140" t="inlineStr">
        <is>
          <t>REF-100488</t>
        </is>
      </c>
      <c r="F491" s="142" t="n">
        <v>-75.79000000000001</v>
      </c>
      <c r="G491" s="143">
        <f>IFERROR(XLOOKUP(E491,Bank_Statement!$D$4:$D$448,Bank_Statement!$G$4:$G$448,""),"")</f>
        <v/>
      </c>
      <c r="H491" s="142">
        <f>IF(G491="","",F491-G491)</f>
        <v/>
      </c>
      <c r="I491" s="144">
        <f>IFERROR(XLOOKUP(E491,Bank_Statement!$D$4:$D$448,Bank_Statement!$B$4:$B$448,""),"")</f>
        <v/>
      </c>
      <c r="J491" s="145">
        <f>IF(I491="","",ABS(B491-I491))</f>
        <v/>
      </c>
      <c r="K491" s="146">
        <f>IF(G491="","Unmatched ERP",IF(AND(ABS(H491)&lt;=Mapping_Rules!$B$4,ABS(J491)&lt;=Mapping_Rules!$B$5),"Matched","Review"))</f>
        <v/>
      </c>
      <c r="L491" s="146">
        <f>IF(K491="Matched","None",IF(G491="","Missing from bank",IF(ABS(H491)&gt;Mapping_Rules!$B$4,"Amount variance","Date variance")))</f>
        <v/>
      </c>
      <c r="M491" s="146">
        <f>IF(K491="Matched","Low",IF(OR(IFERROR(ABS(H491),0)&gt;Mapping_Rules!$B$7,IFERROR(J491,0)&gt;Mapping_Rules!$B$8),"High","Medium"))</f>
        <v/>
      </c>
      <c r="N491" s="146">
        <f>IF(K491="Matched","No action needed",IF(L491="Missing from bank","Check bank date or posting",IF(L491="Amount variance","Check invoice/payment amount","Check timing difference")))</f>
        <v/>
      </c>
      <c r="O491" s="140" t="inlineStr">
        <is>
          <t>6100 Bank Fees</t>
        </is>
      </c>
      <c r="P491" s="140" t="inlineStr">
        <is>
          <t>Accounting Technician</t>
        </is>
      </c>
      <c r="Q491" s="140" t="inlineStr">
        <is>
          <t>No</t>
        </is>
      </c>
      <c r="R491" s="147" t="str"/>
      <c r="S491" s="148">
        <f>IF(K491="Matched",0,Mapping_Rules!$B$6-B491)</f>
        <v/>
      </c>
    </row>
    <row r="492">
      <c r="A492" s="115" t="inlineStr">
        <is>
          <t>ERP-00489</t>
        </is>
      </c>
      <c r="B492" s="125" t="n">
        <v>46045</v>
      </c>
      <c r="C492" s="115" t="inlineStr">
        <is>
          <t>AP</t>
        </is>
      </c>
      <c r="D492" s="115" t="inlineStr">
        <is>
          <t>North Shore Telecom</t>
        </is>
      </c>
      <c r="E492" s="115" t="inlineStr">
        <is>
          <t>REF-100489</t>
        </is>
      </c>
      <c r="F492" s="126" t="n">
        <v>-5936.76</v>
      </c>
      <c r="G492" s="134">
        <f>IFERROR(XLOOKUP(E492,Bank_Statement!$D$4:$D$448,Bank_Statement!$G$4:$G$448,""),"")</f>
        <v/>
      </c>
      <c r="H492" s="126">
        <f>IF(G492="","",F492-G492)</f>
        <v/>
      </c>
      <c r="I492" s="135">
        <f>IFERROR(XLOOKUP(E492,Bank_Statement!$D$4:$D$448,Bank_Statement!$B$4:$B$448,""),"")</f>
        <v/>
      </c>
      <c r="J492" s="136">
        <f>IF(I492="","",ABS(B492-I492))</f>
        <v/>
      </c>
      <c r="K492" s="137">
        <f>IF(G492="","Unmatched ERP",IF(AND(ABS(H492)&lt;=Mapping_Rules!$B$4,ABS(J492)&lt;=Mapping_Rules!$B$5),"Matched","Review"))</f>
        <v/>
      </c>
      <c r="L492" s="137">
        <f>IF(K492="Matched","None",IF(G492="","Missing from bank",IF(ABS(H492)&gt;Mapping_Rules!$B$4,"Amount variance","Date variance")))</f>
        <v/>
      </c>
      <c r="M492" s="137">
        <f>IF(K492="Matched","Low",IF(OR(IFERROR(ABS(H492),0)&gt;Mapping_Rules!$B$7,IFERROR(J492,0)&gt;Mapping_Rules!$B$8),"High","Medium"))</f>
        <v/>
      </c>
      <c r="N492" s="137">
        <f>IF(K492="Matched","No action needed",IF(L492="Missing from bank","Check bank date or posting",IF(L492="Amount variance","Check invoice/payment amount","Check timing difference")))</f>
        <v/>
      </c>
      <c r="O492" s="115" t="inlineStr">
        <is>
          <t>2000 AP</t>
        </is>
      </c>
      <c r="P492" s="115" t="inlineStr">
        <is>
          <t>AP Clerk</t>
        </is>
      </c>
      <c r="Q492" s="115" t="inlineStr">
        <is>
          <t>No</t>
        </is>
      </c>
      <c r="R492" s="138" t="str"/>
      <c r="S492" s="139">
        <f>IF(K492="Matched",0,Mapping_Rules!$B$6-B492)</f>
        <v/>
      </c>
    </row>
    <row r="493">
      <c r="A493" s="140" t="inlineStr">
        <is>
          <t>ERP-00490</t>
        </is>
      </c>
      <c r="B493" s="141" t="n">
        <v>46040</v>
      </c>
      <c r="C493" s="140" t="inlineStr">
        <is>
          <t>AR</t>
        </is>
      </c>
      <c r="D493" s="140" t="inlineStr">
        <is>
          <t>Raincity Tech</t>
        </is>
      </c>
      <c r="E493" s="140" t="inlineStr">
        <is>
          <t>REF-100490</t>
        </is>
      </c>
      <c r="F493" s="142" t="n">
        <v>1997</v>
      </c>
      <c r="G493" s="143">
        <f>IFERROR(XLOOKUP(E493,Bank_Statement!$D$4:$D$448,Bank_Statement!$G$4:$G$448,""),"")</f>
        <v/>
      </c>
      <c r="H493" s="142">
        <f>IF(G493="","",F493-G493)</f>
        <v/>
      </c>
      <c r="I493" s="144">
        <f>IFERROR(XLOOKUP(E493,Bank_Statement!$D$4:$D$448,Bank_Statement!$B$4:$B$448,""),"")</f>
        <v/>
      </c>
      <c r="J493" s="145">
        <f>IF(I493="","",ABS(B493-I493))</f>
        <v/>
      </c>
      <c r="K493" s="146">
        <f>IF(G493="","Unmatched ERP",IF(AND(ABS(H493)&lt;=Mapping_Rules!$B$4,ABS(J493)&lt;=Mapping_Rules!$B$5),"Matched","Review"))</f>
        <v/>
      </c>
      <c r="L493" s="146">
        <f>IF(K493="Matched","None",IF(G493="","Missing from bank",IF(ABS(H493)&gt;Mapping_Rules!$B$4,"Amount variance","Date variance")))</f>
        <v/>
      </c>
      <c r="M493" s="146">
        <f>IF(K493="Matched","Low",IF(OR(IFERROR(ABS(H493),0)&gt;Mapping_Rules!$B$7,IFERROR(J493,0)&gt;Mapping_Rules!$B$8),"High","Medium"))</f>
        <v/>
      </c>
      <c r="N493" s="146">
        <f>IF(K493="Matched","No action needed",IF(L493="Missing from bank","Check bank date or posting",IF(L493="Amount variance","Check invoice/payment amount","Check timing difference")))</f>
        <v/>
      </c>
      <c r="O493" s="140" t="inlineStr">
        <is>
          <t>1200 AR</t>
        </is>
      </c>
      <c r="P493" s="140" t="inlineStr">
        <is>
          <t>AR Clerk</t>
        </is>
      </c>
      <c r="Q493" s="140" t="inlineStr">
        <is>
          <t>No</t>
        </is>
      </c>
      <c r="R493" s="147" t="str"/>
      <c r="S493" s="148">
        <f>IF(K493="Matched",0,Mapping_Rules!$B$6-B493)</f>
        <v/>
      </c>
    </row>
    <row r="494">
      <c r="A494" s="115" t="inlineStr">
        <is>
          <t>ERP-00491</t>
        </is>
      </c>
      <c r="B494" s="125" t="n">
        <v>46047</v>
      </c>
      <c r="C494" s="115" t="inlineStr">
        <is>
          <t>AR</t>
        </is>
      </c>
      <c r="D494" s="115" t="inlineStr">
        <is>
          <t>Granville Medical</t>
        </is>
      </c>
      <c r="E494" s="115" t="inlineStr">
        <is>
          <t>REF-100491</t>
        </is>
      </c>
      <c r="F494" s="126" t="n">
        <v>8471.870000000001</v>
      </c>
      <c r="G494" s="134">
        <f>IFERROR(XLOOKUP(E494,Bank_Statement!$D$4:$D$448,Bank_Statement!$G$4:$G$448,""),"")</f>
        <v/>
      </c>
      <c r="H494" s="126">
        <f>IF(G494="","",F494-G494)</f>
        <v/>
      </c>
      <c r="I494" s="135">
        <f>IFERROR(XLOOKUP(E494,Bank_Statement!$D$4:$D$448,Bank_Statement!$B$4:$B$448,""),"")</f>
        <v/>
      </c>
      <c r="J494" s="136">
        <f>IF(I494="","",ABS(B494-I494))</f>
        <v/>
      </c>
      <c r="K494" s="137">
        <f>IF(G494="","Unmatched ERP",IF(AND(ABS(H494)&lt;=Mapping_Rules!$B$4,ABS(J494)&lt;=Mapping_Rules!$B$5),"Matched","Review"))</f>
        <v/>
      </c>
      <c r="L494" s="137">
        <f>IF(K494="Matched","None",IF(G494="","Missing from bank",IF(ABS(H494)&gt;Mapping_Rules!$B$4,"Amount variance","Date variance")))</f>
        <v/>
      </c>
      <c r="M494" s="137">
        <f>IF(K494="Matched","Low",IF(OR(IFERROR(ABS(H494),0)&gt;Mapping_Rules!$B$7,IFERROR(J494,0)&gt;Mapping_Rules!$B$8),"High","Medium"))</f>
        <v/>
      </c>
      <c r="N494" s="137">
        <f>IF(K494="Matched","No action needed",IF(L494="Missing from bank","Check bank date or posting",IF(L494="Amount variance","Check invoice/payment amount","Check timing difference")))</f>
        <v/>
      </c>
      <c r="O494" s="115" t="inlineStr">
        <is>
          <t>1200 AR</t>
        </is>
      </c>
      <c r="P494" s="115" t="inlineStr">
        <is>
          <t>AR Clerk</t>
        </is>
      </c>
      <c r="Q494" s="115" t="inlineStr">
        <is>
          <t>No</t>
        </is>
      </c>
      <c r="R494" s="138" t="str"/>
      <c r="S494" s="139">
        <f>IF(K494="Matched",0,Mapping_Rules!$B$6-B494)</f>
        <v/>
      </c>
    </row>
    <row r="495">
      <c r="A495" s="140" t="inlineStr">
        <is>
          <t>ERP-00492</t>
        </is>
      </c>
      <c r="B495" s="141" t="n">
        <v>46043</v>
      </c>
      <c r="C495" s="140" t="inlineStr">
        <is>
          <t>AR</t>
        </is>
      </c>
      <c r="D495" s="140" t="inlineStr">
        <is>
          <t>West Van Fitness</t>
        </is>
      </c>
      <c r="E495" s="140" t="inlineStr">
        <is>
          <t>REF-100492</t>
        </is>
      </c>
      <c r="F495" s="142" t="n">
        <v>2185.96</v>
      </c>
      <c r="G495" s="143">
        <f>IFERROR(XLOOKUP(E495,Bank_Statement!$D$4:$D$448,Bank_Statement!$G$4:$G$448,""),"")</f>
        <v/>
      </c>
      <c r="H495" s="142">
        <f>IF(G495="","",F495-G495)</f>
        <v/>
      </c>
      <c r="I495" s="144">
        <f>IFERROR(XLOOKUP(E495,Bank_Statement!$D$4:$D$448,Bank_Statement!$B$4:$B$448,""),"")</f>
        <v/>
      </c>
      <c r="J495" s="145">
        <f>IF(I495="","",ABS(B495-I495))</f>
        <v/>
      </c>
      <c r="K495" s="146">
        <f>IF(G495="","Unmatched ERP",IF(AND(ABS(H495)&lt;=Mapping_Rules!$B$4,ABS(J495)&lt;=Mapping_Rules!$B$5),"Matched","Review"))</f>
        <v/>
      </c>
      <c r="L495" s="146">
        <f>IF(K495="Matched","None",IF(G495="","Missing from bank",IF(ABS(H495)&gt;Mapping_Rules!$B$4,"Amount variance","Date variance")))</f>
        <v/>
      </c>
      <c r="M495" s="146">
        <f>IF(K495="Matched","Low",IF(OR(IFERROR(ABS(H495),0)&gt;Mapping_Rules!$B$7,IFERROR(J495,0)&gt;Mapping_Rules!$B$8),"High","Medium"))</f>
        <v/>
      </c>
      <c r="N495" s="146">
        <f>IF(K495="Matched","No action needed",IF(L495="Missing from bank","Check bank date or posting",IF(L495="Amount variance","Check invoice/payment amount","Check timing difference")))</f>
        <v/>
      </c>
      <c r="O495" s="140" t="inlineStr">
        <is>
          <t>1200 AR</t>
        </is>
      </c>
      <c r="P495" s="140" t="inlineStr">
        <is>
          <t>AR Clerk</t>
        </is>
      </c>
      <c r="Q495" s="140" t="inlineStr">
        <is>
          <t>No</t>
        </is>
      </c>
      <c r="R495" s="147" t="str"/>
      <c r="S495" s="148">
        <f>IF(K495="Matched",0,Mapping_Rules!$B$6-B495)</f>
        <v/>
      </c>
    </row>
    <row r="496">
      <c r="A496" s="115" t="inlineStr">
        <is>
          <t>ERP-00493</t>
        </is>
      </c>
      <c r="B496" s="125" t="n">
        <v>46040</v>
      </c>
      <c r="C496" s="115" t="inlineStr">
        <is>
          <t>GL</t>
        </is>
      </c>
      <c r="D496" s="115" t="inlineStr">
        <is>
          <t>Pacific Office Supplies</t>
        </is>
      </c>
      <c r="E496" s="115" t="inlineStr">
        <is>
          <t>REF-100493</t>
        </is>
      </c>
      <c r="F496" s="126" t="n">
        <v>-4561.11</v>
      </c>
      <c r="G496" s="134">
        <f>IFERROR(XLOOKUP(E496,Bank_Statement!$D$4:$D$448,Bank_Statement!$G$4:$G$448,""),"")</f>
        <v/>
      </c>
      <c r="H496" s="126">
        <f>IF(G496="","",F496-G496)</f>
        <v/>
      </c>
      <c r="I496" s="135">
        <f>IFERROR(XLOOKUP(E496,Bank_Statement!$D$4:$D$448,Bank_Statement!$B$4:$B$448,""),"")</f>
        <v/>
      </c>
      <c r="J496" s="136">
        <f>IF(I496="","",ABS(B496-I496))</f>
        <v/>
      </c>
      <c r="K496" s="137">
        <f>IF(G496="","Unmatched ERP",IF(AND(ABS(H496)&lt;=Mapping_Rules!$B$4,ABS(J496)&lt;=Mapping_Rules!$B$5),"Matched","Review"))</f>
        <v/>
      </c>
      <c r="L496" s="137">
        <f>IF(K496="Matched","None",IF(G496="","Missing from bank",IF(ABS(H496)&gt;Mapping_Rules!$B$4,"Amount variance","Date variance")))</f>
        <v/>
      </c>
      <c r="M496" s="137">
        <f>IF(K496="Matched","Low",IF(OR(IFERROR(ABS(H496),0)&gt;Mapping_Rules!$B$7,IFERROR(J496,0)&gt;Mapping_Rules!$B$8),"High","Medium"))</f>
        <v/>
      </c>
      <c r="N496" s="137">
        <f>IF(K496="Matched","No action needed",IF(L496="Missing from bank","Check bank date or posting",IF(L496="Amount variance","Check invoice/payment amount","Check timing difference")))</f>
        <v/>
      </c>
      <c r="O496" s="115" t="inlineStr">
        <is>
          <t>5200 Software</t>
        </is>
      </c>
      <c r="P496" s="115" t="inlineStr">
        <is>
          <t>Accounting Technician</t>
        </is>
      </c>
      <c r="Q496" s="115" t="inlineStr">
        <is>
          <t>No</t>
        </is>
      </c>
      <c r="R496" s="138" t="str"/>
      <c r="S496" s="139">
        <f>IF(K496="Matched",0,Mapping_Rules!$B$6-B496)</f>
        <v/>
      </c>
    </row>
    <row r="497">
      <c r="A497" s="140" t="inlineStr">
        <is>
          <t>ERP-00494</t>
        </is>
      </c>
      <c r="B497" s="141" t="n">
        <v>46043</v>
      </c>
      <c r="C497" s="140" t="inlineStr">
        <is>
          <t>AP</t>
        </is>
      </c>
      <c r="D497" s="140" t="inlineStr">
        <is>
          <t>Amazon Business</t>
        </is>
      </c>
      <c r="E497" s="140" t="inlineStr">
        <is>
          <t>REF-100494</t>
        </is>
      </c>
      <c r="F497" s="142" t="n">
        <v>-583.95</v>
      </c>
      <c r="G497" s="143">
        <f>IFERROR(XLOOKUP(E497,Bank_Statement!$D$4:$D$448,Bank_Statement!$G$4:$G$448,""),"")</f>
        <v/>
      </c>
      <c r="H497" s="142">
        <f>IF(G497="","",F497-G497)</f>
        <v/>
      </c>
      <c r="I497" s="144">
        <f>IFERROR(XLOOKUP(E497,Bank_Statement!$D$4:$D$448,Bank_Statement!$B$4:$B$448,""),"")</f>
        <v/>
      </c>
      <c r="J497" s="145">
        <f>IF(I497="","",ABS(B497-I497))</f>
        <v/>
      </c>
      <c r="K497" s="146">
        <f>IF(G497="","Unmatched ERP",IF(AND(ABS(H497)&lt;=Mapping_Rules!$B$4,ABS(J497)&lt;=Mapping_Rules!$B$5),"Matched","Review"))</f>
        <v/>
      </c>
      <c r="L497" s="146">
        <f>IF(K497="Matched","None",IF(G497="","Missing from bank",IF(ABS(H497)&gt;Mapping_Rules!$B$4,"Amount variance","Date variance")))</f>
        <v/>
      </c>
      <c r="M497" s="146">
        <f>IF(K497="Matched","Low",IF(OR(IFERROR(ABS(H497),0)&gt;Mapping_Rules!$B$7,IFERROR(J497,0)&gt;Mapping_Rules!$B$8),"High","Medium"))</f>
        <v/>
      </c>
      <c r="N497" s="146">
        <f>IF(K497="Matched","No action needed",IF(L497="Missing from bank","Check bank date or posting",IF(L497="Amount variance","Check invoice/payment amount","Check timing difference")))</f>
        <v/>
      </c>
      <c r="O497" s="140" t="inlineStr">
        <is>
          <t>2000 AP</t>
        </is>
      </c>
      <c r="P497" s="140" t="inlineStr">
        <is>
          <t>AP Clerk</t>
        </is>
      </c>
      <c r="Q497" s="140" t="inlineStr">
        <is>
          <t>No</t>
        </is>
      </c>
      <c r="R497" s="147" t="str"/>
      <c r="S497" s="148">
        <f>IF(K497="Matched",0,Mapping_Rules!$B$6-B497)</f>
        <v/>
      </c>
    </row>
    <row r="498">
      <c r="A498" s="115" t="inlineStr">
        <is>
          <t>ERP-00495</t>
        </is>
      </c>
      <c r="B498" s="125" t="n">
        <v>46047</v>
      </c>
      <c r="C498" s="115" t="inlineStr">
        <is>
          <t>AR</t>
        </is>
      </c>
      <c r="D498" s="115" t="inlineStr">
        <is>
          <t>Maple Retail Group</t>
        </is>
      </c>
      <c r="E498" s="115" t="inlineStr">
        <is>
          <t>REF-100495</t>
        </is>
      </c>
      <c r="F498" s="126" t="n">
        <v>5384.89</v>
      </c>
      <c r="G498" s="134">
        <f>IFERROR(XLOOKUP(E498,Bank_Statement!$D$4:$D$448,Bank_Statement!$G$4:$G$448,""),"")</f>
        <v/>
      </c>
      <c r="H498" s="126">
        <f>IF(G498="","",F498-G498)</f>
        <v/>
      </c>
      <c r="I498" s="135">
        <f>IFERROR(XLOOKUP(E498,Bank_Statement!$D$4:$D$448,Bank_Statement!$B$4:$B$448,""),"")</f>
        <v/>
      </c>
      <c r="J498" s="136">
        <f>IF(I498="","",ABS(B498-I498))</f>
        <v/>
      </c>
      <c r="K498" s="137">
        <f>IF(G498="","Unmatched ERP",IF(AND(ABS(H498)&lt;=Mapping_Rules!$B$4,ABS(J498)&lt;=Mapping_Rules!$B$5),"Matched","Review"))</f>
        <v/>
      </c>
      <c r="L498" s="137">
        <f>IF(K498="Matched","None",IF(G498="","Missing from bank",IF(ABS(H498)&gt;Mapping_Rules!$B$4,"Amount variance","Date variance")))</f>
        <v/>
      </c>
      <c r="M498" s="137">
        <f>IF(K498="Matched","Low",IF(OR(IFERROR(ABS(H498),0)&gt;Mapping_Rules!$B$7,IFERROR(J498,0)&gt;Mapping_Rules!$B$8),"High","Medium"))</f>
        <v/>
      </c>
      <c r="N498" s="137">
        <f>IF(K498="Matched","No action needed",IF(L498="Missing from bank","Check bank date or posting",IF(L498="Amount variance","Check invoice/payment amount","Check timing difference")))</f>
        <v/>
      </c>
      <c r="O498" s="115" t="inlineStr">
        <is>
          <t>1200 AR</t>
        </is>
      </c>
      <c r="P498" s="115" t="inlineStr">
        <is>
          <t>AR Clerk</t>
        </is>
      </c>
      <c r="Q498" s="115" t="inlineStr">
        <is>
          <t>No</t>
        </is>
      </c>
      <c r="R498" s="138" t="str"/>
      <c r="S498" s="139">
        <f>IF(K498="Matched",0,Mapping_Rules!$B$6-B498)</f>
        <v/>
      </c>
    </row>
    <row r="499">
      <c r="A499" s="140" t="inlineStr">
        <is>
          <t>ERP-00496</t>
        </is>
      </c>
      <c r="B499" s="141" t="n">
        <v>46036</v>
      </c>
      <c r="C499" s="140" t="inlineStr">
        <is>
          <t>Payroll</t>
        </is>
      </c>
      <c r="D499" s="140" t="inlineStr">
        <is>
          <t>Payroll Batch</t>
        </is>
      </c>
      <c r="E499" s="140" t="inlineStr">
        <is>
          <t>REF-100496</t>
        </is>
      </c>
      <c r="F499" s="142" t="n">
        <v>-5480.9</v>
      </c>
      <c r="G499" s="143">
        <f>IFERROR(XLOOKUP(E499,Bank_Statement!$D$4:$D$448,Bank_Statement!$G$4:$G$448,""),"")</f>
        <v/>
      </c>
      <c r="H499" s="142">
        <f>IF(G499="","",F499-G499)</f>
        <v/>
      </c>
      <c r="I499" s="144">
        <f>IFERROR(XLOOKUP(E499,Bank_Statement!$D$4:$D$448,Bank_Statement!$B$4:$B$448,""),"")</f>
        <v/>
      </c>
      <c r="J499" s="145">
        <f>IF(I499="","",ABS(B499-I499))</f>
        <v/>
      </c>
      <c r="K499" s="146">
        <f>IF(G499="","Unmatched ERP",IF(AND(ABS(H499)&lt;=Mapping_Rules!$B$4,ABS(J499)&lt;=Mapping_Rules!$B$5),"Matched","Review"))</f>
        <v/>
      </c>
      <c r="L499" s="146">
        <f>IF(K499="Matched","None",IF(G499="","Missing from bank",IF(ABS(H499)&gt;Mapping_Rules!$B$4,"Amount variance","Date variance")))</f>
        <v/>
      </c>
      <c r="M499" s="146">
        <f>IF(K499="Matched","Low",IF(OR(IFERROR(ABS(H499),0)&gt;Mapping_Rules!$B$7,IFERROR(J499,0)&gt;Mapping_Rules!$B$8),"High","Medium"))</f>
        <v/>
      </c>
      <c r="N499" s="146">
        <f>IF(K499="Matched","No action needed",IF(L499="Missing from bank","Check bank date or posting",IF(L499="Amount variance","Check invoice/payment amount","Check timing difference")))</f>
        <v/>
      </c>
      <c r="O499" s="140" t="inlineStr">
        <is>
          <t>5300 Payroll</t>
        </is>
      </c>
      <c r="P499" s="140" t="inlineStr">
        <is>
          <t>Accounting Technician</t>
        </is>
      </c>
      <c r="Q499" s="140" t="inlineStr">
        <is>
          <t>No</t>
        </is>
      </c>
      <c r="R499" s="147" t="str"/>
      <c r="S499" s="148">
        <f>IF(K499="Matched",0,Mapping_Rules!$B$6-B499)</f>
        <v/>
      </c>
    </row>
    <row r="500">
      <c r="A500" s="115" t="inlineStr">
        <is>
          <t>ERP-00497</t>
        </is>
      </c>
      <c r="B500" s="125" t="n">
        <v>46024</v>
      </c>
      <c r="C500" s="115" t="inlineStr">
        <is>
          <t>AP</t>
        </is>
      </c>
      <c r="D500" s="115" t="inlineStr">
        <is>
          <t>Pacific Office Supplies</t>
        </is>
      </c>
      <c r="E500" s="115" t="inlineStr">
        <is>
          <t>REF-100497</t>
        </is>
      </c>
      <c r="F500" s="126" t="n">
        <v>-1169.31</v>
      </c>
      <c r="G500" s="134">
        <f>IFERROR(XLOOKUP(E500,Bank_Statement!$D$4:$D$448,Bank_Statement!$G$4:$G$448,""),"")</f>
        <v/>
      </c>
      <c r="H500" s="126">
        <f>IF(G500="","",F500-G500)</f>
        <v/>
      </c>
      <c r="I500" s="135">
        <f>IFERROR(XLOOKUP(E500,Bank_Statement!$D$4:$D$448,Bank_Statement!$B$4:$B$448,""),"")</f>
        <v/>
      </c>
      <c r="J500" s="136">
        <f>IF(I500="","",ABS(B500-I500))</f>
        <v/>
      </c>
      <c r="K500" s="137">
        <f>IF(G500="","Unmatched ERP",IF(AND(ABS(H500)&lt;=Mapping_Rules!$B$4,ABS(J500)&lt;=Mapping_Rules!$B$5),"Matched","Review"))</f>
        <v/>
      </c>
      <c r="L500" s="137">
        <f>IF(K500="Matched","None",IF(G500="","Missing from bank",IF(ABS(H500)&gt;Mapping_Rules!$B$4,"Amount variance","Date variance")))</f>
        <v/>
      </c>
      <c r="M500" s="137">
        <f>IF(K500="Matched","Low",IF(OR(IFERROR(ABS(H500),0)&gt;Mapping_Rules!$B$7,IFERROR(J500,0)&gt;Mapping_Rules!$B$8),"High","Medium"))</f>
        <v/>
      </c>
      <c r="N500" s="137">
        <f>IF(K500="Matched","No action needed",IF(L500="Missing from bank","Check bank date or posting",IF(L500="Amount variance","Check invoice/payment amount","Check timing difference")))</f>
        <v/>
      </c>
      <c r="O500" s="115" t="inlineStr">
        <is>
          <t>2000 AP</t>
        </is>
      </c>
      <c r="P500" s="115" t="inlineStr">
        <is>
          <t>AP Clerk</t>
        </is>
      </c>
      <c r="Q500" s="115" t="inlineStr">
        <is>
          <t>No</t>
        </is>
      </c>
      <c r="R500" s="138" t="str"/>
      <c r="S500" s="139">
        <f>IF(K500="Matched",0,Mapping_Rules!$B$6-B500)</f>
        <v/>
      </c>
    </row>
    <row r="501">
      <c r="A501" s="140" t="inlineStr">
        <is>
          <t>ERP-00498</t>
        </is>
      </c>
      <c r="B501" s="141" t="n">
        <v>46036</v>
      </c>
      <c r="C501" s="140" t="inlineStr">
        <is>
          <t>AR</t>
        </is>
      </c>
      <c r="D501" s="140" t="inlineStr">
        <is>
          <t>Harbour Design Co.</t>
        </is>
      </c>
      <c r="E501" s="140" t="inlineStr">
        <is>
          <t>REF-100498</t>
        </is>
      </c>
      <c r="F501" s="142" t="n">
        <v>3527.14</v>
      </c>
      <c r="G501" s="143">
        <f>IFERROR(XLOOKUP(E501,Bank_Statement!$D$4:$D$448,Bank_Statement!$G$4:$G$448,""),"")</f>
        <v/>
      </c>
      <c r="H501" s="142">
        <f>IF(G501="","",F501-G501)</f>
        <v/>
      </c>
      <c r="I501" s="144">
        <f>IFERROR(XLOOKUP(E501,Bank_Statement!$D$4:$D$448,Bank_Statement!$B$4:$B$448,""),"")</f>
        <v/>
      </c>
      <c r="J501" s="145">
        <f>IF(I501="","",ABS(B501-I501))</f>
        <v/>
      </c>
      <c r="K501" s="146">
        <f>IF(G501="","Unmatched ERP",IF(AND(ABS(H501)&lt;=Mapping_Rules!$B$4,ABS(J501)&lt;=Mapping_Rules!$B$5),"Matched","Review"))</f>
        <v/>
      </c>
      <c r="L501" s="146">
        <f>IF(K501="Matched","None",IF(G501="","Missing from bank",IF(ABS(H501)&gt;Mapping_Rules!$B$4,"Amount variance","Date variance")))</f>
        <v/>
      </c>
      <c r="M501" s="146">
        <f>IF(K501="Matched","Low",IF(OR(IFERROR(ABS(H501),0)&gt;Mapping_Rules!$B$7,IFERROR(J501,0)&gt;Mapping_Rules!$B$8),"High","Medium"))</f>
        <v/>
      </c>
      <c r="N501" s="146">
        <f>IF(K501="Matched","No action needed",IF(L501="Missing from bank","Check bank date or posting",IF(L501="Amount variance","Check invoice/payment amount","Check timing difference")))</f>
        <v/>
      </c>
      <c r="O501" s="140" t="inlineStr">
        <is>
          <t>1200 AR</t>
        </is>
      </c>
      <c r="P501" s="140" t="inlineStr">
        <is>
          <t>AR Clerk</t>
        </is>
      </c>
      <c r="Q501" s="140" t="inlineStr">
        <is>
          <t>No</t>
        </is>
      </c>
      <c r="R501" s="147" t="str"/>
      <c r="S501" s="148">
        <f>IF(K501="Matched",0,Mapping_Rules!$B$6-B501)</f>
        <v/>
      </c>
    </row>
    <row r="502">
      <c r="A502" s="115" t="inlineStr">
        <is>
          <t>ERP-00499</t>
        </is>
      </c>
      <c r="B502" s="125" t="n">
        <v>46043</v>
      </c>
      <c r="C502" s="115" t="inlineStr">
        <is>
          <t>GL</t>
        </is>
      </c>
      <c r="D502" s="115" t="inlineStr">
        <is>
          <t>North Shore Telecom</t>
        </is>
      </c>
      <c r="E502" s="115" t="inlineStr">
        <is>
          <t>REF-100499</t>
        </is>
      </c>
      <c r="F502" s="126" t="n">
        <v>-3792</v>
      </c>
      <c r="G502" s="134">
        <f>IFERROR(XLOOKUP(E502,Bank_Statement!$D$4:$D$448,Bank_Statement!$G$4:$G$448,""),"")</f>
        <v/>
      </c>
      <c r="H502" s="126">
        <f>IF(G502="","",F502-G502)</f>
        <v/>
      </c>
      <c r="I502" s="135">
        <f>IFERROR(XLOOKUP(E502,Bank_Statement!$D$4:$D$448,Bank_Statement!$B$4:$B$448,""),"")</f>
        <v/>
      </c>
      <c r="J502" s="136">
        <f>IF(I502="","",ABS(B502-I502))</f>
        <v/>
      </c>
      <c r="K502" s="137">
        <f>IF(G502="","Unmatched ERP",IF(AND(ABS(H502)&lt;=Mapping_Rules!$B$4,ABS(J502)&lt;=Mapping_Rules!$B$5),"Matched","Review"))</f>
        <v/>
      </c>
      <c r="L502" s="137">
        <f>IF(K502="Matched","None",IF(G502="","Missing from bank",IF(ABS(H502)&gt;Mapping_Rules!$B$4,"Amount variance","Date variance")))</f>
        <v/>
      </c>
      <c r="M502" s="137">
        <f>IF(K502="Matched","Low",IF(OR(IFERROR(ABS(H502),0)&gt;Mapping_Rules!$B$7,IFERROR(J502,0)&gt;Mapping_Rules!$B$8),"High","Medium"))</f>
        <v/>
      </c>
      <c r="N502" s="137">
        <f>IF(K502="Matched","No action needed",IF(L502="Missing from bank","Check bank date or posting",IF(L502="Amount variance","Check invoice/payment amount","Check timing difference")))</f>
        <v/>
      </c>
      <c r="O502" s="115" t="inlineStr">
        <is>
          <t>1200 AR</t>
        </is>
      </c>
      <c r="P502" s="115" t="inlineStr">
        <is>
          <t>Accounting Technician</t>
        </is>
      </c>
      <c r="Q502" s="115" t="inlineStr">
        <is>
          <t>No</t>
        </is>
      </c>
      <c r="R502" s="138" t="str"/>
      <c r="S502" s="139">
        <f>IF(K502="Matched",0,Mapping_Rules!$B$6-B502)</f>
        <v/>
      </c>
    </row>
    <row r="503">
      <c r="A503" s="140" t="inlineStr">
        <is>
          <t>ERP-00500</t>
        </is>
      </c>
      <c r="B503" s="141" t="n">
        <v>46032</v>
      </c>
      <c r="C503" s="140" t="inlineStr">
        <is>
          <t>GL</t>
        </is>
      </c>
      <c r="D503" s="140" t="inlineStr">
        <is>
          <t>Maple Retail Group</t>
        </is>
      </c>
      <c r="E503" s="140" t="inlineStr">
        <is>
          <t>REF-100500</t>
        </is>
      </c>
      <c r="F503" s="142" t="n">
        <v>-1938</v>
      </c>
      <c r="G503" s="143">
        <f>IFERROR(XLOOKUP(E503,Bank_Statement!$D$4:$D$448,Bank_Statement!$G$4:$G$448,""),"")</f>
        <v/>
      </c>
      <c r="H503" s="142">
        <f>IF(G503="","",F503-G503)</f>
        <v/>
      </c>
      <c r="I503" s="144">
        <f>IFERROR(XLOOKUP(E503,Bank_Statement!$D$4:$D$448,Bank_Statement!$B$4:$B$448,""),"")</f>
        <v/>
      </c>
      <c r="J503" s="145">
        <f>IF(I503="","",ABS(B503-I503))</f>
        <v/>
      </c>
      <c r="K503" s="146">
        <f>IF(G503="","Unmatched ERP",IF(AND(ABS(H503)&lt;=Mapping_Rules!$B$4,ABS(J503)&lt;=Mapping_Rules!$B$5),"Matched","Review"))</f>
        <v/>
      </c>
      <c r="L503" s="146">
        <f>IF(K503="Matched","None",IF(G503="","Missing from bank",IF(ABS(H503)&gt;Mapping_Rules!$B$4,"Amount variance","Date variance")))</f>
        <v/>
      </c>
      <c r="M503" s="146">
        <f>IF(K503="Matched","Low",IF(OR(IFERROR(ABS(H503),0)&gt;Mapping_Rules!$B$7,IFERROR(J503,0)&gt;Mapping_Rules!$B$8),"High","Medium"))</f>
        <v/>
      </c>
      <c r="N503" s="146">
        <f>IF(K503="Matched","No action needed",IF(L503="Missing from bank","Check bank date or posting",IF(L503="Amount variance","Check invoice/payment amount","Check timing difference")))</f>
        <v/>
      </c>
      <c r="O503" s="140" t="inlineStr">
        <is>
          <t>1010 Cash</t>
        </is>
      </c>
      <c r="P503" s="140" t="inlineStr">
        <is>
          <t>Accounting Technician</t>
        </is>
      </c>
      <c r="Q503" s="140" t="inlineStr">
        <is>
          <t>No</t>
        </is>
      </c>
      <c r="R503" s="147" t="str"/>
      <c r="S503" s="148">
        <f>IF(K503="Matched",0,Mapping_Rules!$B$6-B503)</f>
        <v/>
      </c>
    </row>
  </sheetData>
  <mergeCells count="1">
    <mergeCell ref="A1:S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4AC0D"/>
    <outlinePr summaryBelow="1" summaryRight="1"/>
    <pageSetUpPr/>
  </sheetPr>
  <dimension ref="A1:N2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25" customWidth="1" min="3" max="3"/>
    <col width="21" customWidth="1" min="4" max="4"/>
    <col width="21" customWidth="1" min="5" max="5"/>
    <col width="17" customWidth="1" min="6" max="6"/>
    <col width="13" customWidth="1" min="7" max="7"/>
    <col width="13" customWidth="1" min="8" max="8"/>
    <col width="28" customWidth="1" min="9" max="9"/>
    <col width="28" customWidth="1" min="10" max="10"/>
    <col width="23" customWidth="1" min="11" max="11"/>
    <col width="16" customWidth="1" min="12" max="12"/>
    <col width="28" customWidth="1" min="13" max="13"/>
    <col width="28" customWidth="1" min="14" max="14"/>
  </cols>
  <sheetData>
    <row r="1" ht="24" customHeight="1">
      <c r="A1" s="149" t="inlineStr">
        <is>
          <t>Open AP/AR Invoices and Aging</t>
        </is>
      </c>
      <c r="B1" s="150" t="n"/>
      <c r="C1" s="150" t="n"/>
      <c r="D1" s="150" t="n"/>
      <c r="E1" s="150" t="n"/>
      <c r="F1" s="150" t="n"/>
      <c r="G1" s="150" t="n"/>
      <c r="H1" s="150" t="n"/>
      <c r="I1" s="150" t="n"/>
      <c r="J1" s="150" t="n"/>
      <c r="K1" s="150" t="n"/>
      <c r="L1" s="150" t="n"/>
      <c r="M1" s="150" t="n"/>
      <c r="N1" s="150" t="n"/>
    </row>
    <row r="2" ht="22" customHeight="1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</row>
    <row r="3" ht="22" customHeight="1">
      <c r="A3" s="152" t="inlineStr">
        <is>
          <t>Invoice_ID</t>
        </is>
      </c>
      <c r="B3" s="152" t="inlineStr">
        <is>
          <t>Type</t>
        </is>
      </c>
      <c r="C3" s="152" t="inlineStr">
        <is>
          <t>Customer_Vendor</t>
        </is>
      </c>
      <c r="D3" s="152" t="inlineStr">
        <is>
          <t>Invoice_Date</t>
        </is>
      </c>
      <c r="E3" s="152" t="inlineStr">
        <is>
          <t>Due_Date</t>
        </is>
      </c>
      <c r="F3" s="152" t="inlineStr">
        <is>
          <t>Original_Amount</t>
        </is>
      </c>
      <c r="G3" s="152" t="inlineStr">
        <is>
          <t>Paid_Amount</t>
        </is>
      </c>
      <c r="H3" s="152" t="inlineStr">
        <is>
          <t>Open_Amount</t>
        </is>
      </c>
      <c r="I3" s="152" t="inlineStr">
        <is>
          <t>Days_Overdue</t>
        </is>
      </c>
      <c r="J3" s="152" t="inlineStr">
        <is>
          <t>Aging_Bucket</t>
        </is>
      </c>
      <c r="K3" s="152" t="inlineStr">
        <is>
          <t>Owner</t>
        </is>
      </c>
      <c r="L3" s="152" t="inlineStr">
        <is>
          <t>Status</t>
        </is>
      </c>
      <c r="M3" s="152" t="inlineStr">
        <is>
          <t>Risk_Level</t>
        </is>
      </c>
      <c r="N3" s="152" t="inlineStr">
        <is>
          <t>Next_Action</t>
        </is>
      </c>
    </row>
    <row r="4">
      <c r="A4" s="115" t="inlineStr">
        <is>
          <t>INV-00001</t>
        </is>
      </c>
      <c r="B4" s="115" t="inlineStr">
        <is>
          <t>AP</t>
        </is>
      </c>
      <c r="C4" s="115" t="inlineStr">
        <is>
          <t>Amazon Business</t>
        </is>
      </c>
      <c r="D4" s="125" t="n">
        <v>46031</v>
      </c>
      <c r="E4" s="125" t="n">
        <v>46091</v>
      </c>
      <c r="F4" s="126" t="n">
        <v>9860.540000000001</v>
      </c>
      <c r="G4" s="126" t="n">
        <v>0</v>
      </c>
      <c r="H4" s="126">
        <f>F4-G4</f>
        <v/>
      </c>
      <c r="I4" s="136">
        <f>MAX(0,Mapping_Rules!$B$6-E4)</f>
        <v/>
      </c>
      <c r="J4" s="137">
        <f>IF(I4=0,"Current",IF(I4&lt;=30,"1-30",IF(I4&lt;=60,"31-60",IF(I4&lt;=90,"61-90","90+"))))</f>
        <v/>
      </c>
      <c r="K4" s="115" t="inlineStr">
        <is>
          <t>Finance Analyst</t>
        </is>
      </c>
      <c r="L4" s="115" t="inlineStr">
        <is>
          <t>Open</t>
        </is>
      </c>
      <c r="M4" s="137">
        <f>IF(L4="Closed","Closed",IF(OR(H4&gt;=Mapping_Rules!$B$7,I4&gt;=Mapping_Rules!$B$8),"High Risk",IF(I4&gt;30,"Monitor","Normal")))</f>
        <v/>
      </c>
      <c r="N4" s="137">
        <f>IF(M4="Closed","No action",IF(M4="High Risk","Call customer/vendor and escalate",IF(M4="Monitor","Send follow-up email","Keep monitoring")))</f>
        <v/>
      </c>
    </row>
    <row r="5">
      <c r="A5" s="153" t="inlineStr">
        <is>
          <t>INV-00002</t>
        </is>
      </c>
      <c r="B5" s="153" t="inlineStr">
        <is>
          <t>AR</t>
        </is>
      </c>
      <c r="C5" s="153" t="inlineStr">
        <is>
          <t>West Van Fitness</t>
        </is>
      </c>
      <c r="D5" s="154" t="n">
        <v>45999</v>
      </c>
      <c r="E5" s="154" t="n">
        <v>46029</v>
      </c>
      <c r="F5" s="155" t="n">
        <v>7050.81</v>
      </c>
      <c r="G5" s="155" t="n">
        <v>2876.1</v>
      </c>
      <c r="H5" s="155">
        <f>F5-G5</f>
        <v/>
      </c>
      <c r="I5" s="156">
        <f>MAX(0,Mapping_Rules!$B$6-E5)</f>
        <v/>
      </c>
      <c r="J5" s="157">
        <f>IF(I5=0,"Current",IF(I5&lt;=30,"1-30",IF(I5&lt;=60,"31-60",IF(I5&lt;=90,"61-90","90+"))))</f>
        <v/>
      </c>
      <c r="K5" s="153" t="inlineStr">
        <is>
          <t>AP Clerk</t>
        </is>
      </c>
      <c r="L5" s="153" t="inlineStr">
        <is>
          <t>Part Paid</t>
        </is>
      </c>
      <c r="M5" s="157">
        <f>IF(L5="Closed","Closed",IF(OR(H5&gt;=Mapping_Rules!$B$7,I5&gt;=Mapping_Rules!$B$8),"High Risk",IF(I5&gt;30,"Monitor","Normal")))</f>
        <v/>
      </c>
      <c r="N5" s="157">
        <f>IF(M5="Closed","No action",IF(M5="High Risk","Call customer/vendor and escalate",IF(M5="Monitor","Send follow-up email","Keep monitoring")))</f>
        <v/>
      </c>
    </row>
    <row r="6">
      <c r="A6" s="115" t="inlineStr">
        <is>
          <t>INV-00003</t>
        </is>
      </c>
      <c r="B6" s="115" t="inlineStr">
        <is>
          <t>AR</t>
        </is>
      </c>
      <c r="C6" s="115" t="inlineStr">
        <is>
          <t>West Van Fitness</t>
        </is>
      </c>
      <c r="D6" s="125" t="n">
        <v>46049</v>
      </c>
      <c r="E6" s="125" t="n">
        <v>46079</v>
      </c>
      <c r="F6" s="126" t="n">
        <v>11394.51</v>
      </c>
      <c r="G6" s="126" t="n">
        <v>0</v>
      </c>
      <c r="H6" s="126">
        <f>F6-G6</f>
        <v/>
      </c>
      <c r="I6" s="136">
        <f>MAX(0,Mapping_Rules!$B$6-E6)</f>
        <v/>
      </c>
      <c r="J6" s="137">
        <f>IF(I6=0,"Current",IF(I6&lt;=30,"1-30",IF(I6&lt;=60,"31-60",IF(I6&lt;=90,"61-90","90+"))))</f>
        <v/>
      </c>
      <c r="K6" s="115" t="inlineStr">
        <is>
          <t>AR Clerk</t>
        </is>
      </c>
      <c r="L6" s="115" t="inlineStr">
        <is>
          <t>Open</t>
        </is>
      </c>
      <c r="M6" s="137">
        <f>IF(L6="Closed","Closed",IF(OR(H6&gt;=Mapping_Rules!$B$7,I6&gt;=Mapping_Rules!$B$8),"High Risk",IF(I6&gt;30,"Monitor","Normal")))</f>
        <v/>
      </c>
      <c r="N6" s="137">
        <f>IF(M6="Closed","No action",IF(M6="High Risk","Call customer/vendor and escalate",IF(M6="Monitor","Send follow-up email","Keep monitoring")))</f>
        <v/>
      </c>
    </row>
    <row r="7">
      <c r="A7" s="153" t="inlineStr">
        <is>
          <t>INV-00004</t>
        </is>
      </c>
      <c r="B7" s="153" t="inlineStr">
        <is>
          <t>AR</t>
        </is>
      </c>
      <c r="C7" s="153" t="inlineStr">
        <is>
          <t>West Van Fitness</t>
        </is>
      </c>
      <c r="D7" s="154" t="n">
        <v>46034</v>
      </c>
      <c r="E7" s="154" t="n">
        <v>46064</v>
      </c>
      <c r="F7" s="155" t="n">
        <v>11078.41</v>
      </c>
      <c r="G7" s="155" t="n">
        <v>0</v>
      </c>
      <c r="H7" s="155">
        <f>F7-G7</f>
        <v/>
      </c>
      <c r="I7" s="156">
        <f>MAX(0,Mapping_Rules!$B$6-E7)</f>
        <v/>
      </c>
      <c r="J7" s="157">
        <f>IF(I7=0,"Current",IF(I7&lt;=30,"1-30",IF(I7&lt;=60,"31-60",IF(I7&lt;=90,"61-90","90+"))))</f>
        <v/>
      </c>
      <c r="K7" s="153" t="inlineStr">
        <is>
          <t>Accounting Technician</t>
        </is>
      </c>
      <c r="L7" s="153" t="inlineStr">
        <is>
          <t>Open</t>
        </is>
      </c>
      <c r="M7" s="157">
        <f>IF(L7="Closed","Closed",IF(OR(H7&gt;=Mapping_Rules!$B$7,I7&gt;=Mapping_Rules!$B$8),"High Risk",IF(I7&gt;30,"Monitor","Normal")))</f>
        <v/>
      </c>
      <c r="N7" s="157">
        <f>IF(M7="Closed","No action",IF(M7="High Risk","Call customer/vendor and escalate",IF(M7="Monitor","Send follow-up email","Keep monitoring")))</f>
        <v/>
      </c>
    </row>
    <row r="8">
      <c r="A8" s="115" t="inlineStr">
        <is>
          <t>INV-00005</t>
        </is>
      </c>
      <c r="B8" s="115" t="inlineStr">
        <is>
          <t>AR</t>
        </is>
      </c>
      <c r="C8" s="115" t="inlineStr">
        <is>
          <t>Coastline Foods</t>
        </is>
      </c>
      <c r="D8" s="125" t="n">
        <v>46024</v>
      </c>
      <c r="E8" s="125" t="n">
        <v>46054</v>
      </c>
      <c r="F8" s="126" t="n">
        <v>1083.49</v>
      </c>
      <c r="G8" s="126" t="n">
        <v>0</v>
      </c>
      <c r="H8" s="126">
        <f>F8-G8</f>
        <v/>
      </c>
      <c r="I8" s="136">
        <f>MAX(0,Mapping_Rules!$B$6-E8)</f>
        <v/>
      </c>
      <c r="J8" s="137">
        <f>IF(I8=0,"Current",IF(I8&lt;=30,"1-30",IF(I8&lt;=60,"31-60",IF(I8&lt;=90,"61-90","90+"))))</f>
        <v/>
      </c>
      <c r="K8" s="115" t="inlineStr">
        <is>
          <t>AP Clerk</t>
        </is>
      </c>
      <c r="L8" s="115" t="inlineStr">
        <is>
          <t>Open</t>
        </is>
      </c>
      <c r="M8" s="137">
        <f>IF(L8="Closed","Closed",IF(OR(H8&gt;=Mapping_Rules!$B$7,I8&gt;=Mapping_Rules!$B$8),"High Risk",IF(I8&gt;30,"Monitor","Normal")))</f>
        <v/>
      </c>
      <c r="N8" s="137">
        <f>IF(M8="Closed","No action",IF(M8="High Risk","Call customer/vendor and escalate",IF(M8="Monitor","Send follow-up email","Keep monitoring")))</f>
        <v/>
      </c>
    </row>
    <row r="9">
      <c r="A9" s="153" t="inlineStr">
        <is>
          <t>INV-00006</t>
        </is>
      </c>
      <c r="B9" s="153" t="inlineStr">
        <is>
          <t>AR</t>
        </is>
      </c>
      <c r="C9" s="153" t="inlineStr">
        <is>
          <t>West Van Fitness</t>
        </is>
      </c>
      <c r="D9" s="154" t="n">
        <v>46008</v>
      </c>
      <c r="E9" s="154" t="n">
        <v>46068</v>
      </c>
      <c r="F9" s="155" t="n">
        <v>7124.66</v>
      </c>
      <c r="G9" s="155" t="n">
        <v>0</v>
      </c>
      <c r="H9" s="155">
        <f>F9-G9</f>
        <v/>
      </c>
      <c r="I9" s="156">
        <f>MAX(0,Mapping_Rules!$B$6-E9)</f>
        <v/>
      </c>
      <c r="J9" s="157">
        <f>IF(I9=0,"Current",IF(I9&lt;=30,"1-30",IF(I9&lt;=60,"31-60",IF(I9&lt;=90,"61-90","90+"))))</f>
        <v/>
      </c>
      <c r="K9" s="153" t="inlineStr">
        <is>
          <t>AP Clerk</t>
        </is>
      </c>
      <c r="L9" s="153" t="inlineStr">
        <is>
          <t>Open</t>
        </is>
      </c>
      <c r="M9" s="157">
        <f>IF(L9="Closed","Closed",IF(OR(H9&gt;=Mapping_Rules!$B$7,I9&gt;=Mapping_Rules!$B$8),"High Risk",IF(I9&gt;30,"Monitor","Normal")))</f>
        <v/>
      </c>
      <c r="N9" s="157">
        <f>IF(M9="Closed","No action",IF(M9="High Risk","Call customer/vendor and escalate",IF(M9="Monitor","Send follow-up email","Keep monitoring")))</f>
        <v/>
      </c>
    </row>
    <row r="10">
      <c r="A10" s="115" t="inlineStr">
        <is>
          <t>INV-00007</t>
        </is>
      </c>
      <c r="B10" s="115" t="inlineStr">
        <is>
          <t>AR</t>
        </is>
      </c>
      <c r="C10" s="115" t="inlineStr">
        <is>
          <t>Harbour Design Co.</t>
        </is>
      </c>
      <c r="D10" s="125" t="n">
        <v>46003</v>
      </c>
      <c r="E10" s="125" t="n">
        <v>46018</v>
      </c>
      <c r="F10" s="126" t="n">
        <v>10600.48</v>
      </c>
      <c r="G10" s="126" t="n">
        <v>7306.6</v>
      </c>
      <c r="H10" s="126">
        <f>F10-G10</f>
        <v/>
      </c>
      <c r="I10" s="136">
        <f>MAX(0,Mapping_Rules!$B$6-E10)</f>
        <v/>
      </c>
      <c r="J10" s="137">
        <f>IF(I10=0,"Current",IF(I10&lt;=30,"1-30",IF(I10&lt;=60,"31-60",IF(I10&lt;=90,"61-90","90+"))))</f>
        <v/>
      </c>
      <c r="K10" s="115" t="inlineStr">
        <is>
          <t>Accounting Technician</t>
        </is>
      </c>
      <c r="L10" s="115" t="inlineStr">
        <is>
          <t>Part Paid</t>
        </is>
      </c>
      <c r="M10" s="137">
        <f>IF(L10="Closed","Closed",IF(OR(H10&gt;=Mapping_Rules!$B$7,I10&gt;=Mapping_Rules!$B$8),"High Risk",IF(I10&gt;30,"Monitor","Normal")))</f>
        <v/>
      </c>
      <c r="N10" s="137">
        <f>IF(M10="Closed","No action",IF(M10="High Risk","Call customer/vendor and escalate",IF(M10="Monitor","Send follow-up email","Keep monitoring")))</f>
        <v/>
      </c>
    </row>
    <row r="11">
      <c r="A11" s="153" t="inlineStr">
        <is>
          <t>INV-00008</t>
        </is>
      </c>
      <c r="B11" s="153" t="inlineStr">
        <is>
          <t>AR</t>
        </is>
      </c>
      <c r="C11" s="153" t="inlineStr">
        <is>
          <t>Granville Medical</t>
        </is>
      </c>
      <c r="D11" s="154" t="n">
        <v>46045</v>
      </c>
      <c r="E11" s="154" t="n">
        <v>46105</v>
      </c>
      <c r="F11" s="155" t="n">
        <v>5574.66</v>
      </c>
      <c r="G11" s="155" t="n">
        <v>3863.55</v>
      </c>
      <c r="H11" s="155">
        <f>F11-G11</f>
        <v/>
      </c>
      <c r="I11" s="156">
        <f>MAX(0,Mapping_Rules!$B$6-E11)</f>
        <v/>
      </c>
      <c r="J11" s="157">
        <f>IF(I11=0,"Current",IF(I11&lt;=30,"1-30",IF(I11&lt;=60,"31-60",IF(I11&lt;=90,"61-90","90+"))))</f>
        <v/>
      </c>
      <c r="K11" s="153" t="inlineStr">
        <is>
          <t>Accounting Technician</t>
        </is>
      </c>
      <c r="L11" s="153" t="inlineStr">
        <is>
          <t>Part Paid</t>
        </is>
      </c>
      <c r="M11" s="157">
        <f>IF(L11="Closed","Closed",IF(OR(H11&gt;=Mapping_Rules!$B$7,I11&gt;=Mapping_Rules!$B$8),"High Risk",IF(I11&gt;30,"Monitor","Normal")))</f>
        <v/>
      </c>
      <c r="N11" s="157">
        <f>IF(M11="Closed","No action",IF(M11="High Risk","Call customer/vendor and escalate",IF(M11="Monitor","Send follow-up email","Keep monitoring")))</f>
        <v/>
      </c>
    </row>
    <row r="12">
      <c r="A12" s="115" t="inlineStr">
        <is>
          <t>INV-00009</t>
        </is>
      </c>
      <c r="B12" s="115" t="inlineStr">
        <is>
          <t>AP</t>
        </is>
      </c>
      <c r="C12" s="115" t="inlineStr">
        <is>
          <t>North Shore Telecom</t>
        </is>
      </c>
      <c r="D12" s="125" t="n">
        <v>46028</v>
      </c>
      <c r="E12" s="125" t="n">
        <v>46088</v>
      </c>
      <c r="F12" s="126" t="n">
        <v>5390.54</v>
      </c>
      <c r="G12" s="126" t="n">
        <v>0</v>
      </c>
      <c r="H12" s="126">
        <f>F12-G12</f>
        <v/>
      </c>
      <c r="I12" s="136">
        <f>MAX(0,Mapping_Rules!$B$6-E12)</f>
        <v/>
      </c>
      <c r="J12" s="137">
        <f>IF(I12=0,"Current",IF(I12&lt;=30,"1-30",IF(I12&lt;=60,"31-60",IF(I12&lt;=90,"61-90","90+"))))</f>
        <v/>
      </c>
      <c r="K12" s="115" t="inlineStr">
        <is>
          <t>Finance Analyst</t>
        </is>
      </c>
      <c r="L12" s="115" t="inlineStr">
        <is>
          <t>Promise to Pay</t>
        </is>
      </c>
      <c r="M12" s="137">
        <f>IF(L12="Closed","Closed",IF(OR(H12&gt;=Mapping_Rules!$B$7,I12&gt;=Mapping_Rules!$B$8),"High Risk",IF(I12&gt;30,"Monitor","Normal")))</f>
        <v/>
      </c>
      <c r="N12" s="137">
        <f>IF(M12="Closed","No action",IF(M12="High Risk","Call customer/vendor and escalate",IF(M12="Monitor","Send follow-up email","Keep monitoring")))</f>
        <v/>
      </c>
    </row>
    <row r="13">
      <c r="A13" s="153" t="inlineStr">
        <is>
          <t>INV-00010</t>
        </is>
      </c>
      <c r="B13" s="153" t="inlineStr">
        <is>
          <t>AP</t>
        </is>
      </c>
      <c r="C13" s="153" t="inlineStr">
        <is>
          <t>Amazon Business</t>
        </is>
      </c>
      <c r="D13" s="154" t="n">
        <v>45962</v>
      </c>
      <c r="E13" s="154" t="n">
        <v>45992</v>
      </c>
      <c r="F13" s="155" t="n">
        <v>6682.5</v>
      </c>
      <c r="G13" s="155" t="n">
        <v>0</v>
      </c>
      <c r="H13" s="155">
        <f>F13-G13</f>
        <v/>
      </c>
      <c r="I13" s="156">
        <f>MAX(0,Mapping_Rules!$B$6-E13)</f>
        <v/>
      </c>
      <c r="J13" s="157">
        <f>IF(I13=0,"Current",IF(I13&lt;=30,"1-30",IF(I13&lt;=60,"31-60",IF(I13&lt;=90,"61-90","90+"))))</f>
        <v/>
      </c>
      <c r="K13" s="153" t="inlineStr">
        <is>
          <t>Accounting Technician</t>
        </is>
      </c>
      <c r="L13" s="153" t="inlineStr">
        <is>
          <t>Open</t>
        </is>
      </c>
      <c r="M13" s="157">
        <f>IF(L13="Closed","Closed",IF(OR(H13&gt;=Mapping_Rules!$B$7,I13&gt;=Mapping_Rules!$B$8),"High Risk",IF(I13&gt;30,"Monitor","Normal")))</f>
        <v/>
      </c>
      <c r="N13" s="157">
        <f>IF(M13="Closed","No action",IF(M13="High Risk","Call customer/vendor and escalate",IF(M13="Monitor","Send follow-up email","Keep monitoring")))</f>
        <v/>
      </c>
    </row>
    <row r="14">
      <c r="A14" s="115" t="inlineStr">
        <is>
          <t>INV-00011</t>
        </is>
      </c>
      <c r="B14" s="115" t="inlineStr">
        <is>
          <t>AR</t>
        </is>
      </c>
      <c r="C14" s="115" t="inlineStr">
        <is>
          <t>Coastline Foods</t>
        </is>
      </c>
      <c r="D14" s="125" t="n">
        <v>45985</v>
      </c>
      <c r="E14" s="125" t="n">
        <v>46015</v>
      </c>
      <c r="F14" s="126" t="n">
        <v>5529.01</v>
      </c>
      <c r="G14" s="126" t="n">
        <v>0</v>
      </c>
      <c r="H14" s="126">
        <f>F14-G14</f>
        <v/>
      </c>
      <c r="I14" s="136">
        <f>MAX(0,Mapping_Rules!$B$6-E14)</f>
        <v/>
      </c>
      <c r="J14" s="137">
        <f>IF(I14=0,"Current",IF(I14&lt;=30,"1-30",IF(I14&lt;=60,"31-60",IF(I14&lt;=90,"61-90","90+"))))</f>
        <v/>
      </c>
      <c r="K14" s="115" t="inlineStr">
        <is>
          <t>AP Clerk</t>
        </is>
      </c>
      <c r="L14" s="115" t="inlineStr">
        <is>
          <t>Disputed</t>
        </is>
      </c>
      <c r="M14" s="137">
        <f>IF(L14="Closed","Closed",IF(OR(H14&gt;=Mapping_Rules!$B$7,I14&gt;=Mapping_Rules!$B$8),"High Risk",IF(I14&gt;30,"Monitor","Normal")))</f>
        <v/>
      </c>
      <c r="N14" s="137">
        <f>IF(M14="Closed","No action",IF(M14="High Risk","Call customer/vendor and escalate",IF(M14="Monitor","Send follow-up email","Keep monitoring")))</f>
        <v/>
      </c>
    </row>
    <row r="15">
      <c r="A15" s="153" t="inlineStr">
        <is>
          <t>INV-00012</t>
        </is>
      </c>
      <c r="B15" s="153" t="inlineStr">
        <is>
          <t>AR</t>
        </is>
      </c>
      <c r="C15" s="153" t="inlineStr">
        <is>
          <t>Granville Medical</t>
        </is>
      </c>
      <c r="D15" s="154" t="n">
        <v>46004</v>
      </c>
      <c r="E15" s="154" t="n">
        <v>46019</v>
      </c>
      <c r="F15" s="155" t="n">
        <v>7300.52</v>
      </c>
      <c r="G15" s="155" t="n">
        <v>0</v>
      </c>
      <c r="H15" s="155">
        <f>F15-G15</f>
        <v/>
      </c>
      <c r="I15" s="156">
        <f>MAX(0,Mapping_Rules!$B$6-E15)</f>
        <v/>
      </c>
      <c r="J15" s="157">
        <f>IF(I15=0,"Current",IF(I15&lt;=30,"1-30",IF(I15&lt;=60,"31-60",IF(I15&lt;=90,"61-90","90+"))))</f>
        <v/>
      </c>
      <c r="K15" s="153" t="inlineStr">
        <is>
          <t>AR Clerk</t>
        </is>
      </c>
      <c r="L15" s="153" t="inlineStr">
        <is>
          <t>Open</t>
        </is>
      </c>
      <c r="M15" s="157">
        <f>IF(L15="Closed","Closed",IF(OR(H15&gt;=Mapping_Rules!$B$7,I15&gt;=Mapping_Rules!$B$8),"High Risk",IF(I15&gt;30,"Monitor","Normal")))</f>
        <v/>
      </c>
      <c r="N15" s="157">
        <f>IF(M15="Closed","No action",IF(M15="High Risk","Call customer/vendor and escalate",IF(M15="Monitor","Send follow-up email","Keep monitoring")))</f>
        <v/>
      </c>
    </row>
    <row r="16">
      <c r="A16" s="115" t="inlineStr">
        <is>
          <t>INV-00013</t>
        </is>
      </c>
      <c r="B16" s="115" t="inlineStr">
        <is>
          <t>AR</t>
        </is>
      </c>
      <c r="C16" s="115" t="inlineStr">
        <is>
          <t>Harbour Design Co.</t>
        </is>
      </c>
      <c r="D16" s="125" t="n">
        <v>46014</v>
      </c>
      <c r="E16" s="125" t="n">
        <v>46029</v>
      </c>
      <c r="F16" s="126" t="n">
        <v>3768.5</v>
      </c>
      <c r="G16" s="126" t="n">
        <v>0</v>
      </c>
      <c r="H16" s="126">
        <f>F16-G16</f>
        <v/>
      </c>
      <c r="I16" s="136">
        <f>MAX(0,Mapping_Rules!$B$6-E16)</f>
        <v/>
      </c>
      <c r="J16" s="137">
        <f>IF(I16=0,"Current",IF(I16&lt;=30,"1-30",IF(I16&lt;=60,"31-60",IF(I16&lt;=90,"61-90","90+"))))</f>
        <v/>
      </c>
      <c r="K16" s="115" t="inlineStr">
        <is>
          <t>AR Clerk</t>
        </is>
      </c>
      <c r="L16" s="115" t="inlineStr">
        <is>
          <t>Open</t>
        </is>
      </c>
      <c r="M16" s="137">
        <f>IF(L16="Closed","Closed",IF(OR(H16&gt;=Mapping_Rules!$B$7,I16&gt;=Mapping_Rules!$B$8),"High Risk",IF(I16&gt;30,"Monitor","Normal")))</f>
        <v/>
      </c>
      <c r="N16" s="137">
        <f>IF(M16="Closed","No action",IF(M16="High Risk","Call customer/vendor and escalate",IF(M16="Monitor","Send follow-up email","Keep monitoring")))</f>
        <v/>
      </c>
    </row>
    <row r="17">
      <c r="A17" s="153" t="inlineStr">
        <is>
          <t>INV-00014</t>
        </is>
      </c>
      <c r="B17" s="153" t="inlineStr">
        <is>
          <t>AR</t>
        </is>
      </c>
      <c r="C17" s="153" t="inlineStr">
        <is>
          <t>Harbour Design Co.</t>
        </is>
      </c>
      <c r="D17" s="154" t="n">
        <v>46027</v>
      </c>
      <c r="E17" s="154" t="n">
        <v>46042</v>
      </c>
      <c r="F17" s="155" t="n">
        <v>13378.35</v>
      </c>
      <c r="G17" s="155" t="n">
        <v>0</v>
      </c>
      <c r="H17" s="155">
        <f>F17-G17</f>
        <v/>
      </c>
      <c r="I17" s="156">
        <f>MAX(0,Mapping_Rules!$B$6-E17)</f>
        <v/>
      </c>
      <c r="J17" s="157">
        <f>IF(I17=0,"Current",IF(I17&lt;=30,"1-30",IF(I17&lt;=60,"31-60",IF(I17&lt;=90,"61-90","90+"))))</f>
        <v/>
      </c>
      <c r="K17" s="153" t="inlineStr">
        <is>
          <t>AR Clerk</t>
        </is>
      </c>
      <c r="L17" s="153" t="inlineStr">
        <is>
          <t>Open</t>
        </is>
      </c>
      <c r="M17" s="157">
        <f>IF(L17="Closed","Closed",IF(OR(H17&gt;=Mapping_Rules!$B$7,I17&gt;=Mapping_Rules!$B$8),"High Risk",IF(I17&gt;30,"Monitor","Normal")))</f>
        <v/>
      </c>
      <c r="N17" s="157">
        <f>IF(M17="Closed","No action",IF(M17="High Risk","Call customer/vendor and escalate",IF(M17="Monitor","Send follow-up email","Keep monitoring")))</f>
        <v/>
      </c>
    </row>
    <row r="18">
      <c r="A18" s="115" t="inlineStr">
        <is>
          <t>INV-00015</t>
        </is>
      </c>
      <c r="B18" s="115" t="inlineStr">
        <is>
          <t>AP</t>
        </is>
      </c>
      <c r="C18" s="115" t="inlineStr">
        <is>
          <t>North Shore Telecom</t>
        </is>
      </c>
      <c r="D18" s="125" t="n">
        <v>46028</v>
      </c>
      <c r="E18" s="125" t="n">
        <v>46088</v>
      </c>
      <c r="F18" s="126" t="n">
        <v>9050.459999999999</v>
      </c>
      <c r="G18" s="126" t="n">
        <v>1467.11</v>
      </c>
      <c r="H18" s="126">
        <f>F18-G18</f>
        <v/>
      </c>
      <c r="I18" s="136">
        <f>MAX(0,Mapping_Rules!$B$6-E18)</f>
        <v/>
      </c>
      <c r="J18" s="137">
        <f>IF(I18=0,"Current",IF(I18&lt;=30,"1-30",IF(I18&lt;=60,"31-60",IF(I18&lt;=90,"61-90","90+"))))</f>
        <v/>
      </c>
      <c r="K18" s="115" t="inlineStr">
        <is>
          <t>Accounting Technician</t>
        </is>
      </c>
      <c r="L18" s="115" t="inlineStr">
        <is>
          <t>Part Paid</t>
        </is>
      </c>
      <c r="M18" s="137">
        <f>IF(L18="Closed","Closed",IF(OR(H18&gt;=Mapping_Rules!$B$7,I18&gt;=Mapping_Rules!$B$8),"High Risk",IF(I18&gt;30,"Monitor","Normal")))</f>
        <v/>
      </c>
      <c r="N18" s="137">
        <f>IF(M18="Closed","No action",IF(M18="High Risk","Call customer/vendor and escalate",IF(M18="Monitor","Send follow-up email","Keep monitoring")))</f>
        <v/>
      </c>
    </row>
    <row r="19">
      <c r="A19" s="153" t="inlineStr">
        <is>
          <t>INV-00016</t>
        </is>
      </c>
      <c r="B19" s="153" t="inlineStr">
        <is>
          <t>AR</t>
        </is>
      </c>
      <c r="C19" s="153" t="inlineStr">
        <is>
          <t>Coastline Foods</t>
        </is>
      </c>
      <c r="D19" s="154" t="n">
        <v>46019</v>
      </c>
      <c r="E19" s="154" t="n">
        <v>46079</v>
      </c>
      <c r="F19" s="155" t="n">
        <v>13029.44</v>
      </c>
      <c r="G19" s="155" t="n">
        <v>0</v>
      </c>
      <c r="H19" s="155">
        <f>F19-G19</f>
        <v/>
      </c>
      <c r="I19" s="156">
        <f>MAX(0,Mapping_Rules!$B$6-E19)</f>
        <v/>
      </c>
      <c r="J19" s="157">
        <f>IF(I19=0,"Current",IF(I19&lt;=30,"1-30",IF(I19&lt;=60,"31-60",IF(I19&lt;=90,"61-90","90+"))))</f>
        <v/>
      </c>
      <c r="K19" s="153" t="inlineStr">
        <is>
          <t>Finance Analyst</t>
        </is>
      </c>
      <c r="L19" s="153" t="inlineStr">
        <is>
          <t>Open</t>
        </is>
      </c>
      <c r="M19" s="157">
        <f>IF(L19="Closed","Closed",IF(OR(H19&gt;=Mapping_Rules!$B$7,I19&gt;=Mapping_Rules!$B$8),"High Risk",IF(I19&gt;30,"Monitor","Normal")))</f>
        <v/>
      </c>
      <c r="N19" s="157">
        <f>IF(M19="Closed","No action",IF(M19="High Risk","Call customer/vendor and escalate",IF(M19="Monitor","Send follow-up email","Keep monitoring")))</f>
        <v/>
      </c>
    </row>
    <row r="20">
      <c r="A20" s="115" t="inlineStr">
        <is>
          <t>INV-00017</t>
        </is>
      </c>
      <c r="B20" s="115" t="inlineStr">
        <is>
          <t>AR</t>
        </is>
      </c>
      <c r="C20" s="115" t="inlineStr">
        <is>
          <t>West Van Fitness</t>
        </is>
      </c>
      <c r="D20" s="125" t="n">
        <v>45985</v>
      </c>
      <c r="E20" s="125" t="n">
        <v>46030</v>
      </c>
      <c r="F20" s="126" t="n">
        <v>2640.67</v>
      </c>
      <c r="G20" s="126" t="n">
        <v>1979.26</v>
      </c>
      <c r="H20" s="126">
        <f>F20-G20</f>
        <v/>
      </c>
      <c r="I20" s="136">
        <f>MAX(0,Mapping_Rules!$B$6-E20)</f>
        <v/>
      </c>
      <c r="J20" s="137">
        <f>IF(I20=0,"Current",IF(I20&lt;=30,"1-30",IF(I20&lt;=60,"31-60",IF(I20&lt;=90,"61-90","90+"))))</f>
        <v/>
      </c>
      <c r="K20" s="115" t="inlineStr">
        <is>
          <t>AP Clerk</t>
        </is>
      </c>
      <c r="L20" s="115" t="inlineStr">
        <is>
          <t>Part Paid</t>
        </is>
      </c>
      <c r="M20" s="137">
        <f>IF(L20="Closed","Closed",IF(OR(H20&gt;=Mapping_Rules!$B$7,I20&gt;=Mapping_Rules!$B$8),"High Risk",IF(I20&gt;30,"Monitor","Normal")))</f>
        <v/>
      </c>
      <c r="N20" s="137">
        <f>IF(M20="Closed","No action",IF(M20="High Risk","Call customer/vendor and escalate",IF(M20="Monitor","Send follow-up email","Keep monitoring")))</f>
        <v/>
      </c>
    </row>
    <row r="21">
      <c r="A21" s="153" t="inlineStr">
        <is>
          <t>INV-00018</t>
        </is>
      </c>
      <c r="B21" s="153" t="inlineStr">
        <is>
          <t>AR</t>
        </is>
      </c>
      <c r="C21" s="153" t="inlineStr">
        <is>
          <t>Granville Medical</t>
        </is>
      </c>
      <c r="D21" s="154" t="n">
        <v>46011</v>
      </c>
      <c r="E21" s="154" t="n">
        <v>46041</v>
      </c>
      <c r="F21" s="155" t="n">
        <v>1762.27</v>
      </c>
      <c r="G21" s="155" t="n">
        <v>0</v>
      </c>
      <c r="H21" s="155">
        <f>F21-G21</f>
        <v/>
      </c>
      <c r="I21" s="156">
        <f>MAX(0,Mapping_Rules!$B$6-E21)</f>
        <v/>
      </c>
      <c r="J21" s="157">
        <f>IF(I21=0,"Current",IF(I21&lt;=30,"1-30",IF(I21&lt;=60,"31-60",IF(I21&lt;=90,"61-90","90+"))))</f>
        <v/>
      </c>
      <c r="K21" s="153" t="inlineStr">
        <is>
          <t>Finance Analyst</t>
        </is>
      </c>
      <c r="L21" s="153" t="inlineStr">
        <is>
          <t>Open</t>
        </is>
      </c>
      <c r="M21" s="157">
        <f>IF(L21="Closed","Closed",IF(OR(H21&gt;=Mapping_Rules!$B$7,I21&gt;=Mapping_Rules!$B$8),"High Risk",IF(I21&gt;30,"Monitor","Normal")))</f>
        <v/>
      </c>
      <c r="N21" s="157">
        <f>IF(M21="Closed","No action",IF(M21="High Risk","Call customer/vendor and escalate",IF(M21="Monitor","Send follow-up email","Keep monitoring")))</f>
        <v/>
      </c>
    </row>
    <row r="22">
      <c r="A22" s="115" t="inlineStr">
        <is>
          <t>INV-00019</t>
        </is>
      </c>
      <c r="B22" s="115" t="inlineStr">
        <is>
          <t>AR</t>
        </is>
      </c>
      <c r="C22" s="115" t="inlineStr">
        <is>
          <t>West Van Fitness</t>
        </is>
      </c>
      <c r="D22" s="125" t="n">
        <v>45974</v>
      </c>
      <c r="E22" s="125" t="n">
        <v>46004</v>
      </c>
      <c r="F22" s="126" t="n">
        <v>7216.66</v>
      </c>
      <c r="G22" s="126" t="n">
        <v>1265.61</v>
      </c>
      <c r="H22" s="126">
        <f>F22-G22</f>
        <v/>
      </c>
      <c r="I22" s="136">
        <f>MAX(0,Mapping_Rules!$B$6-E22)</f>
        <v/>
      </c>
      <c r="J22" s="137">
        <f>IF(I22=0,"Current",IF(I22&lt;=30,"1-30",IF(I22&lt;=60,"31-60",IF(I22&lt;=90,"61-90","90+"))))</f>
        <v/>
      </c>
      <c r="K22" s="115" t="inlineStr">
        <is>
          <t>AP Clerk</t>
        </is>
      </c>
      <c r="L22" s="115" t="inlineStr">
        <is>
          <t>Part Paid</t>
        </is>
      </c>
      <c r="M22" s="137">
        <f>IF(L22="Closed","Closed",IF(OR(H22&gt;=Mapping_Rules!$B$7,I22&gt;=Mapping_Rules!$B$8),"High Risk",IF(I22&gt;30,"Monitor","Normal")))</f>
        <v/>
      </c>
      <c r="N22" s="137">
        <f>IF(M22="Closed","No action",IF(M22="High Risk","Call customer/vendor and escalate",IF(M22="Monitor","Send follow-up email","Keep monitoring")))</f>
        <v/>
      </c>
    </row>
    <row r="23">
      <c r="A23" s="153" t="inlineStr">
        <is>
          <t>INV-00020</t>
        </is>
      </c>
      <c r="B23" s="153" t="inlineStr">
        <is>
          <t>AR</t>
        </is>
      </c>
      <c r="C23" s="153" t="inlineStr">
        <is>
          <t>Granville Medical</t>
        </is>
      </c>
      <c r="D23" s="154" t="n">
        <v>46046</v>
      </c>
      <c r="E23" s="154" t="n">
        <v>46076</v>
      </c>
      <c r="F23" s="155" t="n">
        <v>13544.47</v>
      </c>
      <c r="G23" s="155" t="n">
        <v>2042.24</v>
      </c>
      <c r="H23" s="155">
        <f>F23-G23</f>
        <v/>
      </c>
      <c r="I23" s="156">
        <f>MAX(0,Mapping_Rules!$B$6-E23)</f>
        <v/>
      </c>
      <c r="J23" s="157">
        <f>IF(I23=0,"Current",IF(I23&lt;=30,"1-30",IF(I23&lt;=60,"31-60",IF(I23&lt;=90,"61-90","90+"))))</f>
        <v/>
      </c>
      <c r="K23" s="153" t="inlineStr">
        <is>
          <t>Finance Analyst</t>
        </is>
      </c>
      <c r="L23" s="153" t="inlineStr">
        <is>
          <t>Part Paid</t>
        </is>
      </c>
      <c r="M23" s="157">
        <f>IF(L23="Closed","Closed",IF(OR(H23&gt;=Mapping_Rules!$B$7,I23&gt;=Mapping_Rules!$B$8),"High Risk",IF(I23&gt;30,"Monitor","Normal")))</f>
        <v/>
      </c>
      <c r="N23" s="157">
        <f>IF(M23="Closed","No action",IF(M23="High Risk","Call customer/vendor and escalate",IF(M23="Monitor","Send follow-up email","Keep monitoring")))</f>
        <v/>
      </c>
    </row>
    <row r="24">
      <c r="A24" s="115" t="inlineStr">
        <is>
          <t>INV-00021</t>
        </is>
      </c>
      <c r="B24" s="115" t="inlineStr">
        <is>
          <t>AP</t>
        </is>
      </c>
      <c r="C24" s="115" t="inlineStr">
        <is>
          <t>Metro Cleaning Ltd.</t>
        </is>
      </c>
      <c r="D24" s="125" t="n">
        <v>45967</v>
      </c>
      <c r="E24" s="125" t="n">
        <v>46027</v>
      </c>
      <c r="F24" s="126" t="n">
        <v>3557.87</v>
      </c>
      <c r="G24" s="126" t="n">
        <v>0</v>
      </c>
      <c r="H24" s="126">
        <f>F24-G24</f>
        <v/>
      </c>
      <c r="I24" s="136">
        <f>MAX(0,Mapping_Rules!$B$6-E24)</f>
        <v/>
      </c>
      <c r="J24" s="137">
        <f>IF(I24=0,"Current",IF(I24&lt;=30,"1-30",IF(I24&lt;=60,"31-60",IF(I24&lt;=90,"61-90","90+"))))</f>
        <v/>
      </c>
      <c r="K24" s="115" t="inlineStr">
        <is>
          <t>Finance Analyst</t>
        </is>
      </c>
      <c r="L24" s="115" t="inlineStr">
        <is>
          <t>Promise to Pay</t>
        </is>
      </c>
      <c r="M24" s="137">
        <f>IF(L24="Closed","Closed",IF(OR(H24&gt;=Mapping_Rules!$B$7,I24&gt;=Mapping_Rules!$B$8),"High Risk",IF(I24&gt;30,"Monitor","Normal")))</f>
        <v/>
      </c>
      <c r="N24" s="137">
        <f>IF(M24="Closed","No action",IF(M24="High Risk","Call customer/vendor and escalate",IF(M24="Monitor","Send follow-up email","Keep monitoring")))</f>
        <v/>
      </c>
    </row>
    <row r="25">
      <c r="A25" s="153" t="inlineStr">
        <is>
          <t>INV-00022</t>
        </is>
      </c>
      <c r="B25" s="153" t="inlineStr">
        <is>
          <t>AP</t>
        </is>
      </c>
      <c r="C25" s="153" t="inlineStr">
        <is>
          <t>Amazon Business</t>
        </is>
      </c>
      <c r="D25" s="154" t="n">
        <v>46051</v>
      </c>
      <c r="E25" s="154" t="n">
        <v>46066</v>
      </c>
      <c r="F25" s="155" t="n">
        <v>6468.52</v>
      </c>
      <c r="G25" s="155" t="n">
        <v>0</v>
      </c>
      <c r="H25" s="155">
        <f>F25-G25</f>
        <v/>
      </c>
      <c r="I25" s="156">
        <f>MAX(0,Mapping_Rules!$B$6-E25)</f>
        <v/>
      </c>
      <c r="J25" s="157">
        <f>IF(I25=0,"Current",IF(I25&lt;=30,"1-30",IF(I25&lt;=60,"31-60",IF(I25&lt;=90,"61-90","90+"))))</f>
        <v/>
      </c>
      <c r="K25" s="153" t="inlineStr">
        <is>
          <t>AR Clerk</t>
        </is>
      </c>
      <c r="L25" s="153" t="inlineStr">
        <is>
          <t>Open</t>
        </is>
      </c>
      <c r="M25" s="157">
        <f>IF(L25="Closed","Closed",IF(OR(H25&gt;=Mapping_Rules!$B$7,I25&gt;=Mapping_Rules!$B$8),"High Risk",IF(I25&gt;30,"Monitor","Normal")))</f>
        <v/>
      </c>
      <c r="N25" s="157">
        <f>IF(M25="Closed","No action",IF(M25="High Risk","Call customer/vendor and escalate",IF(M25="Monitor","Send follow-up email","Keep monitoring")))</f>
        <v/>
      </c>
    </row>
    <row r="26">
      <c r="A26" s="115" t="inlineStr">
        <is>
          <t>INV-00023</t>
        </is>
      </c>
      <c r="B26" s="115" t="inlineStr">
        <is>
          <t>AR</t>
        </is>
      </c>
      <c r="C26" s="115" t="inlineStr">
        <is>
          <t>Raincity Tech</t>
        </is>
      </c>
      <c r="D26" s="125" t="n">
        <v>46038</v>
      </c>
      <c r="E26" s="125" t="n">
        <v>46098</v>
      </c>
      <c r="F26" s="126" t="n">
        <v>3978.4</v>
      </c>
      <c r="G26" s="126" t="n">
        <v>0</v>
      </c>
      <c r="H26" s="126">
        <f>F26-G26</f>
        <v/>
      </c>
      <c r="I26" s="136">
        <f>MAX(0,Mapping_Rules!$B$6-E26)</f>
        <v/>
      </c>
      <c r="J26" s="137">
        <f>IF(I26=0,"Current",IF(I26&lt;=30,"1-30",IF(I26&lt;=60,"31-60",IF(I26&lt;=90,"61-90","90+"))))</f>
        <v/>
      </c>
      <c r="K26" s="115" t="inlineStr">
        <is>
          <t>AP Clerk</t>
        </is>
      </c>
      <c r="L26" s="115" t="inlineStr">
        <is>
          <t>Open</t>
        </is>
      </c>
      <c r="M26" s="137">
        <f>IF(L26="Closed","Closed",IF(OR(H26&gt;=Mapping_Rules!$B$7,I26&gt;=Mapping_Rules!$B$8),"High Risk",IF(I26&gt;30,"Monitor","Normal")))</f>
        <v/>
      </c>
      <c r="N26" s="137">
        <f>IF(M26="Closed","No action",IF(M26="High Risk","Call customer/vendor and escalate",IF(M26="Monitor","Send follow-up email","Keep monitoring")))</f>
        <v/>
      </c>
    </row>
    <row r="27">
      <c r="A27" s="153" t="inlineStr">
        <is>
          <t>INV-00024</t>
        </is>
      </c>
      <c r="B27" s="153" t="inlineStr">
        <is>
          <t>AR</t>
        </is>
      </c>
      <c r="C27" s="153" t="inlineStr">
        <is>
          <t>West Van Fitness</t>
        </is>
      </c>
      <c r="D27" s="154" t="n">
        <v>45962</v>
      </c>
      <c r="E27" s="154" t="n">
        <v>46022</v>
      </c>
      <c r="F27" s="155" t="n">
        <v>9870.01</v>
      </c>
      <c r="G27" s="155" t="n">
        <v>3507.17</v>
      </c>
      <c r="H27" s="155">
        <f>F27-G27</f>
        <v/>
      </c>
      <c r="I27" s="156">
        <f>MAX(0,Mapping_Rules!$B$6-E27)</f>
        <v/>
      </c>
      <c r="J27" s="157">
        <f>IF(I27=0,"Current",IF(I27&lt;=30,"1-30",IF(I27&lt;=60,"31-60",IF(I27&lt;=90,"61-90","90+"))))</f>
        <v/>
      </c>
      <c r="K27" s="153" t="inlineStr">
        <is>
          <t>Accounting Technician</t>
        </is>
      </c>
      <c r="L27" s="153" t="inlineStr">
        <is>
          <t>Part Paid</t>
        </is>
      </c>
      <c r="M27" s="157">
        <f>IF(L27="Closed","Closed",IF(OR(H27&gt;=Mapping_Rules!$B$7,I27&gt;=Mapping_Rules!$B$8),"High Risk",IF(I27&gt;30,"Monitor","Normal")))</f>
        <v/>
      </c>
      <c r="N27" s="157">
        <f>IF(M27="Closed","No action",IF(M27="High Risk","Call customer/vendor and escalate",IF(M27="Monitor","Send follow-up email","Keep monitoring")))</f>
        <v/>
      </c>
    </row>
    <row r="28">
      <c r="A28" s="115" t="inlineStr">
        <is>
          <t>INV-00025</t>
        </is>
      </c>
      <c r="B28" s="115" t="inlineStr">
        <is>
          <t>AR</t>
        </is>
      </c>
      <c r="C28" s="115" t="inlineStr">
        <is>
          <t>Coastline Foods</t>
        </is>
      </c>
      <c r="D28" s="125" t="n">
        <v>46016</v>
      </c>
      <c r="E28" s="125" t="n">
        <v>46061</v>
      </c>
      <c r="F28" s="126" t="n">
        <v>4030.35</v>
      </c>
      <c r="G28" s="126" t="n">
        <v>2083.83</v>
      </c>
      <c r="H28" s="126">
        <f>F28-G28</f>
        <v/>
      </c>
      <c r="I28" s="136">
        <f>MAX(0,Mapping_Rules!$B$6-E28)</f>
        <v/>
      </c>
      <c r="J28" s="137">
        <f>IF(I28=0,"Current",IF(I28&lt;=30,"1-30",IF(I28&lt;=60,"31-60",IF(I28&lt;=90,"61-90","90+"))))</f>
        <v/>
      </c>
      <c r="K28" s="115" t="inlineStr">
        <is>
          <t>Accounting Technician</t>
        </is>
      </c>
      <c r="L28" s="115" t="inlineStr">
        <is>
          <t>Part Paid</t>
        </is>
      </c>
      <c r="M28" s="137">
        <f>IF(L28="Closed","Closed",IF(OR(H28&gt;=Mapping_Rules!$B$7,I28&gt;=Mapping_Rules!$B$8),"High Risk",IF(I28&gt;30,"Monitor","Normal")))</f>
        <v/>
      </c>
      <c r="N28" s="137">
        <f>IF(M28="Closed","No action",IF(M28="High Risk","Call customer/vendor and escalate",IF(M28="Monitor","Send follow-up email","Keep monitoring")))</f>
        <v/>
      </c>
    </row>
    <row r="29">
      <c r="A29" s="153" t="inlineStr">
        <is>
          <t>INV-00026</t>
        </is>
      </c>
      <c r="B29" s="153" t="inlineStr">
        <is>
          <t>AP</t>
        </is>
      </c>
      <c r="C29" s="153" t="inlineStr">
        <is>
          <t>Vancouver Courier</t>
        </is>
      </c>
      <c r="D29" s="154" t="n">
        <v>45988</v>
      </c>
      <c r="E29" s="154" t="n">
        <v>46048</v>
      </c>
      <c r="F29" s="155" t="n">
        <v>8348.76</v>
      </c>
      <c r="G29" s="155" t="n">
        <v>2222.17</v>
      </c>
      <c r="H29" s="155">
        <f>F29-G29</f>
        <v/>
      </c>
      <c r="I29" s="156">
        <f>MAX(0,Mapping_Rules!$B$6-E29)</f>
        <v/>
      </c>
      <c r="J29" s="157">
        <f>IF(I29=0,"Current",IF(I29&lt;=30,"1-30",IF(I29&lt;=60,"31-60",IF(I29&lt;=90,"61-90","90+"))))</f>
        <v/>
      </c>
      <c r="K29" s="153" t="inlineStr">
        <is>
          <t>Finance Analyst</t>
        </is>
      </c>
      <c r="L29" s="153" t="inlineStr">
        <is>
          <t>Part Paid</t>
        </is>
      </c>
      <c r="M29" s="157">
        <f>IF(L29="Closed","Closed",IF(OR(H29&gt;=Mapping_Rules!$B$7,I29&gt;=Mapping_Rules!$B$8),"High Risk",IF(I29&gt;30,"Monitor","Normal")))</f>
        <v/>
      </c>
      <c r="N29" s="157">
        <f>IF(M29="Closed","No action",IF(M29="High Risk","Call customer/vendor and escalate",IF(M29="Monitor","Send follow-up email","Keep monitoring")))</f>
        <v/>
      </c>
    </row>
    <row r="30">
      <c r="A30" s="115" t="inlineStr">
        <is>
          <t>INV-00027</t>
        </is>
      </c>
      <c r="B30" s="115" t="inlineStr">
        <is>
          <t>AP</t>
        </is>
      </c>
      <c r="C30" s="115" t="inlineStr">
        <is>
          <t>Metro Cleaning Ltd.</t>
        </is>
      </c>
      <c r="D30" s="125" t="n">
        <v>46035</v>
      </c>
      <c r="E30" s="125" t="n">
        <v>46080</v>
      </c>
      <c r="F30" s="126" t="n">
        <v>11646.79</v>
      </c>
      <c r="G30" s="126" t="n">
        <v>0</v>
      </c>
      <c r="H30" s="126">
        <f>F30-G30</f>
        <v/>
      </c>
      <c r="I30" s="136">
        <f>MAX(0,Mapping_Rules!$B$6-E30)</f>
        <v/>
      </c>
      <c r="J30" s="137">
        <f>IF(I30=0,"Current",IF(I30&lt;=30,"1-30",IF(I30&lt;=60,"31-60",IF(I30&lt;=90,"61-90","90+"))))</f>
        <v/>
      </c>
      <c r="K30" s="115" t="inlineStr">
        <is>
          <t>AR Clerk</t>
        </is>
      </c>
      <c r="L30" s="115" t="inlineStr">
        <is>
          <t>Open</t>
        </is>
      </c>
      <c r="M30" s="137">
        <f>IF(L30="Closed","Closed",IF(OR(H30&gt;=Mapping_Rules!$B$7,I30&gt;=Mapping_Rules!$B$8),"High Risk",IF(I30&gt;30,"Monitor","Normal")))</f>
        <v/>
      </c>
      <c r="N30" s="137">
        <f>IF(M30="Closed","No action",IF(M30="High Risk","Call customer/vendor and escalate",IF(M30="Monitor","Send follow-up email","Keep monitoring")))</f>
        <v/>
      </c>
    </row>
    <row r="31">
      <c r="A31" s="153" t="inlineStr">
        <is>
          <t>INV-00028</t>
        </is>
      </c>
      <c r="B31" s="153" t="inlineStr">
        <is>
          <t>AR</t>
        </is>
      </c>
      <c r="C31" s="153" t="inlineStr">
        <is>
          <t>Harbour Design Co.</t>
        </is>
      </c>
      <c r="D31" s="154" t="n">
        <v>45991</v>
      </c>
      <c r="E31" s="154" t="n">
        <v>46051</v>
      </c>
      <c r="F31" s="155" t="n">
        <v>11779.17</v>
      </c>
      <c r="G31" s="155" t="n">
        <v>11779.17</v>
      </c>
      <c r="H31" s="155">
        <f>F31-G31</f>
        <v/>
      </c>
      <c r="I31" s="156">
        <f>MAX(0,Mapping_Rules!$B$6-E31)</f>
        <v/>
      </c>
      <c r="J31" s="157">
        <f>IF(I31=0,"Current",IF(I31&lt;=30,"1-30",IF(I31&lt;=60,"31-60",IF(I31&lt;=90,"61-90","90+"))))</f>
        <v/>
      </c>
      <c r="K31" s="153" t="inlineStr">
        <is>
          <t>AP Clerk</t>
        </is>
      </c>
      <c r="L31" s="153" t="inlineStr">
        <is>
          <t>Closed</t>
        </is>
      </c>
      <c r="M31" s="157">
        <f>IF(L31="Closed","Closed",IF(OR(H31&gt;=Mapping_Rules!$B$7,I31&gt;=Mapping_Rules!$B$8),"High Risk",IF(I31&gt;30,"Monitor","Normal")))</f>
        <v/>
      </c>
      <c r="N31" s="157">
        <f>IF(M31="Closed","No action",IF(M31="High Risk","Call customer/vendor and escalate",IF(M31="Monitor","Send follow-up email","Keep monitoring")))</f>
        <v/>
      </c>
    </row>
    <row r="32">
      <c r="A32" s="115" t="inlineStr">
        <is>
          <t>INV-00029</t>
        </is>
      </c>
      <c r="B32" s="115" t="inlineStr">
        <is>
          <t>AR</t>
        </is>
      </c>
      <c r="C32" s="115" t="inlineStr">
        <is>
          <t>West Van Fitness</t>
        </is>
      </c>
      <c r="D32" s="125" t="n">
        <v>46013</v>
      </c>
      <c r="E32" s="125" t="n">
        <v>46058</v>
      </c>
      <c r="F32" s="126" t="n">
        <v>12042.68</v>
      </c>
      <c r="G32" s="126" t="n">
        <v>7165</v>
      </c>
      <c r="H32" s="126">
        <f>F32-G32</f>
        <v/>
      </c>
      <c r="I32" s="136">
        <f>MAX(0,Mapping_Rules!$B$6-E32)</f>
        <v/>
      </c>
      <c r="J32" s="137">
        <f>IF(I32=0,"Current",IF(I32&lt;=30,"1-30",IF(I32&lt;=60,"31-60",IF(I32&lt;=90,"61-90","90+"))))</f>
        <v/>
      </c>
      <c r="K32" s="115" t="inlineStr">
        <is>
          <t>AP Clerk</t>
        </is>
      </c>
      <c r="L32" s="115" t="inlineStr">
        <is>
          <t>Part Paid</t>
        </is>
      </c>
      <c r="M32" s="137">
        <f>IF(L32="Closed","Closed",IF(OR(H32&gt;=Mapping_Rules!$B$7,I32&gt;=Mapping_Rules!$B$8),"High Risk",IF(I32&gt;30,"Monitor","Normal")))</f>
        <v/>
      </c>
      <c r="N32" s="137">
        <f>IF(M32="Closed","No action",IF(M32="High Risk","Call customer/vendor and escalate",IF(M32="Monitor","Send follow-up email","Keep monitoring")))</f>
        <v/>
      </c>
    </row>
    <row r="33">
      <c r="A33" s="153" t="inlineStr">
        <is>
          <t>INV-00030</t>
        </is>
      </c>
      <c r="B33" s="153" t="inlineStr">
        <is>
          <t>AR</t>
        </is>
      </c>
      <c r="C33" s="153" t="inlineStr">
        <is>
          <t>Granville Medical</t>
        </is>
      </c>
      <c r="D33" s="154" t="n">
        <v>46043</v>
      </c>
      <c r="E33" s="154" t="n">
        <v>46058</v>
      </c>
      <c r="F33" s="155" t="n">
        <v>12094.89</v>
      </c>
      <c r="G33" s="155" t="n">
        <v>0</v>
      </c>
      <c r="H33" s="155">
        <f>F33-G33</f>
        <v/>
      </c>
      <c r="I33" s="156">
        <f>MAX(0,Mapping_Rules!$B$6-E33)</f>
        <v/>
      </c>
      <c r="J33" s="157">
        <f>IF(I33=0,"Current",IF(I33&lt;=30,"1-30",IF(I33&lt;=60,"31-60",IF(I33&lt;=90,"61-90","90+"))))</f>
        <v/>
      </c>
      <c r="K33" s="153" t="inlineStr">
        <is>
          <t>Finance Analyst</t>
        </is>
      </c>
      <c r="L33" s="153" t="inlineStr">
        <is>
          <t>Promise to Pay</t>
        </is>
      </c>
      <c r="M33" s="157">
        <f>IF(L33="Closed","Closed",IF(OR(H33&gt;=Mapping_Rules!$B$7,I33&gt;=Mapping_Rules!$B$8),"High Risk",IF(I33&gt;30,"Monitor","Normal")))</f>
        <v/>
      </c>
      <c r="N33" s="157">
        <f>IF(M33="Closed","No action",IF(M33="High Risk","Call customer/vendor and escalate",IF(M33="Monitor","Send follow-up email","Keep monitoring")))</f>
        <v/>
      </c>
    </row>
    <row r="34">
      <c r="A34" s="115" t="inlineStr">
        <is>
          <t>INV-00031</t>
        </is>
      </c>
      <c r="B34" s="115" t="inlineStr">
        <is>
          <t>AP</t>
        </is>
      </c>
      <c r="C34" s="115" t="inlineStr">
        <is>
          <t>Pacific Office Supplies</t>
        </is>
      </c>
      <c r="D34" s="125" t="n">
        <v>45970</v>
      </c>
      <c r="E34" s="125" t="n">
        <v>46015</v>
      </c>
      <c r="F34" s="126" t="n">
        <v>3443.29</v>
      </c>
      <c r="G34" s="126" t="n">
        <v>0</v>
      </c>
      <c r="H34" s="126">
        <f>F34-G34</f>
        <v/>
      </c>
      <c r="I34" s="136">
        <f>MAX(0,Mapping_Rules!$B$6-E34)</f>
        <v/>
      </c>
      <c r="J34" s="137">
        <f>IF(I34=0,"Current",IF(I34&lt;=30,"1-30",IF(I34&lt;=60,"31-60",IF(I34&lt;=90,"61-90","90+"))))</f>
        <v/>
      </c>
      <c r="K34" s="115" t="inlineStr">
        <is>
          <t>AP Clerk</t>
        </is>
      </c>
      <c r="L34" s="115" t="inlineStr">
        <is>
          <t>Open</t>
        </is>
      </c>
      <c r="M34" s="137">
        <f>IF(L34="Closed","Closed",IF(OR(H34&gt;=Mapping_Rules!$B$7,I34&gt;=Mapping_Rules!$B$8),"High Risk",IF(I34&gt;30,"Monitor","Normal")))</f>
        <v/>
      </c>
      <c r="N34" s="137">
        <f>IF(M34="Closed","No action",IF(M34="High Risk","Call customer/vendor and escalate",IF(M34="Monitor","Send follow-up email","Keep monitoring")))</f>
        <v/>
      </c>
    </row>
    <row r="35">
      <c r="A35" s="153" t="inlineStr">
        <is>
          <t>INV-00032</t>
        </is>
      </c>
      <c r="B35" s="153" t="inlineStr">
        <is>
          <t>AP</t>
        </is>
      </c>
      <c r="C35" s="153" t="inlineStr">
        <is>
          <t>BC Hydro</t>
        </is>
      </c>
      <c r="D35" s="154" t="n">
        <v>46040</v>
      </c>
      <c r="E35" s="154" t="n">
        <v>46085</v>
      </c>
      <c r="F35" s="155" t="n">
        <v>10717.35</v>
      </c>
      <c r="G35" s="155" t="n">
        <v>8195.719999999999</v>
      </c>
      <c r="H35" s="155">
        <f>F35-G35</f>
        <v/>
      </c>
      <c r="I35" s="156">
        <f>MAX(0,Mapping_Rules!$B$6-E35)</f>
        <v/>
      </c>
      <c r="J35" s="157">
        <f>IF(I35=0,"Current",IF(I35&lt;=30,"1-30",IF(I35&lt;=60,"31-60",IF(I35&lt;=90,"61-90","90+"))))</f>
        <v/>
      </c>
      <c r="K35" s="153" t="inlineStr">
        <is>
          <t>AR Clerk</t>
        </is>
      </c>
      <c r="L35" s="153" t="inlineStr">
        <is>
          <t>Part Paid</t>
        </is>
      </c>
      <c r="M35" s="157">
        <f>IF(L35="Closed","Closed",IF(OR(H35&gt;=Mapping_Rules!$B$7,I35&gt;=Mapping_Rules!$B$8),"High Risk",IF(I35&gt;30,"Monitor","Normal")))</f>
        <v/>
      </c>
      <c r="N35" s="157">
        <f>IF(M35="Closed","No action",IF(M35="High Risk","Call customer/vendor and escalate",IF(M35="Monitor","Send follow-up email","Keep monitoring")))</f>
        <v/>
      </c>
    </row>
    <row r="36">
      <c r="A36" s="115" t="inlineStr">
        <is>
          <t>INV-00033</t>
        </is>
      </c>
      <c r="B36" s="115" t="inlineStr">
        <is>
          <t>AP</t>
        </is>
      </c>
      <c r="C36" s="115" t="inlineStr">
        <is>
          <t>BC Hydro</t>
        </is>
      </c>
      <c r="D36" s="125" t="n">
        <v>45963</v>
      </c>
      <c r="E36" s="125" t="n">
        <v>45993</v>
      </c>
      <c r="F36" s="126" t="n">
        <v>12780.93</v>
      </c>
      <c r="G36" s="126" t="n">
        <v>12780.93</v>
      </c>
      <c r="H36" s="126">
        <f>F36-G36</f>
        <v/>
      </c>
      <c r="I36" s="136">
        <f>MAX(0,Mapping_Rules!$B$6-E36)</f>
        <v/>
      </c>
      <c r="J36" s="137">
        <f>IF(I36=0,"Current",IF(I36&lt;=30,"1-30",IF(I36&lt;=60,"31-60",IF(I36&lt;=90,"61-90","90+"))))</f>
        <v/>
      </c>
      <c r="K36" s="115" t="inlineStr">
        <is>
          <t>Accounting Technician</t>
        </is>
      </c>
      <c r="L36" s="115" t="inlineStr">
        <is>
          <t>Closed</t>
        </is>
      </c>
      <c r="M36" s="137">
        <f>IF(L36="Closed","Closed",IF(OR(H36&gt;=Mapping_Rules!$B$7,I36&gt;=Mapping_Rules!$B$8),"High Risk",IF(I36&gt;30,"Monitor","Normal")))</f>
        <v/>
      </c>
      <c r="N36" s="137">
        <f>IF(M36="Closed","No action",IF(M36="High Risk","Call customer/vendor and escalate",IF(M36="Monitor","Send follow-up email","Keep monitoring")))</f>
        <v/>
      </c>
    </row>
    <row r="37">
      <c r="A37" s="153" t="inlineStr">
        <is>
          <t>INV-00034</t>
        </is>
      </c>
      <c r="B37" s="153" t="inlineStr">
        <is>
          <t>AR</t>
        </is>
      </c>
      <c r="C37" s="153" t="inlineStr">
        <is>
          <t>Maple Retail Group</t>
        </is>
      </c>
      <c r="D37" s="154" t="n">
        <v>46038</v>
      </c>
      <c r="E37" s="154" t="n">
        <v>46068</v>
      </c>
      <c r="F37" s="155" t="n">
        <v>9285.57</v>
      </c>
      <c r="G37" s="155" t="n">
        <v>3564.09</v>
      </c>
      <c r="H37" s="155">
        <f>F37-G37</f>
        <v/>
      </c>
      <c r="I37" s="156">
        <f>MAX(0,Mapping_Rules!$B$6-E37)</f>
        <v/>
      </c>
      <c r="J37" s="157">
        <f>IF(I37=0,"Current",IF(I37&lt;=30,"1-30",IF(I37&lt;=60,"31-60",IF(I37&lt;=90,"61-90","90+"))))</f>
        <v/>
      </c>
      <c r="K37" s="153" t="inlineStr">
        <is>
          <t>AP Clerk</t>
        </is>
      </c>
      <c r="L37" s="153" t="inlineStr">
        <is>
          <t>Part Paid</t>
        </is>
      </c>
      <c r="M37" s="157">
        <f>IF(L37="Closed","Closed",IF(OR(H37&gt;=Mapping_Rules!$B$7,I37&gt;=Mapping_Rules!$B$8),"High Risk",IF(I37&gt;30,"Monitor","Normal")))</f>
        <v/>
      </c>
      <c r="N37" s="157">
        <f>IF(M37="Closed","No action",IF(M37="High Risk","Call customer/vendor and escalate",IF(M37="Monitor","Send follow-up email","Keep monitoring")))</f>
        <v/>
      </c>
    </row>
    <row r="38">
      <c r="A38" s="115" t="inlineStr">
        <is>
          <t>INV-00035</t>
        </is>
      </c>
      <c r="B38" s="115" t="inlineStr">
        <is>
          <t>AR</t>
        </is>
      </c>
      <c r="C38" s="115" t="inlineStr">
        <is>
          <t>Maple Retail Group</t>
        </is>
      </c>
      <c r="D38" s="125" t="n">
        <v>45997</v>
      </c>
      <c r="E38" s="125" t="n">
        <v>46057</v>
      </c>
      <c r="F38" s="126" t="n">
        <v>5393.95</v>
      </c>
      <c r="G38" s="126" t="n">
        <v>0</v>
      </c>
      <c r="H38" s="126">
        <f>F38-G38</f>
        <v/>
      </c>
      <c r="I38" s="136">
        <f>MAX(0,Mapping_Rules!$B$6-E38)</f>
        <v/>
      </c>
      <c r="J38" s="137">
        <f>IF(I38=0,"Current",IF(I38&lt;=30,"1-30",IF(I38&lt;=60,"31-60",IF(I38&lt;=90,"61-90","90+"))))</f>
        <v/>
      </c>
      <c r="K38" s="115" t="inlineStr">
        <is>
          <t>AR Clerk</t>
        </is>
      </c>
      <c r="L38" s="115" t="inlineStr">
        <is>
          <t>Open</t>
        </is>
      </c>
      <c r="M38" s="137">
        <f>IF(L38="Closed","Closed",IF(OR(H38&gt;=Mapping_Rules!$B$7,I38&gt;=Mapping_Rules!$B$8),"High Risk",IF(I38&gt;30,"Monitor","Normal")))</f>
        <v/>
      </c>
      <c r="N38" s="137">
        <f>IF(M38="Closed","No action",IF(M38="High Risk","Call customer/vendor and escalate",IF(M38="Monitor","Send follow-up email","Keep monitoring")))</f>
        <v/>
      </c>
    </row>
    <row r="39">
      <c r="A39" s="153" t="inlineStr">
        <is>
          <t>INV-00036</t>
        </is>
      </c>
      <c r="B39" s="153" t="inlineStr">
        <is>
          <t>AR</t>
        </is>
      </c>
      <c r="C39" s="153" t="inlineStr">
        <is>
          <t>Harbour Design Co.</t>
        </is>
      </c>
      <c r="D39" s="154" t="n">
        <v>46052</v>
      </c>
      <c r="E39" s="154" t="n">
        <v>46067</v>
      </c>
      <c r="F39" s="155" t="n">
        <v>13799.78</v>
      </c>
      <c r="G39" s="155" t="n">
        <v>8583.33</v>
      </c>
      <c r="H39" s="155">
        <f>F39-G39</f>
        <v/>
      </c>
      <c r="I39" s="156">
        <f>MAX(0,Mapping_Rules!$B$6-E39)</f>
        <v/>
      </c>
      <c r="J39" s="157">
        <f>IF(I39=0,"Current",IF(I39&lt;=30,"1-30",IF(I39&lt;=60,"31-60",IF(I39&lt;=90,"61-90","90+"))))</f>
        <v/>
      </c>
      <c r="K39" s="153" t="inlineStr">
        <is>
          <t>Accounting Technician</t>
        </is>
      </c>
      <c r="L39" s="153" t="inlineStr">
        <is>
          <t>Part Paid</t>
        </is>
      </c>
      <c r="M39" s="157">
        <f>IF(L39="Closed","Closed",IF(OR(H39&gt;=Mapping_Rules!$B$7,I39&gt;=Mapping_Rules!$B$8),"High Risk",IF(I39&gt;30,"Monitor","Normal")))</f>
        <v/>
      </c>
      <c r="N39" s="157">
        <f>IF(M39="Closed","No action",IF(M39="High Risk","Call customer/vendor and escalate",IF(M39="Monitor","Send follow-up email","Keep monitoring")))</f>
        <v/>
      </c>
    </row>
    <row r="40">
      <c r="A40" s="115" t="inlineStr">
        <is>
          <t>INV-00037</t>
        </is>
      </c>
      <c r="B40" s="115" t="inlineStr">
        <is>
          <t>AP</t>
        </is>
      </c>
      <c r="C40" s="115" t="inlineStr">
        <is>
          <t>Vancouver Courier</t>
        </is>
      </c>
      <c r="D40" s="125" t="n">
        <v>45997</v>
      </c>
      <c r="E40" s="125" t="n">
        <v>46027</v>
      </c>
      <c r="F40" s="126" t="n">
        <v>9154.5</v>
      </c>
      <c r="G40" s="126" t="n">
        <v>0</v>
      </c>
      <c r="H40" s="126">
        <f>F40-G40</f>
        <v/>
      </c>
      <c r="I40" s="136">
        <f>MAX(0,Mapping_Rules!$B$6-E40)</f>
        <v/>
      </c>
      <c r="J40" s="137">
        <f>IF(I40=0,"Current",IF(I40&lt;=30,"1-30",IF(I40&lt;=60,"31-60",IF(I40&lt;=90,"61-90","90+"))))</f>
        <v/>
      </c>
      <c r="K40" s="115" t="inlineStr">
        <is>
          <t>Finance Analyst</t>
        </is>
      </c>
      <c r="L40" s="115" t="inlineStr">
        <is>
          <t>Open</t>
        </is>
      </c>
      <c r="M40" s="137">
        <f>IF(L40="Closed","Closed",IF(OR(H40&gt;=Mapping_Rules!$B$7,I40&gt;=Mapping_Rules!$B$8),"High Risk",IF(I40&gt;30,"Monitor","Normal")))</f>
        <v/>
      </c>
      <c r="N40" s="137">
        <f>IF(M40="Closed","No action",IF(M40="High Risk","Call customer/vendor and escalate",IF(M40="Monitor","Send follow-up email","Keep monitoring")))</f>
        <v/>
      </c>
    </row>
    <row r="41">
      <c r="A41" s="153" t="inlineStr">
        <is>
          <t>INV-00038</t>
        </is>
      </c>
      <c r="B41" s="153" t="inlineStr">
        <is>
          <t>AR</t>
        </is>
      </c>
      <c r="C41" s="153" t="inlineStr">
        <is>
          <t>Raincity Tech</t>
        </is>
      </c>
      <c r="D41" s="154" t="n">
        <v>45984</v>
      </c>
      <c r="E41" s="154" t="n">
        <v>46044</v>
      </c>
      <c r="F41" s="155" t="n">
        <v>7667.64</v>
      </c>
      <c r="G41" s="155" t="n">
        <v>3657.92</v>
      </c>
      <c r="H41" s="155">
        <f>F41-G41</f>
        <v/>
      </c>
      <c r="I41" s="156">
        <f>MAX(0,Mapping_Rules!$B$6-E41)</f>
        <v/>
      </c>
      <c r="J41" s="157">
        <f>IF(I41=0,"Current",IF(I41&lt;=30,"1-30",IF(I41&lt;=60,"31-60",IF(I41&lt;=90,"61-90","90+"))))</f>
        <v/>
      </c>
      <c r="K41" s="153" t="inlineStr">
        <is>
          <t>Accounting Technician</t>
        </is>
      </c>
      <c r="L41" s="153" t="inlineStr">
        <is>
          <t>Part Paid</t>
        </is>
      </c>
      <c r="M41" s="157">
        <f>IF(L41="Closed","Closed",IF(OR(H41&gt;=Mapping_Rules!$B$7,I41&gt;=Mapping_Rules!$B$8),"High Risk",IF(I41&gt;30,"Monitor","Normal")))</f>
        <v/>
      </c>
      <c r="N41" s="157">
        <f>IF(M41="Closed","No action",IF(M41="High Risk","Call customer/vendor and escalate",IF(M41="Monitor","Send follow-up email","Keep monitoring")))</f>
        <v/>
      </c>
    </row>
    <row r="42">
      <c r="A42" s="115" t="inlineStr">
        <is>
          <t>INV-00039</t>
        </is>
      </c>
      <c r="B42" s="115" t="inlineStr">
        <is>
          <t>AR</t>
        </is>
      </c>
      <c r="C42" s="115" t="inlineStr">
        <is>
          <t>West Van Fitness</t>
        </is>
      </c>
      <c r="D42" s="125" t="n">
        <v>45994</v>
      </c>
      <c r="E42" s="125" t="n">
        <v>46039</v>
      </c>
      <c r="F42" s="126" t="n">
        <v>10458.75</v>
      </c>
      <c r="G42" s="126" t="n">
        <v>10458.75</v>
      </c>
      <c r="H42" s="126">
        <f>F42-G42</f>
        <v/>
      </c>
      <c r="I42" s="136">
        <f>MAX(0,Mapping_Rules!$B$6-E42)</f>
        <v/>
      </c>
      <c r="J42" s="137">
        <f>IF(I42=0,"Current",IF(I42&lt;=30,"1-30",IF(I42&lt;=60,"31-60",IF(I42&lt;=90,"61-90","90+"))))</f>
        <v/>
      </c>
      <c r="K42" s="115" t="inlineStr">
        <is>
          <t>Finance Analyst</t>
        </is>
      </c>
      <c r="L42" s="115" t="inlineStr">
        <is>
          <t>Closed</t>
        </is>
      </c>
      <c r="M42" s="137">
        <f>IF(L42="Closed","Closed",IF(OR(H42&gt;=Mapping_Rules!$B$7,I42&gt;=Mapping_Rules!$B$8),"High Risk",IF(I42&gt;30,"Monitor","Normal")))</f>
        <v/>
      </c>
      <c r="N42" s="137">
        <f>IF(M42="Closed","No action",IF(M42="High Risk","Call customer/vendor and escalate",IF(M42="Monitor","Send follow-up email","Keep monitoring")))</f>
        <v/>
      </c>
    </row>
    <row r="43">
      <c r="A43" s="153" t="inlineStr">
        <is>
          <t>INV-00040</t>
        </is>
      </c>
      <c r="B43" s="153" t="inlineStr">
        <is>
          <t>AR</t>
        </is>
      </c>
      <c r="C43" s="153" t="inlineStr">
        <is>
          <t>Raincity Tech</t>
        </is>
      </c>
      <c r="D43" s="154" t="n">
        <v>46020</v>
      </c>
      <c r="E43" s="154" t="n">
        <v>46080</v>
      </c>
      <c r="F43" s="155" t="n">
        <v>13463.38</v>
      </c>
      <c r="G43" s="155" t="n">
        <v>0</v>
      </c>
      <c r="H43" s="155">
        <f>F43-G43</f>
        <v/>
      </c>
      <c r="I43" s="156">
        <f>MAX(0,Mapping_Rules!$B$6-E43)</f>
        <v/>
      </c>
      <c r="J43" s="157">
        <f>IF(I43=0,"Current",IF(I43&lt;=30,"1-30",IF(I43&lt;=60,"31-60",IF(I43&lt;=90,"61-90","90+"))))</f>
        <v/>
      </c>
      <c r="K43" s="153" t="inlineStr">
        <is>
          <t>Finance Analyst</t>
        </is>
      </c>
      <c r="L43" s="153" t="inlineStr">
        <is>
          <t>Promise to Pay</t>
        </is>
      </c>
      <c r="M43" s="157">
        <f>IF(L43="Closed","Closed",IF(OR(H43&gt;=Mapping_Rules!$B$7,I43&gt;=Mapping_Rules!$B$8),"High Risk",IF(I43&gt;30,"Monitor","Normal")))</f>
        <v/>
      </c>
      <c r="N43" s="157">
        <f>IF(M43="Closed","No action",IF(M43="High Risk","Call customer/vendor and escalate",IF(M43="Monitor","Send follow-up email","Keep monitoring")))</f>
        <v/>
      </c>
    </row>
    <row r="44">
      <c r="A44" s="115" t="inlineStr">
        <is>
          <t>INV-00041</t>
        </is>
      </c>
      <c r="B44" s="115" t="inlineStr">
        <is>
          <t>AR</t>
        </is>
      </c>
      <c r="C44" s="115" t="inlineStr">
        <is>
          <t>Raincity Tech</t>
        </is>
      </c>
      <c r="D44" s="125" t="n">
        <v>45970</v>
      </c>
      <c r="E44" s="125" t="n">
        <v>46030</v>
      </c>
      <c r="F44" s="126" t="n">
        <v>9559.879999999999</v>
      </c>
      <c r="G44" s="126" t="n">
        <v>9559.879999999999</v>
      </c>
      <c r="H44" s="126">
        <f>F44-G44</f>
        <v/>
      </c>
      <c r="I44" s="136">
        <f>MAX(0,Mapping_Rules!$B$6-E44)</f>
        <v/>
      </c>
      <c r="J44" s="137">
        <f>IF(I44=0,"Current",IF(I44&lt;=30,"1-30",IF(I44&lt;=60,"31-60",IF(I44&lt;=90,"61-90","90+"))))</f>
        <v/>
      </c>
      <c r="K44" s="115" t="inlineStr">
        <is>
          <t>AR Clerk</t>
        </is>
      </c>
      <c r="L44" s="115" t="inlineStr">
        <is>
          <t>Closed</t>
        </is>
      </c>
      <c r="M44" s="137">
        <f>IF(L44="Closed","Closed",IF(OR(H44&gt;=Mapping_Rules!$B$7,I44&gt;=Mapping_Rules!$B$8),"High Risk",IF(I44&gt;30,"Monitor","Normal")))</f>
        <v/>
      </c>
      <c r="N44" s="137">
        <f>IF(M44="Closed","No action",IF(M44="High Risk","Call customer/vendor and escalate",IF(M44="Monitor","Send follow-up email","Keep monitoring")))</f>
        <v/>
      </c>
    </row>
    <row r="45">
      <c r="A45" s="153" t="inlineStr">
        <is>
          <t>INV-00042</t>
        </is>
      </c>
      <c r="B45" s="153" t="inlineStr">
        <is>
          <t>AP</t>
        </is>
      </c>
      <c r="C45" s="153" t="inlineStr">
        <is>
          <t>BC Hydro</t>
        </is>
      </c>
      <c r="D45" s="154" t="n">
        <v>46007</v>
      </c>
      <c r="E45" s="154" t="n">
        <v>46022</v>
      </c>
      <c r="F45" s="155" t="n">
        <v>10557.16</v>
      </c>
      <c r="G45" s="155" t="n">
        <v>0</v>
      </c>
      <c r="H45" s="155">
        <f>F45-G45</f>
        <v/>
      </c>
      <c r="I45" s="156">
        <f>MAX(0,Mapping_Rules!$B$6-E45)</f>
        <v/>
      </c>
      <c r="J45" s="157">
        <f>IF(I45=0,"Current",IF(I45&lt;=30,"1-30",IF(I45&lt;=60,"31-60",IF(I45&lt;=90,"61-90","90+"))))</f>
        <v/>
      </c>
      <c r="K45" s="153" t="inlineStr">
        <is>
          <t>Accounting Technician</t>
        </is>
      </c>
      <c r="L45" s="153" t="inlineStr">
        <is>
          <t>Open</t>
        </is>
      </c>
      <c r="M45" s="157">
        <f>IF(L45="Closed","Closed",IF(OR(H45&gt;=Mapping_Rules!$B$7,I45&gt;=Mapping_Rules!$B$8),"High Risk",IF(I45&gt;30,"Monitor","Normal")))</f>
        <v/>
      </c>
      <c r="N45" s="157">
        <f>IF(M45="Closed","No action",IF(M45="High Risk","Call customer/vendor and escalate",IF(M45="Monitor","Send follow-up email","Keep monitoring")))</f>
        <v/>
      </c>
    </row>
    <row r="46">
      <c r="A46" s="115" t="inlineStr">
        <is>
          <t>INV-00043</t>
        </is>
      </c>
      <c r="B46" s="115" t="inlineStr">
        <is>
          <t>AR</t>
        </is>
      </c>
      <c r="C46" s="115" t="inlineStr">
        <is>
          <t>Granville Medical</t>
        </is>
      </c>
      <c r="D46" s="125" t="n">
        <v>46048</v>
      </c>
      <c r="E46" s="125" t="n">
        <v>46093</v>
      </c>
      <c r="F46" s="126" t="n">
        <v>1279.03</v>
      </c>
      <c r="G46" s="126" t="n">
        <v>1279.03</v>
      </c>
      <c r="H46" s="126">
        <f>F46-G46</f>
        <v/>
      </c>
      <c r="I46" s="136">
        <f>MAX(0,Mapping_Rules!$B$6-E46)</f>
        <v/>
      </c>
      <c r="J46" s="137">
        <f>IF(I46=0,"Current",IF(I46&lt;=30,"1-30",IF(I46&lt;=60,"31-60",IF(I46&lt;=90,"61-90","90+"))))</f>
        <v/>
      </c>
      <c r="K46" s="115" t="inlineStr">
        <is>
          <t>Finance Analyst</t>
        </is>
      </c>
      <c r="L46" s="115" t="inlineStr">
        <is>
          <t>Closed</t>
        </is>
      </c>
      <c r="M46" s="137">
        <f>IF(L46="Closed","Closed",IF(OR(H46&gt;=Mapping_Rules!$B$7,I46&gt;=Mapping_Rules!$B$8),"High Risk",IF(I46&gt;30,"Monitor","Normal")))</f>
        <v/>
      </c>
      <c r="N46" s="137">
        <f>IF(M46="Closed","No action",IF(M46="High Risk","Call customer/vendor and escalate",IF(M46="Monitor","Send follow-up email","Keep monitoring")))</f>
        <v/>
      </c>
    </row>
    <row r="47">
      <c r="A47" s="153" t="inlineStr">
        <is>
          <t>INV-00044</t>
        </is>
      </c>
      <c r="B47" s="153" t="inlineStr">
        <is>
          <t>AP</t>
        </is>
      </c>
      <c r="C47" s="153" t="inlineStr">
        <is>
          <t>Metro Cleaning Ltd.</t>
        </is>
      </c>
      <c r="D47" s="154" t="n">
        <v>45989</v>
      </c>
      <c r="E47" s="154" t="n">
        <v>46034</v>
      </c>
      <c r="F47" s="155" t="n">
        <v>2864.35</v>
      </c>
      <c r="G47" s="155" t="n">
        <v>0</v>
      </c>
      <c r="H47" s="155">
        <f>F47-G47</f>
        <v/>
      </c>
      <c r="I47" s="156">
        <f>MAX(0,Mapping_Rules!$B$6-E47)</f>
        <v/>
      </c>
      <c r="J47" s="157">
        <f>IF(I47=0,"Current",IF(I47&lt;=30,"1-30",IF(I47&lt;=60,"31-60",IF(I47&lt;=90,"61-90","90+"))))</f>
        <v/>
      </c>
      <c r="K47" s="153" t="inlineStr">
        <is>
          <t>AR Clerk</t>
        </is>
      </c>
      <c r="L47" s="153" t="inlineStr">
        <is>
          <t>Disputed</t>
        </is>
      </c>
      <c r="M47" s="157">
        <f>IF(L47="Closed","Closed",IF(OR(H47&gt;=Mapping_Rules!$B$7,I47&gt;=Mapping_Rules!$B$8),"High Risk",IF(I47&gt;30,"Monitor","Normal")))</f>
        <v/>
      </c>
      <c r="N47" s="157">
        <f>IF(M47="Closed","No action",IF(M47="High Risk","Call customer/vendor and escalate",IF(M47="Monitor","Send follow-up email","Keep monitoring")))</f>
        <v/>
      </c>
    </row>
    <row r="48">
      <c r="A48" s="115" t="inlineStr">
        <is>
          <t>INV-00045</t>
        </is>
      </c>
      <c r="B48" s="115" t="inlineStr">
        <is>
          <t>AP</t>
        </is>
      </c>
      <c r="C48" s="115" t="inlineStr">
        <is>
          <t>Staples Canada</t>
        </is>
      </c>
      <c r="D48" s="125" t="n">
        <v>45987</v>
      </c>
      <c r="E48" s="125" t="n">
        <v>46017</v>
      </c>
      <c r="F48" s="126" t="n">
        <v>11071.12</v>
      </c>
      <c r="G48" s="126" t="n">
        <v>0</v>
      </c>
      <c r="H48" s="126">
        <f>F48-G48</f>
        <v/>
      </c>
      <c r="I48" s="136">
        <f>MAX(0,Mapping_Rules!$B$6-E48)</f>
        <v/>
      </c>
      <c r="J48" s="137">
        <f>IF(I48=0,"Current",IF(I48&lt;=30,"1-30",IF(I48&lt;=60,"31-60",IF(I48&lt;=90,"61-90","90+"))))</f>
        <v/>
      </c>
      <c r="K48" s="115" t="inlineStr">
        <is>
          <t>AR Clerk</t>
        </is>
      </c>
      <c r="L48" s="115" t="inlineStr">
        <is>
          <t>Promise to Pay</t>
        </is>
      </c>
      <c r="M48" s="137">
        <f>IF(L48="Closed","Closed",IF(OR(H48&gt;=Mapping_Rules!$B$7,I48&gt;=Mapping_Rules!$B$8),"High Risk",IF(I48&gt;30,"Monitor","Normal")))</f>
        <v/>
      </c>
      <c r="N48" s="137">
        <f>IF(M48="Closed","No action",IF(M48="High Risk","Call customer/vendor and escalate",IF(M48="Monitor","Send follow-up email","Keep monitoring")))</f>
        <v/>
      </c>
    </row>
    <row r="49">
      <c r="A49" s="153" t="inlineStr">
        <is>
          <t>INV-00046</t>
        </is>
      </c>
      <c r="B49" s="153" t="inlineStr">
        <is>
          <t>AR</t>
        </is>
      </c>
      <c r="C49" s="153" t="inlineStr">
        <is>
          <t>Coastline Foods</t>
        </is>
      </c>
      <c r="D49" s="154" t="n">
        <v>45993</v>
      </c>
      <c r="E49" s="154" t="n">
        <v>46038</v>
      </c>
      <c r="F49" s="155" t="n">
        <v>2466.53</v>
      </c>
      <c r="G49" s="155" t="n">
        <v>0</v>
      </c>
      <c r="H49" s="155">
        <f>F49-G49</f>
        <v/>
      </c>
      <c r="I49" s="156">
        <f>MAX(0,Mapping_Rules!$B$6-E49)</f>
        <v/>
      </c>
      <c r="J49" s="157">
        <f>IF(I49=0,"Current",IF(I49&lt;=30,"1-30",IF(I49&lt;=60,"31-60",IF(I49&lt;=90,"61-90","90+"))))</f>
        <v/>
      </c>
      <c r="K49" s="153" t="inlineStr">
        <is>
          <t>AP Clerk</t>
        </is>
      </c>
      <c r="L49" s="153" t="inlineStr">
        <is>
          <t>Open</t>
        </is>
      </c>
      <c r="M49" s="157">
        <f>IF(L49="Closed","Closed",IF(OR(H49&gt;=Mapping_Rules!$B$7,I49&gt;=Mapping_Rules!$B$8),"High Risk",IF(I49&gt;30,"Monitor","Normal")))</f>
        <v/>
      </c>
      <c r="N49" s="157">
        <f>IF(M49="Closed","No action",IF(M49="High Risk","Call customer/vendor and escalate",IF(M49="Monitor","Send follow-up email","Keep monitoring")))</f>
        <v/>
      </c>
    </row>
    <row r="50">
      <c r="A50" s="115" t="inlineStr">
        <is>
          <t>INV-00047</t>
        </is>
      </c>
      <c r="B50" s="115" t="inlineStr">
        <is>
          <t>AP</t>
        </is>
      </c>
      <c r="C50" s="115" t="inlineStr">
        <is>
          <t>Amazon Business</t>
        </is>
      </c>
      <c r="D50" s="125" t="n">
        <v>45962</v>
      </c>
      <c r="E50" s="125" t="n">
        <v>45977</v>
      </c>
      <c r="F50" s="126" t="n">
        <v>12742.96</v>
      </c>
      <c r="G50" s="126" t="n">
        <v>0</v>
      </c>
      <c r="H50" s="126">
        <f>F50-G50</f>
        <v/>
      </c>
      <c r="I50" s="136">
        <f>MAX(0,Mapping_Rules!$B$6-E50)</f>
        <v/>
      </c>
      <c r="J50" s="137">
        <f>IF(I50=0,"Current",IF(I50&lt;=30,"1-30",IF(I50&lt;=60,"31-60",IF(I50&lt;=90,"61-90","90+"))))</f>
        <v/>
      </c>
      <c r="K50" s="115" t="inlineStr">
        <is>
          <t>Accounting Technician</t>
        </is>
      </c>
      <c r="L50" s="115" t="inlineStr">
        <is>
          <t>Open</t>
        </is>
      </c>
      <c r="M50" s="137">
        <f>IF(L50="Closed","Closed",IF(OR(H50&gt;=Mapping_Rules!$B$7,I50&gt;=Mapping_Rules!$B$8),"High Risk",IF(I50&gt;30,"Monitor","Normal")))</f>
        <v/>
      </c>
      <c r="N50" s="137">
        <f>IF(M50="Closed","No action",IF(M50="High Risk","Call customer/vendor and escalate",IF(M50="Monitor","Send follow-up email","Keep monitoring")))</f>
        <v/>
      </c>
    </row>
    <row r="51">
      <c r="A51" s="153" t="inlineStr">
        <is>
          <t>INV-00048</t>
        </is>
      </c>
      <c r="B51" s="153" t="inlineStr">
        <is>
          <t>AP</t>
        </is>
      </c>
      <c r="C51" s="153" t="inlineStr">
        <is>
          <t>Amazon Business</t>
        </is>
      </c>
      <c r="D51" s="154" t="n">
        <v>45997</v>
      </c>
      <c r="E51" s="154" t="n">
        <v>46057</v>
      </c>
      <c r="F51" s="155" t="n">
        <v>2865.65</v>
      </c>
      <c r="G51" s="155" t="n">
        <v>0</v>
      </c>
      <c r="H51" s="155">
        <f>F51-G51</f>
        <v/>
      </c>
      <c r="I51" s="156">
        <f>MAX(0,Mapping_Rules!$B$6-E51)</f>
        <v/>
      </c>
      <c r="J51" s="157">
        <f>IF(I51=0,"Current",IF(I51&lt;=30,"1-30",IF(I51&lt;=60,"31-60",IF(I51&lt;=90,"61-90","90+"))))</f>
        <v/>
      </c>
      <c r="K51" s="153" t="inlineStr">
        <is>
          <t>Accounting Technician</t>
        </is>
      </c>
      <c r="L51" s="153" t="inlineStr">
        <is>
          <t>Disputed</t>
        </is>
      </c>
      <c r="M51" s="157">
        <f>IF(L51="Closed","Closed",IF(OR(H51&gt;=Mapping_Rules!$B$7,I51&gt;=Mapping_Rules!$B$8),"High Risk",IF(I51&gt;30,"Monitor","Normal")))</f>
        <v/>
      </c>
      <c r="N51" s="157">
        <f>IF(M51="Closed","No action",IF(M51="High Risk","Call customer/vendor and escalate",IF(M51="Monitor","Send follow-up email","Keep monitoring")))</f>
        <v/>
      </c>
    </row>
    <row r="52">
      <c r="A52" s="115" t="inlineStr">
        <is>
          <t>INV-00049</t>
        </is>
      </c>
      <c r="B52" s="115" t="inlineStr">
        <is>
          <t>AP</t>
        </is>
      </c>
      <c r="C52" s="115" t="inlineStr">
        <is>
          <t>North Shore Telecom</t>
        </is>
      </c>
      <c r="D52" s="125" t="n">
        <v>46035</v>
      </c>
      <c r="E52" s="125" t="n">
        <v>46065</v>
      </c>
      <c r="F52" s="126" t="n">
        <v>954.1</v>
      </c>
      <c r="G52" s="126" t="n">
        <v>0</v>
      </c>
      <c r="H52" s="126">
        <f>F52-G52</f>
        <v/>
      </c>
      <c r="I52" s="136">
        <f>MAX(0,Mapping_Rules!$B$6-E52)</f>
        <v/>
      </c>
      <c r="J52" s="137">
        <f>IF(I52=0,"Current",IF(I52&lt;=30,"1-30",IF(I52&lt;=60,"31-60",IF(I52&lt;=90,"61-90","90+"))))</f>
        <v/>
      </c>
      <c r="K52" s="115" t="inlineStr">
        <is>
          <t>Finance Analyst</t>
        </is>
      </c>
      <c r="L52" s="115" t="inlineStr">
        <is>
          <t>Promise to Pay</t>
        </is>
      </c>
      <c r="M52" s="137">
        <f>IF(L52="Closed","Closed",IF(OR(H52&gt;=Mapping_Rules!$B$7,I52&gt;=Mapping_Rules!$B$8),"High Risk",IF(I52&gt;30,"Monitor","Normal")))</f>
        <v/>
      </c>
      <c r="N52" s="137">
        <f>IF(M52="Closed","No action",IF(M52="High Risk","Call customer/vendor and escalate",IF(M52="Monitor","Send follow-up email","Keep monitoring")))</f>
        <v/>
      </c>
    </row>
    <row r="53">
      <c r="A53" s="153" t="inlineStr">
        <is>
          <t>INV-00050</t>
        </is>
      </c>
      <c r="B53" s="153" t="inlineStr">
        <is>
          <t>AR</t>
        </is>
      </c>
      <c r="C53" s="153" t="inlineStr">
        <is>
          <t>West Van Fitness</t>
        </is>
      </c>
      <c r="D53" s="154" t="n">
        <v>46006</v>
      </c>
      <c r="E53" s="154" t="n">
        <v>46066</v>
      </c>
      <c r="F53" s="155" t="n">
        <v>12926.94</v>
      </c>
      <c r="G53" s="155" t="n">
        <v>0</v>
      </c>
      <c r="H53" s="155">
        <f>F53-G53</f>
        <v/>
      </c>
      <c r="I53" s="156">
        <f>MAX(0,Mapping_Rules!$B$6-E53)</f>
        <v/>
      </c>
      <c r="J53" s="157">
        <f>IF(I53=0,"Current",IF(I53&lt;=30,"1-30",IF(I53&lt;=60,"31-60",IF(I53&lt;=90,"61-90","90+"))))</f>
        <v/>
      </c>
      <c r="K53" s="153" t="inlineStr">
        <is>
          <t>Finance Analyst</t>
        </is>
      </c>
      <c r="L53" s="153" t="inlineStr">
        <is>
          <t>Disputed</t>
        </is>
      </c>
      <c r="M53" s="157">
        <f>IF(L53="Closed","Closed",IF(OR(H53&gt;=Mapping_Rules!$B$7,I53&gt;=Mapping_Rules!$B$8),"High Risk",IF(I53&gt;30,"Monitor","Normal")))</f>
        <v/>
      </c>
      <c r="N53" s="157">
        <f>IF(M53="Closed","No action",IF(M53="High Risk","Call customer/vendor and escalate",IF(M53="Monitor","Send follow-up email","Keep monitoring")))</f>
        <v/>
      </c>
    </row>
    <row r="54">
      <c r="A54" s="115" t="inlineStr">
        <is>
          <t>INV-00051</t>
        </is>
      </c>
      <c r="B54" s="115" t="inlineStr">
        <is>
          <t>AR</t>
        </is>
      </c>
      <c r="C54" s="115" t="inlineStr">
        <is>
          <t>Harbour Design Co.</t>
        </is>
      </c>
      <c r="D54" s="125" t="n">
        <v>46028</v>
      </c>
      <c r="E54" s="125" t="n">
        <v>46088</v>
      </c>
      <c r="F54" s="126" t="n">
        <v>4837.42</v>
      </c>
      <c r="G54" s="126" t="n">
        <v>0</v>
      </c>
      <c r="H54" s="126">
        <f>F54-G54</f>
        <v/>
      </c>
      <c r="I54" s="136">
        <f>MAX(0,Mapping_Rules!$B$6-E54)</f>
        <v/>
      </c>
      <c r="J54" s="137">
        <f>IF(I54=0,"Current",IF(I54&lt;=30,"1-30",IF(I54&lt;=60,"31-60",IF(I54&lt;=90,"61-90","90+"))))</f>
        <v/>
      </c>
      <c r="K54" s="115" t="inlineStr">
        <is>
          <t>AR Clerk</t>
        </is>
      </c>
      <c r="L54" s="115" t="inlineStr">
        <is>
          <t>Open</t>
        </is>
      </c>
      <c r="M54" s="137">
        <f>IF(L54="Closed","Closed",IF(OR(H54&gt;=Mapping_Rules!$B$7,I54&gt;=Mapping_Rules!$B$8),"High Risk",IF(I54&gt;30,"Monitor","Normal")))</f>
        <v/>
      </c>
      <c r="N54" s="137">
        <f>IF(M54="Closed","No action",IF(M54="High Risk","Call customer/vendor and escalate",IF(M54="Monitor","Send follow-up email","Keep monitoring")))</f>
        <v/>
      </c>
    </row>
    <row r="55">
      <c r="A55" s="153" t="inlineStr">
        <is>
          <t>INV-00052</t>
        </is>
      </c>
      <c r="B55" s="153" t="inlineStr">
        <is>
          <t>AP</t>
        </is>
      </c>
      <c r="C55" s="153" t="inlineStr">
        <is>
          <t>Amazon Business</t>
        </is>
      </c>
      <c r="D55" s="154" t="n">
        <v>45974</v>
      </c>
      <c r="E55" s="154" t="n">
        <v>46019</v>
      </c>
      <c r="F55" s="155" t="n">
        <v>5519.79</v>
      </c>
      <c r="G55" s="155" t="n">
        <v>0</v>
      </c>
      <c r="H55" s="155">
        <f>F55-G55</f>
        <v/>
      </c>
      <c r="I55" s="156">
        <f>MAX(0,Mapping_Rules!$B$6-E55)</f>
        <v/>
      </c>
      <c r="J55" s="157">
        <f>IF(I55=0,"Current",IF(I55&lt;=30,"1-30",IF(I55&lt;=60,"31-60",IF(I55&lt;=90,"61-90","90+"))))</f>
        <v/>
      </c>
      <c r="K55" s="153" t="inlineStr">
        <is>
          <t>AR Clerk</t>
        </is>
      </c>
      <c r="L55" s="153" t="inlineStr">
        <is>
          <t>Promise to Pay</t>
        </is>
      </c>
      <c r="M55" s="157">
        <f>IF(L55="Closed","Closed",IF(OR(H55&gt;=Mapping_Rules!$B$7,I55&gt;=Mapping_Rules!$B$8),"High Risk",IF(I55&gt;30,"Monitor","Normal")))</f>
        <v/>
      </c>
      <c r="N55" s="157">
        <f>IF(M55="Closed","No action",IF(M55="High Risk","Call customer/vendor and escalate",IF(M55="Monitor","Send follow-up email","Keep monitoring")))</f>
        <v/>
      </c>
    </row>
    <row r="56">
      <c r="A56" s="115" t="inlineStr">
        <is>
          <t>INV-00053</t>
        </is>
      </c>
      <c r="B56" s="115" t="inlineStr">
        <is>
          <t>AP</t>
        </is>
      </c>
      <c r="C56" s="115" t="inlineStr">
        <is>
          <t>North Shore Telecom</t>
        </is>
      </c>
      <c r="D56" s="125" t="n">
        <v>45996</v>
      </c>
      <c r="E56" s="125" t="n">
        <v>46056</v>
      </c>
      <c r="F56" s="126" t="n">
        <v>14384.12</v>
      </c>
      <c r="G56" s="126" t="n">
        <v>0</v>
      </c>
      <c r="H56" s="126">
        <f>F56-G56</f>
        <v/>
      </c>
      <c r="I56" s="136">
        <f>MAX(0,Mapping_Rules!$B$6-E56)</f>
        <v/>
      </c>
      <c r="J56" s="137">
        <f>IF(I56=0,"Current",IF(I56&lt;=30,"1-30",IF(I56&lt;=60,"31-60",IF(I56&lt;=90,"61-90","90+"))))</f>
        <v/>
      </c>
      <c r="K56" s="115" t="inlineStr">
        <is>
          <t>AR Clerk</t>
        </is>
      </c>
      <c r="L56" s="115" t="inlineStr">
        <is>
          <t>Open</t>
        </is>
      </c>
      <c r="M56" s="137">
        <f>IF(L56="Closed","Closed",IF(OR(H56&gt;=Mapping_Rules!$B$7,I56&gt;=Mapping_Rules!$B$8),"High Risk",IF(I56&gt;30,"Monitor","Normal")))</f>
        <v/>
      </c>
      <c r="N56" s="137">
        <f>IF(M56="Closed","No action",IF(M56="High Risk","Call customer/vendor and escalate",IF(M56="Monitor","Send follow-up email","Keep monitoring")))</f>
        <v/>
      </c>
    </row>
    <row r="57">
      <c r="A57" s="153" t="inlineStr">
        <is>
          <t>INV-00054</t>
        </is>
      </c>
      <c r="B57" s="153" t="inlineStr">
        <is>
          <t>AP</t>
        </is>
      </c>
      <c r="C57" s="153" t="inlineStr">
        <is>
          <t>BC Hydro</t>
        </is>
      </c>
      <c r="D57" s="154" t="n">
        <v>45988</v>
      </c>
      <c r="E57" s="154" t="n">
        <v>46048</v>
      </c>
      <c r="F57" s="155" t="n">
        <v>10555.58</v>
      </c>
      <c r="G57" s="155" t="n">
        <v>0</v>
      </c>
      <c r="H57" s="155">
        <f>F57-G57</f>
        <v/>
      </c>
      <c r="I57" s="156">
        <f>MAX(0,Mapping_Rules!$B$6-E57)</f>
        <v/>
      </c>
      <c r="J57" s="157">
        <f>IF(I57=0,"Current",IF(I57&lt;=30,"1-30",IF(I57&lt;=60,"31-60",IF(I57&lt;=90,"61-90","90+"))))</f>
        <v/>
      </c>
      <c r="K57" s="153" t="inlineStr">
        <is>
          <t>Finance Analyst</t>
        </is>
      </c>
      <c r="L57" s="153" t="inlineStr">
        <is>
          <t>Open</t>
        </is>
      </c>
      <c r="M57" s="157">
        <f>IF(L57="Closed","Closed",IF(OR(H57&gt;=Mapping_Rules!$B$7,I57&gt;=Mapping_Rules!$B$8),"High Risk",IF(I57&gt;30,"Monitor","Normal")))</f>
        <v/>
      </c>
      <c r="N57" s="157">
        <f>IF(M57="Closed","No action",IF(M57="High Risk","Call customer/vendor and escalate",IF(M57="Monitor","Send follow-up email","Keep monitoring")))</f>
        <v/>
      </c>
    </row>
    <row r="58">
      <c r="A58" s="115" t="inlineStr">
        <is>
          <t>INV-00055</t>
        </is>
      </c>
      <c r="B58" s="115" t="inlineStr">
        <is>
          <t>AP</t>
        </is>
      </c>
      <c r="C58" s="115" t="inlineStr">
        <is>
          <t>BC Hydro</t>
        </is>
      </c>
      <c r="D58" s="125" t="n">
        <v>45985</v>
      </c>
      <c r="E58" s="125" t="n">
        <v>46015</v>
      </c>
      <c r="F58" s="126" t="n">
        <v>14692.2</v>
      </c>
      <c r="G58" s="126" t="n">
        <v>9979.290000000001</v>
      </c>
      <c r="H58" s="126">
        <f>F58-G58</f>
        <v/>
      </c>
      <c r="I58" s="136">
        <f>MAX(0,Mapping_Rules!$B$6-E58)</f>
        <v/>
      </c>
      <c r="J58" s="137">
        <f>IF(I58=0,"Current",IF(I58&lt;=30,"1-30",IF(I58&lt;=60,"31-60",IF(I58&lt;=90,"61-90","90+"))))</f>
        <v/>
      </c>
      <c r="K58" s="115" t="inlineStr">
        <is>
          <t>Accounting Technician</t>
        </is>
      </c>
      <c r="L58" s="115" t="inlineStr">
        <is>
          <t>Part Paid</t>
        </is>
      </c>
      <c r="M58" s="137">
        <f>IF(L58="Closed","Closed",IF(OR(H58&gt;=Mapping_Rules!$B$7,I58&gt;=Mapping_Rules!$B$8),"High Risk",IF(I58&gt;30,"Monitor","Normal")))</f>
        <v/>
      </c>
      <c r="N58" s="137">
        <f>IF(M58="Closed","No action",IF(M58="High Risk","Call customer/vendor and escalate",IF(M58="Monitor","Send follow-up email","Keep monitoring")))</f>
        <v/>
      </c>
    </row>
    <row r="59">
      <c r="A59" s="153" t="inlineStr">
        <is>
          <t>INV-00056</t>
        </is>
      </c>
      <c r="B59" s="153" t="inlineStr">
        <is>
          <t>AR</t>
        </is>
      </c>
      <c r="C59" s="153" t="inlineStr">
        <is>
          <t>West Van Fitness</t>
        </is>
      </c>
      <c r="D59" s="154" t="n">
        <v>46017</v>
      </c>
      <c r="E59" s="154" t="n">
        <v>46077</v>
      </c>
      <c r="F59" s="155" t="n">
        <v>3061.54</v>
      </c>
      <c r="G59" s="155" t="n">
        <v>0</v>
      </c>
      <c r="H59" s="155">
        <f>F59-G59</f>
        <v/>
      </c>
      <c r="I59" s="156">
        <f>MAX(0,Mapping_Rules!$B$6-E59)</f>
        <v/>
      </c>
      <c r="J59" s="157">
        <f>IF(I59=0,"Current",IF(I59&lt;=30,"1-30",IF(I59&lt;=60,"31-60",IF(I59&lt;=90,"61-90","90+"))))</f>
        <v/>
      </c>
      <c r="K59" s="153" t="inlineStr">
        <is>
          <t>AR Clerk</t>
        </is>
      </c>
      <c r="L59" s="153" t="inlineStr">
        <is>
          <t>Promise to Pay</t>
        </is>
      </c>
      <c r="M59" s="157">
        <f>IF(L59="Closed","Closed",IF(OR(H59&gt;=Mapping_Rules!$B$7,I59&gt;=Mapping_Rules!$B$8),"High Risk",IF(I59&gt;30,"Monitor","Normal")))</f>
        <v/>
      </c>
      <c r="N59" s="157">
        <f>IF(M59="Closed","No action",IF(M59="High Risk","Call customer/vendor and escalate",IF(M59="Monitor","Send follow-up email","Keep monitoring")))</f>
        <v/>
      </c>
    </row>
    <row r="60">
      <c r="A60" s="115" t="inlineStr">
        <is>
          <t>INV-00057</t>
        </is>
      </c>
      <c r="B60" s="115" t="inlineStr">
        <is>
          <t>AP</t>
        </is>
      </c>
      <c r="C60" s="115" t="inlineStr">
        <is>
          <t>Vancouver Courier</t>
        </is>
      </c>
      <c r="D60" s="125" t="n">
        <v>45963</v>
      </c>
      <c r="E60" s="125" t="n">
        <v>45993</v>
      </c>
      <c r="F60" s="126" t="n">
        <v>6409.58</v>
      </c>
      <c r="G60" s="126" t="n">
        <v>0</v>
      </c>
      <c r="H60" s="126">
        <f>F60-G60</f>
        <v/>
      </c>
      <c r="I60" s="136">
        <f>MAX(0,Mapping_Rules!$B$6-E60)</f>
        <v/>
      </c>
      <c r="J60" s="137">
        <f>IF(I60=0,"Current",IF(I60&lt;=30,"1-30",IF(I60&lt;=60,"31-60",IF(I60&lt;=90,"61-90","90+"))))</f>
        <v/>
      </c>
      <c r="K60" s="115" t="inlineStr">
        <is>
          <t>Accounting Technician</t>
        </is>
      </c>
      <c r="L60" s="115" t="inlineStr">
        <is>
          <t>Open</t>
        </is>
      </c>
      <c r="M60" s="137">
        <f>IF(L60="Closed","Closed",IF(OR(H60&gt;=Mapping_Rules!$B$7,I60&gt;=Mapping_Rules!$B$8),"High Risk",IF(I60&gt;30,"Monitor","Normal")))</f>
        <v/>
      </c>
      <c r="N60" s="137">
        <f>IF(M60="Closed","No action",IF(M60="High Risk","Call customer/vendor and escalate",IF(M60="Monitor","Send follow-up email","Keep monitoring")))</f>
        <v/>
      </c>
    </row>
    <row r="61">
      <c r="A61" s="153" t="inlineStr">
        <is>
          <t>INV-00058</t>
        </is>
      </c>
      <c r="B61" s="153" t="inlineStr">
        <is>
          <t>AP</t>
        </is>
      </c>
      <c r="C61" s="153" t="inlineStr">
        <is>
          <t>Metro Cleaning Ltd.</t>
        </is>
      </c>
      <c r="D61" s="154" t="n">
        <v>45994</v>
      </c>
      <c r="E61" s="154" t="n">
        <v>46009</v>
      </c>
      <c r="F61" s="155" t="n">
        <v>6066.27</v>
      </c>
      <c r="G61" s="155" t="n">
        <v>1146.67</v>
      </c>
      <c r="H61" s="155">
        <f>F61-G61</f>
        <v/>
      </c>
      <c r="I61" s="156">
        <f>MAX(0,Mapping_Rules!$B$6-E61)</f>
        <v/>
      </c>
      <c r="J61" s="157">
        <f>IF(I61=0,"Current",IF(I61&lt;=30,"1-30",IF(I61&lt;=60,"31-60",IF(I61&lt;=90,"61-90","90+"))))</f>
        <v/>
      </c>
      <c r="K61" s="153" t="inlineStr">
        <is>
          <t>Accounting Technician</t>
        </is>
      </c>
      <c r="L61" s="153" t="inlineStr">
        <is>
          <t>Part Paid</t>
        </is>
      </c>
      <c r="M61" s="157">
        <f>IF(L61="Closed","Closed",IF(OR(H61&gt;=Mapping_Rules!$B$7,I61&gt;=Mapping_Rules!$B$8),"High Risk",IF(I61&gt;30,"Monitor","Normal")))</f>
        <v/>
      </c>
      <c r="N61" s="157">
        <f>IF(M61="Closed","No action",IF(M61="High Risk","Call customer/vendor and escalate",IF(M61="Monitor","Send follow-up email","Keep monitoring")))</f>
        <v/>
      </c>
    </row>
    <row r="62">
      <c r="A62" s="115" t="inlineStr">
        <is>
          <t>INV-00059</t>
        </is>
      </c>
      <c r="B62" s="115" t="inlineStr">
        <is>
          <t>AP</t>
        </is>
      </c>
      <c r="C62" s="115" t="inlineStr">
        <is>
          <t>Vancouver Courier</t>
        </is>
      </c>
      <c r="D62" s="125" t="n">
        <v>46042</v>
      </c>
      <c r="E62" s="125" t="n">
        <v>46057</v>
      </c>
      <c r="F62" s="126" t="n">
        <v>6830.34</v>
      </c>
      <c r="G62" s="126" t="n">
        <v>0</v>
      </c>
      <c r="H62" s="126">
        <f>F62-G62</f>
        <v/>
      </c>
      <c r="I62" s="136">
        <f>MAX(0,Mapping_Rules!$B$6-E62)</f>
        <v/>
      </c>
      <c r="J62" s="137">
        <f>IF(I62=0,"Current",IF(I62&lt;=30,"1-30",IF(I62&lt;=60,"31-60",IF(I62&lt;=90,"61-90","90+"))))</f>
        <v/>
      </c>
      <c r="K62" s="115" t="inlineStr">
        <is>
          <t>Accounting Technician</t>
        </is>
      </c>
      <c r="L62" s="115" t="inlineStr">
        <is>
          <t>Open</t>
        </is>
      </c>
      <c r="M62" s="137">
        <f>IF(L62="Closed","Closed",IF(OR(H62&gt;=Mapping_Rules!$B$7,I62&gt;=Mapping_Rules!$B$8),"High Risk",IF(I62&gt;30,"Monitor","Normal")))</f>
        <v/>
      </c>
      <c r="N62" s="137">
        <f>IF(M62="Closed","No action",IF(M62="High Risk","Call customer/vendor and escalate",IF(M62="Monitor","Send follow-up email","Keep monitoring")))</f>
        <v/>
      </c>
    </row>
    <row r="63">
      <c r="A63" s="153" t="inlineStr">
        <is>
          <t>INV-00060</t>
        </is>
      </c>
      <c r="B63" s="153" t="inlineStr">
        <is>
          <t>AP</t>
        </is>
      </c>
      <c r="C63" s="153" t="inlineStr">
        <is>
          <t>Amazon Business</t>
        </is>
      </c>
      <c r="D63" s="154" t="n">
        <v>46033</v>
      </c>
      <c r="E63" s="154" t="n">
        <v>46078</v>
      </c>
      <c r="F63" s="155" t="n">
        <v>5260.48</v>
      </c>
      <c r="G63" s="155" t="n">
        <v>0</v>
      </c>
      <c r="H63" s="155">
        <f>F63-G63</f>
        <v/>
      </c>
      <c r="I63" s="156">
        <f>MAX(0,Mapping_Rules!$B$6-E63)</f>
        <v/>
      </c>
      <c r="J63" s="157">
        <f>IF(I63=0,"Current",IF(I63&lt;=30,"1-30",IF(I63&lt;=60,"31-60",IF(I63&lt;=90,"61-90","90+"))))</f>
        <v/>
      </c>
      <c r="K63" s="153" t="inlineStr">
        <is>
          <t>Accounting Technician</t>
        </is>
      </c>
      <c r="L63" s="153" t="inlineStr">
        <is>
          <t>Open</t>
        </is>
      </c>
      <c r="M63" s="157">
        <f>IF(L63="Closed","Closed",IF(OR(H63&gt;=Mapping_Rules!$B$7,I63&gt;=Mapping_Rules!$B$8),"High Risk",IF(I63&gt;30,"Monitor","Normal")))</f>
        <v/>
      </c>
      <c r="N63" s="157">
        <f>IF(M63="Closed","No action",IF(M63="High Risk","Call customer/vendor and escalate",IF(M63="Monitor","Send follow-up email","Keep monitoring")))</f>
        <v/>
      </c>
    </row>
    <row r="64">
      <c r="A64" s="115" t="inlineStr">
        <is>
          <t>INV-00061</t>
        </is>
      </c>
      <c r="B64" s="115" t="inlineStr">
        <is>
          <t>AR</t>
        </is>
      </c>
      <c r="C64" s="115" t="inlineStr">
        <is>
          <t>West Van Fitness</t>
        </is>
      </c>
      <c r="D64" s="125" t="n">
        <v>46035</v>
      </c>
      <c r="E64" s="125" t="n">
        <v>46065</v>
      </c>
      <c r="F64" s="126" t="n">
        <v>14693.69</v>
      </c>
      <c r="G64" s="126" t="n">
        <v>0</v>
      </c>
      <c r="H64" s="126">
        <f>F64-G64</f>
        <v/>
      </c>
      <c r="I64" s="136">
        <f>MAX(0,Mapping_Rules!$B$6-E64)</f>
        <v/>
      </c>
      <c r="J64" s="137">
        <f>IF(I64=0,"Current",IF(I64&lt;=30,"1-30",IF(I64&lt;=60,"31-60",IF(I64&lt;=90,"61-90","90+"))))</f>
        <v/>
      </c>
      <c r="K64" s="115" t="inlineStr">
        <is>
          <t>Accounting Technician</t>
        </is>
      </c>
      <c r="L64" s="115" t="inlineStr">
        <is>
          <t>Open</t>
        </is>
      </c>
      <c r="M64" s="137">
        <f>IF(L64="Closed","Closed",IF(OR(H64&gt;=Mapping_Rules!$B$7,I64&gt;=Mapping_Rules!$B$8),"High Risk",IF(I64&gt;30,"Monitor","Normal")))</f>
        <v/>
      </c>
      <c r="N64" s="137">
        <f>IF(M64="Closed","No action",IF(M64="High Risk","Call customer/vendor and escalate",IF(M64="Monitor","Send follow-up email","Keep monitoring")))</f>
        <v/>
      </c>
    </row>
    <row r="65">
      <c r="A65" s="153" t="inlineStr">
        <is>
          <t>INV-00062</t>
        </is>
      </c>
      <c r="B65" s="153" t="inlineStr">
        <is>
          <t>AP</t>
        </is>
      </c>
      <c r="C65" s="153" t="inlineStr">
        <is>
          <t>Vancouver Courier</t>
        </is>
      </c>
      <c r="D65" s="154" t="n">
        <v>46019</v>
      </c>
      <c r="E65" s="154" t="n">
        <v>46034</v>
      </c>
      <c r="F65" s="155" t="n">
        <v>5808.9</v>
      </c>
      <c r="G65" s="155" t="n">
        <v>0</v>
      </c>
      <c r="H65" s="155">
        <f>F65-G65</f>
        <v/>
      </c>
      <c r="I65" s="156">
        <f>MAX(0,Mapping_Rules!$B$6-E65)</f>
        <v/>
      </c>
      <c r="J65" s="157">
        <f>IF(I65=0,"Current",IF(I65&lt;=30,"1-30",IF(I65&lt;=60,"31-60",IF(I65&lt;=90,"61-90","90+"))))</f>
        <v/>
      </c>
      <c r="K65" s="153" t="inlineStr">
        <is>
          <t>AR Clerk</t>
        </is>
      </c>
      <c r="L65" s="153" t="inlineStr">
        <is>
          <t>Open</t>
        </is>
      </c>
      <c r="M65" s="157">
        <f>IF(L65="Closed","Closed",IF(OR(H65&gt;=Mapping_Rules!$B$7,I65&gt;=Mapping_Rules!$B$8),"High Risk",IF(I65&gt;30,"Monitor","Normal")))</f>
        <v/>
      </c>
      <c r="N65" s="157">
        <f>IF(M65="Closed","No action",IF(M65="High Risk","Call customer/vendor and escalate",IF(M65="Monitor","Send follow-up email","Keep monitoring")))</f>
        <v/>
      </c>
    </row>
    <row r="66">
      <c r="A66" s="115" t="inlineStr">
        <is>
          <t>INV-00063</t>
        </is>
      </c>
      <c r="B66" s="115" t="inlineStr">
        <is>
          <t>AR</t>
        </is>
      </c>
      <c r="C66" s="115" t="inlineStr">
        <is>
          <t>Harbour Design Co.</t>
        </is>
      </c>
      <c r="D66" s="125" t="n">
        <v>46005</v>
      </c>
      <c r="E66" s="125" t="n">
        <v>46065</v>
      </c>
      <c r="F66" s="126" t="n">
        <v>9524.41</v>
      </c>
      <c r="G66" s="126" t="n">
        <v>6684.09</v>
      </c>
      <c r="H66" s="126">
        <f>F66-G66</f>
        <v/>
      </c>
      <c r="I66" s="136">
        <f>MAX(0,Mapping_Rules!$B$6-E66)</f>
        <v/>
      </c>
      <c r="J66" s="137">
        <f>IF(I66=0,"Current",IF(I66&lt;=30,"1-30",IF(I66&lt;=60,"31-60",IF(I66&lt;=90,"61-90","90+"))))</f>
        <v/>
      </c>
      <c r="K66" s="115" t="inlineStr">
        <is>
          <t>AP Clerk</t>
        </is>
      </c>
      <c r="L66" s="115" t="inlineStr">
        <is>
          <t>Part Paid</t>
        </is>
      </c>
      <c r="M66" s="137">
        <f>IF(L66="Closed","Closed",IF(OR(H66&gt;=Mapping_Rules!$B$7,I66&gt;=Mapping_Rules!$B$8),"High Risk",IF(I66&gt;30,"Monitor","Normal")))</f>
        <v/>
      </c>
      <c r="N66" s="137">
        <f>IF(M66="Closed","No action",IF(M66="High Risk","Call customer/vendor and escalate",IF(M66="Monitor","Send follow-up email","Keep monitoring")))</f>
        <v/>
      </c>
    </row>
    <row r="67">
      <c r="A67" s="153" t="inlineStr">
        <is>
          <t>INV-00064</t>
        </is>
      </c>
      <c r="B67" s="153" t="inlineStr">
        <is>
          <t>AR</t>
        </is>
      </c>
      <c r="C67" s="153" t="inlineStr">
        <is>
          <t>Coastline Foods</t>
        </is>
      </c>
      <c r="D67" s="154" t="n">
        <v>46005</v>
      </c>
      <c r="E67" s="154" t="n">
        <v>46035</v>
      </c>
      <c r="F67" s="155" t="n">
        <v>4805.21</v>
      </c>
      <c r="G67" s="155" t="n">
        <v>2939.74</v>
      </c>
      <c r="H67" s="155">
        <f>F67-G67</f>
        <v/>
      </c>
      <c r="I67" s="156">
        <f>MAX(0,Mapping_Rules!$B$6-E67)</f>
        <v/>
      </c>
      <c r="J67" s="157">
        <f>IF(I67=0,"Current",IF(I67&lt;=30,"1-30",IF(I67&lt;=60,"31-60",IF(I67&lt;=90,"61-90","90+"))))</f>
        <v/>
      </c>
      <c r="K67" s="153" t="inlineStr">
        <is>
          <t>Finance Analyst</t>
        </is>
      </c>
      <c r="L67" s="153" t="inlineStr">
        <is>
          <t>Part Paid</t>
        </is>
      </c>
      <c r="M67" s="157">
        <f>IF(L67="Closed","Closed",IF(OR(H67&gt;=Mapping_Rules!$B$7,I67&gt;=Mapping_Rules!$B$8),"High Risk",IF(I67&gt;30,"Monitor","Normal")))</f>
        <v/>
      </c>
      <c r="N67" s="157">
        <f>IF(M67="Closed","No action",IF(M67="High Risk","Call customer/vendor and escalate",IF(M67="Monitor","Send follow-up email","Keep monitoring")))</f>
        <v/>
      </c>
    </row>
    <row r="68">
      <c r="A68" s="115" t="inlineStr">
        <is>
          <t>INV-00065</t>
        </is>
      </c>
      <c r="B68" s="115" t="inlineStr">
        <is>
          <t>AP</t>
        </is>
      </c>
      <c r="C68" s="115" t="inlineStr">
        <is>
          <t>BC Hydro</t>
        </is>
      </c>
      <c r="D68" s="125" t="n">
        <v>46008</v>
      </c>
      <c r="E68" s="125" t="n">
        <v>46068</v>
      </c>
      <c r="F68" s="126" t="n">
        <v>6297.74</v>
      </c>
      <c r="G68" s="126" t="n">
        <v>0</v>
      </c>
      <c r="H68" s="126">
        <f>F68-G68</f>
        <v/>
      </c>
      <c r="I68" s="136">
        <f>MAX(0,Mapping_Rules!$B$6-E68)</f>
        <v/>
      </c>
      <c r="J68" s="137">
        <f>IF(I68=0,"Current",IF(I68&lt;=30,"1-30",IF(I68&lt;=60,"31-60",IF(I68&lt;=90,"61-90","90+"))))</f>
        <v/>
      </c>
      <c r="K68" s="115" t="inlineStr">
        <is>
          <t>AP Clerk</t>
        </is>
      </c>
      <c r="L68" s="115" t="inlineStr">
        <is>
          <t>Open</t>
        </is>
      </c>
      <c r="M68" s="137">
        <f>IF(L68="Closed","Closed",IF(OR(H68&gt;=Mapping_Rules!$B$7,I68&gt;=Mapping_Rules!$B$8),"High Risk",IF(I68&gt;30,"Monitor","Normal")))</f>
        <v/>
      </c>
      <c r="N68" s="137">
        <f>IF(M68="Closed","No action",IF(M68="High Risk","Call customer/vendor and escalate",IF(M68="Monitor","Send follow-up email","Keep monitoring")))</f>
        <v/>
      </c>
    </row>
    <row r="69">
      <c r="A69" s="153" t="inlineStr">
        <is>
          <t>INV-00066</t>
        </is>
      </c>
      <c r="B69" s="153" t="inlineStr">
        <is>
          <t>AR</t>
        </is>
      </c>
      <c r="C69" s="153" t="inlineStr">
        <is>
          <t>Harbour Design Co.</t>
        </is>
      </c>
      <c r="D69" s="154" t="n">
        <v>45992</v>
      </c>
      <c r="E69" s="154" t="n">
        <v>46037</v>
      </c>
      <c r="F69" s="155" t="n">
        <v>14115.49</v>
      </c>
      <c r="G69" s="155" t="n">
        <v>0</v>
      </c>
      <c r="H69" s="155">
        <f>F69-G69</f>
        <v/>
      </c>
      <c r="I69" s="156">
        <f>MAX(0,Mapping_Rules!$B$6-E69)</f>
        <v/>
      </c>
      <c r="J69" s="157">
        <f>IF(I69=0,"Current",IF(I69&lt;=30,"1-30",IF(I69&lt;=60,"31-60",IF(I69&lt;=90,"61-90","90+"))))</f>
        <v/>
      </c>
      <c r="K69" s="153" t="inlineStr">
        <is>
          <t>AP Clerk</t>
        </is>
      </c>
      <c r="L69" s="153" t="inlineStr">
        <is>
          <t>Disputed</t>
        </is>
      </c>
      <c r="M69" s="157">
        <f>IF(L69="Closed","Closed",IF(OR(H69&gt;=Mapping_Rules!$B$7,I69&gt;=Mapping_Rules!$B$8),"High Risk",IF(I69&gt;30,"Monitor","Normal")))</f>
        <v/>
      </c>
      <c r="N69" s="157">
        <f>IF(M69="Closed","No action",IF(M69="High Risk","Call customer/vendor and escalate",IF(M69="Monitor","Send follow-up email","Keep monitoring")))</f>
        <v/>
      </c>
    </row>
    <row r="70">
      <c r="A70" s="115" t="inlineStr">
        <is>
          <t>INV-00067</t>
        </is>
      </c>
      <c r="B70" s="115" t="inlineStr">
        <is>
          <t>AR</t>
        </is>
      </c>
      <c r="C70" s="115" t="inlineStr">
        <is>
          <t>Coastline Foods</t>
        </is>
      </c>
      <c r="D70" s="125" t="n">
        <v>46012</v>
      </c>
      <c r="E70" s="125" t="n">
        <v>46027</v>
      </c>
      <c r="F70" s="126" t="n">
        <v>1568.97</v>
      </c>
      <c r="G70" s="126" t="n">
        <v>1568.97</v>
      </c>
      <c r="H70" s="126">
        <f>F70-G70</f>
        <v/>
      </c>
      <c r="I70" s="136">
        <f>MAX(0,Mapping_Rules!$B$6-E70)</f>
        <v/>
      </c>
      <c r="J70" s="137">
        <f>IF(I70=0,"Current",IF(I70&lt;=30,"1-30",IF(I70&lt;=60,"31-60",IF(I70&lt;=90,"61-90","90+"))))</f>
        <v/>
      </c>
      <c r="K70" s="115" t="inlineStr">
        <is>
          <t>Finance Analyst</t>
        </is>
      </c>
      <c r="L70" s="115" t="inlineStr">
        <is>
          <t>Closed</t>
        </is>
      </c>
      <c r="M70" s="137">
        <f>IF(L70="Closed","Closed",IF(OR(H70&gt;=Mapping_Rules!$B$7,I70&gt;=Mapping_Rules!$B$8),"High Risk",IF(I70&gt;30,"Monitor","Normal")))</f>
        <v/>
      </c>
      <c r="N70" s="137">
        <f>IF(M70="Closed","No action",IF(M70="High Risk","Call customer/vendor and escalate",IF(M70="Monitor","Send follow-up email","Keep monitoring")))</f>
        <v/>
      </c>
    </row>
    <row r="71">
      <c r="A71" s="153" t="inlineStr">
        <is>
          <t>INV-00068</t>
        </is>
      </c>
      <c r="B71" s="153" t="inlineStr">
        <is>
          <t>AR</t>
        </is>
      </c>
      <c r="C71" s="153" t="inlineStr">
        <is>
          <t>Maple Retail Group</t>
        </is>
      </c>
      <c r="D71" s="154" t="n">
        <v>46012</v>
      </c>
      <c r="E71" s="154" t="n">
        <v>46027</v>
      </c>
      <c r="F71" s="155" t="n">
        <v>1693.34</v>
      </c>
      <c r="G71" s="155" t="n">
        <v>346.8</v>
      </c>
      <c r="H71" s="155">
        <f>F71-G71</f>
        <v/>
      </c>
      <c r="I71" s="156">
        <f>MAX(0,Mapping_Rules!$B$6-E71)</f>
        <v/>
      </c>
      <c r="J71" s="157">
        <f>IF(I71=0,"Current",IF(I71&lt;=30,"1-30",IF(I71&lt;=60,"31-60",IF(I71&lt;=90,"61-90","90+"))))</f>
        <v/>
      </c>
      <c r="K71" s="153" t="inlineStr">
        <is>
          <t>Finance Analyst</t>
        </is>
      </c>
      <c r="L71" s="153" t="inlineStr">
        <is>
          <t>Part Paid</t>
        </is>
      </c>
      <c r="M71" s="157">
        <f>IF(L71="Closed","Closed",IF(OR(H71&gt;=Mapping_Rules!$B$7,I71&gt;=Mapping_Rules!$B$8),"High Risk",IF(I71&gt;30,"Monitor","Normal")))</f>
        <v/>
      </c>
      <c r="N71" s="157">
        <f>IF(M71="Closed","No action",IF(M71="High Risk","Call customer/vendor and escalate",IF(M71="Monitor","Send follow-up email","Keep monitoring")))</f>
        <v/>
      </c>
    </row>
    <row r="72">
      <c r="A72" s="115" t="inlineStr">
        <is>
          <t>INV-00069</t>
        </is>
      </c>
      <c r="B72" s="115" t="inlineStr">
        <is>
          <t>AP</t>
        </is>
      </c>
      <c r="C72" s="115" t="inlineStr">
        <is>
          <t>North Shore Telecom</t>
        </is>
      </c>
      <c r="D72" s="125" t="n">
        <v>45993</v>
      </c>
      <c r="E72" s="125" t="n">
        <v>46038</v>
      </c>
      <c r="F72" s="126" t="n">
        <v>6730.93</v>
      </c>
      <c r="G72" s="126" t="n">
        <v>0</v>
      </c>
      <c r="H72" s="126">
        <f>F72-G72</f>
        <v/>
      </c>
      <c r="I72" s="136">
        <f>MAX(0,Mapping_Rules!$B$6-E72)</f>
        <v/>
      </c>
      <c r="J72" s="137">
        <f>IF(I72=0,"Current",IF(I72&lt;=30,"1-30",IF(I72&lt;=60,"31-60",IF(I72&lt;=90,"61-90","90+"))))</f>
        <v/>
      </c>
      <c r="K72" s="115" t="inlineStr">
        <is>
          <t>AR Clerk</t>
        </is>
      </c>
      <c r="L72" s="115" t="inlineStr">
        <is>
          <t>Open</t>
        </is>
      </c>
      <c r="M72" s="137">
        <f>IF(L72="Closed","Closed",IF(OR(H72&gt;=Mapping_Rules!$B$7,I72&gt;=Mapping_Rules!$B$8),"High Risk",IF(I72&gt;30,"Monitor","Normal")))</f>
        <v/>
      </c>
      <c r="N72" s="137">
        <f>IF(M72="Closed","No action",IF(M72="High Risk","Call customer/vendor and escalate",IF(M72="Monitor","Send follow-up email","Keep monitoring")))</f>
        <v/>
      </c>
    </row>
    <row r="73">
      <c r="A73" s="153" t="inlineStr">
        <is>
          <t>INV-00070</t>
        </is>
      </c>
      <c r="B73" s="153" t="inlineStr">
        <is>
          <t>AR</t>
        </is>
      </c>
      <c r="C73" s="153" t="inlineStr">
        <is>
          <t>Maple Retail Group</t>
        </is>
      </c>
      <c r="D73" s="154" t="n">
        <v>46046</v>
      </c>
      <c r="E73" s="154" t="n">
        <v>46091</v>
      </c>
      <c r="F73" s="155" t="n">
        <v>12926.48</v>
      </c>
      <c r="G73" s="155" t="n">
        <v>0</v>
      </c>
      <c r="H73" s="155">
        <f>F73-G73</f>
        <v/>
      </c>
      <c r="I73" s="156">
        <f>MAX(0,Mapping_Rules!$B$6-E73)</f>
        <v/>
      </c>
      <c r="J73" s="157">
        <f>IF(I73=0,"Current",IF(I73&lt;=30,"1-30",IF(I73&lt;=60,"31-60",IF(I73&lt;=90,"61-90","90+"))))</f>
        <v/>
      </c>
      <c r="K73" s="153" t="inlineStr">
        <is>
          <t>Finance Analyst</t>
        </is>
      </c>
      <c r="L73" s="153" t="inlineStr">
        <is>
          <t>Open</t>
        </is>
      </c>
      <c r="M73" s="157">
        <f>IF(L73="Closed","Closed",IF(OR(H73&gt;=Mapping_Rules!$B$7,I73&gt;=Mapping_Rules!$B$8),"High Risk",IF(I73&gt;30,"Monitor","Normal")))</f>
        <v/>
      </c>
      <c r="N73" s="157">
        <f>IF(M73="Closed","No action",IF(M73="High Risk","Call customer/vendor and escalate",IF(M73="Monitor","Send follow-up email","Keep monitoring")))</f>
        <v/>
      </c>
    </row>
    <row r="74">
      <c r="A74" s="115" t="inlineStr">
        <is>
          <t>INV-00071</t>
        </is>
      </c>
      <c r="B74" s="115" t="inlineStr">
        <is>
          <t>AP</t>
        </is>
      </c>
      <c r="C74" s="115" t="inlineStr">
        <is>
          <t>Vancouver Courier</t>
        </is>
      </c>
      <c r="D74" s="125" t="n">
        <v>46031</v>
      </c>
      <c r="E74" s="125" t="n">
        <v>46076</v>
      </c>
      <c r="F74" s="126" t="n">
        <v>8295.9</v>
      </c>
      <c r="G74" s="126" t="n">
        <v>0</v>
      </c>
      <c r="H74" s="126">
        <f>F74-G74</f>
        <v/>
      </c>
      <c r="I74" s="136">
        <f>MAX(0,Mapping_Rules!$B$6-E74)</f>
        <v/>
      </c>
      <c r="J74" s="137">
        <f>IF(I74=0,"Current",IF(I74&lt;=30,"1-30",IF(I74&lt;=60,"31-60",IF(I74&lt;=90,"61-90","90+"))))</f>
        <v/>
      </c>
      <c r="K74" s="115" t="inlineStr">
        <is>
          <t>AR Clerk</t>
        </is>
      </c>
      <c r="L74" s="115" t="inlineStr">
        <is>
          <t>Open</t>
        </is>
      </c>
      <c r="M74" s="137">
        <f>IF(L74="Closed","Closed",IF(OR(H74&gt;=Mapping_Rules!$B$7,I74&gt;=Mapping_Rules!$B$8),"High Risk",IF(I74&gt;30,"Monitor","Normal")))</f>
        <v/>
      </c>
      <c r="N74" s="137">
        <f>IF(M74="Closed","No action",IF(M74="High Risk","Call customer/vendor and escalate",IF(M74="Monitor","Send follow-up email","Keep monitoring")))</f>
        <v/>
      </c>
    </row>
    <row r="75">
      <c r="A75" s="153" t="inlineStr">
        <is>
          <t>INV-00072</t>
        </is>
      </c>
      <c r="B75" s="153" t="inlineStr">
        <is>
          <t>AP</t>
        </is>
      </c>
      <c r="C75" s="153" t="inlineStr">
        <is>
          <t>Staples Canada</t>
        </is>
      </c>
      <c r="D75" s="154" t="n">
        <v>46043</v>
      </c>
      <c r="E75" s="154" t="n">
        <v>46103</v>
      </c>
      <c r="F75" s="155" t="n">
        <v>7923.38</v>
      </c>
      <c r="G75" s="155" t="n">
        <v>2783.32</v>
      </c>
      <c r="H75" s="155">
        <f>F75-G75</f>
        <v/>
      </c>
      <c r="I75" s="156">
        <f>MAX(0,Mapping_Rules!$B$6-E75)</f>
        <v/>
      </c>
      <c r="J75" s="157">
        <f>IF(I75=0,"Current",IF(I75&lt;=30,"1-30",IF(I75&lt;=60,"31-60",IF(I75&lt;=90,"61-90","90+"))))</f>
        <v/>
      </c>
      <c r="K75" s="153" t="inlineStr">
        <is>
          <t>Accounting Technician</t>
        </is>
      </c>
      <c r="L75" s="153" t="inlineStr">
        <is>
          <t>Part Paid</t>
        </is>
      </c>
      <c r="M75" s="157">
        <f>IF(L75="Closed","Closed",IF(OR(H75&gt;=Mapping_Rules!$B$7,I75&gt;=Mapping_Rules!$B$8),"High Risk",IF(I75&gt;30,"Monitor","Normal")))</f>
        <v/>
      </c>
      <c r="N75" s="157">
        <f>IF(M75="Closed","No action",IF(M75="High Risk","Call customer/vendor and escalate",IF(M75="Monitor","Send follow-up email","Keep monitoring")))</f>
        <v/>
      </c>
    </row>
    <row r="76">
      <c r="A76" s="115" t="inlineStr">
        <is>
          <t>INV-00073</t>
        </is>
      </c>
      <c r="B76" s="115" t="inlineStr">
        <is>
          <t>AP</t>
        </is>
      </c>
      <c r="C76" s="115" t="inlineStr">
        <is>
          <t>Amazon Business</t>
        </is>
      </c>
      <c r="D76" s="125" t="n">
        <v>45991</v>
      </c>
      <c r="E76" s="125" t="n">
        <v>46006</v>
      </c>
      <c r="F76" s="126" t="n">
        <v>6711.63</v>
      </c>
      <c r="G76" s="126" t="n">
        <v>0</v>
      </c>
      <c r="H76" s="126">
        <f>F76-G76</f>
        <v/>
      </c>
      <c r="I76" s="136">
        <f>MAX(0,Mapping_Rules!$B$6-E76)</f>
        <v/>
      </c>
      <c r="J76" s="137">
        <f>IF(I76=0,"Current",IF(I76&lt;=30,"1-30",IF(I76&lt;=60,"31-60",IF(I76&lt;=90,"61-90","90+"))))</f>
        <v/>
      </c>
      <c r="K76" s="115" t="inlineStr">
        <is>
          <t>Accounting Technician</t>
        </is>
      </c>
      <c r="L76" s="115" t="inlineStr">
        <is>
          <t>Open</t>
        </is>
      </c>
      <c r="M76" s="137">
        <f>IF(L76="Closed","Closed",IF(OR(H76&gt;=Mapping_Rules!$B$7,I76&gt;=Mapping_Rules!$B$8),"High Risk",IF(I76&gt;30,"Monitor","Normal")))</f>
        <v/>
      </c>
      <c r="N76" s="137">
        <f>IF(M76="Closed","No action",IF(M76="High Risk","Call customer/vendor and escalate",IF(M76="Monitor","Send follow-up email","Keep monitoring")))</f>
        <v/>
      </c>
    </row>
    <row r="77">
      <c r="A77" s="153" t="inlineStr">
        <is>
          <t>INV-00074</t>
        </is>
      </c>
      <c r="B77" s="153" t="inlineStr">
        <is>
          <t>AR</t>
        </is>
      </c>
      <c r="C77" s="153" t="inlineStr">
        <is>
          <t>Raincity Tech</t>
        </is>
      </c>
      <c r="D77" s="154" t="n">
        <v>45963</v>
      </c>
      <c r="E77" s="154" t="n">
        <v>45978</v>
      </c>
      <c r="F77" s="155" t="n">
        <v>7921.25</v>
      </c>
      <c r="G77" s="155" t="n">
        <v>0</v>
      </c>
      <c r="H77" s="155">
        <f>F77-G77</f>
        <v/>
      </c>
      <c r="I77" s="156">
        <f>MAX(0,Mapping_Rules!$B$6-E77)</f>
        <v/>
      </c>
      <c r="J77" s="157">
        <f>IF(I77=0,"Current",IF(I77&lt;=30,"1-30",IF(I77&lt;=60,"31-60",IF(I77&lt;=90,"61-90","90+"))))</f>
        <v/>
      </c>
      <c r="K77" s="153" t="inlineStr">
        <is>
          <t>AR Clerk</t>
        </is>
      </c>
      <c r="L77" s="153" t="inlineStr">
        <is>
          <t>Disputed</t>
        </is>
      </c>
      <c r="M77" s="157">
        <f>IF(L77="Closed","Closed",IF(OR(H77&gt;=Mapping_Rules!$B$7,I77&gt;=Mapping_Rules!$B$8),"High Risk",IF(I77&gt;30,"Monitor","Normal")))</f>
        <v/>
      </c>
      <c r="N77" s="157">
        <f>IF(M77="Closed","No action",IF(M77="High Risk","Call customer/vendor and escalate",IF(M77="Monitor","Send follow-up email","Keep monitoring")))</f>
        <v/>
      </c>
    </row>
    <row r="78">
      <c r="A78" s="115" t="inlineStr">
        <is>
          <t>INV-00075</t>
        </is>
      </c>
      <c r="B78" s="115" t="inlineStr">
        <is>
          <t>AP</t>
        </is>
      </c>
      <c r="C78" s="115" t="inlineStr">
        <is>
          <t>Metro Cleaning Ltd.</t>
        </is>
      </c>
      <c r="D78" s="125" t="n">
        <v>46022</v>
      </c>
      <c r="E78" s="125" t="n">
        <v>46037</v>
      </c>
      <c r="F78" s="126" t="n">
        <v>10363.38</v>
      </c>
      <c r="G78" s="126" t="n">
        <v>0</v>
      </c>
      <c r="H78" s="126">
        <f>F78-G78</f>
        <v/>
      </c>
      <c r="I78" s="136">
        <f>MAX(0,Mapping_Rules!$B$6-E78)</f>
        <v/>
      </c>
      <c r="J78" s="137">
        <f>IF(I78=0,"Current",IF(I78&lt;=30,"1-30",IF(I78&lt;=60,"31-60",IF(I78&lt;=90,"61-90","90+"))))</f>
        <v/>
      </c>
      <c r="K78" s="115" t="inlineStr">
        <is>
          <t>Finance Analyst</t>
        </is>
      </c>
      <c r="L78" s="115" t="inlineStr">
        <is>
          <t>Open</t>
        </is>
      </c>
      <c r="M78" s="137">
        <f>IF(L78="Closed","Closed",IF(OR(H78&gt;=Mapping_Rules!$B$7,I78&gt;=Mapping_Rules!$B$8),"High Risk",IF(I78&gt;30,"Monitor","Normal")))</f>
        <v/>
      </c>
      <c r="N78" s="137">
        <f>IF(M78="Closed","No action",IF(M78="High Risk","Call customer/vendor and escalate",IF(M78="Monitor","Send follow-up email","Keep monitoring")))</f>
        <v/>
      </c>
    </row>
    <row r="79">
      <c r="A79" s="153" t="inlineStr">
        <is>
          <t>INV-00076</t>
        </is>
      </c>
      <c r="B79" s="153" t="inlineStr">
        <is>
          <t>AP</t>
        </is>
      </c>
      <c r="C79" s="153" t="inlineStr">
        <is>
          <t>Pacific Office Supplies</t>
        </is>
      </c>
      <c r="D79" s="154" t="n">
        <v>46017</v>
      </c>
      <c r="E79" s="154" t="n">
        <v>46062</v>
      </c>
      <c r="F79" s="155" t="n">
        <v>9015.51</v>
      </c>
      <c r="G79" s="155" t="n">
        <v>0</v>
      </c>
      <c r="H79" s="155">
        <f>F79-G79</f>
        <v/>
      </c>
      <c r="I79" s="156">
        <f>MAX(0,Mapping_Rules!$B$6-E79)</f>
        <v/>
      </c>
      <c r="J79" s="157">
        <f>IF(I79=0,"Current",IF(I79&lt;=30,"1-30",IF(I79&lt;=60,"31-60",IF(I79&lt;=90,"61-90","90+"))))</f>
        <v/>
      </c>
      <c r="K79" s="153" t="inlineStr">
        <is>
          <t>Accounting Technician</t>
        </is>
      </c>
      <c r="L79" s="153" t="inlineStr">
        <is>
          <t>Promise to Pay</t>
        </is>
      </c>
      <c r="M79" s="157">
        <f>IF(L79="Closed","Closed",IF(OR(H79&gt;=Mapping_Rules!$B$7,I79&gt;=Mapping_Rules!$B$8),"High Risk",IF(I79&gt;30,"Monitor","Normal")))</f>
        <v/>
      </c>
      <c r="N79" s="157">
        <f>IF(M79="Closed","No action",IF(M79="High Risk","Call customer/vendor and escalate",IF(M79="Monitor","Send follow-up email","Keep monitoring")))</f>
        <v/>
      </c>
    </row>
    <row r="80">
      <c r="A80" s="115" t="inlineStr">
        <is>
          <t>INV-00077</t>
        </is>
      </c>
      <c r="B80" s="115" t="inlineStr">
        <is>
          <t>AR</t>
        </is>
      </c>
      <c r="C80" s="115" t="inlineStr">
        <is>
          <t>Granville Medical</t>
        </is>
      </c>
      <c r="D80" s="125" t="n">
        <v>46033</v>
      </c>
      <c r="E80" s="125" t="n">
        <v>46093</v>
      </c>
      <c r="F80" s="126" t="n">
        <v>6012.07</v>
      </c>
      <c r="G80" s="126" t="n">
        <v>0</v>
      </c>
      <c r="H80" s="126">
        <f>F80-G80</f>
        <v/>
      </c>
      <c r="I80" s="136">
        <f>MAX(0,Mapping_Rules!$B$6-E80)</f>
        <v/>
      </c>
      <c r="J80" s="137">
        <f>IF(I80=0,"Current",IF(I80&lt;=30,"1-30",IF(I80&lt;=60,"31-60",IF(I80&lt;=90,"61-90","90+"))))</f>
        <v/>
      </c>
      <c r="K80" s="115" t="inlineStr">
        <is>
          <t>Finance Analyst</t>
        </is>
      </c>
      <c r="L80" s="115" t="inlineStr">
        <is>
          <t>Open</t>
        </is>
      </c>
      <c r="M80" s="137">
        <f>IF(L80="Closed","Closed",IF(OR(H80&gt;=Mapping_Rules!$B$7,I80&gt;=Mapping_Rules!$B$8),"High Risk",IF(I80&gt;30,"Monitor","Normal")))</f>
        <v/>
      </c>
      <c r="N80" s="137">
        <f>IF(M80="Closed","No action",IF(M80="High Risk","Call customer/vendor and escalate",IF(M80="Monitor","Send follow-up email","Keep monitoring")))</f>
        <v/>
      </c>
    </row>
    <row r="81">
      <c r="A81" s="153" t="inlineStr">
        <is>
          <t>INV-00078</t>
        </is>
      </c>
      <c r="B81" s="153" t="inlineStr">
        <is>
          <t>AP</t>
        </is>
      </c>
      <c r="C81" s="153" t="inlineStr">
        <is>
          <t>North Shore Telecom</t>
        </is>
      </c>
      <c r="D81" s="154" t="n">
        <v>45995</v>
      </c>
      <c r="E81" s="154" t="n">
        <v>46010</v>
      </c>
      <c r="F81" s="155" t="n">
        <v>6420.25</v>
      </c>
      <c r="G81" s="155" t="n">
        <v>0</v>
      </c>
      <c r="H81" s="155">
        <f>F81-G81</f>
        <v/>
      </c>
      <c r="I81" s="156">
        <f>MAX(0,Mapping_Rules!$B$6-E81)</f>
        <v/>
      </c>
      <c r="J81" s="157">
        <f>IF(I81=0,"Current",IF(I81&lt;=30,"1-30",IF(I81&lt;=60,"31-60",IF(I81&lt;=90,"61-90","90+"))))</f>
        <v/>
      </c>
      <c r="K81" s="153" t="inlineStr">
        <is>
          <t>Accounting Technician</t>
        </is>
      </c>
      <c r="L81" s="153" t="inlineStr">
        <is>
          <t>Open</t>
        </is>
      </c>
      <c r="M81" s="157">
        <f>IF(L81="Closed","Closed",IF(OR(H81&gt;=Mapping_Rules!$B$7,I81&gt;=Mapping_Rules!$B$8),"High Risk",IF(I81&gt;30,"Monitor","Normal")))</f>
        <v/>
      </c>
      <c r="N81" s="157">
        <f>IF(M81="Closed","No action",IF(M81="High Risk","Call customer/vendor and escalate",IF(M81="Monitor","Send follow-up email","Keep monitoring")))</f>
        <v/>
      </c>
    </row>
    <row r="82">
      <c r="A82" s="115" t="inlineStr">
        <is>
          <t>INV-00079</t>
        </is>
      </c>
      <c r="B82" s="115" t="inlineStr">
        <is>
          <t>AP</t>
        </is>
      </c>
      <c r="C82" s="115" t="inlineStr">
        <is>
          <t>Staples Canada</t>
        </is>
      </c>
      <c r="D82" s="125" t="n">
        <v>46030</v>
      </c>
      <c r="E82" s="125" t="n">
        <v>46075</v>
      </c>
      <c r="F82" s="126" t="n">
        <v>6281.62</v>
      </c>
      <c r="G82" s="126" t="n">
        <v>0</v>
      </c>
      <c r="H82" s="126">
        <f>F82-G82</f>
        <v/>
      </c>
      <c r="I82" s="136">
        <f>MAX(0,Mapping_Rules!$B$6-E82)</f>
        <v/>
      </c>
      <c r="J82" s="137">
        <f>IF(I82=0,"Current",IF(I82&lt;=30,"1-30",IF(I82&lt;=60,"31-60",IF(I82&lt;=90,"61-90","90+"))))</f>
        <v/>
      </c>
      <c r="K82" s="115" t="inlineStr">
        <is>
          <t>AR Clerk</t>
        </is>
      </c>
      <c r="L82" s="115" t="inlineStr">
        <is>
          <t>Promise to Pay</t>
        </is>
      </c>
      <c r="M82" s="137">
        <f>IF(L82="Closed","Closed",IF(OR(H82&gt;=Mapping_Rules!$B$7,I82&gt;=Mapping_Rules!$B$8),"High Risk",IF(I82&gt;30,"Monitor","Normal")))</f>
        <v/>
      </c>
      <c r="N82" s="137">
        <f>IF(M82="Closed","No action",IF(M82="High Risk","Call customer/vendor and escalate",IF(M82="Monitor","Send follow-up email","Keep monitoring")))</f>
        <v/>
      </c>
    </row>
    <row r="83">
      <c r="A83" s="153" t="inlineStr">
        <is>
          <t>INV-00080</t>
        </is>
      </c>
      <c r="B83" s="153" t="inlineStr">
        <is>
          <t>AR</t>
        </is>
      </c>
      <c r="C83" s="153" t="inlineStr">
        <is>
          <t>Raincity Tech</t>
        </is>
      </c>
      <c r="D83" s="154" t="n">
        <v>45976</v>
      </c>
      <c r="E83" s="154" t="n">
        <v>46036</v>
      </c>
      <c r="F83" s="155" t="n">
        <v>9323.280000000001</v>
      </c>
      <c r="G83" s="155" t="n">
        <v>0</v>
      </c>
      <c r="H83" s="155">
        <f>F83-G83</f>
        <v/>
      </c>
      <c r="I83" s="156">
        <f>MAX(0,Mapping_Rules!$B$6-E83)</f>
        <v/>
      </c>
      <c r="J83" s="157">
        <f>IF(I83=0,"Current",IF(I83&lt;=30,"1-30",IF(I83&lt;=60,"31-60",IF(I83&lt;=90,"61-90","90+"))))</f>
        <v/>
      </c>
      <c r="K83" s="153" t="inlineStr">
        <is>
          <t>Finance Analyst</t>
        </is>
      </c>
      <c r="L83" s="153" t="inlineStr">
        <is>
          <t>Open</t>
        </is>
      </c>
      <c r="M83" s="157">
        <f>IF(L83="Closed","Closed",IF(OR(H83&gt;=Mapping_Rules!$B$7,I83&gt;=Mapping_Rules!$B$8),"High Risk",IF(I83&gt;30,"Monitor","Normal")))</f>
        <v/>
      </c>
      <c r="N83" s="157">
        <f>IF(M83="Closed","No action",IF(M83="High Risk","Call customer/vendor and escalate",IF(M83="Monitor","Send follow-up email","Keep monitoring")))</f>
        <v/>
      </c>
    </row>
    <row r="84">
      <c r="A84" s="115" t="inlineStr">
        <is>
          <t>INV-00081</t>
        </is>
      </c>
      <c r="B84" s="115" t="inlineStr">
        <is>
          <t>AR</t>
        </is>
      </c>
      <c r="C84" s="115" t="inlineStr">
        <is>
          <t>Raincity Tech</t>
        </is>
      </c>
      <c r="D84" s="125" t="n">
        <v>45964</v>
      </c>
      <c r="E84" s="125" t="n">
        <v>45994</v>
      </c>
      <c r="F84" s="126" t="n">
        <v>887.04</v>
      </c>
      <c r="G84" s="126" t="n">
        <v>240.26</v>
      </c>
      <c r="H84" s="126">
        <f>F84-G84</f>
        <v/>
      </c>
      <c r="I84" s="136">
        <f>MAX(0,Mapping_Rules!$B$6-E84)</f>
        <v/>
      </c>
      <c r="J84" s="137">
        <f>IF(I84=0,"Current",IF(I84&lt;=30,"1-30",IF(I84&lt;=60,"31-60",IF(I84&lt;=90,"61-90","90+"))))</f>
        <v/>
      </c>
      <c r="K84" s="115" t="inlineStr">
        <is>
          <t>AP Clerk</t>
        </is>
      </c>
      <c r="L84" s="115" t="inlineStr">
        <is>
          <t>Part Paid</t>
        </is>
      </c>
      <c r="M84" s="137">
        <f>IF(L84="Closed","Closed",IF(OR(H84&gt;=Mapping_Rules!$B$7,I84&gt;=Mapping_Rules!$B$8),"High Risk",IF(I84&gt;30,"Monitor","Normal")))</f>
        <v/>
      </c>
      <c r="N84" s="137">
        <f>IF(M84="Closed","No action",IF(M84="High Risk","Call customer/vendor and escalate",IF(M84="Monitor","Send follow-up email","Keep monitoring")))</f>
        <v/>
      </c>
    </row>
    <row r="85">
      <c r="A85" s="153" t="inlineStr">
        <is>
          <t>INV-00082</t>
        </is>
      </c>
      <c r="B85" s="153" t="inlineStr">
        <is>
          <t>AP</t>
        </is>
      </c>
      <c r="C85" s="153" t="inlineStr">
        <is>
          <t>Metro Cleaning Ltd.</t>
        </is>
      </c>
      <c r="D85" s="154" t="n">
        <v>45978</v>
      </c>
      <c r="E85" s="154" t="n">
        <v>46038</v>
      </c>
      <c r="F85" s="155" t="n">
        <v>10947.54</v>
      </c>
      <c r="G85" s="155" t="n">
        <v>0</v>
      </c>
      <c r="H85" s="155">
        <f>F85-G85</f>
        <v/>
      </c>
      <c r="I85" s="156">
        <f>MAX(0,Mapping_Rules!$B$6-E85)</f>
        <v/>
      </c>
      <c r="J85" s="157">
        <f>IF(I85=0,"Current",IF(I85&lt;=30,"1-30",IF(I85&lt;=60,"31-60",IF(I85&lt;=90,"61-90","90+"))))</f>
        <v/>
      </c>
      <c r="K85" s="153" t="inlineStr">
        <is>
          <t>AR Clerk</t>
        </is>
      </c>
      <c r="L85" s="153" t="inlineStr">
        <is>
          <t>Open</t>
        </is>
      </c>
      <c r="M85" s="157">
        <f>IF(L85="Closed","Closed",IF(OR(H85&gt;=Mapping_Rules!$B$7,I85&gt;=Mapping_Rules!$B$8),"High Risk",IF(I85&gt;30,"Monitor","Normal")))</f>
        <v/>
      </c>
      <c r="N85" s="157">
        <f>IF(M85="Closed","No action",IF(M85="High Risk","Call customer/vendor and escalate",IF(M85="Monitor","Send follow-up email","Keep monitoring")))</f>
        <v/>
      </c>
    </row>
    <row r="86">
      <c r="A86" s="115" t="inlineStr">
        <is>
          <t>INV-00083</t>
        </is>
      </c>
      <c r="B86" s="115" t="inlineStr">
        <is>
          <t>AR</t>
        </is>
      </c>
      <c r="C86" s="115" t="inlineStr">
        <is>
          <t>Granville Medical</t>
        </is>
      </c>
      <c r="D86" s="125" t="n">
        <v>45989</v>
      </c>
      <c r="E86" s="125" t="n">
        <v>46034</v>
      </c>
      <c r="F86" s="126" t="n">
        <v>6390.61</v>
      </c>
      <c r="G86" s="126" t="n">
        <v>0</v>
      </c>
      <c r="H86" s="126">
        <f>F86-G86</f>
        <v/>
      </c>
      <c r="I86" s="136">
        <f>MAX(0,Mapping_Rules!$B$6-E86)</f>
        <v/>
      </c>
      <c r="J86" s="137">
        <f>IF(I86=0,"Current",IF(I86&lt;=30,"1-30",IF(I86&lt;=60,"31-60",IF(I86&lt;=90,"61-90","90+"))))</f>
        <v/>
      </c>
      <c r="K86" s="115" t="inlineStr">
        <is>
          <t>Finance Analyst</t>
        </is>
      </c>
      <c r="L86" s="115" t="inlineStr">
        <is>
          <t>Promise to Pay</t>
        </is>
      </c>
      <c r="M86" s="137">
        <f>IF(L86="Closed","Closed",IF(OR(H86&gt;=Mapping_Rules!$B$7,I86&gt;=Mapping_Rules!$B$8),"High Risk",IF(I86&gt;30,"Monitor","Normal")))</f>
        <v/>
      </c>
      <c r="N86" s="137">
        <f>IF(M86="Closed","No action",IF(M86="High Risk","Call customer/vendor and escalate",IF(M86="Monitor","Send follow-up email","Keep monitoring")))</f>
        <v/>
      </c>
    </row>
    <row r="87">
      <c r="A87" s="153" t="inlineStr">
        <is>
          <t>INV-00084</t>
        </is>
      </c>
      <c r="B87" s="153" t="inlineStr">
        <is>
          <t>AP</t>
        </is>
      </c>
      <c r="C87" s="153" t="inlineStr">
        <is>
          <t>BC Hydro</t>
        </is>
      </c>
      <c r="D87" s="154" t="n">
        <v>46051</v>
      </c>
      <c r="E87" s="154" t="n">
        <v>46066</v>
      </c>
      <c r="F87" s="155" t="n">
        <v>5054.19</v>
      </c>
      <c r="G87" s="155" t="n">
        <v>0</v>
      </c>
      <c r="H87" s="155">
        <f>F87-G87</f>
        <v/>
      </c>
      <c r="I87" s="156">
        <f>MAX(0,Mapping_Rules!$B$6-E87)</f>
        <v/>
      </c>
      <c r="J87" s="157">
        <f>IF(I87=0,"Current",IF(I87&lt;=30,"1-30",IF(I87&lt;=60,"31-60",IF(I87&lt;=90,"61-90","90+"))))</f>
        <v/>
      </c>
      <c r="K87" s="153" t="inlineStr">
        <is>
          <t>AR Clerk</t>
        </is>
      </c>
      <c r="L87" s="153" t="inlineStr">
        <is>
          <t>Promise to Pay</t>
        </is>
      </c>
      <c r="M87" s="157">
        <f>IF(L87="Closed","Closed",IF(OR(H87&gt;=Mapping_Rules!$B$7,I87&gt;=Mapping_Rules!$B$8),"High Risk",IF(I87&gt;30,"Monitor","Normal")))</f>
        <v/>
      </c>
      <c r="N87" s="157">
        <f>IF(M87="Closed","No action",IF(M87="High Risk","Call customer/vendor and escalate",IF(M87="Monitor","Send follow-up email","Keep monitoring")))</f>
        <v/>
      </c>
    </row>
    <row r="88">
      <c r="A88" s="115" t="inlineStr">
        <is>
          <t>INV-00085</t>
        </is>
      </c>
      <c r="B88" s="115" t="inlineStr">
        <is>
          <t>AR</t>
        </is>
      </c>
      <c r="C88" s="115" t="inlineStr">
        <is>
          <t>Raincity Tech</t>
        </is>
      </c>
      <c r="D88" s="125" t="n">
        <v>46012</v>
      </c>
      <c r="E88" s="125" t="n">
        <v>46027</v>
      </c>
      <c r="F88" s="126" t="n">
        <v>8216.4</v>
      </c>
      <c r="G88" s="126" t="n">
        <v>0</v>
      </c>
      <c r="H88" s="126">
        <f>F88-G88</f>
        <v/>
      </c>
      <c r="I88" s="136">
        <f>MAX(0,Mapping_Rules!$B$6-E88)</f>
        <v/>
      </c>
      <c r="J88" s="137">
        <f>IF(I88=0,"Current",IF(I88&lt;=30,"1-30",IF(I88&lt;=60,"31-60",IF(I88&lt;=90,"61-90","90+"))))</f>
        <v/>
      </c>
      <c r="K88" s="115" t="inlineStr">
        <is>
          <t>Accounting Technician</t>
        </is>
      </c>
      <c r="L88" s="115" t="inlineStr">
        <is>
          <t>Open</t>
        </is>
      </c>
      <c r="M88" s="137">
        <f>IF(L88="Closed","Closed",IF(OR(H88&gt;=Mapping_Rules!$B$7,I88&gt;=Mapping_Rules!$B$8),"High Risk",IF(I88&gt;30,"Monitor","Normal")))</f>
        <v/>
      </c>
      <c r="N88" s="137">
        <f>IF(M88="Closed","No action",IF(M88="High Risk","Call customer/vendor and escalate",IF(M88="Monitor","Send follow-up email","Keep monitoring")))</f>
        <v/>
      </c>
    </row>
    <row r="89">
      <c r="A89" s="153" t="inlineStr">
        <is>
          <t>INV-00086</t>
        </is>
      </c>
      <c r="B89" s="153" t="inlineStr">
        <is>
          <t>AP</t>
        </is>
      </c>
      <c r="C89" s="153" t="inlineStr">
        <is>
          <t>Vancouver Courier</t>
        </is>
      </c>
      <c r="D89" s="154" t="n">
        <v>45963</v>
      </c>
      <c r="E89" s="154" t="n">
        <v>45978</v>
      </c>
      <c r="F89" s="155" t="n">
        <v>14622.79</v>
      </c>
      <c r="G89" s="155" t="n">
        <v>0</v>
      </c>
      <c r="H89" s="155">
        <f>F89-G89</f>
        <v/>
      </c>
      <c r="I89" s="156">
        <f>MAX(0,Mapping_Rules!$B$6-E89)</f>
        <v/>
      </c>
      <c r="J89" s="157">
        <f>IF(I89=0,"Current",IF(I89&lt;=30,"1-30",IF(I89&lt;=60,"31-60",IF(I89&lt;=90,"61-90","90+"))))</f>
        <v/>
      </c>
      <c r="K89" s="153" t="inlineStr">
        <is>
          <t>Finance Analyst</t>
        </is>
      </c>
      <c r="L89" s="153" t="inlineStr">
        <is>
          <t>Disputed</t>
        </is>
      </c>
      <c r="M89" s="157">
        <f>IF(L89="Closed","Closed",IF(OR(H89&gt;=Mapping_Rules!$B$7,I89&gt;=Mapping_Rules!$B$8),"High Risk",IF(I89&gt;30,"Monitor","Normal")))</f>
        <v/>
      </c>
      <c r="N89" s="157">
        <f>IF(M89="Closed","No action",IF(M89="High Risk","Call customer/vendor and escalate",IF(M89="Monitor","Send follow-up email","Keep monitoring")))</f>
        <v/>
      </c>
    </row>
    <row r="90">
      <c r="A90" s="115" t="inlineStr">
        <is>
          <t>INV-00087</t>
        </is>
      </c>
      <c r="B90" s="115" t="inlineStr">
        <is>
          <t>AP</t>
        </is>
      </c>
      <c r="C90" s="115" t="inlineStr">
        <is>
          <t>North Shore Telecom</t>
        </is>
      </c>
      <c r="D90" s="125" t="n">
        <v>45966</v>
      </c>
      <c r="E90" s="125" t="n">
        <v>45996</v>
      </c>
      <c r="F90" s="126" t="n">
        <v>6993.39</v>
      </c>
      <c r="G90" s="126" t="n">
        <v>0</v>
      </c>
      <c r="H90" s="126">
        <f>F90-G90</f>
        <v/>
      </c>
      <c r="I90" s="136">
        <f>MAX(0,Mapping_Rules!$B$6-E90)</f>
        <v/>
      </c>
      <c r="J90" s="137">
        <f>IF(I90=0,"Current",IF(I90&lt;=30,"1-30",IF(I90&lt;=60,"31-60",IF(I90&lt;=90,"61-90","90+"))))</f>
        <v/>
      </c>
      <c r="K90" s="115" t="inlineStr">
        <is>
          <t>AR Clerk</t>
        </is>
      </c>
      <c r="L90" s="115" t="inlineStr">
        <is>
          <t>Disputed</t>
        </is>
      </c>
      <c r="M90" s="137">
        <f>IF(L90="Closed","Closed",IF(OR(H90&gt;=Mapping_Rules!$B$7,I90&gt;=Mapping_Rules!$B$8),"High Risk",IF(I90&gt;30,"Monitor","Normal")))</f>
        <v/>
      </c>
      <c r="N90" s="137">
        <f>IF(M90="Closed","No action",IF(M90="High Risk","Call customer/vendor and escalate",IF(M90="Monitor","Send follow-up email","Keep monitoring")))</f>
        <v/>
      </c>
    </row>
    <row r="91">
      <c r="A91" s="153" t="inlineStr">
        <is>
          <t>INV-00088</t>
        </is>
      </c>
      <c r="B91" s="153" t="inlineStr">
        <is>
          <t>AP</t>
        </is>
      </c>
      <c r="C91" s="153" t="inlineStr">
        <is>
          <t>BC Hydro</t>
        </is>
      </c>
      <c r="D91" s="154" t="n">
        <v>46049</v>
      </c>
      <c r="E91" s="154" t="n">
        <v>46094</v>
      </c>
      <c r="F91" s="155" t="n">
        <v>14052.8</v>
      </c>
      <c r="G91" s="155" t="n">
        <v>0</v>
      </c>
      <c r="H91" s="155">
        <f>F91-G91</f>
        <v/>
      </c>
      <c r="I91" s="156">
        <f>MAX(0,Mapping_Rules!$B$6-E91)</f>
        <v/>
      </c>
      <c r="J91" s="157">
        <f>IF(I91=0,"Current",IF(I91&lt;=30,"1-30",IF(I91&lt;=60,"31-60",IF(I91&lt;=90,"61-90","90+"))))</f>
        <v/>
      </c>
      <c r="K91" s="153" t="inlineStr">
        <is>
          <t>AP Clerk</t>
        </is>
      </c>
      <c r="L91" s="153" t="inlineStr">
        <is>
          <t>Open</t>
        </is>
      </c>
      <c r="M91" s="157">
        <f>IF(L91="Closed","Closed",IF(OR(H91&gt;=Mapping_Rules!$B$7,I91&gt;=Mapping_Rules!$B$8),"High Risk",IF(I91&gt;30,"Monitor","Normal")))</f>
        <v/>
      </c>
      <c r="N91" s="157">
        <f>IF(M91="Closed","No action",IF(M91="High Risk","Call customer/vendor and escalate",IF(M91="Monitor","Send follow-up email","Keep monitoring")))</f>
        <v/>
      </c>
    </row>
    <row r="92">
      <c r="A92" s="115" t="inlineStr">
        <is>
          <t>INV-00089</t>
        </is>
      </c>
      <c r="B92" s="115" t="inlineStr">
        <is>
          <t>AR</t>
        </is>
      </c>
      <c r="C92" s="115" t="inlineStr">
        <is>
          <t>Raincity Tech</t>
        </is>
      </c>
      <c r="D92" s="125" t="n">
        <v>46023</v>
      </c>
      <c r="E92" s="125" t="n">
        <v>46068</v>
      </c>
      <c r="F92" s="126" t="n">
        <v>3101.05</v>
      </c>
      <c r="G92" s="126" t="n">
        <v>3101.05</v>
      </c>
      <c r="H92" s="126">
        <f>F92-G92</f>
        <v/>
      </c>
      <c r="I92" s="136">
        <f>MAX(0,Mapping_Rules!$B$6-E92)</f>
        <v/>
      </c>
      <c r="J92" s="137">
        <f>IF(I92=0,"Current",IF(I92&lt;=30,"1-30",IF(I92&lt;=60,"31-60",IF(I92&lt;=90,"61-90","90+"))))</f>
        <v/>
      </c>
      <c r="K92" s="115" t="inlineStr">
        <is>
          <t>AR Clerk</t>
        </is>
      </c>
      <c r="L92" s="115" t="inlineStr">
        <is>
          <t>Closed</t>
        </is>
      </c>
      <c r="M92" s="137">
        <f>IF(L92="Closed","Closed",IF(OR(H92&gt;=Mapping_Rules!$B$7,I92&gt;=Mapping_Rules!$B$8),"High Risk",IF(I92&gt;30,"Monitor","Normal")))</f>
        <v/>
      </c>
      <c r="N92" s="137">
        <f>IF(M92="Closed","No action",IF(M92="High Risk","Call customer/vendor and escalate",IF(M92="Monitor","Send follow-up email","Keep monitoring")))</f>
        <v/>
      </c>
    </row>
    <row r="93">
      <c r="A93" s="153" t="inlineStr">
        <is>
          <t>INV-00090</t>
        </is>
      </c>
      <c r="B93" s="153" t="inlineStr">
        <is>
          <t>AR</t>
        </is>
      </c>
      <c r="C93" s="153" t="inlineStr">
        <is>
          <t>Coastline Foods</t>
        </is>
      </c>
      <c r="D93" s="154" t="n">
        <v>46043</v>
      </c>
      <c r="E93" s="154" t="n">
        <v>46103</v>
      </c>
      <c r="F93" s="155" t="n">
        <v>4969.03</v>
      </c>
      <c r="G93" s="155" t="n">
        <v>0</v>
      </c>
      <c r="H93" s="155">
        <f>F93-G93</f>
        <v/>
      </c>
      <c r="I93" s="156">
        <f>MAX(0,Mapping_Rules!$B$6-E93)</f>
        <v/>
      </c>
      <c r="J93" s="157">
        <f>IF(I93=0,"Current",IF(I93&lt;=30,"1-30",IF(I93&lt;=60,"31-60",IF(I93&lt;=90,"61-90","90+"))))</f>
        <v/>
      </c>
      <c r="K93" s="153" t="inlineStr">
        <is>
          <t>Accounting Technician</t>
        </is>
      </c>
      <c r="L93" s="153" t="inlineStr">
        <is>
          <t>Open</t>
        </is>
      </c>
      <c r="M93" s="157">
        <f>IF(L93="Closed","Closed",IF(OR(H93&gt;=Mapping_Rules!$B$7,I93&gt;=Mapping_Rules!$B$8),"High Risk",IF(I93&gt;30,"Monitor","Normal")))</f>
        <v/>
      </c>
      <c r="N93" s="157">
        <f>IF(M93="Closed","No action",IF(M93="High Risk","Call customer/vendor and escalate",IF(M93="Monitor","Send follow-up email","Keep monitoring")))</f>
        <v/>
      </c>
    </row>
    <row r="94">
      <c r="A94" s="115" t="inlineStr">
        <is>
          <t>INV-00091</t>
        </is>
      </c>
      <c r="B94" s="115" t="inlineStr">
        <is>
          <t>AR</t>
        </is>
      </c>
      <c r="C94" s="115" t="inlineStr">
        <is>
          <t>Granville Medical</t>
        </is>
      </c>
      <c r="D94" s="125" t="n">
        <v>45993</v>
      </c>
      <c r="E94" s="125" t="n">
        <v>46008</v>
      </c>
      <c r="F94" s="126" t="n">
        <v>14537.2</v>
      </c>
      <c r="G94" s="126" t="n">
        <v>8707.610000000001</v>
      </c>
      <c r="H94" s="126">
        <f>F94-G94</f>
        <v/>
      </c>
      <c r="I94" s="136">
        <f>MAX(0,Mapping_Rules!$B$6-E94)</f>
        <v/>
      </c>
      <c r="J94" s="137">
        <f>IF(I94=0,"Current",IF(I94&lt;=30,"1-30",IF(I94&lt;=60,"31-60",IF(I94&lt;=90,"61-90","90+"))))</f>
        <v/>
      </c>
      <c r="K94" s="115" t="inlineStr">
        <is>
          <t>AR Clerk</t>
        </is>
      </c>
      <c r="L94" s="115" t="inlineStr">
        <is>
          <t>Part Paid</t>
        </is>
      </c>
      <c r="M94" s="137">
        <f>IF(L94="Closed","Closed",IF(OR(H94&gt;=Mapping_Rules!$B$7,I94&gt;=Mapping_Rules!$B$8),"High Risk",IF(I94&gt;30,"Monitor","Normal")))</f>
        <v/>
      </c>
      <c r="N94" s="137">
        <f>IF(M94="Closed","No action",IF(M94="High Risk","Call customer/vendor and escalate",IF(M94="Monitor","Send follow-up email","Keep monitoring")))</f>
        <v/>
      </c>
    </row>
    <row r="95">
      <c r="A95" s="153" t="inlineStr">
        <is>
          <t>INV-00092</t>
        </is>
      </c>
      <c r="B95" s="153" t="inlineStr">
        <is>
          <t>AP</t>
        </is>
      </c>
      <c r="C95" s="153" t="inlineStr">
        <is>
          <t>Vancouver Courier</t>
        </is>
      </c>
      <c r="D95" s="154" t="n">
        <v>45973</v>
      </c>
      <c r="E95" s="154" t="n">
        <v>46003</v>
      </c>
      <c r="F95" s="155" t="n">
        <v>2491.82</v>
      </c>
      <c r="G95" s="155" t="n">
        <v>0</v>
      </c>
      <c r="H95" s="155">
        <f>F95-G95</f>
        <v/>
      </c>
      <c r="I95" s="156">
        <f>MAX(0,Mapping_Rules!$B$6-E95)</f>
        <v/>
      </c>
      <c r="J95" s="157">
        <f>IF(I95=0,"Current",IF(I95&lt;=30,"1-30",IF(I95&lt;=60,"31-60",IF(I95&lt;=90,"61-90","90+"))))</f>
        <v/>
      </c>
      <c r="K95" s="153" t="inlineStr">
        <is>
          <t>Accounting Technician</t>
        </is>
      </c>
      <c r="L95" s="153" t="inlineStr">
        <is>
          <t>Open</t>
        </is>
      </c>
      <c r="M95" s="157">
        <f>IF(L95="Closed","Closed",IF(OR(H95&gt;=Mapping_Rules!$B$7,I95&gt;=Mapping_Rules!$B$8),"High Risk",IF(I95&gt;30,"Monitor","Normal")))</f>
        <v/>
      </c>
      <c r="N95" s="157">
        <f>IF(M95="Closed","No action",IF(M95="High Risk","Call customer/vendor and escalate",IF(M95="Monitor","Send follow-up email","Keep monitoring")))</f>
        <v/>
      </c>
    </row>
    <row r="96">
      <c r="A96" s="115" t="inlineStr">
        <is>
          <t>INV-00093</t>
        </is>
      </c>
      <c r="B96" s="115" t="inlineStr">
        <is>
          <t>AR</t>
        </is>
      </c>
      <c r="C96" s="115" t="inlineStr">
        <is>
          <t>Maple Retail Group</t>
        </is>
      </c>
      <c r="D96" s="125" t="n">
        <v>46007</v>
      </c>
      <c r="E96" s="125" t="n">
        <v>46037</v>
      </c>
      <c r="F96" s="126" t="n">
        <v>10564.72</v>
      </c>
      <c r="G96" s="126" t="n">
        <v>0</v>
      </c>
      <c r="H96" s="126">
        <f>F96-G96</f>
        <v/>
      </c>
      <c r="I96" s="136">
        <f>MAX(0,Mapping_Rules!$B$6-E96)</f>
        <v/>
      </c>
      <c r="J96" s="137">
        <f>IF(I96=0,"Current",IF(I96&lt;=30,"1-30",IF(I96&lt;=60,"31-60",IF(I96&lt;=90,"61-90","90+"))))</f>
        <v/>
      </c>
      <c r="K96" s="115" t="inlineStr">
        <is>
          <t>AR Clerk</t>
        </is>
      </c>
      <c r="L96" s="115" t="inlineStr">
        <is>
          <t>Promise to Pay</t>
        </is>
      </c>
      <c r="M96" s="137">
        <f>IF(L96="Closed","Closed",IF(OR(H96&gt;=Mapping_Rules!$B$7,I96&gt;=Mapping_Rules!$B$8),"High Risk",IF(I96&gt;30,"Monitor","Normal")))</f>
        <v/>
      </c>
      <c r="N96" s="137">
        <f>IF(M96="Closed","No action",IF(M96="High Risk","Call customer/vendor and escalate",IF(M96="Monitor","Send follow-up email","Keep monitoring")))</f>
        <v/>
      </c>
    </row>
    <row r="97">
      <c r="A97" s="153" t="inlineStr">
        <is>
          <t>INV-00094</t>
        </is>
      </c>
      <c r="B97" s="153" t="inlineStr">
        <is>
          <t>AP</t>
        </is>
      </c>
      <c r="C97" s="153" t="inlineStr">
        <is>
          <t>North Shore Telecom</t>
        </is>
      </c>
      <c r="D97" s="154" t="n">
        <v>46002</v>
      </c>
      <c r="E97" s="154" t="n">
        <v>46047</v>
      </c>
      <c r="F97" s="155" t="n">
        <v>12112.05</v>
      </c>
      <c r="G97" s="155" t="n">
        <v>0</v>
      </c>
      <c r="H97" s="155">
        <f>F97-G97</f>
        <v/>
      </c>
      <c r="I97" s="156">
        <f>MAX(0,Mapping_Rules!$B$6-E97)</f>
        <v/>
      </c>
      <c r="J97" s="157">
        <f>IF(I97=0,"Current",IF(I97&lt;=30,"1-30",IF(I97&lt;=60,"31-60",IF(I97&lt;=90,"61-90","90+"))))</f>
        <v/>
      </c>
      <c r="K97" s="153" t="inlineStr">
        <is>
          <t>AR Clerk</t>
        </is>
      </c>
      <c r="L97" s="153" t="inlineStr">
        <is>
          <t>Open</t>
        </is>
      </c>
      <c r="M97" s="157">
        <f>IF(L97="Closed","Closed",IF(OR(H97&gt;=Mapping_Rules!$B$7,I97&gt;=Mapping_Rules!$B$8),"High Risk",IF(I97&gt;30,"Monitor","Normal")))</f>
        <v/>
      </c>
      <c r="N97" s="157">
        <f>IF(M97="Closed","No action",IF(M97="High Risk","Call customer/vendor and escalate",IF(M97="Monitor","Send follow-up email","Keep monitoring")))</f>
        <v/>
      </c>
    </row>
    <row r="98">
      <c r="A98" s="115" t="inlineStr">
        <is>
          <t>INV-00095</t>
        </is>
      </c>
      <c r="B98" s="115" t="inlineStr">
        <is>
          <t>AR</t>
        </is>
      </c>
      <c r="C98" s="115" t="inlineStr">
        <is>
          <t>Harbour Design Co.</t>
        </is>
      </c>
      <c r="D98" s="125" t="n">
        <v>46010</v>
      </c>
      <c r="E98" s="125" t="n">
        <v>46055</v>
      </c>
      <c r="F98" s="126" t="n">
        <v>10907.33</v>
      </c>
      <c r="G98" s="126" t="n">
        <v>0</v>
      </c>
      <c r="H98" s="126">
        <f>F98-G98</f>
        <v/>
      </c>
      <c r="I98" s="136">
        <f>MAX(0,Mapping_Rules!$B$6-E98)</f>
        <v/>
      </c>
      <c r="J98" s="137">
        <f>IF(I98=0,"Current",IF(I98&lt;=30,"1-30",IF(I98&lt;=60,"31-60",IF(I98&lt;=90,"61-90","90+"))))</f>
        <v/>
      </c>
      <c r="K98" s="115" t="inlineStr">
        <is>
          <t>AP Clerk</t>
        </is>
      </c>
      <c r="L98" s="115" t="inlineStr">
        <is>
          <t>Open</t>
        </is>
      </c>
      <c r="M98" s="137">
        <f>IF(L98="Closed","Closed",IF(OR(H98&gt;=Mapping_Rules!$B$7,I98&gt;=Mapping_Rules!$B$8),"High Risk",IF(I98&gt;30,"Monitor","Normal")))</f>
        <v/>
      </c>
      <c r="N98" s="137">
        <f>IF(M98="Closed","No action",IF(M98="High Risk","Call customer/vendor and escalate",IF(M98="Monitor","Send follow-up email","Keep monitoring")))</f>
        <v/>
      </c>
    </row>
    <row r="99">
      <c r="A99" s="153" t="inlineStr">
        <is>
          <t>INV-00096</t>
        </is>
      </c>
      <c r="B99" s="153" t="inlineStr">
        <is>
          <t>AP</t>
        </is>
      </c>
      <c r="C99" s="153" t="inlineStr">
        <is>
          <t>Staples Canada</t>
        </is>
      </c>
      <c r="D99" s="154" t="n">
        <v>46018</v>
      </c>
      <c r="E99" s="154" t="n">
        <v>46063</v>
      </c>
      <c r="F99" s="155" t="n">
        <v>8209.6</v>
      </c>
      <c r="G99" s="155" t="n">
        <v>0</v>
      </c>
      <c r="H99" s="155">
        <f>F99-G99</f>
        <v/>
      </c>
      <c r="I99" s="156">
        <f>MAX(0,Mapping_Rules!$B$6-E99)</f>
        <v/>
      </c>
      <c r="J99" s="157">
        <f>IF(I99=0,"Current",IF(I99&lt;=30,"1-30",IF(I99&lt;=60,"31-60",IF(I99&lt;=90,"61-90","90+"))))</f>
        <v/>
      </c>
      <c r="K99" s="153" t="inlineStr">
        <is>
          <t>AR Clerk</t>
        </is>
      </c>
      <c r="L99" s="153" t="inlineStr">
        <is>
          <t>Open</t>
        </is>
      </c>
      <c r="M99" s="157">
        <f>IF(L99="Closed","Closed",IF(OR(H99&gt;=Mapping_Rules!$B$7,I99&gt;=Mapping_Rules!$B$8),"High Risk",IF(I99&gt;30,"Monitor","Normal")))</f>
        <v/>
      </c>
      <c r="N99" s="157">
        <f>IF(M99="Closed","No action",IF(M99="High Risk","Call customer/vendor and escalate",IF(M99="Monitor","Send follow-up email","Keep monitoring")))</f>
        <v/>
      </c>
    </row>
    <row r="100">
      <c r="A100" s="115" t="inlineStr">
        <is>
          <t>INV-00097</t>
        </is>
      </c>
      <c r="B100" s="115" t="inlineStr">
        <is>
          <t>AP</t>
        </is>
      </c>
      <c r="C100" s="115" t="inlineStr">
        <is>
          <t>Metro Cleaning Ltd.</t>
        </is>
      </c>
      <c r="D100" s="125" t="n">
        <v>46021</v>
      </c>
      <c r="E100" s="125" t="n">
        <v>46066</v>
      </c>
      <c r="F100" s="126" t="n">
        <v>13034.78</v>
      </c>
      <c r="G100" s="126" t="n">
        <v>9246.41</v>
      </c>
      <c r="H100" s="126">
        <f>F100-G100</f>
        <v/>
      </c>
      <c r="I100" s="136">
        <f>MAX(0,Mapping_Rules!$B$6-E100)</f>
        <v/>
      </c>
      <c r="J100" s="137">
        <f>IF(I100=0,"Current",IF(I100&lt;=30,"1-30",IF(I100&lt;=60,"31-60",IF(I100&lt;=90,"61-90","90+"))))</f>
        <v/>
      </c>
      <c r="K100" s="115" t="inlineStr">
        <is>
          <t>AR Clerk</t>
        </is>
      </c>
      <c r="L100" s="115" t="inlineStr">
        <is>
          <t>Part Paid</t>
        </is>
      </c>
      <c r="M100" s="137">
        <f>IF(L100="Closed","Closed",IF(OR(H100&gt;=Mapping_Rules!$B$7,I100&gt;=Mapping_Rules!$B$8),"High Risk",IF(I100&gt;30,"Monitor","Normal")))</f>
        <v/>
      </c>
      <c r="N100" s="137">
        <f>IF(M100="Closed","No action",IF(M100="High Risk","Call customer/vendor and escalate",IF(M100="Monitor","Send follow-up email","Keep monitoring")))</f>
        <v/>
      </c>
    </row>
    <row r="101">
      <c r="A101" s="153" t="inlineStr">
        <is>
          <t>INV-00098</t>
        </is>
      </c>
      <c r="B101" s="153" t="inlineStr">
        <is>
          <t>AR</t>
        </is>
      </c>
      <c r="C101" s="153" t="inlineStr">
        <is>
          <t>West Van Fitness</t>
        </is>
      </c>
      <c r="D101" s="154" t="n">
        <v>45981</v>
      </c>
      <c r="E101" s="154" t="n">
        <v>46041</v>
      </c>
      <c r="F101" s="155" t="n">
        <v>4540.74</v>
      </c>
      <c r="G101" s="155" t="n">
        <v>0</v>
      </c>
      <c r="H101" s="155">
        <f>F101-G101</f>
        <v/>
      </c>
      <c r="I101" s="156">
        <f>MAX(0,Mapping_Rules!$B$6-E101)</f>
        <v/>
      </c>
      <c r="J101" s="157">
        <f>IF(I101=0,"Current",IF(I101&lt;=30,"1-30",IF(I101&lt;=60,"31-60",IF(I101&lt;=90,"61-90","90+"))))</f>
        <v/>
      </c>
      <c r="K101" s="153" t="inlineStr">
        <is>
          <t>Accounting Technician</t>
        </is>
      </c>
      <c r="L101" s="153" t="inlineStr">
        <is>
          <t>Open</t>
        </is>
      </c>
      <c r="M101" s="157">
        <f>IF(L101="Closed","Closed",IF(OR(H101&gt;=Mapping_Rules!$B$7,I101&gt;=Mapping_Rules!$B$8),"High Risk",IF(I101&gt;30,"Monitor","Normal")))</f>
        <v/>
      </c>
      <c r="N101" s="157">
        <f>IF(M101="Closed","No action",IF(M101="High Risk","Call customer/vendor and escalate",IF(M101="Monitor","Send follow-up email","Keep monitoring")))</f>
        <v/>
      </c>
    </row>
    <row r="102">
      <c r="A102" s="115" t="inlineStr">
        <is>
          <t>INV-00099</t>
        </is>
      </c>
      <c r="B102" s="115" t="inlineStr">
        <is>
          <t>AP</t>
        </is>
      </c>
      <c r="C102" s="115" t="inlineStr">
        <is>
          <t>Pacific Office Supplies</t>
        </is>
      </c>
      <c r="D102" s="125" t="n">
        <v>46043</v>
      </c>
      <c r="E102" s="125" t="n">
        <v>46103</v>
      </c>
      <c r="F102" s="126" t="n">
        <v>11044.82</v>
      </c>
      <c r="G102" s="126" t="n">
        <v>11044.82</v>
      </c>
      <c r="H102" s="126">
        <f>F102-G102</f>
        <v/>
      </c>
      <c r="I102" s="136">
        <f>MAX(0,Mapping_Rules!$B$6-E102)</f>
        <v/>
      </c>
      <c r="J102" s="137">
        <f>IF(I102=0,"Current",IF(I102&lt;=30,"1-30",IF(I102&lt;=60,"31-60",IF(I102&lt;=90,"61-90","90+"))))</f>
        <v/>
      </c>
      <c r="K102" s="115" t="inlineStr">
        <is>
          <t>Accounting Technician</t>
        </is>
      </c>
      <c r="L102" s="115" t="inlineStr">
        <is>
          <t>Closed</t>
        </is>
      </c>
      <c r="M102" s="137">
        <f>IF(L102="Closed","Closed",IF(OR(H102&gt;=Mapping_Rules!$B$7,I102&gt;=Mapping_Rules!$B$8),"High Risk",IF(I102&gt;30,"Monitor","Normal")))</f>
        <v/>
      </c>
      <c r="N102" s="137">
        <f>IF(M102="Closed","No action",IF(M102="High Risk","Call customer/vendor and escalate",IF(M102="Monitor","Send follow-up email","Keep monitoring")))</f>
        <v/>
      </c>
    </row>
    <row r="103">
      <c r="A103" s="153" t="inlineStr">
        <is>
          <t>INV-00100</t>
        </is>
      </c>
      <c r="B103" s="153" t="inlineStr">
        <is>
          <t>AR</t>
        </is>
      </c>
      <c r="C103" s="153" t="inlineStr">
        <is>
          <t>Raincity Tech</t>
        </is>
      </c>
      <c r="D103" s="154" t="n">
        <v>45970</v>
      </c>
      <c r="E103" s="154" t="n">
        <v>46030</v>
      </c>
      <c r="F103" s="155" t="n">
        <v>2969.56</v>
      </c>
      <c r="G103" s="155" t="n">
        <v>1923.46</v>
      </c>
      <c r="H103" s="155">
        <f>F103-G103</f>
        <v/>
      </c>
      <c r="I103" s="156">
        <f>MAX(0,Mapping_Rules!$B$6-E103)</f>
        <v/>
      </c>
      <c r="J103" s="157">
        <f>IF(I103=0,"Current",IF(I103&lt;=30,"1-30",IF(I103&lt;=60,"31-60",IF(I103&lt;=90,"61-90","90+"))))</f>
        <v/>
      </c>
      <c r="K103" s="153" t="inlineStr">
        <is>
          <t>AR Clerk</t>
        </is>
      </c>
      <c r="L103" s="153" t="inlineStr">
        <is>
          <t>Part Paid</t>
        </is>
      </c>
      <c r="M103" s="157">
        <f>IF(L103="Closed","Closed",IF(OR(H103&gt;=Mapping_Rules!$B$7,I103&gt;=Mapping_Rules!$B$8),"High Risk",IF(I103&gt;30,"Monitor","Normal")))</f>
        <v/>
      </c>
      <c r="N103" s="157">
        <f>IF(M103="Closed","No action",IF(M103="High Risk","Call customer/vendor and escalate",IF(M103="Monitor","Send follow-up email","Keep monitoring")))</f>
        <v/>
      </c>
    </row>
    <row r="104">
      <c r="A104" s="115" t="inlineStr">
        <is>
          <t>INV-00101</t>
        </is>
      </c>
      <c r="B104" s="115" t="inlineStr">
        <is>
          <t>AP</t>
        </is>
      </c>
      <c r="C104" s="115" t="inlineStr">
        <is>
          <t>Metro Cleaning Ltd.</t>
        </is>
      </c>
      <c r="D104" s="125" t="n">
        <v>46014</v>
      </c>
      <c r="E104" s="125" t="n">
        <v>46059</v>
      </c>
      <c r="F104" s="126" t="n">
        <v>1790.39</v>
      </c>
      <c r="G104" s="126" t="n">
        <v>346.16</v>
      </c>
      <c r="H104" s="126">
        <f>F104-G104</f>
        <v/>
      </c>
      <c r="I104" s="136">
        <f>MAX(0,Mapping_Rules!$B$6-E104)</f>
        <v/>
      </c>
      <c r="J104" s="137">
        <f>IF(I104=0,"Current",IF(I104&lt;=30,"1-30",IF(I104&lt;=60,"31-60",IF(I104&lt;=90,"61-90","90+"))))</f>
        <v/>
      </c>
      <c r="K104" s="115" t="inlineStr">
        <is>
          <t>AR Clerk</t>
        </is>
      </c>
      <c r="L104" s="115" t="inlineStr">
        <is>
          <t>Part Paid</t>
        </is>
      </c>
      <c r="M104" s="137">
        <f>IF(L104="Closed","Closed",IF(OR(H104&gt;=Mapping_Rules!$B$7,I104&gt;=Mapping_Rules!$B$8),"High Risk",IF(I104&gt;30,"Monitor","Normal")))</f>
        <v/>
      </c>
      <c r="N104" s="137">
        <f>IF(M104="Closed","No action",IF(M104="High Risk","Call customer/vendor and escalate",IF(M104="Monitor","Send follow-up email","Keep monitoring")))</f>
        <v/>
      </c>
    </row>
    <row r="105">
      <c r="A105" s="153" t="inlineStr">
        <is>
          <t>INV-00102</t>
        </is>
      </c>
      <c r="B105" s="153" t="inlineStr">
        <is>
          <t>AR</t>
        </is>
      </c>
      <c r="C105" s="153" t="inlineStr">
        <is>
          <t>Maple Retail Group</t>
        </is>
      </c>
      <c r="D105" s="154" t="n">
        <v>45987</v>
      </c>
      <c r="E105" s="154" t="n">
        <v>46002</v>
      </c>
      <c r="F105" s="155" t="n">
        <v>7357.75</v>
      </c>
      <c r="G105" s="155" t="n">
        <v>0</v>
      </c>
      <c r="H105" s="155">
        <f>F105-G105</f>
        <v/>
      </c>
      <c r="I105" s="156">
        <f>MAX(0,Mapping_Rules!$B$6-E105)</f>
        <v/>
      </c>
      <c r="J105" s="157">
        <f>IF(I105=0,"Current",IF(I105&lt;=30,"1-30",IF(I105&lt;=60,"31-60",IF(I105&lt;=90,"61-90","90+"))))</f>
        <v/>
      </c>
      <c r="K105" s="153" t="inlineStr">
        <is>
          <t>Finance Analyst</t>
        </is>
      </c>
      <c r="L105" s="153" t="inlineStr">
        <is>
          <t>Open</t>
        </is>
      </c>
      <c r="M105" s="157">
        <f>IF(L105="Closed","Closed",IF(OR(H105&gt;=Mapping_Rules!$B$7,I105&gt;=Mapping_Rules!$B$8),"High Risk",IF(I105&gt;30,"Monitor","Normal")))</f>
        <v/>
      </c>
      <c r="N105" s="157">
        <f>IF(M105="Closed","No action",IF(M105="High Risk","Call customer/vendor and escalate",IF(M105="Monitor","Send follow-up email","Keep monitoring")))</f>
        <v/>
      </c>
    </row>
    <row r="106">
      <c r="A106" s="115" t="inlineStr">
        <is>
          <t>INV-00103</t>
        </is>
      </c>
      <c r="B106" s="115" t="inlineStr">
        <is>
          <t>AP</t>
        </is>
      </c>
      <c r="C106" s="115" t="inlineStr">
        <is>
          <t>Amazon Business</t>
        </is>
      </c>
      <c r="D106" s="125" t="n">
        <v>46041</v>
      </c>
      <c r="E106" s="125" t="n">
        <v>46086</v>
      </c>
      <c r="F106" s="126" t="n">
        <v>878.92</v>
      </c>
      <c r="G106" s="126" t="n">
        <v>0</v>
      </c>
      <c r="H106" s="126">
        <f>F106-G106</f>
        <v/>
      </c>
      <c r="I106" s="136">
        <f>MAX(0,Mapping_Rules!$B$6-E106)</f>
        <v/>
      </c>
      <c r="J106" s="137">
        <f>IF(I106=0,"Current",IF(I106&lt;=30,"1-30",IF(I106&lt;=60,"31-60",IF(I106&lt;=90,"61-90","90+"))))</f>
        <v/>
      </c>
      <c r="K106" s="115" t="inlineStr">
        <is>
          <t>AP Clerk</t>
        </is>
      </c>
      <c r="L106" s="115" t="inlineStr">
        <is>
          <t>Open</t>
        </is>
      </c>
      <c r="M106" s="137">
        <f>IF(L106="Closed","Closed",IF(OR(H106&gt;=Mapping_Rules!$B$7,I106&gt;=Mapping_Rules!$B$8),"High Risk",IF(I106&gt;30,"Monitor","Normal")))</f>
        <v/>
      </c>
      <c r="N106" s="137">
        <f>IF(M106="Closed","No action",IF(M106="High Risk","Call customer/vendor and escalate",IF(M106="Monitor","Send follow-up email","Keep monitoring")))</f>
        <v/>
      </c>
    </row>
    <row r="107">
      <c r="A107" s="153" t="inlineStr">
        <is>
          <t>INV-00104</t>
        </is>
      </c>
      <c r="B107" s="153" t="inlineStr">
        <is>
          <t>AR</t>
        </is>
      </c>
      <c r="C107" s="153" t="inlineStr">
        <is>
          <t>Coastline Foods</t>
        </is>
      </c>
      <c r="D107" s="154" t="n">
        <v>46045</v>
      </c>
      <c r="E107" s="154" t="n">
        <v>46105</v>
      </c>
      <c r="F107" s="155" t="n">
        <v>13936.8</v>
      </c>
      <c r="G107" s="155" t="n">
        <v>0</v>
      </c>
      <c r="H107" s="155">
        <f>F107-G107</f>
        <v/>
      </c>
      <c r="I107" s="156">
        <f>MAX(0,Mapping_Rules!$B$6-E107)</f>
        <v/>
      </c>
      <c r="J107" s="157">
        <f>IF(I107=0,"Current",IF(I107&lt;=30,"1-30",IF(I107&lt;=60,"31-60",IF(I107&lt;=90,"61-90","90+"))))</f>
        <v/>
      </c>
      <c r="K107" s="153" t="inlineStr">
        <is>
          <t>Finance Analyst</t>
        </is>
      </c>
      <c r="L107" s="153" t="inlineStr">
        <is>
          <t>Promise to Pay</t>
        </is>
      </c>
      <c r="M107" s="157">
        <f>IF(L107="Closed","Closed",IF(OR(H107&gt;=Mapping_Rules!$B$7,I107&gt;=Mapping_Rules!$B$8),"High Risk",IF(I107&gt;30,"Monitor","Normal")))</f>
        <v/>
      </c>
      <c r="N107" s="157">
        <f>IF(M107="Closed","No action",IF(M107="High Risk","Call customer/vendor and escalate",IF(M107="Monitor","Send follow-up email","Keep monitoring")))</f>
        <v/>
      </c>
    </row>
    <row r="108">
      <c r="A108" s="115" t="inlineStr">
        <is>
          <t>INV-00105</t>
        </is>
      </c>
      <c r="B108" s="115" t="inlineStr">
        <is>
          <t>AR</t>
        </is>
      </c>
      <c r="C108" s="115" t="inlineStr">
        <is>
          <t>Raincity Tech</t>
        </is>
      </c>
      <c r="D108" s="125" t="n">
        <v>46033</v>
      </c>
      <c r="E108" s="125" t="n">
        <v>46093</v>
      </c>
      <c r="F108" s="126" t="n">
        <v>12357.09</v>
      </c>
      <c r="G108" s="126" t="n">
        <v>0</v>
      </c>
      <c r="H108" s="126">
        <f>F108-G108</f>
        <v/>
      </c>
      <c r="I108" s="136">
        <f>MAX(0,Mapping_Rules!$B$6-E108)</f>
        <v/>
      </c>
      <c r="J108" s="137">
        <f>IF(I108=0,"Current",IF(I108&lt;=30,"1-30",IF(I108&lt;=60,"31-60",IF(I108&lt;=90,"61-90","90+"))))</f>
        <v/>
      </c>
      <c r="K108" s="115" t="inlineStr">
        <is>
          <t>AP Clerk</t>
        </is>
      </c>
      <c r="L108" s="115" t="inlineStr">
        <is>
          <t>Promise to Pay</t>
        </is>
      </c>
      <c r="M108" s="137">
        <f>IF(L108="Closed","Closed",IF(OR(H108&gt;=Mapping_Rules!$B$7,I108&gt;=Mapping_Rules!$B$8),"High Risk",IF(I108&gt;30,"Monitor","Normal")))</f>
        <v/>
      </c>
      <c r="N108" s="137">
        <f>IF(M108="Closed","No action",IF(M108="High Risk","Call customer/vendor and escalate",IF(M108="Monitor","Send follow-up email","Keep monitoring")))</f>
        <v/>
      </c>
    </row>
    <row r="109">
      <c r="A109" s="153" t="inlineStr">
        <is>
          <t>INV-00106</t>
        </is>
      </c>
      <c r="B109" s="153" t="inlineStr">
        <is>
          <t>AP</t>
        </is>
      </c>
      <c r="C109" s="153" t="inlineStr">
        <is>
          <t>Amazon Business</t>
        </is>
      </c>
      <c r="D109" s="154" t="n">
        <v>45967</v>
      </c>
      <c r="E109" s="154" t="n">
        <v>45982</v>
      </c>
      <c r="F109" s="155" t="n">
        <v>12541.68</v>
      </c>
      <c r="G109" s="155" t="n">
        <v>0</v>
      </c>
      <c r="H109" s="155">
        <f>F109-G109</f>
        <v/>
      </c>
      <c r="I109" s="156">
        <f>MAX(0,Mapping_Rules!$B$6-E109)</f>
        <v/>
      </c>
      <c r="J109" s="157">
        <f>IF(I109=0,"Current",IF(I109&lt;=30,"1-30",IF(I109&lt;=60,"31-60",IF(I109&lt;=90,"61-90","90+"))))</f>
        <v/>
      </c>
      <c r="K109" s="153" t="inlineStr">
        <is>
          <t>AR Clerk</t>
        </is>
      </c>
      <c r="L109" s="153" t="inlineStr">
        <is>
          <t>Open</t>
        </is>
      </c>
      <c r="M109" s="157">
        <f>IF(L109="Closed","Closed",IF(OR(H109&gt;=Mapping_Rules!$B$7,I109&gt;=Mapping_Rules!$B$8),"High Risk",IF(I109&gt;30,"Monitor","Normal")))</f>
        <v/>
      </c>
      <c r="N109" s="157">
        <f>IF(M109="Closed","No action",IF(M109="High Risk","Call customer/vendor and escalate",IF(M109="Monitor","Send follow-up email","Keep monitoring")))</f>
        <v/>
      </c>
    </row>
    <row r="110">
      <c r="A110" s="115" t="inlineStr">
        <is>
          <t>INV-00107</t>
        </is>
      </c>
      <c r="B110" s="115" t="inlineStr">
        <is>
          <t>AR</t>
        </is>
      </c>
      <c r="C110" s="115" t="inlineStr">
        <is>
          <t>Maple Retail Group</t>
        </is>
      </c>
      <c r="D110" s="125" t="n">
        <v>45991</v>
      </c>
      <c r="E110" s="125" t="n">
        <v>46051</v>
      </c>
      <c r="F110" s="126" t="n">
        <v>2963.49</v>
      </c>
      <c r="G110" s="126" t="n">
        <v>923.71</v>
      </c>
      <c r="H110" s="126">
        <f>F110-G110</f>
        <v/>
      </c>
      <c r="I110" s="136">
        <f>MAX(0,Mapping_Rules!$B$6-E110)</f>
        <v/>
      </c>
      <c r="J110" s="137">
        <f>IF(I110=0,"Current",IF(I110&lt;=30,"1-30",IF(I110&lt;=60,"31-60",IF(I110&lt;=90,"61-90","90+"))))</f>
        <v/>
      </c>
      <c r="K110" s="115" t="inlineStr">
        <is>
          <t>AR Clerk</t>
        </is>
      </c>
      <c r="L110" s="115" t="inlineStr">
        <is>
          <t>Part Paid</t>
        </is>
      </c>
      <c r="M110" s="137">
        <f>IF(L110="Closed","Closed",IF(OR(H110&gt;=Mapping_Rules!$B$7,I110&gt;=Mapping_Rules!$B$8),"High Risk",IF(I110&gt;30,"Monitor","Normal")))</f>
        <v/>
      </c>
      <c r="N110" s="137">
        <f>IF(M110="Closed","No action",IF(M110="High Risk","Call customer/vendor and escalate",IF(M110="Monitor","Send follow-up email","Keep monitoring")))</f>
        <v/>
      </c>
    </row>
    <row r="111">
      <c r="A111" s="153" t="inlineStr">
        <is>
          <t>INV-00108</t>
        </is>
      </c>
      <c r="B111" s="153" t="inlineStr">
        <is>
          <t>AP</t>
        </is>
      </c>
      <c r="C111" s="153" t="inlineStr">
        <is>
          <t>Staples Canada</t>
        </is>
      </c>
      <c r="D111" s="154" t="n">
        <v>45975</v>
      </c>
      <c r="E111" s="154" t="n">
        <v>46020</v>
      </c>
      <c r="F111" s="155" t="n">
        <v>10166.21</v>
      </c>
      <c r="G111" s="155" t="n">
        <v>0</v>
      </c>
      <c r="H111" s="155">
        <f>F111-G111</f>
        <v/>
      </c>
      <c r="I111" s="156">
        <f>MAX(0,Mapping_Rules!$B$6-E111)</f>
        <v/>
      </c>
      <c r="J111" s="157">
        <f>IF(I111=0,"Current",IF(I111&lt;=30,"1-30",IF(I111&lt;=60,"31-60",IF(I111&lt;=90,"61-90","90+"))))</f>
        <v/>
      </c>
      <c r="K111" s="153" t="inlineStr">
        <is>
          <t>Finance Analyst</t>
        </is>
      </c>
      <c r="L111" s="153" t="inlineStr">
        <is>
          <t>Disputed</t>
        </is>
      </c>
      <c r="M111" s="157">
        <f>IF(L111="Closed","Closed",IF(OR(H111&gt;=Mapping_Rules!$B$7,I111&gt;=Mapping_Rules!$B$8),"High Risk",IF(I111&gt;30,"Monitor","Normal")))</f>
        <v/>
      </c>
      <c r="N111" s="157">
        <f>IF(M111="Closed","No action",IF(M111="High Risk","Call customer/vendor and escalate",IF(M111="Monitor","Send follow-up email","Keep monitoring")))</f>
        <v/>
      </c>
    </row>
    <row r="112">
      <c r="A112" s="115" t="inlineStr">
        <is>
          <t>INV-00109</t>
        </is>
      </c>
      <c r="B112" s="115" t="inlineStr">
        <is>
          <t>AR</t>
        </is>
      </c>
      <c r="C112" s="115" t="inlineStr">
        <is>
          <t>Coastline Foods</t>
        </is>
      </c>
      <c r="D112" s="125" t="n">
        <v>45985</v>
      </c>
      <c r="E112" s="125" t="n">
        <v>46045</v>
      </c>
      <c r="F112" s="126" t="n">
        <v>7644.69</v>
      </c>
      <c r="G112" s="126" t="n">
        <v>3799.68</v>
      </c>
      <c r="H112" s="126">
        <f>F112-G112</f>
        <v/>
      </c>
      <c r="I112" s="136">
        <f>MAX(0,Mapping_Rules!$B$6-E112)</f>
        <v/>
      </c>
      <c r="J112" s="137">
        <f>IF(I112=0,"Current",IF(I112&lt;=30,"1-30",IF(I112&lt;=60,"31-60",IF(I112&lt;=90,"61-90","90+"))))</f>
        <v/>
      </c>
      <c r="K112" s="115" t="inlineStr">
        <is>
          <t>Finance Analyst</t>
        </is>
      </c>
      <c r="L112" s="115" t="inlineStr">
        <is>
          <t>Part Paid</t>
        </is>
      </c>
      <c r="M112" s="137">
        <f>IF(L112="Closed","Closed",IF(OR(H112&gt;=Mapping_Rules!$B$7,I112&gt;=Mapping_Rules!$B$8),"High Risk",IF(I112&gt;30,"Monitor","Normal")))</f>
        <v/>
      </c>
      <c r="N112" s="137">
        <f>IF(M112="Closed","No action",IF(M112="High Risk","Call customer/vendor and escalate",IF(M112="Monitor","Send follow-up email","Keep monitoring")))</f>
        <v/>
      </c>
    </row>
    <row r="113">
      <c r="A113" s="153" t="inlineStr">
        <is>
          <t>INV-00110</t>
        </is>
      </c>
      <c r="B113" s="153" t="inlineStr">
        <is>
          <t>AP</t>
        </is>
      </c>
      <c r="C113" s="153" t="inlineStr">
        <is>
          <t>Metro Cleaning Ltd.</t>
        </is>
      </c>
      <c r="D113" s="154" t="n">
        <v>46032</v>
      </c>
      <c r="E113" s="154" t="n">
        <v>46077</v>
      </c>
      <c r="F113" s="155" t="n">
        <v>12696.08</v>
      </c>
      <c r="G113" s="155" t="n">
        <v>0</v>
      </c>
      <c r="H113" s="155">
        <f>F113-G113</f>
        <v/>
      </c>
      <c r="I113" s="156">
        <f>MAX(0,Mapping_Rules!$B$6-E113)</f>
        <v/>
      </c>
      <c r="J113" s="157">
        <f>IF(I113=0,"Current",IF(I113&lt;=30,"1-30",IF(I113&lt;=60,"31-60",IF(I113&lt;=90,"61-90","90+"))))</f>
        <v/>
      </c>
      <c r="K113" s="153" t="inlineStr">
        <is>
          <t>Finance Analyst</t>
        </is>
      </c>
      <c r="L113" s="153" t="inlineStr">
        <is>
          <t>Open</t>
        </is>
      </c>
      <c r="M113" s="157">
        <f>IF(L113="Closed","Closed",IF(OR(H113&gt;=Mapping_Rules!$B$7,I113&gt;=Mapping_Rules!$B$8),"High Risk",IF(I113&gt;30,"Monitor","Normal")))</f>
        <v/>
      </c>
      <c r="N113" s="157">
        <f>IF(M113="Closed","No action",IF(M113="High Risk","Call customer/vendor and escalate",IF(M113="Monitor","Send follow-up email","Keep monitoring")))</f>
        <v/>
      </c>
    </row>
    <row r="114">
      <c r="A114" s="115" t="inlineStr">
        <is>
          <t>INV-00111</t>
        </is>
      </c>
      <c r="B114" s="115" t="inlineStr">
        <is>
          <t>AP</t>
        </is>
      </c>
      <c r="C114" s="115" t="inlineStr">
        <is>
          <t>Amazon Business</t>
        </is>
      </c>
      <c r="D114" s="125" t="n">
        <v>45992</v>
      </c>
      <c r="E114" s="125" t="n">
        <v>46022</v>
      </c>
      <c r="F114" s="126" t="n">
        <v>5719.69</v>
      </c>
      <c r="G114" s="126" t="n">
        <v>3626.15</v>
      </c>
      <c r="H114" s="126">
        <f>F114-G114</f>
        <v/>
      </c>
      <c r="I114" s="136">
        <f>MAX(0,Mapping_Rules!$B$6-E114)</f>
        <v/>
      </c>
      <c r="J114" s="137">
        <f>IF(I114=0,"Current",IF(I114&lt;=30,"1-30",IF(I114&lt;=60,"31-60",IF(I114&lt;=90,"61-90","90+"))))</f>
        <v/>
      </c>
      <c r="K114" s="115" t="inlineStr">
        <is>
          <t>Accounting Technician</t>
        </is>
      </c>
      <c r="L114" s="115" t="inlineStr">
        <is>
          <t>Part Paid</t>
        </is>
      </c>
      <c r="M114" s="137">
        <f>IF(L114="Closed","Closed",IF(OR(H114&gt;=Mapping_Rules!$B$7,I114&gt;=Mapping_Rules!$B$8),"High Risk",IF(I114&gt;30,"Monitor","Normal")))</f>
        <v/>
      </c>
      <c r="N114" s="137">
        <f>IF(M114="Closed","No action",IF(M114="High Risk","Call customer/vendor and escalate",IF(M114="Monitor","Send follow-up email","Keep monitoring")))</f>
        <v/>
      </c>
    </row>
    <row r="115">
      <c r="A115" s="153" t="inlineStr">
        <is>
          <t>INV-00112</t>
        </is>
      </c>
      <c r="B115" s="153" t="inlineStr">
        <is>
          <t>AP</t>
        </is>
      </c>
      <c r="C115" s="153" t="inlineStr">
        <is>
          <t>BC Hydro</t>
        </is>
      </c>
      <c r="D115" s="154" t="n">
        <v>46012</v>
      </c>
      <c r="E115" s="154" t="n">
        <v>46027</v>
      </c>
      <c r="F115" s="155" t="n">
        <v>10935.75</v>
      </c>
      <c r="G115" s="155" t="n">
        <v>10935.75</v>
      </c>
      <c r="H115" s="155">
        <f>F115-G115</f>
        <v/>
      </c>
      <c r="I115" s="156">
        <f>MAX(0,Mapping_Rules!$B$6-E115)</f>
        <v/>
      </c>
      <c r="J115" s="157">
        <f>IF(I115=0,"Current",IF(I115&lt;=30,"1-30",IF(I115&lt;=60,"31-60",IF(I115&lt;=90,"61-90","90+"))))</f>
        <v/>
      </c>
      <c r="K115" s="153" t="inlineStr">
        <is>
          <t>AP Clerk</t>
        </is>
      </c>
      <c r="L115" s="153" t="inlineStr">
        <is>
          <t>Closed</t>
        </is>
      </c>
      <c r="M115" s="157">
        <f>IF(L115="Closed","Closed",IF(OR(H115&gt;=Mapping_Rules!$B$7,I115&gt;=Mapping_Rules!$B$8),"High Risk",IF(I115&gt;30,"Monitor","Normal")))</f>
        <v/>
      </c>
      <c r="N115" s="157">
        <f>IF(M115="Closed","No action",IF(M115="High Risk","Call customer/vendor and escalate",IF(M115="Monitor","Send follow-up email","Keep monitoring")))</f>
        <v/>
      </c>
    </row>
    <row r="116">
      <c r="A116" s="115" t="inlineStr">
        <is>
          <t>INV-00113</t>
        </is>
      </c>
      <c r="B116" s="115" t="inlineStr">
        <is>
          <t>AR</t>
        </is>
      </c>
      <c r="C116" s="115" t="inlineStr">
        <is>
          <t>Raincity Tech</t>
        </is>
      </c>
      <c r="D116" s="125" t="n">
        <v>45962</v>
      </c>
      <c r="E116" s="125" t="n">
        <v>46007</v>
      </c>
      <c r="F116" s="126" t="n">
        <v>14768.26</v>
      </c>
      <c r="G116" s="126" t="n">
        <v>0</v>
      </c>
      <c r="H116" s="126">
        <f>F116-G116</f>
        <v/>
      </c>
      <c r="I116" s="136">
        <f>MAX(0,Mapping_Rules!$B$6-E116)</f>
        <v/>
      </c>
      <c r="J116" s="137">
        <f>IF(I116=0,"Current",IF(I116&lt;=30,"1-30",IF(I116&lt;=60,"31-60",IF(I116&lt;=90,"61-90","90+"))))</f>
        <v/>
      </c>
      <c r="K116" s="115" t="inlineStr">
        <is>
          <t>Accounting Technician</t>
        </is>
      </c>
      <c r="L116" s="115" t="inlineStr">
        <is>
          <t>Open</t>
        </is>
      </c>
      <c r="M116" s="137">
        <f>IF(L116="Closed","Closed",IF(OR(H116&gt;=Mapping_Rules!$B$7,I116&gt;=Mapping_Rules!$B$8),"High Risk",IF(I116&gt;30,"Monitor","Normal")))</f>
        <v/>
      </c>
      <c r="N116" s="137">
        <f>IF(M116="Closed","No action",IF(M116="High Risk","Call customer/vendor and escalate",IF(M116="Monitor","Send follow-up email","Keep monitoring")))</f>
        <v/>
      </c>
    </row>
    <row r="117">
      <c r="A117" s="153" t="inlineStr">
        <is>
          <t>INV-00114</t>
        </is>
      </c>
      <c r="B117" s="153" t="inlineStr">
        <is>
          <t>AR</t>
        </is>
      </c>
      <c r="C117" s="153" t="inlineStr">
        <is>
          <t>Harbour Design Co.</t>
        </is>
      </c>
      <c r="D117" s="154" t="n">
        <v>45997</v>
      </c>
      <c r="E117" s="154" t="n">
        <v>46027</v>
      </c>
      <c r="F117" s="155" t="n">
        <v>1550.16</v>
      </c>
      <c r="G117" s="155" t="n">
        <v>0</v>
      </c>
      <c r="H117" s="155">
        <f>F117-G117</f>
        <v/>
      </c>
      <c r="I117" s="156">
        <f>MAX(0,Mapping_Rules!$B$6-E117)</f>
        <v/>
      </c>
      <c r="J117" s="157">
        <f>IF(I117=0,"Current",IF(I117&lt;=30,"1-30",IF(I117&lt;=60,"31-60",IF(I117&lt;=90,"61-90","90+"))))</f>
        <v/>
      </c>
      <c r="K117" s="153" t="inlineStr">
        <is>
          <t>AR Clerk</t>
        </is>
      </c>
      <c r="L117" s="153" t="inlineStr">
        <is>
          <t>Open</t>
        </is>
      </c>
      <c r="M117" s="157">
        <f>IF(L117="Closed","Closed",IF(OR(H117&gt;=Mapping_Rules!$B$7,I117&gt;=Mapping_Rules!$B$8),"High Risk",IF(I117&gt;30,"Monitor","Normal")))</f>
        <v/>
      </c>
      <c r="N117" s="157">
        <f>IF(M117="Closed","No action",IF(M117="High Risk","Call customer/vendor and escalate",IF(M117="Monitor","Send follow-up email","Keep monitoring")))</f>
        <v/>
      </c>
    </row>
    <row r="118">
      <c r="A118" s="115" t="inlineStr">
        <is>
          <t>INV-00115</t>
        </is>
      </c>
      <c r="B118" s="115" t="inlineStr">
        <is>
          <t>AR</t>
        </is>
      </c>
      <c r="C118" s="115" t="inlineStr">
        <is>
          <t>Raincity Tech</t>
        </is>
      </c>
      <c r="D118" s="125" t="n">
        <v>46008</v>
      </c>
      <c r="E118" s="125" t="n">
        <v>46038</v>
      </c>
      <c r="F118" s="126" t="n">
        <v>3609.96</v>
      </c>
      <c r="G118" s="126" t="n">
        <v>0</v>
      </c>
      <c r="H118" s="126">
        <f>F118-G118</f>
        <v/>
      </c>
      <c r="I118" s="136">
        <f>MAX(0,Mapping_Rules!$B$6-E118)</f>
        <v/>
      </c>
      <c r="J118" s="137">
        <f>IF(I118=0,"Current",IF(I118&lt;=30,"1-30",IF(I118&lt;=60,"31-60",IF(I118&lt;=90,"61-90","90+"))))</f>
        <v/>
      </c>
      <c r="K118" s="115" t="inlineStr">
        <is>
          <t>AP Clerk</t>
        </is>
      </c>
      <c r="L118" s="115" t="inlineStr">
        <is>
          <t>Promise to Pay</t>
        </is>
      </c>
      <c r="M118" s="137">
        <f>IF(L118="Closed","Closed",IF(OR(H118&gt;=Mapping_Rules!$B$7,I118&gt;=Mapping_Rules!$B$8),"High Risk",IF(I118&gt;30,"Monitor","Normal")))</f>
        <v/>
      </c>
      <c r="N118" s="137">
        <f>IF(M118="Closed","No action",IF(M118="High Risk","Call customer/vendor and escalate",IF(M118="Monitor","Send follow-up email","Keep monitoring")))</f>
        <v/>
      </c>
    </row>
    <row r="119">
      <c r="A119" s="153" t="inlineStr">
        <is>
          <t>INV-00116</t>
        </is>
      </c>
      <c r="B119" s="153" t="inlineStr">
        <is>
          <t>AP</t>
        </is>
      </c>
      <c r="C119" s="153" t="inlineStr">
        <is>
          <t>Amazon Business</t>
        </is>
      </c>
      <c r="D119" s="154" t="n">
        <v>45989</v>
      </c>
      <c r="E119" s="154" t="n">
        <v>46004</v>
      </c>
      <c r="F119" s="155" t="n">
        <v>10895.17</v>
      </c>
      <c r="G119" s="155" t="n">
        <v>0</v>
      </c>
      <c r="H119" s="155">
        <f>F119-G119</f>
        <v/>
      </c>
      <c r="I119" s="156">
        <f>MAX(0,Mapping_Rules!$B$6-E119)</f>
        <v/>
      </c>
      <c r="J119" s="157">
        <f>IF(I119=0,"Current",IF(I119&lt;=30,"1-30",IF(I119&lt;=60,"31-60",IF(I119&lt;=90,"61-90","90+"))))</f>
        <v/>
      </c>
      <c r="K119" s="153" t="inlineStr">
        <is>
          <t>AR Clerk</t>
        </is>
      </c>
      <c r="L119" s="153" t="inlineStr">
        <is>
          <t>Promise to Pay</t>
        </is>
      </c>
      <c r="M119" s="157">
        <f>IF(L119="Closed","Closed",IF(OR(H119&gt;=Mapping_Rules!$B$7,I119&gt;=Mapping_Rules!$B$8),"High Risk",IF(I119&gt;30,"Monitor","Normal")))</f>
        <v/>
      </c>
      <c r="N119" s="157">
        <f>IF(M119="Closed","No action",IF(M119="High Risk","Call customer/vendor and escalate",IF(M119="Monitor","Send follow-up email","Keep monitoring")))</f>
        <v/>
      </c>
    </row>
    <row r="120">
      <c r="A120" s="115" t="inlineStr">
        <is>
          <t>INV-00117</t>
        </is>
      </c>
      <c r="B120" s="115" t="inlineStr">
        <is>
          <t>AP</t>
        </is>
      </c>
      <c r="C120" s="115" t="inlineStr">
        <is>
          <t>Vancouver Courier</t>
        </is>
      </c>
      <c r="D120" s="125" t="n">
        <v>46050</v>
      </c>
      <c r="E120" s="125" t="n">
        <v>46065</v>
      </c>
      <c r="F120" s="126" t="n">
        <v>8989.18</v>
      </c>
      <c r="G120" s="126" t="n">
        <v>0</v>
      </c>
      <c r="H120" s="126">
        <f>F120-G120</f>
        <v/>
      </c>
      <c r="I120" s="136">
        <f>MAX(0,Mapping_Rules!$B$6-E120)</f>
        <v/>
      </c>
      <c r="J120" s="137">
        <f>IF(I120=0,"Current",IF(I120&lt;=30,"1-30",IF(I120&lt;=60,"31-60",IF(I120&lt;=90,"61-90","90+"))))</f>
        <v/>
      </c>
      <c r="K120" s="115" t="inlineStr">
        <is>
          <t>Finance Analyst</t>
        </is>
      </c>
      <c r="L120" s="115" t="inlineStr">
        <is>
          <t>Open</t>
        </is>
      </c>
      <c r="M120" s="137">
        <f>IF(L120="Closed","Closed",IF(OR(H120&gt;=Mapping_Rules!$B$7,I120&gt;=Mapping_Rules!$B$8),"High Risk",IF(I120&gt;30,"Monitor","Normal")))</f>
        <v/>
      </c>
      <c r="N120" s="137">
        <f>IF(M120="Closed","No action",IF(M120="High Risk","Call customer/vendor and escalate",IF(M120="Monitor","Send follow-up email","Keep monitoring")))</f>
        <v/>
      </c>
    </row>
    <row r="121">
      <c r="A121" s="153" t="inlineStr">
        <is>
          <t>INV-00118</t>
        </is>
      </c>
      <c r="B121" s="153" t="inlineStr">
        <is>
          <t>AR</t>
        </is>
      </c>
      <c r="C121" s="153" t="inlineStr">
        <is>
          <t>Maple Retail Group</t>
        </is>
      </c>
      <c r="D121" s="154" t="n">
        <v>46004</v>
      </c>
      <c r="E121" s="154" t="n">
        <v>46049</v>
      </c>
      <c r="F121" s="155" t="n">
        <v>13214.92</v>
      </c>
      <c r="G121" s="155" t="n">
        <v>0</v>
      </c>
      <c r="H121" s="155">
        <f>F121-G121</f>
        <v/>
      </c>
      <c r="I121" s="156">
        <f>MAX(0,Mapping_Rules!$B$6-E121)</f>
        <v/>
      </c>
      <c r="J121" s="157">
        <f>IF(I121=0,"Current",IF(I121&lt;=30,"1-30",IF(I121&lt;=60,"31-60",IF(I121&lt;=90,"61-90","90+"))))</f>
        <v/>
      </c>
      <c r="K121" s="153" t="inlineStr">
        <is>
          <t>AP Clerk</t>
        </is>
      </c>
      <c r="L121" s="153" t="inlineStr">
        <is>
          <t>Open</t>
        </is>
      </c>
      <c r="M121" s="157">
        <f>IF(L121="Closed","Closed",IF(OR(H121&gt;=Mapping_Rules!$B$7,I121&gt;=Mapping_Rules!$B$8),"High Risk",IF(I121&gt;30,"Monitor","Normal")))</f>
        <v/>
      </c>
      <c r="N121" s="157">
        <f>IF(M121="Closed","No action",IF(M121="High Risk","Call customer/vendor and escalate",IF(M121="Monitor","Send follow-up email","Keep monitoring")))</f>
        <v/>
      </c>
    </row>
    <row r="122">
      <c r="A122" s="115" t="inlineStr">
        <is>
          <t>INV-00119</t>
        </is>
      </c>
      <c r="B122" s="115" t="inlineStr">
        <is>
          <t>AR</t>
        </is>
      </c>
      <c r="C122" s="115" t="inlineStr">
        <is>
          <t>Harbour Design Co.</t>
        </is>
      </c>
      <c r="D122" s="125" t="n">
        <v>46045</v>
      </c>
      <c r="E122" s="125" t="n">
        <v>46060</v>
      </c>
      <c r="F122" s="126" t="n">
        <v>9563.219999999999</v>
      </c>
      <c r="G122" s="126" t="n">
        <v>1770.95</v>
      </c>
      <c r="H122" s="126">
        <f>F122-G122</f>
        <v/>
      </c>
      <c r="I122" s="136">
        <f>MAX(0,Mapping_Rules!$B$6-E122)</f>
        <v/>
      </c>
      <c r="J122" s="137">
        <f>IF(I122=0,"Current",IF(I122&lt;=30,"1-30",IF(I122&lt;=60,"31-60",IF(I122&lt;=90,"61-90","90+"))))</f>
        <v/>
      </c>
      <c r="K122" s="115" t="inlineStr">
        <is>
          <t>AP Clerk</t>
        </is>
      </c>
      <c r="L122" s="115" t="inlineStr">
        <is>
          <t>Part Paid</t>
        </is>
      </c>
      <c r="M122" s="137">
        <f>IF(L122="Closed","Closed",IF(OR(H122&gt;=Mapping_Rules!$B$7,I122&gt;=Mapping_Rules!$B$8),"High Risk",IF(I122&gt;30,"Monitor","Normal")))</f>
        <v/>
      </c>
      <c r="N122" s="137">
        <f>IF(M122="Closed","No action",IF(M122="High Risk","Call customer/vendor and escalate",IF(M122="Monitor","Send follow-up email","Keep monitoring")))</f>
        <v/>
      </c>
    </row>
    <row r="123">
      <c r="A123" s="153" t="inlineStr">
        <is>
          <t>INV-00120</t>
        </is>
      </c>
      <c r="B123" s="153" t="inlineStr">
        <is>
          <t>AP</t>
        </is>
      </c>
      <c r="C123" s="153" t="inlineStr">
        <is>
          <t>Amazon Business</t>
        </is>
      </c>
      <c r="D123" s="154" t="n">
        <v>46034</v>
      </c>
      <c r="E123" s="154" t="n">
        <v>46064</v>
      </c>
      <c r="F123" s="155" t="n">
        <v>5003.45</v>
      </c>
      <c r="G123" s="155" t="n">
        <v>1248.75</v>
      </c>
      <c r="H123" s="155">
        <f>F123-G123</f>
        <v/>
      </c>
      <c r="I123" s="156">
        <f>MAX(0,Mapping_Rules!$B$6-E123)</f>
        <v/>
      </c>
      <c r="J123" s="157">
        <f>IF(I123=0,"Current",IF(I123&lt;=30,"1-30",IF(I123&lt;=60,"31-60",IF(I123&lt;=90,"61-90","90+"))))</f>
        <v/>
      </c>
      <c r="K123" s="153" t="inlineStr">
        <is>
          <t>Finance Analyst</t>
        </is>
      </c>
      <c r="L123" s="153" t="inlineStr">
        <is>
          <t>Part Paid</t>
        </is>
      </c>
      <c r="M123" s="157">
        <f>IF(L123="Closed","Closed",IF(OR(H123&gt;=Mapping_Rules!$B$7,I123&gt;=Mapping_Rules!$B$8),"High Risk",IF(I123&gt;30,"Monitor","Normal")))</f>
        <v/>
      </c>
      <c r="N123" s="157">
        <f>IF(M123="Closed","No action",IF(M123="High Risk","Call customer/vendor and escalate",IF(M123="Monitor","Send follow-up email","Keep monitoring")))</f>
        <v/>
      </c>
    </row>
    <row r="124">
      <c r="A124" s="115" t="inlineStr">
        <is>
          <t>INV-00121</t>
        </is>
      </c>
      <c r="B124" s="115" t="inlineStr">
        <is>
          <t>AP</t>
        </is>
      </c>
      <c r="C124" s="115" t="inlineStr">
        <is>
          <t>Vancouver Courier</t>
        </is>
      </c>
      <c r="D124" s="125" t="n">
        <v>46038</v>
      </c>
      <c r="E124" s="125" t="n">
        <v>46053</v>
      </c>
      <c r="F124" s="126" t="n">
        <v>3447.97</v>
      </c>
      <c r="G124" s="126" t="n">
        <v>0</v>
      </c>
      <c r="H124" s="126">
        <f>F124-G124</f>
        <v/>
      </c>
      <c r="I124" s="136">
        <f>MAX(0,Mapping_Rules!$B$6-E124)</f>
        <v/>
      </c>
      <c r="J124" s="137">
        <f>IF(I124=0,"Current",IF(I124&lt;=30,"1-30",IF(I124&lt;=60,"31-60",IF(I124&lt;=90,"61-90","90+"))))</f>
        <v/>
      </c>
      <c r="K124" s="115" t="inlineStr">
        <is>
          <t>Finance Analyst</t>
        </is>
      </c>
      <c r="L124" s="115" t="inlineStr">
        <is>
          <t>Open</t>
        </is>
      </c>
      <c r="M124" s="137">
        <f>IF(L124="Closed","Closed",IF(OR(H124&gt;=Mapping_Rules!$B$7,I124&gt;=Mapping_Rules!$B$8),"High Risk",IF(I124&gt;30,"Monitor","Normal")))</f>
        <v/>
      </c>
      <c r="N124" s="137">
        <f>IF(M124="Closed","No action",IF(M124="High Risk","Call customer/vendor and escalate",IF(M124="Monitor","Send follow-up email","Keep monitoring")))</f>
        <v/>
      </c>
    </row>
    <row r="125">
      <c r="A125" s="153" t="inlineStr">
        <is>
          <t>INV-00122</t>
        </is>
      </c>
      <c r="B125" s="153" t="inlineStr">
        <is>
          <t>AR</t>
        </is>
      </c>
      <c r="C125" s="153" t="inlineStr">
        <is>
          <t>Coastline Foods</t>
        </is>
      </c>
      <c r="D125" s="154" t="n">
        <v>46005</v>
      </c>
      <c r="E125" s="154" t="n">
        <v>46020</v>
      </c>
      <c r="F125" s="155" t="n">
        <v>7216.44</v>
      </c>
      <c r="G125" s="155" t="n">
        <v>0</v>
      </c>
      <c r="H125" s="155">
        <f>F125-G125</f>
        <v/>
      </c>
      <c r="I125" s="156">
        <f>MAX(0,Mapping_Rules!$B$6-E125)</f>
        <v/>
      </c>
      <c r="J125" s="157">
        <f>IF(I125=0,"Current",IF(I125&lt;=30,"1-30",IF(I125&lt;=60,"31-60",IF(I125&lt;=90,"61-90","90+"))))</f>
        <v/>
      </c>
      <c r="K125" s="153" t="inlineStr">
        <is>
          <t>Finance Analyst</t>
        </is>
      </c>
      <c r="L125" s="153" t="inlineStr">
        <is>
          <t>Disputed</t>
        </is>
      </c>
      <c r="M125" s="157">
        <f>IF(L125="Closed","Closed",IF(OR(H125&gt;=Mapping_Rules!$B$7,I125&gt;=Mapping_Rules!$B$8),"High Risk",IF(I125&gt;30,"Monitor","Normal")))</f>
        <v/>
      </c>
      <c r="N125" s="157">
        <f>IF(M125="Closed","No action",IF(M125="High Risk","Call customer/vendor and escalate",IF(M125="Monitor","Send follow-up email","Keep monitoring")))</f>
        <v/>
      </c>
    </row>
    <row r="126">
      <c r="A126" s="115" t="inlineStr">
        <is>
          <t>INV-00123</t>
        </is>
      </c>
      <c r="B126" s="115" t="inlineStr">
        <is>
          <t>AP</t>
        </is>
      </c>
      <c r="C126" s="115" t="inlineStr">
        <is>
          <t>Pacific Office Supplies</t>
        </is>
      </c>
      <c r="D126" s="125" t="n">
        <v>46013</v>
      </c>
      <c r="E126" s="125" t="n">
        <v>46073</v>
      </c>
      <c r="F126" s="126" t="n">
        <v>11641.3</v>
      </c>
      <c r="G126" s="126" t="n">
        <v>0</v>
      </c>
      <c r="H126" s="126">
        <f>F126-G126</f>
        <v/>
      </c>
      <c r="I126" s="136">
        <f>MAX(0,Mapping_Rules!$B$6-E126)</f>
        <v/>
      </c>
      <c r="J126" s="137">
        <f>IF(I126=0,"Current",IF(I126&lt;=30,"1-30",IF(I126&lt;=60,"31-60",IF(I126&lt;=90,"61-90","90+"))))</f>
        <v/>
      </c>
      <c r="K126" s="115" t="inlineStr">
        <is>
          <t>AR Clerk</t>
        </is>
      </c>
      <c r="L126" s="115" t="inlineStr">
        <is>
          <t>Open</t>
        </is>
      </c>
      <c r="M126" s="137">
        <f>IF(L126="Closed","Closed",IF(OR(H126&gt;=Mapping_Rules!$B$7,I126&gt;=Mapping_Rules!$B$8),"High Risk",IF(I126&gt;30,"Monitor","Normal")))</f>
        <v/>
      </c>
      <c r="N126" s="137">
        <f>IF(M126="Closed","No action",IF(M126="High Risk","Call customer/vendor and escalate",IF(M126="Monitor","Send follow-up email","Keep monitoring")))</f>
        <v/>
      </c>
    </row>
    <row r="127">
      <c r="A127" s="153" t="inlineStr">
        <is>
          <t>INV-00124</t>
        </is>
      </c>
      <c r="B127" s="153" t="inlineStr">
        <is>
          <t>AP</t>
        </is>
      </c>
      <c r="C127" s="153" t="inlineStr">
        <is>
          <t>Amazon Business</t>
        </is>
      </c>
      <c r="D127" s="154" t="n">
        <v>45987</v>
      </c>
      <c r="E127" s="154" t="n">
        <v>46047</v>
      </c>
      <c r="F127" s="155" t="n">
        <v>6020.48</v>
      </c>
      <c r="G127" s="155" t="n">
        <v>3099.1</v>
      </c>
      <c r="H127" s="155">
        <f>F127-G127</f>
        <v/>
      </c>
      <c r="I127" s="156">
        <f>MAX(0,Mapping_Rules!$B$6-E127)</f>
        <v/>
      </c>
      <c r="J127" s="157">
        <f>IF(I127=0,"Current",IF(I127&lt;=30,"1-30",IF(I127&lt;=60,"31-60",IF(I127&lt;=90,"61-90","90+"))))</f>
        <v/>
      </c>
      <c r="K127" s="153" t="inlineStr">
        <is>
          <t>AR Clerk</t>
        </is>
      </c>
      <c r="L127" s="153" t="inlineStr">
        <is>
          <t>Part Paid</t>
        </is>
      </c>
      <c r="M127" s="157">
        <f>IF(L127="Closed","Closed",IF(OR(H127&gt;=Mapping_Rules!$B$7,I127&gt;=Mapping_Rules!$B$8),"High Risk",IF(I127&gt;30,"Monitor","Normal")))</f>
        <v/>
      </c>
      <c r="N127" s="157">
        <f>IF(M127="Closed","No action",IF(M127="High Risk","Call customer/vendor and escalate",IF(M127="Monitor","Send follow-up email","Keep monitoring")))</f>
        <v/>
      </c>
    </row>
    <row r="128">
      <c r="A128" s="115" t="inlineStr">
        <is>
          <t>INV-00125</t>
        </is>
      </c>
      <c r="B128" s="115" t="inlineStr">
        <is>
          <t>AR</t>
        </is>
      </c>
      <c r="C128" s="115" t="inlineStr">
        <is>
          <t>Maple Retail Group</t>
        </is>
      </c>
      <c r="D128" s="125" t="n">
        <v>45996</v>
      </c>
      <c r="E128" s="125" t="n">
        <v>46056</v>
      </c>
      <c r="F128" s="126" t="n">
        <v>4952.66</v>
      </c>
      <c r="G128" s="126" t="n">
        <v>4952.66</v>
      </c>
      <c r="H128" s="126">
        <f>F128-G128</f>
        <v/>
      </c>
      <c r="I128" s="136">
        <f>MAX(0,Mapping_Rules!$B$6-E128)</f>
        <v/>
      </c>
      <c r="J128" s="137">
        <f>IF(I128=0,"Current",IF(I128&lt;=30,"1-30",IF(I128&lt;=60,"31-60",IF(I128&lt;=90,"61-90","90+"))))</f>
        <v/>
      </c>
      <c r="K128" s="115" t="inlineStr">
        <is>
          <t>AP Clerk</t>
        </is>
      </c>
      <c r="L128" s="115" t="inlineStr">
        <is>
          <t>Closed</t>
        </is>
      </c>
      <c r="M128" s="137">
        <f>IF(L128="Closed","Closed",IF(OR(H128&gt;=Mapping_Rules!$B$7,I128&gt;=Mapping_Rules!$B$8),"High Risk",IF(I128&gt;30,"Monitor","Normal")))</f>
        <v/>
      </c>
      <c r="N128" s="137">
        <f>IF(M128="Closed","No action",IF(M128="High Risk","Call customer/vendor and escalate",IF(M128="Monitor","Send follow-up email","Keep monitoring")))</f>
        <v/>
      </c>
    </row>
    <row r="129">
      <c r="A129" s="153" t="inlineStr">
        <is>
          <t>INV-00126</t>
        </is>
      </c>
      <c r="B129" s="153" t="inlineStr">
        <is>
          <t>AR</t>
        </is>
      </c>
      <c r="C129" s="153" t="inlineStr">
        <is>
          <t>Harbour Design Co.</t>
        </is>
      </c>
      <c r="D129" s="154" t="n">
        <v>46014</v>
      </c>
      <c r="E129" s="154" t="n">
        <v>46074</v>
      </c>
      <c r="F129" s="155" t="n">
        <v>5574.22</v>
      </c>
      <c r="G129" s="155" t="n">
        <v>0</v>
      </c>
      <c r="H129" s="155">
        <f>F129-G129</f>
        <v/>
      </c>
      <c r="I129" s="156">
        <f>MAX(0,Mapping_Rules!$B$6-E129)</f>
        <v/>
      </c>
      <c r="J129" s="157">
        <f>IF(I129=0,"Current",IF(I129&lt;=30,"1-30",IF(I129&lt;=60,"31-60",IF(I129&lt;=90,"61-90","90+"))))</f>
        <v/>
      </c>
      <c r="K129" s="153" t="inlineStr">
        <is>
          <t>Accounting Technician</t>
        </is>
      </c>
      <c r="L129" s="153" t="inlineStr">
        <is>
          <t>Open</t>
        </is>
      </c>
      <c r="M129" s="157">
        <f>IF(L129="Closed","Closed",IF(OR(H129&gt;=Mapping_Rules!$B$7,I129&gt;=Mapping_Rules!$B$8),"High Risk",IF(I129&gt;30,"Monitor","Normal")))</f>
        <v/>
      </c>
      <c r="N129" s="157">
        <f>IF(M129="Closed","No action",IF(M129="High Risk","Call customer/vendor and escalate",IF(M129="Monitor","Send follow-up email","Keep monitoring")))</f>
        <v/>
      </c>
    </row>
    <row r="130">
      <c r="A130" s="115" t="inlineStr">
        <is>
          <t>INV-00127</t>
        </is>
      </c>
      <c r="B130" s="115" t="inlineStr">
        <is>
          <t>AR</t>
        </is>
      </c>
      <c r="C130" s="115" t="inlineStr">
        <is>
          <t>Raincity Tech</t>
        </is>
      </c>
      <c r="D130" s="125" t="n">
        <v>45983</v>
      </c>
      <c r="E130" s="125" t="n">
        <v>46028</v>
      </c>
      <c r="F130" s="126" t="n">
        <v>9300.879999999999</v>
      </c>
      <c r="G130" s="126" t="n">
        <v>9300.879999999999</v>
      </c>
      <c r="H130" s="126">
        <f>F130-G130</f>
        <v/>
      </c>
      <c r="I130" s="136">
        <f>MAX(0,Mapping_Rules!$B$6-E130)</f>
        <v/>
      </c>
      <c r="J130" s="137">
        <f>IF(I130=0,"Current",IF(I130&lt;=30,"1-30",IF(I130&lt;=60,"31-60",IF(I130&lt;=90,"61-90","90+"))))</f>
        <v/>
      </c>
      <c r="K130" s="115" t="inlineStr">
        <is>
          <t>Finance Analyst</t>
        </is>
      </c>
      <c r="L130" s="115" t="inlineStr">
        <is>
          <t>Closed</t>
        </is>
      </c>
      <c r="M130" s="137">
        <f>IF(L130="Closed","Closed",IF(OR(H130&gt;=Mapping_Rules!$B$7,I130&gt;=Mapping_Rules!$B$8),"High Risk",IF(I130&gt;30,"Monitor","Normal")))</f>
        <v/>
      </c>
      <c r="N130" s="137">
        <f>IF(M130="Closed","No action",IF(M130="High Risk","Call customer/vendor and escalate",IF(M130="Monitor","Send follow-up email","Keep monitoring")))</f>
        <v/>
      </c>
    </row>
    <row r="131">
      <c r="A131" s="153" t="inlineStr">
        <is>
          <t>INV-00128</t>
        </is>
      </c>
      <c r="B131" s="153" t="inlineStr">
        <is>
          <t>AR</t>
        </is>
      </c>
      <c r="C131" s="153" t="inlineStr">
        <is>
          <t>Granville Medical</t>
        </is>
      </c>
      <c r="D131" s="154" t="n">
        <v>45967</v>
      </c>
      <c r="E131" s="154" t="n">
        <v>45997</v>
      </c>
      <c r="F131" s="155" t="n">
        <v>3115.33</v>
      </c>
      <c r="G131" s="155" t="n">
        <v>0</v>
      </c>
      <c r="H131" s="155">
        <f>F131-G131</f>
        <v/>
      </c>
      <c r="I131" s="156">
        <f>MAX(0,Mapping_Rules!$B$6-E131)</f>
        <v/>
      </c>
      <c r="J131" s="157">
        <f>IF(I131=0,"Current",IF(I131&lt;=30,"1-30",IF(I131&lt;=60,"31-60",IF(I131&lt;=90,"61-90","90+"))))</f>
        <v/>
      </c>
      <c r="K131" s="153" t="inlineStr">
        <is>
          <t>AP Clerk</t>
        </is>
      </c>
      <c r="L131" s="153" t="inlineStr">
        <is>
          <t>Open</t>
        </is>
      </c>
      <c r="M131" s="157">
        <f>IF(L131="Closed","Closed",IF(OR(H131&gt;=Mapping_Rules!$B$7,I131&gt;=Mapping_Rules!$B$8),"High Risk",IF(I131&gt;30,"Monitor","Normal")))</f>
        <v/>
      </c>
      <c r="N131" s="157">
        <f>IF(M131="Closed","No action",IF(M131="High Risk","Call customer/vendor and escalate",IF(M131="Monitor","Send follow-up email","Keep monitoring")))</f>
        <v/>
      </c>
    </row>
    <row r="132">
      <c r="A132" s="115" t="inlineStr">
        <is>
          <t>INV-00129</t>
        </is>
      </c>
      <c r="B132" s="115" t="inlineStr">
        <is>
          <t>AR</t>
        </is>
      </c>
      <c r="C132" s="115" t="inlineStr">
        <is>
          <t>Harbour Design Co.</t>
        </is>
      </c>
      <c r="D132" s="125" t="n">
        <v>45968</v>
      </c>
      <c r="E132" s="125" t="n">
        <v>45998</v>
      </c>
      <c r="F132" s="126" t="n">
        <v>14241.77</v>
      </c>
      <c r="G132" s="126" t="n">
        <v>14241.77</v>
      </c>
      <c r="H132" s="126">
        <f>F132-G132</f>
        <v/>
      </c>
      <c r="I132" s="136">
        <f>MAX(0,Mapping_Rules!$B$6-E132)</f>
        <v/>
      </c>
      <c r="J132" s="137">
        <f>IF(I132=0,"Current",IF(I132&lt;=30,"1-30",IF(I132&lt;=60,"31-60",IF(I132&lt;=90,"61-90","90+"))))</f>
        <v/>
      </c>
      <c r="K132" s="115" t="inlineStr">
        <is>
          <t>Accounting Technician</t>
        </is>
      </c>
      <c r="L132" s="115" t="inlineStr">
        <is>
          <t>Closed</t>
        </is>
      </c>
      <c r="M132" s="137">
        <f>IF(L132="Closed","Closed",IF(OR(H132&gt;=Mapping_Rules!$B$7,I132&gt;=Mapping_Rules!$B$8),"High Risk",IF(I132&gt;30,"Monitor","Normal")))</f>
        <v/>
      </c>
      <c r="N132" s="137">
        <f>IF(M132="Closed","No action",IF(M132="High Risk","Call customer/vendor and escalate",IF(M132="Monitor","Send follow-up email","Keep monitoring")))</f>
        <v/>
      </c>
    </row>
    <row r="133">
      <c r="A133" s="153" t="inlineStr">
        <is>
          <t>INV-00130</t>
        </is>
      </c>
      <c r="B133" s="153" t="inlineStr">
        <is>
          <t>AR</t>
        </is>
      </c>
      <c r="C133" s="153" t="inlineStr">
        <is>
          <t>Raincity Tech</t>
        </is>
      </c>
      <c r="D133" s="154" t="n">
        <v>46050</v>
      </c>
      <c r="E133" s="154" t="n">
        <v>46065</v>
      </c>
      <c r="F133" s="155" t="n">
        <v>4681</v>
      </c>
      <c r="G133" s="155" t="n">
        <v>0</v>
      </c>
      <c r="H133" s="155">
        <f>F133-G133</f>
        <v/>
      </c>
      <c r="I133" s="156">
        <f>MAX(0,Mapping_Rules!$B$6-E133)</f>
        <v/>
      </c>
      <c r="J133" s="157">
        <f>IF(I133=0,"Current",IF(I133&lt;=30,"1-30",IF(I133&lt;=60,"31-60",IF(I133&lt;=90,"61-90","90+"))))</f>
        <v/>
      </c>
      <c r="K133" s="153" t="inlineStr">
        <is>
          <t>Accounting Technician</t>
        </is>
      </c>
      <c r="L133" s="153" t="inlineStr">
        <is>
          <t>Open</t>
        </is>
      </c>
      <c r="M133" s="157">
        <f>IF(L133="Closed","Closed",IF(OR(H133&gt;=Mapping_Rules!$B$7,I133&gt;=Mapping_Rules!$B$8),"High Risk",IF(I133&gt;30,"Monitor","Normal")))</f>
        <v/>
      </c>
      <c r="N133" s="157">
        <f>IF(M133="Closed","No action",IF(M133="High Risk","Call customer/vendor and escalate",IF(M133="Monitor","Send follow-up email","Keep monitoring")))</f>
        <v/>
      </c>
    </row>
    <row r="134">
      <c r="A134" s="115" t="inlineStr">
        <is>
          <t>INV-00131</t>
        </is>
      </c>
      <c r="B134" s="115" t="inlineStr">
        <is>
          <t>AR</t>
        </is>
      </c>
      <c r="C134" s="115" t="inlineStr">
        <is>
          <t>Harbour Design Co.</t>
        </is>
      </c>
      <c r="D134" s="125" t="n">
        <v>46030</v>
      </c>
      <c r="E134" s="125" t="n">
        <v>46060</v>
      </c>
      <c r="F134" s="126" t="n">
        <v>3176.45</v>
      </c>
      <c r="G134" s="126" t="n">
        <v>1010.52</v>
      </c>
      <c r="H134" s="126">
        <f>F134-G134</f>
        <v/>
      </c>
      <c r="I134" s="136">
        <f>MAX(0,Mapping_Rules!$B$6-E134)</f>
        <v/>
      </c>
      <c r="J134" s="137">
        <f>IF(I134=0,"Current",IF(I134&lt;=30,"1-30",IF(I134&lt;=60,"31-60",IF(I134&lt;=90,"61-90","90+"))))</f>
        <v/>
      </c>
      <c r="K134" s="115" t="inlineStr">
        <is>
          <t>Finance Analyst</t>
        </is>
      </c>
      <c r="L134" s="115" t="inlineStr">
        <is>
          <t>Part Paid</t>
        </is>
      </c>
      <c r="M134" s="137">
        <f>IF(L134="Closed","Closed",IF(OR(H134&gt;=Mapping_Rules!$B$7,I134&gt;=Mapping_Rules!$B$8),"High Risk",IF(I134&gt;30,"Monitor","Normal")))</f>
        <v/>
      </c>
      <c r="N134" s="137">
        <f>IF(M134="Closed","No action",IF(M134="High Risk","Call customer/vendor and escalate",IF(M134="Monitor","Send follow-up email","Keep monitoring")))</f>
        <v/>
      </c>
    </row>
    <row r="135">
      <c r="A135" s="153" t="inlineStr">
        <is>
          <t>INV-00132</t>
        </is>
      </c>
      <c r="B135" s="153" t="inlineStr">
        <is>
          <t>AR</t>
        </is>
      </c>
      <c r="C135" s="153" t="inlineStr">
        <is>
          <t>Harbour Design Co.</t>
        </is>
      </c>
      <c r="D135" s="154" t="n">
        <v>46051</v>
      </c>
      <c r="E135" s="154" t="n">
        <v>46066</v>
      </c>
      <c r="F135" s="155" t="n">
        <v>5742.61</v>
      </c>
      <c r="G135" s="155" t="n">
        <v>5742.61</v>
      </c>
      <c r="H135" s="155">
        <f>F135-G135</f>
        <v/>
      </c>
      <c r="I135" s="156">
        <f>MAX(0,Mapping_Rules!$B$6-E135)</f>
        <v/>
      </c>
      <c r="J135" s="157">
        <f>IF(I135=0,"Current",IF(I135&lt;=30,"1-30",IF(I135&lt;=60,"31-60",IF(I135&lt;=90,"61-90","90+"))))</f>
        <v/>
      </c>
      <c r="K135" s="153" t="inlineStr">
        <is>
          <t>AP Clerk</t>
        </is>
      </c>
      <c r="L135" s="153" t="inlineStr">
        <is>
          <t>Closed</t>
        </is>
      </c>
      <c r="M135" s="157">
        <f>IF(L135="Closed","Closed",IF(OR(H135&gt;=Mapping_Rules!$B$7,I135&gt;=Mapping_Rules!$B$8),"High Risk",IF(I135&gt;30,"Monitor","Normal")))</f>
        <v/>
      </c>
      <c r="N135" s="157">
        <f>IF(M135="Closed","No action",IF(M135="High Risk","Call customer/vendor and escalate",IF(M135="Monitor","Send follow-up email","Keep monitoring")))</f>
        <v/>
      </c>
    </row>
    <row r="136">
      <c r="A136" s="115" t="inlineStr">
        <is>
          <t>INV-00133</t>
        </is>
      </c>
      <c r="B136" s="115" t="inlineStr">
        <is>
          <t>AP</t>
        </is>
      </c>
      <c r="C136" s="115" t="inlineStr">
        <is>
          <t>North Shore Telecom</t>
        </is>
      </c>
      <c r="D136" s="125" t="n">
        <v>45969</v>
      </c>
      <c r="E136" s="125" t="n">
        <v>46014</v>
      </c>
      <c r="F136" s="126" t="n">
        <v>3130.34</v>
      </c>
      <c r="G136" s="126" t="n">
        <v>1021.53</v>
      </c>
      <c r="H136" s="126">
        <f>F136-G136</f>
        <v/>
      </c>
      <c r="I136" s="136">
        <f>MAX(0,Mapping_Rules!$B$6-E136)</f>
        <v/>
      </c>
      <c r="J136" s="137">
        <f>IF(I136=0,"Current",IF(I136&lt;=30,"1-30",IF(I136&lt;=60,"31-60",IF(I136&lt;=90,"61-90","90+"))))</f>
        <v/>
      </c>
      <c r="K136" s="115" t="inlineStr">
        <is>
          <t>Finance Analyst</t>
        </is>
      </c>
      <c r="L136" s="115" t="inlineStr">
        <is>
          <t>Part Paid</t>
        </is>
      </c>
      <c r="M136" s="137">
        <f>IF(L136="Closed","Closed",IF(OR(H136&gt;=Mapping_Rules!$B$7,I136&gt;=Mapping_Rules!$B$8),"High Risk",IF(I136&gt;30,"Monitor","Normal")))</f>
        <v/>
      </c>
      <c r="N136" s="137">
        <f>IF(M136="Closed","No action",IF(M136="High Risk","Call customer/vendor and escalate",IF(M136="Monitor","Send follow-up email","Keep monitoring")))</f>
        <v/>
      </c>
    </row>
    <row r="137">
      <c r="A137" s="153" t="inlineStr">
        <is>
          <t>INV-00134</t>
        </is>
      </c>
      <c r="B137" s="153" t="inlineStr">
        <is>
          <t>AR</t>
        </is>
      </c>
      <c r="C137" s="153" t="inlineStr">
        <is>
          <t>Maple Retail Group</t>
        </is>
      </c>
      <c r="D137" s="154" t="n">
        <v>46011</v>
      </c>
      <c r="E137" s="154" t="n">
        <v>46056</v>
      </c>
      <c r="F137" s="155" t="n">
        <v>9995.280000000001</v>
      </c>
      <c r="G137" s="155" t="n">
        <v>9995.280000000001</v>
      </c>
      <c r="H137" s="155">
        <f>F137-G137</f>
        <v/>
      </c>
      <c r="I137" s="156">
        <f>MAX(0,Mapping_Rules!$B$6-E137)</f>
        <v/>
      </c>
      <c r="J137" s="157">
        <f>IF(I137=0,"Current",IF(I137&lt;=30,"1-30",IF(I137&lt;=60,"31-60",IF(I137&lt;=90,"61-90","90+"))))</f>
        <v/>
      </c>
      <c r="K137" s="153" t="inlineStr">
        <is>
          <t>Accounting Technician</t>
        </is>
      </c>
      <c r="L137" s="153" t="inlineStr">
        <is>
          <t>Closed</t>
        </is>
      </c>
      <c r="M137" s="157">
        <f>IF(L137="Closed","Closed",IF(OR(H137&gt;=Mapping_Rules!$B$7,I137&gt;=Mapping_Rules!$B$8),"High Risk",IF(I137&gt;30,"Monitor","Normal")))</f>
        <v/>
      </c>
      <c r="N137" s="157">
        <f>IF(M137="Closed","No action",IF(M137="High Risk","Call customer/vendor and escalate",IF(M137="Monitor","Send follow-up email","Keep monitoring")))</f>
        <v/>
      </c>
    </row>
    <row r="138">
      <c r="A138" s="115" t="inlineStr">
        <is>
          <t>INV-00135</t>
        </is>
      </c>
      <c r="B138" s="115" t="inlineStr">
        <is>
          <t>AR</t>
        </is>
      </c>
      <c r="C138" s="115" t="inlineStr">
        <is>
          <t>Maple Retail Group</t>
        </is>
      </c>
      <c r="D138" s="125" t="n">
        <v>45999</v>
      </c>
      <c r="E138" s="125" t="n">
        <v>46059</v>
      </c>
      <c r="F138" s="126" t="n">
        <v>3582.85</v>
      </c>
      <c r="G138" s="126" t="n">
        <v>0</v>
      </c>
      <c r="H138" s="126">
        <f>F138-G138</f>
        <v/>
      </c>
      <c r="I138" s="136">
        <f>MAX(0,Mapping_Rules!$B$6-E138)</f>
        <v/>
      </c>
      <c r="J138" s="137">
        <f>IF(I138=0,"Current",IF(I138&lt;=30,"1-30",IF(I138&lt;=60,"31-60",IF(I138&lt;=90,"61-90","90+"))))</f>
        <v/>
      </c>
      <c r="K138" s="115" t="inlineStr">
        <is>
          <t>AP Clerk</t>
        </is>
      </c>
      <c r="L138" s="115" t="inlineStr">
        <is>
          <t>Open</t>
        </is>
      </c>
      <c r="M138" s="137">
        <f>IF(L138="Closed","Closed",IF(OR(H138&gt;=Mapping_Rules!$B$7,I138&gt;=Mapping_Rules!$B$8),"High Risk",IF(I138&gt;30,"Monitor","Normal")))</f>
        <v/>
      </c>
      <c r="N138" s="137">
        <f>IF(M138="Closed","No action",IF(M138="High Risk","Call customer/vendor and escalate",IF(M138="Monitor","Send follow-up email","Keep monitoring")))</f>
        <v/>
      </c>
    </row>
    <row r="139">
      <c r="A139" s="153" t="inlineStr">
        <is>
          <t>INV-00136</t>
        </is>
      </c>
      <c r="B139" s="153" t="inlineStr">
        <is>
          <t>AP</t>
        </is>
      </c>
      <c r="C139" s="153" t="inlineStr">
        <is>
          <t>BC Hydro</t>
        </is>
      </c>
      <c r="D139" s="154" t="n">
        <v>46038</v>
      </c>
      <c r="E139" s="154" t="n">
        <v>46053</v>
      </c>
      <c r="F139" s="155" t="n">
        <v>2918.3</v>
      </c>
      <c r="G139" s="155" t="n">
        <v>1306.5</v>
      </c>
      <c r="H139" s="155">
        <f>F139-G139</f>
        <v/>
      </c>
      <c r="I139" s="156">
        <f>MAX(0,Mapping_Rules!$B$6-E139)</f>
        <v/>
      </c>
      <c r="J139" s="157">
        <f>IF(I139=0,"Current",IF(I139&lt;=30,"1-30",IF(I139&lt;=60,"31-60",IF(I139&lt;=90,"61-90","90+"))))</f>
        <v/>
      </c>
      <c r="K139" s="153" t="inlineStr">
        <is>
          <t>AP Clerk</t>
        </is>
      </c>
      <c r="L139" s="153" t="inlineStr">
        <is>
          <t>Part Paid</t>
        </is>
      </c>
      <c r="M139" s="157">
        <f>IF(L139="Closed","Closed",IF(OR(H139&gt;=Mapping_Rules!$B$7,I139&gt;=Mapping_Rules!$B$8),"High Risk",IF(I139&gt;30,"Monitor","Normal")))</f>
        <v/>
      </c>
      <c r="N139" s="157">
        <f>IF(M139="Closed","No action",IF(M139="High Risk","Call customer/vendor and escalate",IF(M139="Monitor","Send follow-up email","Keep monitoring")))</f>
        <v/>
      </c>
    </row>
    <row r="140">
      <c r="A140" s="115" t="inlineStr">
        <is>
          <t>INV-00137</t>
        </is>
      </c>
      <c r="B140" s="115" t="inlineStr">
        <is>
          <t>AR</t>
        </is>
      </c>
      <c r="C140" s="115" t="inlineStr">
        <is>
          <t>Coastline Foods</t>
        </is>
      </c>
      <c r="D140" s="125" t="n">
        <v>46029</v>
      </c>
      <c r="E140" s="125" t="n">
        <v>46074</v>
      </c>
      <c r="F140" s="126" t="n">
        <v>5103.51</v>
      </c>
      <c r="G140" s="126" t="n">
        <v>0</v>
      </c>
      <c r="H140" s="126">
        <f>F140-G140</f>
        <v/>
      </c>
      <c r="I140" s="136">
        <f>MAX(0,Mapping_Rules!$B$6-E140)</f>
        <v/>
      </c>
      <c r="J140" s="137">
        <f>IF(I140=0,"Current",IF(I140&lt;=30,"1-30",IF(I140&lt;=60,"31-60",IF(I140&lt;=90,"61-90","90+"))))</f>
        <v/>
      </c>
      <c r="K140" s="115" t="inlineStr">
        <is>
          <t>AR Clerk</t>
        </is>
      </c>
      <c r="L140" s="115" t="inlineStr">
        <is>
          <t>Open</t>
        </is>
      </c>
      <c r="M140" s="137">
        <f>IF(L140="Closed","Closed",IF(OR(H140&gt;=Mapping_Rules!$B$7,I140&gt;=Mapping_Rules!$B$8),"High Risk",IF(I140&gt;30,"Monitor","Normal")))</f>
        <v/>
      </c>
      <c r="N140" s="137">
        <f>IF(M140="Closed","No action",IF(M140="High Risk","Call customer/vendor and escalate",IF(M140="Monitor","Send follow-up email","Keep monitoring")))</f>
        <v/>
      </c>
    </row>
    <row r="141">
      <c r="A141" s="153" t="inlineStr">
        <is>
          <t>INV-00138</t>
        </is>
      </c>
      <c r="B141" s="153" t="inlineStr">
        <is>
          <t>AR</t>
        </is>
      </c>
      <c r="C141" s="153" t="inlineStr">
        <is>
          <t>Raincity Tech</t>
        </is>
      </c>
      <c r="D141" s="154" t="n">
        <v>46049</v>
      </c>
      <c r="E141" s="154" t="n">
        <v>46094</v>
      </c>
      <c r="F141" s="155" t="n">
        <v>5427.37</v>
      </c>
      <c r="G141" s="155" t="n">
        <v>0</v>
      </c>
      <c r="H141" s="155">
        <f>F141-G141</f>
        <v/>
      </c>
      <c r="I141" s="156">
        <f>MAX(0,Mapping_Rules!$B$6-E141)</f>
        <v/>
      </c>
      <c r="J141" s="157">
        <f>IF(I141=0,"Current",IF(I141&lt;=30,"1-30",IF(I141&lt;=60,"31-60",IF(I141&lt;=90,"61-90","90+"))))</f>
        <v/>
      </c>
      <c r="K141" s="153" t="inlineStr">
        <is>
          <t>Accounting Technician</t>
        </is>
      </c>
      <c r="L141" s="153" t="inlineStr">
        <is>
          <t>Open</t>
        </is>
      </c>
      <c r="M141" s="157">
        <f>IF(L141="Closed","Closed",IF(OR(H141&gt;=Mapping_Rules!$B$7,I141&gt;=Mapping_Rules!$B$8),"High Risk",IF(I141&gt;30,"Monitor","Normal")))</f>
        <v/>
      </c>
      <c r="N141" s="157">
        <f>IF(M141="Closed","No action",IF(M141="High Risk","Call customer/vendor and escalate",IF(M141="Monitor","Send follow-up email","Keep monitoring")))</f>
        <v/>
      </c>
    </row>
    <row r="142">
      <c r="A142" s="115" t="inlineStr">
        <is>
          <t>INV-00139</t>
        </is>
      </c>
      <c r="B142" s="115" t="inlineStr">
        <is>
          <t>AR</t>
        </is>
      </c>
      <c r="C142" s="115" t="inlineStr">
        <is>
          <t>Harbour Design Co.</t>
        </is>
      </c>
      <c r="D142" s="125" t="n">
        <v>45994</v>
      </c>
      <c r="E142" s="125" t="n">
        <v>46054</v>
      </c>
      <c r="F142" s="126" t="n">
        <v>13372.47</v>
      </c>
      <c r="G142" s="126" t="n">
        <v>0</v>
      </c>
      <c r="H142" s="126">
        <f>F142-G142</f>
        <v/>
      </c>
      <c r="I142" s="136">
        <f>MAX(0,Mapping_Rules!$B$6-E142)</f>
        <v/>
      </c>
      <c r="J142" s="137">
        <f>IF(I142=0,"Current",IF(I142&lt;=30,"1-30",IF(I142&lt;=60,"31-60",IF(I142&lt;=90,"61-90","90+"))))</f>
        <v/>
      </c>
      <c r="K142" s="115" t="inlineStr">
        <is>
          <t>AP Clerk</t>
        </is>
      </c>
      <c r="L142" s="115" t="inlineStr">
        <is>
          <t>Promise to Pay</t>
        </is>
      </c>
      <c r="M142" s="137">
        <f>IF(L142="Closed","Closed",IF(OR(H142&gt;=Mapping_Rules!$B$7,I142&gt;=Mapping_Rules!$B$8),"High Risk",IF(I142&gt;30,"Monitor","Normal")))</f>
        <v/>
      </c>
      <c r="N142" s="137">
        <f>IF(M142="Closed","No action",IF(M142="High Risk","Call customer/vendor and escalate",IF(M142="Monitor","Send follow-up email","Keep monitoring")))</f>
        <v/>
      </c>
    </row>
    <row r="143">
      <c r="A143" s="153" t="inlineStr">
        <is>
          <t>INV-00140</t>
        </is>
      </c>
      <c r="B143" s="153" t="inlineStr">
        <is>
          <t>AP</t>
        </is>
      </c>
      <c r="C143" s="153" t="inlineStr">
        <is>
          <t>North Shore Telecom</t>
        </is>
      </c>
      <c r="D143" s="154" t="n">
        <v>45981</v>
      </c>
      <c r="E143" s="154" t="n">
        <v>46026</v>
      </c>
      <c r="F143" s="155" t="n">
        <v>13473.05</v>
      </c>
      <c r="G143" s="155" t="n">
        <v>2789.82</v>
      </c>
      <c r="H143" s="155">
        <f>F143-G143</f>
        <v/>
      </c>
      <c r="I143" s="156">
        <f>MAX(0,Mapping_Rules!$B$6-E143)</f>
        <v/>
      </c>
      <c r="J143" s="157">
        <f>IF(I143=0,"Current",IF(I143&lt;=30,"1-30",IF(I143&lt;=60,"31-60",IF(I143&lt;=90,"61-90","90+"))))</f>
        <v/>
      </c>
      <c r="K143" s="153" t="inlineStr">
        <is>
          <t>Finance Analyst</t>
        </is>
      </c>
      <c r="L143" s="153" t="inlineStr">
        <is>
          <t>Part Paid</t>
        </is>
      </c>
      <c r="M143" s="157">
        <f>IF(L143="Closed","Closed",IF(OR(H143&gt;=Mapping_Rules!$B$7,I143&gt;=Mapping_Rules!$B$8),"High Risk",IF(I143&gt;30,"Monitor","Normal")))</f>
        <v/>
      </c>
      <c r="N143" s="157">
        <f>IF(M143="Closed","No action",IF(M143="High Risk","Call customer/vendor and escalate",IF(M143="Monitor","Send follow-up email","Keep monitoring")))</f>
        <v/>
      </c>
    </row>
    <row r="144">
      <c r="A144" s="115" t="inlineStr">
        <is>
          <t>INV-00141</t>
        </is>
      </c>
      <c r="B144" s="115" t="inlineStr">
        <is>
          <t>AR</t>
        </is>
      </c>
      <c r="C144" s="115" t="inlineStr">
        <is>
          <t>Granville Medical</t>
        </is>
      </c>
      <c r="D144" s="125" t="n">
        <v>45992</v>
      </c>
      <c r="E144" s="125" t="n">
        <v>46022</v>
      </c>
      <c r="F144" s="126" t="n">
        <v>6483.01</v>
      </c>
      <c r="G144" s="126" t="n">
        <v>0</v>
      </c>
      <c r="H144" s="126">
        <f>F144-G144</f>
        <v/>
      </c>
      <c r="I144" s="136">
        <f>MAX(0,Mapping_Rules!$B$6-E144)</f>
        <v/>
      </c>
      <c r="J144" s="137">
        <f>IF(I144=0,"Current",IF(I144&lt;=30,"1-30",IF(I144&lt;=60,"31-60",IF(I144&lt;=90,"61-90","90+"))))</f>
        <v/>
      </c>
      <c r="K144" s="115" t="inlineStr">
        <is>
          <t>Accounting Technician</t>
        </is>
      </c>
      <c r="L144" s="115" t="inlineStr">
        <is>
          <t>Open</t>
        </is>
      </c>
      <c r="M144" s="137">
        <f>IF(L144="Closed","Closed",IF(OR(H144&gt;=Mapping_Rules!$B$7,I144&gt;=Mapping_Rules!$B$8),"High Risk",IF(I144&gt;30,"Monitor","Normal")))</f>
        <v/>
      </c>
      <c r="N144" s="137">
        <f>IF(M144="Closed","No action",IF(M144="High Risk","Call customer/vendor and escalate",IF(M144="Monitor","Send follow-up email","Keep monitoring")))</f>
        <v/>
      </c>
    </row>
    <row r="145">
      <c r="A145" s="153" t="inlineStr">
        <is>
          <t>INV-00142</t>
        </is>
      </c>
      <c r="B145" s="153" t="inlineStr">
        <is>
          <t>AP</t>
        </is>
      </c>
      <c r="C145" s="153" t="inlineStr">
        <is>
          <t>Amazon Business</t>
        </is>
      </c>
      <c r="D145" s="154" t="n">
        <v>45978</v>
      </c>
      <c r="E145" s="154" t="n">
        <v>46008</v>
      </c>
      <c r="F145" s="155" t="n">
        <v>9839.219999999999</v>
      </c>
      <c r="G145" s="155" t="n">
        <v>5850.71</v>
      </c>
      <c r="H145" s="155">
        <f>F145-G145</f>
        <v/>
      </c>
      <c r="I145" s="156">
        <f>MAX(0,Mapping_Rules!$B$6-E145)</f>
        <v/>
      </c>
      <c r="J145" s="157">
        <f>IF(I145=0,"Current",IF(I145&lt;=30,"1-30",IF(I145&lt;=60,"31-60",IF(I145&lt;=90,"61-90","90+"))))</f>
        <v/>
      </c>
      <c r="K145" s="153" t="inlineStr">
        <is>
          <t>AR Clerk</t>
        </is>
      </c>
      <c r="L145" s="153" t="inlineStr">
        <is>
          <t>Part Paid</t>
        </is>
      </c>
      <c r="M145" s="157">
        <f>IF(L145="Closed","Closed",IF(OR(H145&gt;=Mapping_Rules!$B$7,I145&gt;=Mapping_Rules!$B$8),"High Risk",IF(I145&gt;30,"Monitor","Normal")))</f>
        <v/>
      </c>
      <c r="N145" s="157">
        <f>IF(M145="Closed","No action",IF(M145="High Risk","Call customer/vendor and escalate",IF(M145="Monitor","Send follow-up email","Keep monitoring")))</f>
        <v/>
      </c>
    </row>
    <row r="146">
      <c r="A146" s="115" t="inlineStr">
        <is>
          <t>INV-00143</t>
        </is>
      </c>
      <c r="B146" s="115" t="inlineStr">
        <is>
          <t>AR</t>
        </is>
      </c>
      <c r="C146" s="115" t="inlineStr">
        <is>
          <t>Raincity Tech</t>
        </is>
      </c>
      <c r="D146" s="125" t="n">
        <v>46050</v>
      </c>
      <c r="E146" s="125" t="n">
        <v>46080</v>
      </c>
      <c r="F146" s="126" t="n">
        <v>6536.45</v>
      </c>
      <c r="G146" s="126" t="n">
        <v>6536.45</v>
      </c>
      <c r="H146" s="126">
        <f>F146-G146</f>
        <v/>
      </c>
      <c r="I146" s="136">
        <f>MAX(0,Mapping_Rules!$B$6-E146)</f>
        <v/>
      </c>
      <c r="J146" s="137">
        <f>IF(I146=0,"Current",IF(I146&lt;=30,"1-30",IF(I146&lt;=60,"31-60",IF(I146&lt;=90,"61-90","90+"))))</f>
        <v/>
      </c>
      <c r="K146" s="115" t="inlineStr">
        <is>
          <t>AR Clerk</t>
        </is>
      </c>
      <c r="L146" s="115" t="inlineStr">
        <is>
          <t>Closed</t>
        </is>
      </c>
      <c r="M146" s="137">
        <f>IF(L146="Closed","Closed",IF(OR(H146&gt;=Mapping_Rules!$B$7,I146&gt;=Mapping_Rules!$B$8),"High Risk",IF(I146&gt;30,"Monitor","Normal")))</f>
        <v/>
      </c>
      <c r="N146" s="137">
        <f>IF(M146="Closed","No action",IF(M146="High Risk","Call customer/vendor and escalate",IF(M146="Monitor","Send follow-up email","Keep monitoring")))</f>
        <v/>
      </c>
    </row>
    <row r="147">
      <c r="A147" s="153" t="inlineStr">
        <is>
          <t>INV-00144</t>
        </is>
      </c>
      <c r="B147" s="153" t="inlineStr">
        <is>
          <t>AR</t>
        </is>
      </c>
      <c r="C147" s="153" t="inlineStr">
        <is>
          <t>Raincity Tech</t>
        </is>
      </c>
      <c r="D147" s="154" t="n">
        <v>45970</v>
      </c>
      <c r="E147" s="154" t="n">
        <v>45985</v>
      </c>
      <c r="F147" s="155" t="n">
        <v>2884.41</v>
      </c>
      <c r="G147" s="155" t="n">
        <v>0</v>
      </c>
      <c r="H147" s="155">
        <f>F147-G147</f>
        <v/>
      </c>
      <c r="I147" s="156">
        <f>MAX(0,Mapping_Rules!$B$6-E147)</f>
        <v/>
      </c>
      <c r="J147" s="157">
        <f>IF(I147=0,"Current",IF(I147&lt;=30,"1-30",IF(I147&lt;=60,"31-60",IF(I147&lt;=90,"61-90","90+"))))</f>
        <v/>
      </c>
      <c r="K147" s="153" t="inlineStr">
        <is>
          <t>AR Clerk</t>
        </is>
      </c>
      <c r="L147" s="153" t="inlineStr">
        <is>
          <t>Promise to Pay</t>
        </is>
      </c>
      <c r="M147" s="157">
        <f>IF(L147="Closed","Closed",IF(OR(H147&gt;=Mapping_Rules!$B$7,I147&gt;=Mapping_Rules!$B$8),"High Risk",IF(I147&gt;30,"Monitor","Normal")))</f>
        <v/>
      </c>
      <c r="N147" s="157">
        <f>IF(M147="Closed","No action",IF(M147="High Risk","Call customer/vendor and escalate",IF(M147="Monitor","Send follow-up email","Keep monitoring")))</f>
        <v/>
      </c>
    </row>
    <row r="148">
      <c r="A148" s="115" t="inlineStr">
        <is>
          <t>INV-00145</t>
        </is>
      </c>
      <c r="B148" s="115" t="inlineStr">
        <is>
          <t>AR</t>
        </is>
      </c>
      <c r="C148" s="115" t="inlineStr">
        <is>
          <t>Raincity Tech</t>
        </is>
      </c>
      <c r="D148" s="125" t="n">
        <v>46014</v>
      </c>
      <c r="E148" s="125" t="n">
        <v>46074</v>
      </c>
      <c r="F148" s="126" t="n">
        <v>4654.72</v>
      </c>
      <c r="G148" s="126" t="n">
        <v>0</v>
      </c>
      <c r="H148" s="126">
        <f>F148-G148</f>
        <v/>
      </c>
      <c r="I148" s="136">
        <f>MAX(0,Mapping_Rules!$B$6-E148)</f>
        <v/>
      </c>
      <c r="J148" s="137">
        <f>IF(I148=0,"Current",IF(I148&lt;=30,"1-30",IF(I148&lt;=60,"31-60",IF(I148&lt;=90,"61-90","90+"))))</f>
        <v/>
      </c>
      <c r="K148" s="115" t="inlineStr">
        <is>
          <t>Accounting Technician</t>
        </is>
      </c>
      <c r="L148" s="115" t="inlineStr">
        <is>
          <t>Disputed</t>
        </is>
      </c>
      <c r="M148" s="137">
        <f>IF(L148="Closed","Closed",IF(OR(H148&gt;=Mapping_Rules!$B$7,I148&gt;=Mapping_Rules!$B$8),"High Risk",IF(I148&gt;30,"Monitor","Normal")))</f>
        <v/>
      </c>
      <c r="N148" s="137">
        <f>IF(M148="Closed","No action",IF(M148="High Risk","Call customer/vendor and escalate",IF(M148="Monitor","Send follow-up email","Keep monitoring")))</f>
        <v/>
      </c>
    </row>
    <row r="149">
      <c r="A149" s="153" t="inlineStr">
        <is>
          <t>INV-00146</t>
        </is>
      </c>
      <c r="B149" s="153" t="inlineStr">
        <is>
          <t>AR</t>
        </is>
      </c>
      <c r="C149" s="153" t="inlineStr">
        <is>
          <t>Coastline Foods</t>
        </is>
      </c>
      <c r="D149" s="154" t="n">
        <v>45975</v>
      </c>
      <c r="E149" s="154" t="n">
        <v>46005</v>
      </c>
      <c r="F149" s="155" t="n">
        <v>2893.49</v>
      </c>
      <c r="G149" s="155" t="n">
        <v>0</v>
      </c>
      <c r="H149" s="155">
        <f>F149-G149</f>
        <v/>
      </c>
      <c r="I149" s="156">
        <f>MAX(0,Mapping_Rules!$B$6-E149)</f>
        <v/>
      </c>
      <c r="J149" s="157">
        <f>IF(I149=0,"Current",IF(I149&lt;=30,"1-30",IF(I149&lt;=60,"31-60",IF(I149&lt;=90,"61-90","90+"))))</f>
        <v/>
      </c>
      <c r="K149" s="153" t="inlineStr">
        <is>
          <t>Accounting Technician</t>
        </is>
      </c>
      <c r="L149" s="153" t="inlineStr">
        <is>
          <t>Disputed</t>
        </is>
      </c>
      <c r="M149" s="157">
        <f>IF(L149="Closed","Closed",IF(OR(H149&gt;=Mapping_Rules!$B$7,I149&gt;=Mapping_Rules!$B$8),"High Risk",IF(I149&gt;30,"Monitor","Normal")))</f>
        <v/>
      </c>
      <c r="N149" s="157">
        <f>IF(M149="Closed","No action",IF(M149="High Risk","Call customer/vendor and escalate",IF(M149="Monitor","Send follow-up email","Keep monitoring")))</f>
        <v/>
      </c>
    </row>
    <row r="150">
      <c r="A150" s="115" t="inlineStr">
        <is>
          <t>INV-00147</t>
        </is>
      </c>
      <c r="B150" s="115" t="inlineStr">
        <is>
          <t>AR</t>
        </is>
      </c>
      <c r="C150" s="115" t="inlineStr">
        <is>
          <t>West Van Fitness</t>
        </is>
      </c>
      <c r="D150" s="125" t="n">
        <v>45991</v>
      </c>
      <c r="E150" s="125" t="n">
        <v>46021</v>
      </c>
      <c r="F150" s="126" t="n">
        <v>10357.56</v>
      </c>
      <c r="G150" s="126" t="n">
        <v>0</v>
      </c>
      <c r="H150" s="126">
        <f>F150-G150</f>
        <v/>
      </c>
      <c r="I150" s="136">
        <f>MAX(0,Mapping_Rules!$B$6-E150)</f>
        <v/>
      </c>
      <c r="J150" s="137">
        <f>IF(I150=0,"Current",IF(I150&lt;=30,"1-30",IF(I150&lt;=60,"31-60",IF(I150&lt;=90,"61-90","90+"))))</f>
        <v/>
      </c>
      <c r="K150" s="115" t="inlineStr">
        <is>
          <t>Finance Analyst</t>
        </is>
      </c>
      <c r="L150" s="115" t="inlineStr">
        <is>
          <t>Open</t>
        </is>
      </c>
      <c r="M150" s="137">
        <f>IF(L150="Closed","Closed",IF(OR(H150&gt;=Mapping_Rules!$B$7,I150&gt;=Mapping_Rules!$B$8),"High Risk",IF(I150&gt;30,"Monitor","Normal")))</f>
        <v/>
      </c>
      <c r="N150" s="137">
        <f>IF(M150="Closed","No action",IF(M150="High Risk","Call customer/vendor and escalate",IF(M150="Monitor","Send follow-up email","Keep monitoring")))</f>
        <v/>
      </c>
    </row>
    <row r="151">
      <c r="A151" s="153" t="inlineStr">
        <is>
          <t>INV-00148</t>
        </is>
      </c>
      <c r="B151" s="153" t="inlineStr">
        <is>
          <t>AR</t>
        </is>
      </c>
      <c r="C151" s="153" t="inlineStr">
        <is>
          <t>West Van Fitness</t>
        </is>
      </c>
      <c r="D151" s="154" t="n">
        <v>46039</v>
      </c>
      <c r="E151" s="154" t="n">
        <v>46099</v>
      </c>
      <c r="F151" s="155" t="n">
        <v>10723.48</v>
      </c>
      <c r="G151" s="155" t="n">
        <v>0</v>
      </c>
      <c r="H151" s="155">
        <f>F151-G151</f>
        <v/>
      </c>
      <c r="I151" s="156">
        <f>MAX(0,Mapping_Rules!$B$6-E151)</f>
        <v/>
      </c>
      <c r="J151" s="157">
        <f>IF(I151=0,"Current",IF(I151&lt;=30,"1-30",IF(I151&lt;=60,"31-60",IF(I151&lt;=90,"61-90","90+"))))</f>
        <v/>
      </c>
      <c r="K151" s="153" t="inlineStr">
        <is>
          <t>Finance Analyst</t>
        </is>
      </c>
      <c r="L151" s="153" t="inlineStr">
        <is>
          <t>Open</t>
        </is>
      </c>
      <c r="M151" s="157">
        <f>IF(L151="Closed","Closed",IF(OR(H151&gt;=Mapping_Rules!$B$7,I151&gt;=Mapping_Rules!$B$8),"High Risk",IF(I151&gt;30,"Monitor","Normal")))</f>
        <v/>
      </c>
      <c r="N151" s="157">
        <f>IF(M151="Closed","No action",IF(M151="High Risk","Call customer/vendor and escalate",IF(M151="Monitor","Send follow-up email","Keep monitoring")))</f>
        <v/>
      </c>
    </row>
    <row r="152">
      <c r="A152" s="115" t="inlineStr">
        <is>
          <t>INV-00149</t>
        </is>
      </c>
      <c r="B152" s="115" t="inlineStr">
        <is>
          <t>AP</t>
        </is>
      </c>
      <c r="C152" s="115" t="inlineStr">
        <is>
          <t>BC Hydro</t>
        </is>
      </c>
      <c r="D152" s="125" t="n">
        <v>45979</v>
      </c>
      <c r="E152" s="125" t="n">
        <v>46009</v>
      </c>
      <c r="F152" s="126" t="n">
        <v>3019.91</v>
      </c>
      <c r="G152" s="126" t="n">
        <v>0</v>
      </c>
      <c r="H152" s="126">
        <f>F152-G152</f>
        <v/>
      </c>
      <c r="I152" s="136">
        <f>MAX(0,Mapping_Rules!$B$6-E152)</f>
        <v/>
      </c>
      <c r="J152" s="137">
        <f>IF(I152=0,"Current",IF(I152&lt;=30,"1-30",IF(I152&lt;=60,"31-60",IF(I152&lt;=90,"61-90","90+"))))</f>
        <v/>
      </c>
      <c r="K152" s="115" t="inlineStr">
        <is>
          <t>AP Clerk</t>
        </is>
      </c>
      <c r="L152" s="115" t="inlineStr">
        <is>
          <t>Open</t>
        </is>
      </c>
      <c r="M152" s="137">
        <f>IF(L152="Closed","Closed",IF(OR(H152&gt;=Mapping_Rules!$B$7,I152&gt;=Mapping_Rules!$B$8),"High Risk",IF(I152&gt;30,"Monitor","Normal")))</f>
        <v/>
      </c>
      <c r="N152" s="137">
        <f>IF(M152="Closed","No action",IF(M152="High Risk","Call customer/vendor and escalate",IF(M152="Monitor","Send follow-up email","Keep monitoring")))</f>
        <v/>
      </c>
    </row>
    <row r="153">
      <c r="A153" s="153" t="inlineStr">
        <is>
          <t>INV-00150</t>
        </is>
      </c>
      <c r="B153" s="153" t="inlineStr">
        <is>
          <t>AP</t>
        </is>
      </c>
      <c r="C153" s="153" t="inlineStr">
        <is>
          <t>BC Hydro</t>
        </is>
      </c>
      <c r="D153" s="154" t="n">
        <v>45990</v>
      </c>
      <c r="E153" s="154" t="n">
        <v>46020</v>
      </c>
      <c r="F153" s="155" t="n">
        <v>11402.98</v>
      </c>
      <c r="G153" s="155" t="n">
        <v>0</v>
      </c>
      <c r="H153" s="155">
        <f>F153-G153</f>
        <v/>
      </c>
      <c r="I153" s="156">
        <f>MAX(0,Mapping_Rules!$B$6-E153)</f>
        <v/>
      </c>
      <c r="J153" s="157">
        <f>IF(I153=0,"Current",IF(I153&lt;=30,"1-30",IF(I153&lt;=60,"31-60",IF(I153&lt;=90,"61-90","90+"))))</f>
        <v/>
      </c>
      <c r="K153" s="153" t="inlineStr">
        <is>
          <t>Finance Analyst</t>
        </is>
      </c>
      <c r="L153" s="153" t="inlineStr">
        <is>
          <t>Open</t>
        </is>
      </c>
      <c r="M153" s="157">
        <f>IF(L153="Closed","Closed",IF(OR(H153&gt;=Mapping_Rules!$B$7,I153&gt;=Mapping_Rules!$B$8),"High Risk",IF(I153&gt;30,"Monitor","Normal")))</f>
        <v/>
      </c>
      <c r="N153" s="157">
        <f>IF(M153="Closed","No action",IF(M153="High Risk","Call customer/vendor and escalate",IF(M153="Monitor","Send follow-up email","Keep monitoring")))</f>
        <v/>
      </c>
    </row>
    <row r="154">
      <c r="A154" s="115" t="inlineStr">
        <is>
          <t>INV-00151</t>
        </is>
      </c>
      <c r="B154" s="115" t="inlineStr">
        <is>
          <t>AP</t>
        </is>
      </c>
      <c r="C154" s="115" t="inlineStr">
        <is>
          <t>Staples Canada</t>
        </is>
      </c>
      <c r="D154" s="125" t="n">
        <v>46003</v>
      </c>
      <c r="E154" s="125" t="n">
        <v>46063</v>
      </c>
      <c r="F154" s="126" t="n">
        <v>13330.67</v>
      </c>
      <c r="G154" s="126" t="n">
        <v>0</v>
      </c>
      <c r="H154" s="126">
        <f>F154-G154</f>
        <v/>
      </c>
      <c r="I154" s="136">
        <f>MAX(0,Mapping_Rules!$B$6-E154)</f>
        <v/>
      </c>
      <c r="J154" s="137">
        <f>IF(I154=0,"Current",IF(I154&lt;=30,"1-30",IF(I154&lt;=60,"31-60",IF(I154&lt;=90,"61-90","90+"))))</f>
        <v/>
      </c>
      <c r="K154" s="115" t="inlineStr">
        <is>
          <t>AP Clerk</t>
        </is>
      </c>
      <c r="L154" s="115" t="inlineStr">
        <is>
          <t>Open</t>
        </is>
      </c>
      <c r="M154" s="137">
        <f>IF(L154="Closed","Closed",IF(OR(H154&gt;=Mapping_Rules!$B$7,I154&gt;=Mapping_Rules!$B$8),"High Risk",IF(I154&gt;30,"Monitor","Normal")))</f>
        <v/>
      </c>
      <c r="N154" s="137">
        <f>IF(M154="Closed","No action",IF(M154="High Risk","Call customer/vendor and escalate",IF(M154="Monitor","Send follow-up email","Keep monitoring")))</f>
        <v/>
      </c>
    </row>
    <row r="155">
      <c r="A155" s="153" t="inlineStr">
        <is>
          <t>INV-00152</t>
        </is>
      </c>
      <c r="B155" s="153" t="inlineStr">
        <is>
          <t>AP</t>
        </is>
      </c>
      <c r="C155" s="153" t="inlineStr">
        <is>
          <t>Staples Canada</t>
        </is>
      </c>
      <c r="D155" s="154" t="n">
        <v>46002</v>
      </c>
      <c r="E155" s="154" t="n">
        <v>46062</v>
      </c>
      <c r="F155" s="155" t="n">
        <v>9230.85</v>
      </c>
      <c r="G155" s="155" t="n">
        <v>0</v>
      </c>
      <c r="H155" s="155">
        <f>F155-G155</f>
        <v/>
      </c>
      <c r="I155" s="156">
        <f>MAX(0,Mapping_Rules!$B$6-E155)</f>
        <v/>
      </c>
      <c r="J155" s="157">
        <f>IF(I155=0,"Current",IF(I155&lt;=30,"1-30",IF(I155&lt;=60,"31-60",IF(I155&lt;=90,"61-90","90+"))))</f>
        <v/>
      </c>
      <c r="K155" s="153" t="inlineStr">
        <is>
          <t>AP Clerk</t>
        </is>
      </c>
      <c r="L155" s="153" t="inlineStr">
        <is>
          <t>Disputed</t>
        </is>
      </c>
      <c r="M155" s="157">
        <f>IF(L155="Closed","Closed",IF(OR(H155&gt;=Mapping_Rules!$B$7,I155&gt;=Mapping_Rules!$B$8),"High Risk",IF(I155&gt;30,"Monitor","Normal")))</f>
        <v/>
      </c>
      <c r="N155" s="157">
        <f>IF(M155="Closed","No action",IF(M155="High Risk","Call customer/vendor and escalate",IF(M155="Monitor","Send follow-up email","Keep monitoring")))</f>
        <v/>
      </c>
    </row>
    <row r="156">
      <c r="A156" s="115" t="inlineStr">
        <is>
          <t>INV-00153</t>
        </is>
      </c>
      <c r="B156" s="115" t="inlineStr">
        <is>
          <t>AR</t>
        </is>
      </c>
      <c r="C156" s="115" t="inlineStr">
        <is>
          <t>Granville Medical</t>
        </is>
      </c>
      <c r="D156" s="125" t="n">
        <v>46020</v>
      </c>
      <c r="E156" s="125" t="n">
        <v>46035</v>
      </c>
      <c r="F156" s="126" t="n">
        <v>13185.03</v>
      </c>
      <c r="G156" s="126" t="n">
        <v>0</v>
      </c>
      <c r="H156" s="126">
        <f>F156-G156</f>
        <v/>
      </c>
      <c r="I156" s="136">
        <f>MAX(0,Mapping_Rules!$B$6-E156)</f>
        <v/>
      </c>
      <c r="J156" s="137">
        <f>IF(I156=0,"Current",IF(I156&lt;=30,"1-30",IF(I156&lt;=60,"31-60",IF(I156&lt;=90,"61-90","90+"))))</f>
        <v/>
      </c>
      <c r="K156" s="115" t="inlineStr">
        <is>
          <t>Finance Analyst</t>
        </is>
      </c>
      <c r="L156" s="115" t="inlineStr">
        <is>
          <t>Open</t>
        </is>
      </c>
      <c r="M156" s="137">
        <f>IF(L156="Closed","Closed",IF(OR(H156&gt;=Mapping_Rules!$B$7,I156&gt;=Mapping_Rules!$B$8),"High Risk",IF(I156&gt;30,"Monitor","Normal")))</f>
        <v/>
      </c>
      <c r="N156" s="137">
        <f>IF(M156="Closed","No action",IF(M156="High Risk","Call customer/vendor and escalate",IF(M156="Monitor","Send follow-up email","Keep monitoring")))</f>
        <v/>
      </c>
    </row>
    <row r="157">
      <c r="A157" s="153" t="inlineStr">
        <is>
          <t>INV-00154</t>
        </is>
      </c>
      <c r="B157" s="153" t="inlineStr">
        <is>
          <t>AR</t>
        </is>
      </c>
      <c r="C157" s="153" t="inlineStr">
        <is>
          <t>West Van Fitness</t>
        </is>
      </c>
      <c r="D157" s="154" t="n">
        <v>46011</v>
      </c>
      <c r="E157" s="154" t="n">
        <v>46026</v>
      </c>
      <c r="F157" s="155" t="n">
        <v>2969.28</v>
      </c>
      <c r="G157" s="155" t="n">
        <v>0</v>
      </c>
      <c r="H157" s="155">
        <f>F157-G157</f>
        <v/>
      </c>
      <c r="I157" s="156">
        <f>MAX(0,Mapping_Rules!$B$6-E157)</f>
        <v/>
      </c>
      <c r="J157" s="157">
        <f>IF(I157=0,"Current",IF(I157&lt;=30,"1-30",IF(I157&lt;=60,"31-60",IF(I157&lt;=90,"61-90","90+"))))</f>
        <v/>
      </c>
      <c r="K157" s="153" t="inlineStr">
        <is>
          <t>Accounting Technician</t>
        </is>
      </c>
      <c r="L157" s="153" t="inlineStr">
        <is>
          <t>Open</t>
        </is>
      </c>
      <c r="M157" s="157">
        <f>IF(L157="Closed","Closed",IF(OR(H157&gt;=Mapping_Rules!$B$7,I157&gt;=Mapping_Rules!$B$8),"High Risk",IF(I157&gt;30,"Monitor","Normal")))</f>
        <v/>
      </c>
      <c r="N157" s="157">
        <f>IF(M157="Closed","No action",IF(M157="High Risk","Call customer/vendor and escalate",IF(M157="Monitor","Send follow-up email","Keep monitoring")))</f>
        <v/>
      </c>
    </row>
    <row r="158">
      <c r="A158" s="115" t="inlineStr">
        <is>
          <t>INV-00155</t>
        </is>
      </c>
      <c r="B158" s="115" t="inlineStr">
        <is>
          <t>AP</t>
        </is>
      </c>
      <c r="C158" s="115" t="inlineStr">
        <is>
          <t>BC Hydro</t>
        </is>
      </c>
      <c r="D158" s="125" t="n">
        <v>45983</v>
      </c>
      <c r="E158" s="125" t="n">
        <v>46043</v>
      </c>
      <c r="F158" s="126" t="n">
        <v>4522.13</v>
      </c>
      <c r="G158" s="126" t="n">
        <v>4522.13</v>
      </c>
      <c r="H158" s="126">
        <f>F158-G158</f>
        <v/>
      </c>
      <c r="I158" s="136">
        <f>MAX(0,Mapping_Rules!$B$6-E158)</f>
        <v/>
      </c>
      <c r="J158" s="137">
        <f>IF(I158=0,"Current",IF(I158&lt;=30,"1-30",IF(I158&lt;=60,"31-60",IF(I158&lt;=90,"61-90","90+"))))</f>
        <v/>
      </c>
      <c r="K158" s="115" t="inlineStr">
        <is>
          <t>AR Clerk</t>
        </is>
      </c>
      <c r="L158" s="115" t="inlineStr">
        <is>
          <t>Closed</t>
        </is>
      </c>
      <c r="M158" s="137">
        <f>IF(L158="Closed","Closed",IF(OR(H158&gt;=Mapping_Rules!$B$7,I158&gt;=Mapping_Rules!$B$8),"High Risk",IF(I158&gt;30,"Monitor","Normal")))</f>
        <v/>
      </c>
      <c r="N158" s="137">
        <f>IF(M158="Closed","No action",IF(M158="High Risk","Call customer/vendor and escalate",IF(M158="Monitor","Send follow-up email","Keep monitoring")))</f>
        <v/>
      </c>
    </row>
    <row r="159">
      <c r="A159" s="153" t="inlineStr">
        <is>
          <t>INV-00156</t>
        </is>
      </c>
      <c r="B159" s="153" t="inlineStr">
        <is>
          <t>AP</t>
        </is>
      </c>
      <c r="C159" s="153" t="inlineStr">
        <is>
          <t>Vancouver Courier</t>
        </is>
      </c>
      <c r="D159" s="154" t="n">
        <v>46044</v>
      </c>
      <c r="E159" s="154" t="n">
        <v>46104</v>
      </c>
      <c r="F159" s="155" t="n">
        <v>1493.05</v>
      </c>
      <c r="G159" s="155" t="n">
        <v>398.42</v>
      </c>
      <c r="H159" s="155">
        <f>F159-G159</f>
        <v/>
      </c>
      <c r="I159" s="156">
        <f>MAX(0,Mapping_Rules!$B$6-E159)</f>
        <v/>
      </c>
      <c r="J159" s="157">
        <f>IF(I159=0,"Current",IF(I159&lt;=30,"1-30",IF(I159&lt;=60,"31-60",IF(I159&lt;=90,"61-90","90+"))))</f>
        <v/>
      </c>
      <c r="K159" s="153" t="inlineStr">
        <is>
          <t>AR Clerk</t>
        </is>
      </c>
      <c r="L159" s="153" t="inlineStr">
        <is>
          <t>Part Paid</t>
        </is>
      </c>
      <c r="M159" s="157">
        <f>IF(L159="Closed","Closed",IF(OR(H159&gt;=Mapping_Rules!$B$7,I159&gt;=Mapping_Rules!$B$8),"High Risk",IF(I159&gt;30,"Monitor","Normal")))</f>
        <v/>
      </c>
      <c r="N159" s="157">
        <f>IF(M159="Closed","No action",IF(M159="High Risk","Call customer/vendor and escalate",IF(M159="Monitor","Send follow-up email","Keep monitoring")))</f>
        <v/>
      </c>
    </row>
    <row r="160">
      <c r="A160" s="115" t="inlineStr">
        <is>
          <t>INV-00157</t>
        </is>
      </c>
      <c r="B160" s="115" t="inlineStr">
        <is>
          <t>AP</t>
        </is>
      </c>
      <c r="C160" s="115" t="inlineStr">
        <is>
          <t>BC Hydro</t>
        </is>
      </c>
      <c r="D160" s="125" t="n">
        <v>46003</v>
      </c>
      <c r="E160" s="125" t="n">
        <v>46063</v>
      </c>
      <c r="F160" s="126" t="n">
        <v>519.9400000000001</v>
      </c>
      <c r="G160" s="126" t="n">
        <v>0</v>
      </c>
      <c r="H160" s="126">
        <f>F160-G160</f>
        <v/>
      </c>
      <c r="I160" s="136">
        <f>MAX(0,Mapping_Rules!$B$6-E160)</f>
        <v/>
      </c>
      <c r="J160" s="137">
        <f>IF(I160=0,"Current",IF(I160&lt;=30,"1-30",IF(I160&lt;=60,"31-60",IF(I160&lt;=90,"61-90","90+"))))</f>
        <v/>
      </c>
      <c r="K160" s="115" t="inlineStr">
        <is>
          <t>AR Clerk</t>
        </is>
      </c>
      <c r="L160" s="115" t="inlineStr">
        <is>
          <t>Open</t>
        </is>
      </c>
      <c r="M160" s="137">
        <f>IF(L160="Closed","Closed",IF(OR(H160&gt;=Mapping_Rules!$B$7,I160&gt;=Mapping_Rules!$B$8),"High Risk",IF(I160&gt;30,"Monitor","Normal")))</f>
        <v/>
      </c>
      <c r="N160" s="137">
        <f>IF(M160="Closed","No action",IF(M160="High Risk","Call customer/vendor and escalate",IF(M160="Monitor","Send follow-up email","Keep monitoring")))</f>
        <v/>
      </c>
    </row>
    <row r="161">
      <c r="A161" s="153" t="inlineStr">
        <is>
          <t>INV-00158</t>
        </is>
      </c>
      <c r="B161" s="153" t="inlineStr">
        <is>
          <t>AP</t>
        </is>
      </c>
      <c r="C161" s="153" t="inlineStr">
        <is>
          <t>Pacific Office Supplies</t>
        </is>
      </c>
      <c r="D161" s="154" t="n">
        <v>45994</v>
      </c>
      <c r="E161" s="154" t="n">
        <v>46039</v>
      </c>
      <c r="F161" s="155" t="n">
        <v>10422</v>
      </c>
      <c r="G161" s="155" t="n">
        <v>10422</v>
      </c>
      <c r="H161" s="155">
        <f>F161-G161</f>
        <v/>
      </c>
      <c r="I161" s="156">
        <f>MAX(0,Mapping_Rules!$B$6-E161)</f>
        <v/>
      </c>
      <c r="J161" s="157">
        <f>IF(I161=0,"Current",IF(I161&lt;=30,"1-30",IF(I161&lt;=60,"31-60",IF(I161&lt;=90,"61-90","90+"))))</f>
        <v/>
      </c>
      <c r="K161" s="153" t="inlineStr">
        <is>
          <t>AR Clerk</t>
        </is>
      </c>
      <c r="L161" s="153" t="inlineStr">
        <is>
          <t>Closed</t>
        </is>
      </c>
      <c r="M161" s="157">
        <f>IF(L161="Closed","Closed",IF(OR(H161&gt;=Mapping_Rules!$B$7,I161&gt;=Mapping_Rules!$B$8),"High Risk",IF(I161&gt;30,"Monitor","Normal")))</f>
        <v/>
      </c>
      <c r="N161" s="157">
        <f>IF(M161="Closed","No action",IF(M161="High Risk","Call customer/vendor and escalate",IF(M161="Monitor","Send follow-up email","Keep monitoring")))</f>
        <v/>
      </c>
    </row>
    <row r="162">
      <c r="A162" s="115" t="inlineStr">
        <is>
          <t>INV-00159</t>
        </is>
      </c>
      <c r="B162" s="115" t="inlineStr">
        <is>
          <t>AR</t>
        </is>
      </c>
      <c r="C162" s="115" t="inlineStr">
        <is>
          <t>Maple Retail Group</t>
        </is>
      </c>
      <c r="D162" s="125" t="n">
        <v>45976</v>
      </c>
      <c r="E162" s="125" t="n">
        <v>46036</v>
      </c>
      <c r="F162" s="126" t="n">
        <v>9565.98</v>
      </c>
      <c r="G162" s="126" t="n">
        <v>0</v>
      </c>
      <c r="H162" s="126">
        <f>F162-G162</f>
        <v/>
      </c>
      <c r="I162" s="136">
        <f>MAX(0,Mapping_Rules!$B$6-E162)</f>
        <v/>
      </c>
      <c r="J162" s="137">
        <f>IF(I162=0,"Current",IF(I162&lt;=30,"1-30",IF(I162&lt;=60,"31-60",IF(I162&lt;=90,"61-90","90+"))))</f>
        <v/>
      </c>
      <c r="K162" s="115" t="inlineStr">
        <is>
          <t>Finance Analyst</t>
        </is>
      </c>
      <c r="L162" s="115" t="inlineStr">
        <is>
          <t>Open</t>
        </is>
      </c>
      <c r="M162" s="137">
        <f>IF(L162="Closed","Closed",IF(OR(H162&gt;=Mapping_Rules!$B$7,I162&gt;=Mapping_Rules!$B$8),"High Risk",IF(I162&gt;30,"Monitor","Normal")))</f>
        <v/>
      </c>
      <c r="N162" s="137">
        <f>IF(M162="Closed","No action",IF(M162="High Risk","Call customer/vendor and escalate",IF(M162="Monitor","Send follow-up email","Keep monitoring")))</f>
        <v/>
      </c>
    </row>
    <row r="163">
      <c r="A163" s="153" t="inlineStr">
        <is>
          <t>INV-00160</t>
        </is>
      </c>
      <c r="B163" s="153" t="inlineStr">
        <is>
          <t>AR</t>
        </is>
      </c>
      <c r="C163" s="153" t="inlineStr">
        <is>
          <t>Granville Medical</t>
        </is>
      </c>
      <c r="D163" s="154" t="n">
        <v>46032</v>
      </c>
      <c r="E163" s="154" t="n">
        <v>46092</v>
      </c>
      <c r="F163" s="155" t="n">
        <v>802.01</v>
      </c>
      <c r="G163" s="155" t="n">
        <v>0</v>
      </c>
      <c r="H163" s="155">
        <f>F163-G163</f>
        <v/>
      </c>
      <c r="I163" s="156">
        <f>MAX(0,Mapping_Rules!$B$6-E163)</f>
        <v/>
      </c>
      <c r="J163" s="157">
        <f>IF(I163=0,"Current",IF(I163&lt;=30,"1-30",IF(I163&lt;=60,"31-60",IF(I163&lt;=90,"61-90","90+"))))</f>
        <v/>
      </c>
      <c r="K163" s="153" t="inlineStr">
        <is>
          <t>Accounting Technician</t>
        </is>
      </c>
      <c r="L163" s="153" t="inlineStr">
        <is>
          <t>Open</t>
        </is>
      </c>
      <c r="M163" s="157">
        <f>IF(L163="Closed","Closed",IF(OR(H163&gt;=Mapping_Rules!$B$7,I163&gt;=Mapping_Rules!$B$8),"High Risk",IF(I163&gt;30,"Monitor","Normal")))</f>
        <v/>
      </c>
      <c r="N163" s="157">
        <f>IF(M163="Closed","No action",IF(M163="High Risk","Call customer/vendor and escalate",IF(M163="Monitor","Send follow-up email","Keep monitoring")))</f>
        <v/>
      </c>
    </row>
    <row r="164">
      <c r="A164" s="115" t="inlineStr">
        <is>
          <t>INV-00161</t>
        </is>
      </c>
      <c r="B164" s="115" t="inlineStr">
        <is>
          <t>AR</t>
        </is>
      </c>
      <c r="C164" s="115" t="inlineStr">
        <is>
          <t>Coastline Foods</t>
        </is>
      </c>
      <c r="D164" s="125" t="n">
        <v>45980</v>
      </c>
      <c r="E164" s="125" t="n">
        <v>46010</v>
      </c>
      <c r="F164" s="126" t="n">
        <v>11571.98</v>
      </c>
      <c r="G164" s="126" t="n">
        <v>0</v>
      </c>
      <c r="H164" s="126">
        <f>F164-G164</f>
        <v/>
      </c>
      <c r="I164" s="136">
        <f>MAX(0,Mapping_Rules!$B$6-E164)</f>
        <v/>
      </c>
      <c r="J164" s="137">
        <f>IF(I164=0,"Current",IF(I164&lt;=30,"1-30",IF(I164&lt;=60,"31-60",IF(I164&lt;=90,"61-90","90+"))))</f>
        <v/>
      </c>
      <c r="K164" s="115" t="inlineStr">
        <is>
          <t>Accounting Technician</t>
        </is>
      </c>
      <c r="L164" s="115" t="inlineStr">
        <is>
          <t>Open</t>
        </is>
      </c>
      <c r="M164" s="137">
        <f>IF(L164="Closed","Closed",IF(OR(H164&gt;=Mapping_Rules!$B$7,I164&gt;=Mapping_Rules!$B$8),"High Risk",IF(I164&gt;30,"Monitor","Normal")))</f>
        <v/>
      </c>
      <c r="N164" s="137">
        <f>IF(M164="Closed","No action",IF(M164="High Risk","Call customer/vendor and escalate",IF(M164="Monitor","Send follow-up email","Keep monitoring")))</f>
        <v/>
      </c>
    </row>
    <row r="165">
      <c r="A165" s="153" t="inlineStr">
        <is>
          <t>INV-00162</t>
        </is>
      </c>
      <c r="B165" s="153" t="inlineStr">
        <is>
          <t>AP</t>
        </is>
      </c>
      <c r="C165" s="153" t="inlineStr">
        <is>
          <t>Staples Canada</t>
        </is>
      </c>
      <c r="D165" s="154" t="n">
        <v>46019</v>
      </c>
      <c r="E165" s="154" t="n">
        <v>46064</v>
      </c>
      <c r="F165" s="155" t="n">
        <v>9452.82</v>
      </c>
      <c r="G165" s="155" t="n">
        <v>0</v>
      </c>
      <c r="H165" s="155">
        <f>F165-G165</f>
        <v/>
      </c>
      <c r="I165" s="156">
        <f>MAX(0,Mapping_Rules!$B$6-E165)</f>
        <v/>
      </c>
      <c r="J165" s="157">
        <f>IF(I165=0,"Current",IF(I165&lt;=30,"1-30",IF(I165&lt;=60,"31-60",IF(I165&lt;=90,"61-90","90+"))))</f>
        <v/>
      </c>
      <c r="K165" s="153" t="inlineStr">
        <is>
          <t>AR Clerk</t>
        </is>
      </c>
      <c r="L165" s="153" t="inlineStr">
        <is>
          <t>Open</t>
        </is>
      </c>
      <c r="M165" s="157">
        <f>IF(L165="Closed","Closed",IF(OR(H165&gt;=Mapping_Rules!$B$7,I165&gt;=Mapping_Rules!$B$8),"High Risk",IF(I165&gt;30,"Monitor","Normal")))</f>
        <v/>
      </c>
      <c r="N165" s="157">
        <f>IF(M165="Closed","No action",IF(M165="High Risk","Call customer/vendor and escalate",IF(M165="Monitor","Send follow-up email","Keep monitoring")))</f>
        <v/>
      </c>
    </row>
    <row r="166">
      <c r="A166" s="115" t="inlineStr">
        <is>
          <t>INV-00163</t>
        </is>
      </c>
      <c r="B166" s="115" t="inlineStr">
        <is>
          <t>AR</t>
        </is>
      </c>
      <c r="C166" s="115" t="inlineStr">
        <is>
          <t>Maple Retail Group</t>
        </is>
      </c>
      <c r="D166" s="125" t="n">
        <v>46041</v>
      </c>
      <c r="E166" s="125" t="n">
        <v>46086</v>
      </c>
      <c r="F166" s="126" t="n">
        <v>331.29</v>
      </c>
      <c r="G166" s="126" t="n">
        <v>0</v>
      </c>
      <c r="H166" s="126">
        <f>F166-G166</f>
        <v/>
      </c>
      <c r="I166" s="136">
        <f>MAX(0,Mapping_Rules!$B$6-E166)</f>
        <v/>
      </c>
      <c r="J166" s="137">
        <f>IF(I166=0,"Current",IF(I166&lt;=30,"1-30",IF(I166&lt;=60,"31-60",IF(I166&lt;=90,"61-90","90+"))))</f>
        <v/>
      </c>
      <c r="K166" s="115" t="inlineStr">
        <is>
          <t>Finance Analyst</t>
        </is>
      </c>
      <c r="L166" s="115" t="inlineStr">
        <is>
          <t>Open</t>
        </is>
      </c>
      <c r="M166" s="137">
        <f>IF(L166="Closed","Closed",IF(OR(H166&gt;=Mapping_Rules!$B$7,I166&gt;=Mapping_Rules!$B$8),"High Risk",IF(I166&gt;30,"Monitor","Normal")))</f>
        <v/>
      </c>
      <c r="N166" s="137">
        <f>IF(M166="Closed","No action",IF(M166="High Risk","Call customer/vendor and escalate",IF(M166="Monitor","Send follow-up email","Keep monitoring")))</f>
        <v/>
      </c>
    </row>
    <row r="167">
      <c r="A167" s="153" t="inlineStr">
        <is>
          <t>INV-00164</t>
        </is>
      </c>
      <c r="B167" s="153" t="inlineStr">
        <is>
          <t>AR</t>
        </is>
      </c>
      <c r="C167" s="153" t="inlineStr">
        <is>
          <t>West Van Fitness</t>
        </is>
      </c>
      <c r="D167" s="154" t="n">
        <v>46025</v>
      </c>
      <c r="E167" s="154" t="n">
        <v>46055</v>
      </c>
      <c r="F167" s="155" t="n">
        <v>3370.58</v>
      </c>
      <c r="G167" s="155" t="n">
        <v>1499.67</v>
      </c>
      <c r="H167" s="155">
        <f>F167-G167</f>
        <v/>
      </c>
      <c r="I167" s="156">
        <f>MAX(0,Mapping_Rules!$B$6-E167)</f>
        <v/>
      </c>
      <c r="J167" s="157">
        <f>IF(I167=0,"Current",IF(I167&lt;=30,"1-30",IF(I167&lt;=60,"31-60",IF(I167&lt;=90,"61-90","90+"))))</f>
        <v/>
      </c>
      <c r="K167" s="153" t="inlineStr">
        <is>
          <t>Finance Analyst</t>
        </is>
      </c>
      <c r="L167" s="153" t="inlineStr">
        <is>
          <t>Part Paid</t>
        </is>
      </c>
      <c r="M167" s="157">
        <f>IF(L167="Closed","Closed",IF(OR(H167&gt;=Mapping_Rules!$B$7,I167&gt;=Mapping_Rules!$B$8),"High Risk",IF(I167&gt;30,"Monitor","Normal")))</f>
        <v/>
      </c>
      <c r="N167" s="157">
        <f>IF(M167="Closed","No action",IF(M167="High Risk","Call customer/vendor and escalate",IF(M167="Monitor","Send follow-up email","Keep monitoring")))</f>
        <v/>
      </c>
    </row>
    <row r="168">
      <c r="A168" s="115" t="inlineStr">
        <is>
          <t>INV-00165</t>
        </is>
      </c>
      <c r="B168" s="115" t="inlineStr">
        <is>
          <t>AR</t>
        </is>
      </c>
      <c r="C168" s="115" t="inlineStr">
        <is>
          <t>West Van Fitness</t>
        </is>
      </c>
      <c r="D168" s="125" t="n">
        <v>46038</v>
      </c>
      <c r="E168" s="125" t="n">
        <v>46053</v>
      </c>
      <c r="F168" s="126" t="n">
        <v>3783.99</v>
      </c>
      <c r="G168" s="126" t="n">
        <v>2091.97</v>
      </c>
      <c r="H168" s="126">
        <f>F168-G168</f>
        <v/>
      </c>
      <c r="I168" s="136">
        <f>MAX(0,Mapping_Rules!$B$6-E168)</f>
        <v/>
      </c>
      <c r="J168" s="137">
        <f>IF(I168=0,"Current",IF(I168&lt;=30,"1-30",IF(I168&lt;=60,"31-60",IF(I168&lt;=90,"61-90","90+"))))</f>
        <v/>
      </c>
      <c r="K168" s="115" t="inlineStr">
        <is>
          <t>AR Clerk</t>
        </is>
      </c>
      <c r="L168" s="115" t="inlineStr">
        <is>
          <t>Part Paid</t>
        </is>
      </c>
      <c r="M168" s="137">
        <f>IF(L168="Closed","Closed",IF(OR(H168&gt;=Mapping_Rules!$B$7,I168&gt;=Mapping_Rules!$B$8),"High Risk",IF(I168&gt;30,"Monitor","Normal")))</f>
        <v/>
      </c>
      <c r="N168" s="137">
        <f>IF(M168="Closed","No action",IF(M168="High Risk","Call customer/vendor and escalate",IF(M168="Monitor","Send follow-up email","Keep monitoring")))</f>
        <v/>
      </c>
    </row>
    <row r="169">
      <c r="A169" s="153" t="inlineStr">
        <is>
          <t>INV-00166</t>
        </is>
      </c>
      <c r="B169" s="153" t="inlineStr">
        <is>
          <t>AR</t>
        </is>
      </c>
      <c r="C169" s="153" t="inlineStr">
        <is>
          <t>Coastline Foods</t>
        </is>
      </c>
      <c r="D169" s="154" t="n">
        <v>45980</v>
      </c>
      <c r="E169" s="154" t="n">
        <v>45995</v>
      </c>
      <c r="F169" s="155" t="n">
        <v>9851.16</v>
      </c>
      <c r="G169" s="155" t="n">
        <v>0</v>
      </c>
      <c r="H169" s="155">
        <f>F169-G169</f>
        <v/>
      </c>
      <c r="I169" s="156">
        <f>MAX(0,Mapping_Rules!$B$6-E169)</f>
        <v/>
      </c>
      <c r="J169" s="157">
        <f>IF(I169=0,"Current",IF(I169&lt;=30,"1-30",IF(I169&lt;=60,"31-60",IF(I169&lt;=90,"61-90","90+"))))</f>
        <v/>
      </c>
      <c r="K169" s="153" t="inlineStr">
        <is>
          <t>AP Clerk</t>
        </is>
      </c>
      <c r="L169" s="153" t="inlineStr">
        <is>
          <t>Open</t>
        </is>
      </c>
      <c r="M169" s="157">
        <f>IF(L169="Closed","Closed",IF(OR(H169&gt;=Mapping_Rules!$B$7,I169&gt;=Mapping_Rules!$B$8),"High Risk",IF(I169&gt;30,"Monitor","Normal")))</f>
        <v/>
      </c>
      <c r="N169" s="157">
        <f>IF(M169="Closed","No action",IF(M169="High Risk","Call customer/vendor and escalate",IF(M169="Monitor","Send follow-up email","Keep monitoring")))</f>
        <v/>
      </c>
    </row>
    <row r="170">
      <c r="A170" s="115" t="inlineStr">
        <is>
          <t>INV-00167</t>
        </is>
      </c>
      <c r="B170" s="115" t="inlineStr">
        <is>
          <t>AP</t>
        </is>
      </c>
      <c r="C170" s="115" t="inlineStr">
        <is>
          <t>Metro Cleaning Ltd.</t>
        </is>
      </c>
      <c r="D170" s="125" t="n">
        <v>45973</v>
      </c>
      <c r="E170" s="125" t="n">
        <v>45988</v>
      </c>
      <c r="F170" s="126" t="n">
        <v>1766.98</v>
      </c>
      <c r="G170" s="126" t="n">
        <v>1766.98</v>
      </c>
      <c r="H170" s="126">
        <f>F170-G170</f>
        <v/>
      </c>
      <c r="I170" s="136">
        <f>MAX(0,Mapping_Rules!$B$6-E170)</f>
        <v/>
      </c>
      <c r="J170" s="137">
        <f>IF(I170=0,"Current",IF(I170&lt;=30,"1-30",IF(I170&lt;=60,"31-60",IF(I170&lt;=90,"61-90","90+"))))</f>
        <v/>
      </c>
      <c r="K170" s="115" t="inlineStr">
        <is>
          <t>AR Clerk</t>
        </is>
      </c>
      <c r="L170" s="115" t="inlineStr">
        <is>
          <t>Closed</t>
        </is>
      </c>
      <c r="M170" s="137">
        <f>IF(L170="Closed","Closed",IF(OR(H170&gt;=Mapping_Rules!$B$7,I170&gt;=Mapping_Rules!$B$8),"High Risk",IF(I170&gt;30,"Monitor","Normal")))</f>
        <v/>
      </c>
      <c r="N170" s="137">
        <f>IF(M170="Closed","No action",IF(M170="High Risk","Call customer/vendor and escalate",IF(M170="Monitor","Send follow-up email","Keep monitoring")))</f>
        <v/>
      </c>
    </row>
    <row r="171">
      <c r="A171" s="153" t="inlineStr">
        <is>
          <t>INV-00168</t>
        </is>
      </c>
      <c r="B171" s="153" t="inlineStr">
        <is>
          <t>AP</t>
        </is>
      </c>
      <c r="C171" s="153" t="inlineStr">
        <is>
          <t>Amazon Business</t>
        </is>
      </c>
      <c r="D171" s="154" t="n">
        <v>46046</v>
      </c>
      <c r="E171" s="154" t="n">
        <v>46076</v>
      </c>
      <c r="F171" s="155" t="n">
        <v>14499.45</v>
      </c>
      <c r="G171" s="155" t="n">
        <v>0</v>
      </c>
      <c r="H171" s="155">
        <f>F171-G171</f>
        <v/>
      </c>
      <c r="I171" s="156">
        <f>MAX(0,Mapping_Rules!$B$6-E171)</f>
        <v/>
      </c>
      <c r="J171" s="157">
        <f>IF(I171=0,"Current",IF(I171&lt;=30,"1-30",IF(I171&lt;=60,"31-60",IF(I171&lt;=90,"61-90","90+"))))</f>
        <v/>
      </c>
      <c r="K171" s="153" t="inlineStr">
        <is>
          <t>Accounting Technician</t>
        </is>
      </c>
      <c r="L171" s="153" t="inlineStr">
        <is>
          <t>Disputed</t>
        </is>
      </c>
      <c r="M171" s="157">
        <f>IF(L171="Closed","Closed",IF(OR(H171&gt;=Mapping_Rules!$B$7,I171&gt;=Mapping_Rules!$B$8),"High Risk",IF(I171&gt;30,"Monitor","Normal")))</f>
        <v/>
      </c>
      <c r="N171" s="157">
        <f>IF(M171="Closed","No action",IF(M171="High Risk","Call customer/vendor and escalate",IF(M171="Monitor","Send follow-up email","Keep monitoring")))</f>
        <v/>
      </c>
    </row>
    <row r="172">
      <c r="A172" s="115" t="inlineStr">
        <is>
          <t>INV-00169</t>
        </is>
      </c>
      <c r="B172" s="115" t="inlineStr">
        <is>
          <t>AR</t>
        </is>
      </c>
      <c r="C172" s="115" t="inlineStr">
        <is>
          <t>Maple Retail Group</t>
        </is>
      </c>
      <c r="D172" s="125" t="n">
        <v>46000</v>
      </c>
      <c r="E172" s="125" t="n">
        <v>46045</v>
      </c>
      <c r="F172" s="126" t="n">
        <v>5623.26</v>
      </c>
      <c r="G172" s="126" t="n">
        <v>0</v>
      </c>
      <c r="H172" s="126">
        <f>F172-G172</f>
        <v/>
      </c>
      <c r="I172" s="136">
        <f>MAX(0,Mapping_Rules!$B$6-E172)</f>
        <v/>
      </c>
      <c r="J172" s="137">
        <f>IF(I172=0,"Current",IF(I172&lt;=30,"1-30",IF(I172&lt;=60,"31-60",IF(I172&lt;=90,"61-90","90+"))))</f>
        <v/>
      </c>
      <c r="K172" s="115" t="inlineStr">
        <is>
          <t>AP Clerk</t>
        </is>
      </c>
      <c r="L172" s="115" t="inlineStr">
        <is>
          <t>Open</t>
        </is>
      </c>
      <c r="M172" s="137">
        <f>IF(L172="Closed","Closed",IF(OR(H172&gt;=Mapping_Rules!$B$7,I172&gt;=Mapping_Rules!$B$8),"High Risk",IF(I172&gt;30,"Monitor","Normal")))</f>
        <v/>
      </c>
      <c r="N172" s="137">
        <f>IF(M172="Closed","No action",IF(M172="High Risk","Call customer/vendor and escalate",IF(M172="Monitor","Send follow-up email","Keep monitoring")))</f>
        <v/>
      </c>
    </row>
    <row r="173">
      <c r="A173" s="153" t="inlineStr">
        <is>
          <t>INV-00170</t>
        </is>
      </c>
      <c r="B173" s="153" t="inlineStr">
        <is>
          <t>AP</t>
        </is>
      </c>
      <c r="C173" s="153" t="inlineStr">
        <is>
          <t>Vancouver Courier</t>
        </is>
      </c>
      <c r="D173" s="154" t="n">
        <v>46032</v>
      </c>
      <c r="E173" s="154" t="n">
        <v>46047</v>
      </c>
      <c r="F173" s="155" t="n">
        <v>4498.57</v>
      </c>
      <c r="G173" s="155" t="n">
        <v>0</v>
      </c>
      <c r="H173" s="155">
        <f>F173-G173</f>
        <v/>
      </c>
      <c r="I173" s="156">
        <f>MAX(0,Mapping_Rules!$B$6-E173)</f>
        <v/>
      </c>
      <c r="J173" s="157">
        <f>IF(I173=0,"Current",IF(I173&lt;=30,"1-30",IF(I173&lt;=60,"31-60",IF(I173&lt;=90,"61-90","90+"))))</f>
        <v/>
      </c>
      <c r="K173" s="153" t="inlineStr">
        <is>
          <t>Accounting Technician</t>
        </is>
      </c>
      <c r="L173" s="153" t="inlineStr">
        <is>
          <t>Open</t>
        </is>
      </c>
      <c r="M173" s="157">
        <f>IF(L173="Closed","Closed",IF(OR(H173&gt;=Mapping_Rules!$B$7,I173&gt;=Mapping_Rules!$B$8),"High Risk",IF(I173&gt;30,"Monitor","Normal")))</f>
        <v/>
      </c>
      <c r="N173" s="157">
        <f>IF(M173="Closed","No action",IF(M173="High Risk","Call customer/vendor and escalate",IF(M173="Monitor","Send follow-up email","Keep monitoring")))</f>
        <v/>
      </c>
    </row>
    <row r="174">
      <c r="A174" s="115" t="inlineStr">
        <is>
          <t>INV-00171</t>
        </is>
      </c>
      <c r="B174" s="115" t="inlineStr">
        <is>
          <t>AP</t>
        </is>
      </c>
      <c r="C174" s="115" t="inlineStr">
        <is>
          <t>Amazon Business</t>
        </is>
      </c>
      <c r="D174" s="125" t="n">
        <v>46014</v>
      </c>
      <c r="E174" s="125" t="n">
        <v>46044</v>
      </c>
      <c r="F174" s="126" t="n">
        <v>10483.07</v>
      </c>
      <c r="G174" s="126" t="n">
        <v>2317.25</v>
      </c>
      <c r="H174" s="126">
        <f>F174-G174</f>
        <v/>
      </c>
      <c r="I174" s="136">
        <f>MAX(0,Mapping_Rules!$B$6-E174)</f>
        <v/>
      </c>
      <c r="J174" s="137">
        <f>IF(I174=0,"Current",IF(I174&lt;=30,"1-30",IF(I174&lt;=60,"31-60",IF(I174&lt;=90,"61-90","90+"))))</f>
        <v/>
      </c>
      <c r="K174" s="115" t="inlineStr">
        <is>
          <t>AP Clerk</t>
        </is>
      </c>
      <c r="L174" s="115" t="inlineStr">
        <is>
          <t>Part Paid</t>
        </is>
      </c>
      <c r="M174" s="137">
        <f>IF(L174="Closed","Closed",IF(OR(H174&gt;=Mapping_Rules!$B$7,I174&gt;=Mapping_Rules!$B$8),"High Risk",IF(I174&gt;30,"Monitor","Normal")))</f>
        <v/>
      </c>
      <c r="N174" s="137">
        <f>IF(M174="Closed","No action",IF(M174="High Risk","Call customer/vendor and escalate",IF(M174="Monitor","Send follow-up email","Keep monitoring")))</f>
        <v/>
      </c>
    </row>
    <row r="175">
      <c r="A175" s="153" t="inlineStr">
        <is>
          <t>INV-00172</t>
        </is>
      </c>
      <c r="B175" s="153" t="inlineStr">
        <is>
          <t>AP</t>
        </is>
      </c>
      <c r="C175" s="153" t="inlineStr">
        <is>
          <t>Staples Canada</t>
        </is>
      </c>
      <c r="D175" s="154" t="n">
        <v>46050</v>
      </c>
      <c r="E175" s="154" t="n">
        <v>46095</v>
      </c>
      <c r="F175" s="155" t="n">
        <v>6491.75</v>
      </c>
      <c r="G175" s="155" t="n">
        <v>0</v>
      </c>
      <c r="H175" s="155">
        <f>F175-G175</f>
        <v/>
      </c>
      <c r="I175" s="156">
        <f>MAX(0,Mapping_Rules!$B$6-E175)</f>
        <v/>
      </c>
      <c r="J175" s="157">
        <f>IF(I175=0,"Current",IF(I175&lt;=30,"1-30",IF(I175&lt;=60,"31-60",IF(I175&lt;=90,"61-90","90+"))))</f>
        <v/>
      </c>
      <c r="K175" s="153" t="inlineStr">
        <is>
          <t>Accounting Technician</t>
        </is>
      </c>
      <c r="L175" s="153" t="inlineStr">
        <is>
          <t>Promise to Pay</t>
        </is>
      </c>
      <c r="M175" s="157">
        <f>IF(L175="Closed","Closed",IF(OR(H175&gt;=Mapping_Rules!$B$7,I175&gt;=Mapping_Rules!$B$8),"High Risk",IF(I175&gt;30,"Monitor","Normal")))</f>
        <v/>
      </c>
      <c r="N175" s="157">
        <f>IF(M175="Closed","No action",IF(M175="High Risk","Call customer/vendor and escalate",IF(M175="Monitor","Send follow-up email","Keep monitoring")))</f>
        <v/>
      </c>
    </row>
    <row r="176">
      <c r="A176" s="115" t="inlineStr">
        <is>
          <t>INV-00173</t>
        </is>
      </c>
      <c r="B176" s="115" t="inlineStr">
        <is>
          <t>AP</t>
        </is>
      </c>
      <c r="C176" s="115" t="inlineStr">
        <is>
          <t>North Shore Telecom</t>
        </is>
      </c>
      <c r="D176" s="125" t="n">
        <v>46040</v>
      </c>
      <c r="E176" s="125" t="n">
        <v>46100</v>
      </c>
      <c r="F176" s="126" t="n">
        <v>7867.63</v>
      </c>
      <c r="G176" s="126" t="n">
        <v>3698.79</v>
      </c>
      <c r="H176" s="126">
        <f>F176-G176</f>
        <v/>
      </c>
      <c r="I176" s="136">
        <f>MAX(0,Mapping_Rules!$B$6-E176)</f>
        <v/>
      </c>
      <c r="J176" s="137">
        <f>IF(I176=0,"Current",IF(I176&lt;=30,"1-30",IF(I176&lt;=60,"31-60",IF(I176&lt;=90,"61-90","90+"))))</f>
        <v/>
      </c>
      <c r="K176" s="115" t="inlineStr">
        <is>
          <t>AR Clerk</t>
        </is>
      </c>
      <c r="L176" s="115" t="inlineStr">
        <is>
          <t>Part Paid</t>
        </is>
      </c>
      <c r="M176" s="137">
        <f>IF(L176="Closed","Closed",IF(OR(H176&gt;=Mapping_Rules!$B$7,I176&gt;=Mapping_Rules!$B$8),"High Risk",IF(I176&gt;30,"Monitor","Normal")))</f>
        <v/>
      </c>
      <c r="N176" s="137">
        <f>IF(M176="Closed","No action",IF(M176="High Risk","Call customer/vendor and escalate",IF(M176="Monitor","Send follow-up email","Keep monitoring")))</f>
        <v/>
      </c>
    </row>
    <row r="177">
      <c r="A177" s="153" t="inlineStr">
        <is>
          <t>INV-00174</t>
        </is>
      </c>
      <c r="B177" s="153" t="inlineStr">
        <is>
          <t>AR</t>
        </is>
      </c>
      <c r="C177" s="153" t="inlineStr">
        <is>
          <t>Harbour Design Co.</t>
        </is>
      </c>
      <c r="D177" s="154" t="n">
        <v>45999</v>
      </c>
      <c r="E177" s="154" t="n">
        <v>46029</v>
      </c>
      <c r="F177" s="155" t="n">
        <v>173.48</v>
      </c>
      <c r="G177" s="155" t="n">
        <v>0</v>
      </c>
      <c r="H177" s="155">
        <f>F177-G177</f>
        <v/>
      </c>
      <c r="I177" s="156">
        <f>MAX(0,Mapping_Rules!$B$6-E177)</f>
        <v/>
      </c>
      <c r="J177" s="157">
        <f>IF(I177=0,"Current",IF(I177&lt;=30,"1-30",IF(I177&lt;=60,"31-60",IF(I177&lt;=90,"61-90","90+"))))</f>
        <v/>
      </c>
      <c r="K177" s="153" t="inlineStr">
        <is>
          <t>AP Clerk</t>
        </is>
      </c>
      <c r="L177" s="153" t="inlineStr">
        <is>
          <t>Open</t>
        </is>
      </c>
      <c r="M177" s="157">
        <f>IF(L177="Closed","Closed",IF(OR(H177&gt;=Mapping_Rules!$B$7,I177&gt;=Mapping_Rules!$B$8),"High Risk",IF(I177&gt;30,"Monitor","Normal")))</f>
        <v/>
      </c>
      <c r="N177" s="157">
        <f>IF(M177="Closed","No action",IF(M177="High Risk","Call customer/vendor and escalate",IF(M177="Monitor","Send follow-up email","Keep monitoring")))</f>
        <v/>
      </c>
    </row>
    <row r="178">
      <c r="A178" s="115" t="inlineStr">
        <is>
          <t>INV-00175</t>
        </is>
      </c>
      <c r="B178" s="115" t="inlineStr">
        <is>
          <t>AR</t>
        </is>
      </c>
      <c r="C178" s="115" t="inlineStr">
        <is>
          <t>West Van Fitness</t>
        </is>
      </c>
      <c r="D178" s="125" t="n">
        <v>46015</v>
      </c>
      <c r="E178" s="125" t="n">
        <v>46075</v>
      </c>
      <c r="F178" s="126" t="n">
        <v>825.5599999999999</v>
      </c>
      <c r="G178" s="126" t="n">
        <v>0</v>
      </c>
      <c r="H178" s="126">
        <f>F178-G178</f>
        <v/>
      </c>
      <c r="I178" s="136">
        <f>MAX(0,Mapping_Rules!$B$6-E178)</f>
        <v/>
      </c>
      <c r="J178" s="137">
        <f>IF(I178=0,"Current",IF(I178&lt;=30,"1-30",IF(I178&lt;=60,"31-60",IF(I178&lt;=90,"61-90","90+"))))</f>
        <v/>
      </c>
      <c r="K178" s="115" t="inlineStr">
        <is>
          <t>AR Clerk</t>
        </is>
      </c>
      <c r="L178" s="115" t="inlineStr">
        <is>
          <t>Open</t>
        </is>
      </c>
      <c r="M178" s="137">
        <f>IF(L178="Closed","Closed",IF(OR(H178&gt;=Mapping_Rules!$B$7,I178&gt;=Mapping_Rules!$B$8),"High Risk",IF(I178&gt;30,"Monitor","Normal")))</f>
        <v/>
      </c>
      <c r="N178" s="137">
        <f>IF(M178="Closed","No action",IF(M178="High Risk","Call customer/vendor and escalate",IF(M178="Monitor","Send follow-up email","Keep monitoring")))</f>
        <v/>
      </c>
    </row>
    <row r="179">
      <c r="A179" s="153" t="inlineStr">
        <is>
          <t>INV-00176</t>
        </is>
      </c>
      <c r="B179" s="153" t="inlineStr">
        <is>
          <t>AR</t>
        </is>
      </c>
      <c r="C179" s="153" t="inlineStr">
        <is>
          <t>Harbour Design Co.</t>
        </is>
      </c>
      <c r="D179" s="154" t="n">
        <v>45987</v>
      </c>
      <c r="E179" s="154" t="n">
        <v>46032</v>
      </c>
      <c r="F179" s="155" t="n">
        <v>3928.1</v>
      </c>
      <c r="G179" s="155" t="n">
        <v>0</v>
      </c>
      <c r="H179" s="155">
        <f>F179-G179</f>
        <v/>
      </c>
      <c r="I179" s="156">
        <f>MAX(0,Mapping_Rules!$B$6-E179)</f>
        <v/>
      </c>
      <c r="J179" s="157">
        <f>IF(I179=0,"Current",IF(I179&lt;=30,"1-30",IF(I179&lt;=60,"31-60",IF(I179&lt;=90,"61-90","90+"))))</f>
        <v/>
      </c>
      <c r="K179" s="153" t="inlineStr">
        <is>
          <t>Accounting Technician</t>
        </is>
      </c>
      <c r="L179" s="153" t="inlineStr">
        <is>
          <t>Open</t>
        </is>
      </c>
      <c r="M179" s="157">
        <f>IF(L179="Closed","Closed",IF(OR(H179&gt;=Mapping_Rules!$B$7,I179&gt;=Mapping_Rules!$B$8),"High Risk",IF(I179&gt;30,"Monitor","Normal")))</f>
        <v/>
      </c>
      <c r="N179" s="157">
        <f>IF(M179="Closed","No action",IF(M179="High Risk","Call customer/vendor and escalate",IF(M179="Monitor","Send follow-up email","Keep monitoring")))</f>
        <v/>
      </c>
    </row>
    <row r="180">
      <c r="A180" s="115" t="inlineStr">
        <is>
          <t>INV-00177</t>
        </is>
      </c>
      <c r="B180" s="115" t="inlineStr">
        <is>
          <t>AP</t>
        </is>
      </c>
      <c r="C180" s="115" t="inlineStr">
        <is>
          <t>Vancouver Courier</t>
        </is>
      </c>
      <c r="D180" s="125" t="n">
        <v>45962</v>
      </c>
      <c r="E180" s="125" t="n">
        <v>45977</v>
      </c>
      <c r="F180" s="126" t="n">
        <v>10334.66</v>
      </c>
      <c r="G180" s="126" t="n">
        <v>0</v>
      </c>
      <c r="H180" s="126">
        <f>F180-G180</f>
        <v/>
      </c>
      <c r="I180" s="136">
        <f>MAX(0,Mapping_Rules!$B$6-E180)</f>
        <v/>
      </c>
      <c r="J180" s="137">
        <f>IF(I180=0,"Current",IF(I180&lt;=30,"1-30",IF(I180&lt;=60,"31-60",IF(I180&lt;=90,"61-90","90+"))))</f>
        <v/>
      </c>
      <c r="K180" s="115" t="inlineStr">
        <is>
          <t>AP Clerk</t>
        </is>
      </c>
      <c r="L180" s="115" t="inlineStr">
        <is>
          <t>Open</t>
        </is>
      </c>
      <c r="M180" s="137">
        <f>IF(L180="Closed","Closed",IF(OR(H180&gt;=Mapping_Rules!$B$7,I180&gt;=Mapping_Rules!$B$8),"High Risk",IF(I180&gt;30,"Monitor","Normal")))</f>
        <v/>
      </c>
      <c r="N180" s="137">
        <f>IF(M180="Closed","No action",IF(M180="High Risk","Call customer/vendor and escalate",IF(M180="Monitor","Send follow-up email","Keep monitoring")))</f>
        <v/>
      </c>
    </row>
    <row r="181">
      <c r="A181" s="153" t="inlineStr">
        <is>
          <t>INV-00178</t>
        </is>
      </c>
      <c r="B181" s="153" t="inlineStr">
        <is>
          <t>AR</t>
        </is>
      </c>
      <c r="C181" s="153" t="inlineStr">
        <is>
          <t>Coastline Foods</t>
        </is>
      </c>
      <c r="D181" s="154" t="n">
        <v>46004</v>
      </c>
      <c r="E181" s="154" t="n">
        <v>46049</v>
      </c>
      <c r="F181" s="155" t="n">
        <v>13845.85</v>
      </c>
      <c r="G181" s="155" t="n">
        <v>0</v>
      </c>
      <c r="H181" s="155">
        <f>F181-G181</f>
        <v/>
      </c>
      <c r="I181" s="156">
        <f>MAX(0,Mapping_Rules!$B$6-E181)</f>
        <v/>
      </c>
      <c r="J181" s="157">
        <f>IF(I181=0,"Current",IF(I181&lt;=30,"1-30",IF(I181&lt;=60,"31-60",IF(I181&lt;=90,"61-90","90+"))))</f>
        <v/>
      </c>
      <c r="K181" s="153" t="inlineStr">
        <is>
          <t>Finance Analyst</t>
        </is>
      </c>
      <c r="L181" s="153" t="inlineStr">
        <is>
          <t>Open</t>
        </is>
      </c>
      <c r="M181" s="157">
        <f>IF(L181="Closed","Closed",IF(OR(H181&gt;=Mapping_Rules!$B$7,I181&gt;=Mapping_Rules!$B$8),"High Risk",IF(I181&gt;30,"Monitor","Normal")))</f>
        <v/>
      </c>
      <c r="N181" s="157">
        <f>IF(M181="Closed","No action",IF(M181="High Risk","Call customer/vendor and escalate",IF(M181="Monitor","Send follow-up email","Keep monitoring")))</f>
        <v/>
      </c>
    </row>
    <row r="182">
      <c r="A182" s="115" t="inlineStr">
        <is>
          <t>INV-00179</t>
        </is>
      </c>
      <c r="B182" s="115" t="inlineStr">
        <is>
          <t>AR</t>
        </is>
      </c>
      <c r="C182" s="115" t="inlineStr">
        <is>
          <t>Harbour Design Co.</t>
        </is>
      </c>
      <c r="D182" s="125" t="n">
        <v>45979</v>
      </c>
      <c r="E182" s="125" t="n">
        <v>46039</v>
      </c>
      <c r="F182" s="126" t="n">
        <v>2457.49</v>
      </c>
      <c r="G182" s="126" t="n">
        <v>0</v>
      </c>
      <c r="H182" s="126">
        <f>F182-G182</f>
        <v/>
      </c>
      <c r="I182" s="136">
        <f>MAX(0,Mapping_Rules!$B$6-E182)</f>
        <v/>
      </c>
      <c r="J182" s="137">
        <f>IF(I182=0,"Current",IF(I182&lt;=30,"1-30",IF(I182&lt;=60,"31-60",IF(I182&lt;=90,"61-90","90+"))))</f>
        <v/>
      </c>
      <c r="K182" s="115" t="inlineStr">
        <is>
          <t>Accounting Technician</t>
        </is>
      </c>
      <c r="L182" s="115" t="inlineStr">
        <is>
          <t>Open</t>
        </is>
      </c>
      <c r="M182" s="137">
        <f>IF(L182="Closed","Closed",IF(OR(H182&gt;=Mapping_Rules!$B$7,I182&gt;=Mapping_Rules!$B$8),"High Risk",IF(I182&gt;30,"Monitor","Normal")))</f>
        <v/>
      </c>
      <c r="N182" s="137">
        <f>IF(M182="Closed","No action",IF(M182="High Risk","Call customer/vendor and escalate",IF(M182="Monitor","Send follow-up email","Keep monitoring")))</f>
        <v/>
      </c>
    </row>
    <row r="183">
      <c r="A183" s="153" t="inlineStr">
        <is>
          <t>INV-00180</t>
        </is>
      </c>
      <c r="B183" s="153" t="inlineStr">
        <is>
          <t>AP</t>
        </is>
      </c>
      <c r="C183" s="153" t="inlineStr">
        <is>
          <t>Vancouver Courier</t>
        </is>
      </c>
      <c r="D183" s="154" t="n">
        <v>46014</v>
      </c>
      <c r="E183" s="154" t="n">
        <v>46029</v>
      </c>
      <c r="F183" s="155" t="n">
        <v>12551.32</v>
      </c>
      <c r="G183" s="155" t="n">
        <v>0</v>
      </c>
      <c r="H183" s="155">
        <f>F183-G183</f>
        <v/>
      </c>
      <c r="I183" s="156">
        <f>MAX(0,Mapping_Rules!$B$6-E183)</f>
        <v/>
      </c>
      <c r="J183" s="157">
        <f>IF(I183=0,"Current",IF(I183&lt;=30,"1-30",IF(I183&lt;=60,"31-60",IF(I183&lt;=90,"61-90","90+"))))</f>
        <v/>
      </c>
      <c r="K183" s="153" t="inlineStr">
        <is>
          <t>Accounting Technician</t>
        </is>
      </c>
      <c r="L183" s="153" t="inlineStr">
        <is>
          <t>Open</t>
        </is>
      </c>
      <c r="M183" s="157">
        <f>IF(L183="Closed","Closed",IF(OR(H183&gt;=Mapping_Rules!$B$7,I183&gt;=Mapping_Rules!$B$8),"High Risk",IF(I183&gt;30,"Monitor","Normal")))</f>
        <v/>
      </c>
      <c r="N183" s="157">
        <f>IF(M183="Closed","No action",IF(M183="High Risk","Call customer/vendor and escalate",IF(M183="Monitor","Send follow-up email","Keep monitoring")))</f>
        <v/>
      </c>
    </row>
    <row r="184">
      <c r="A184" s="115" t="inlineStr">
        <is>
          <t>INV-00181</t>
        </is>
      </c>
      <c r="B184" s="115" t="inlineStr">
        <is>
          <t>AR</t>
        </is>
      </c>
      <c r="C184" s="115" t="inlineStr">
        <is>
          <t>Coastline Foods</t>
        </is>
      </c>
      <c r="D184" s="125" t="n">
        <v>46035</v>
      </c>
      <c r="E184" s="125" t="n">
        <v>46080</v>
      </c>
      <c r="F184" s="126" t="n">
        <v>12023.1</v>
      </c>
      <c r="G184" s="126" t="n">
        <v>12023.1</v>
      </c>
      <c r="H184" s="126">
        <f>F184-G184</f>
        <v/>
      </c>
      <c r="I184" s="136">
        <f>MAX(0,Mapping_Rules!$B$6-E184)</f>
        <v/>
      </c>
      <c r="J184" s="137">
        <f>IF(I184=0,"Current",IF(I184&lt;=30,"1-30",IF(I184&lt;=60,"31-60",IF(I184&lt;=90,"61-90","90+"))))</f>
        <v/>
      </c>
      <c r="K184" s="115" t="inlineStr">
        <is>
          <t>Accounting Technician</t>
        </is>
      </c>
      <c r="L184" s="115" t="inlineStr">
        <is>
          <t>Closed</t>
        </is>
      </c>
      <c r="M184" s="137">
        <f>IF(L184="Closed","Closed",IF(OR(H184&gt;=Mapping_Rules!$B$7,I184&gt;=Mapping_Rules!$B$8),"High Risk",IF(I184&gt;30,"Monitor","Normal")))</f>
        <v/>
      </c>
      <c r="N184" s="137">
        <f>IF(M184="Closed","No action",IF(M184="High Risk","Call customer/vendor and escalate",IF(M184="Monitor","Send follow-up email","Keep monitoring")))</f>
        <v/>
      </c>
    </row>
    <row r="185">
      <c r="A185" s="153" t="inlineStr">
        <is>
          <t>INV-00182</t>
        </is>
      </c>
      <c r="B185" s="153" t="inlineStr">
        <is>
          <t>AR</t>
        </is>
      </c>
      <c r="C185" s="153" t="inlineStr">
        <is>
          <t>Coastline Foods</t>
        </is>
      </c>
      <c r="D185" s="154" t="n">
        <v>45997</v>
      </c>
      <c r="E185" s="154" t="n">
        <v>46012</v>
      </c>
      <c r="F185" s="155" t="n">
        <v>5186.41</v>
      </c>
      <c r="G185" s="155" t="n">
        <v>0</v>
      </c>
      <c r="H185" s="155">
        <f>F185-G185</f>
        <v/>
      </c>
      <c r="I185" s="156">
        <f>MAX(0,Mapping_Rules!$B$6-E185)</f>
        <v/>
      </c>
      <c r="J185" s="157">
        <f>IF(I185=0,"Current",IF(I185&lt;=30,"1-30",IF(I185&lt;=60,"31-60",IF(I185&lt;=90,"61-90","90+"))))</f>
        <v/>
      </c>
      <c r="K185" s="153" t="inlineStr">
        <is>
          <t>AR Clerk</t>
        </is>
      </c>
      <c r="L185" s="153" t="inlineStr">
        <is>
          <t>Open</t>
        </is>
      </c>
      <c r="M185" s="157">
        <f>IF(L185="Closed","Closed",IF(OR(H185&gt;=Mapping_Rules!$B$7,I185&gt;=Mapping_Rules!$B$8),"High Risk",IF(I185&gt;30,"Monitor","Normal")))</f>
        <v/>
      </c>
      <c r="N185" s="157">
        <f>IF(M185="Closed","No action",IF(M185="High Risk","Call customer/vendor and escalate",IF(M185="Monitor","Send follow-up email","Keep monitoring")))</f>
        <v/>
      </c>
    </row>
    <row r="186">
      <c r="A186" s="115" t="inlineStr">
        <is>
          <t>INV-00183</t>
        </is>
      </c>
      <c r="B186" s="115" t="inlineStr">
        <is>
          <t>AP</t>
        </is>
      </c>
      <c r="C186" s="115" t="inlineStr">
        <is>
          <t>North Shore Telecom</t>
        </is>
      </c>
      <c r="D186" s="125" t="n">
        <v>46038</v>
      </c>
      <c r="E186" s="125" t="n">
        <v>46053</v>
      </c>
      <c r="F186" s="126" t="n">
        <v>12989.22</v>
      </c>
      <c r="G186" s="126" t="n">
        <v>0</v>
      </c>
      <c r="H186" s="126">
        <f>F186-G186</f>
        <v/>
      </c>
      <c r="I186" s="136">
        <f>MAX(0,Mapping_Rules!$B$6-E186)</f>
        <v/>
      </c>
      <c r="J186" s="137">
        <f>IF(I186=0,"Current",IF(I186&lt;=30,"1-30",IF(I186&lt;=60,"31-60",IF(I186&lt;=90,"61-90","90+"))))</f>
        <v/>
      </c>
      <c r="K186" s="115" t="inlineStr">
        <is>
          <t>Accounting Technician</t>
        </is>
      </c>
      <c r="L186" s="115" t="inlineStr">
        <is>
          <t>Disputed</t>
        </is>
      </c>
      <c r="M186" s="137">
        <f>IF(L186="Closed","Closed",IF(OR(H186&gt;=Mapping_Rules!$B$7,I186&gt;=Mapping_Rules!$B$8),"High Risk",IF(I186&gt;30,"Monitor","Normal")))</f>
        <v/>
      </c>
      <c r="N186" s="137">
        <f>IF(M186="Closed","No action",IF(M186="High Risk","Call customer/vendor and escalate",IF(M186="Monitor","Send follow-up email","Keep monitoring")))</f>
        <v/>
      </c>
    </row>
    <row r="187">
      <c r="A187" s="153" t="inlineStr">
        <is>
          <t>INV-00184</t>
        </is>
      </c>
      <c r="B187" s="153" t="inlineStr">
        <is>
          <t>AR</t>
        </is>
      </c>
      <c r="C187" s="153" t="inlineStr">
        <is>
          <t>Raincity Tech</t>
        </is>
      </c>
      <c r="D187" s="154" t="n">
        <v>46014</v>
      </c>
      <c r="E187" s="154" t="n">
        <v>46029</v>
      </c>
      <c r="F187" s="155" t="n">
        <v>7531.26</v>
      </c>
      <c r="G187" s="155" t="n">
        <v>0</v>
      </c>
      <c r="H187" s="155">
        <f>F187-G187</f>
        <v/>
      </c>
      <c r="I187" s="156">
        <f>MAX(0,Mapping_Rules!$B$6-E187)</f>
        <v/>
      </c>
      <c r="J187" s="157">
        <f>IF(I187=0,"Current",IF(I187&lt;=30,"1-30",IF(I187&lt;=60,"31-60",IF(I187&lt;=90,"61-90","90+"))))</f>
        <v/>
      </c>
      <c r="K187" s="153" t="inlineStr">
        <is>
          <t>Finance Analyst</t>
        </is>
      </c>
      <c r="L187" s="153" t="inlineStr">
        <is>
          <t>Open</t>
        </is>
      </c>
      <c r="M187" s="157">
        <f>IF(L187="Closed","Closed",IF(OR(H187&gt;=Mapping_Rules!$B$7,I187&gt;=Mapping_Rules!$B$8),"High Risk",IF(I187&gt;30,"Monitor","Normal")))</f>
        <v/>
      </c>
      <c r="N187" s="157">
        <f>IF(M187="Closed","No action",IF(M187="High Risk","Call customer/vendor and escalate",IF(M187="Monitor","Send follow-up email","Keep monitoring")))</f>
        <v/>
      </c>
    </row>
    <row r="188">
      <c r="A188" s="115" t="inlineStr">
        <is>
          <t>INV-00185</t>
        </is>
      </c>
      <c r="B188" s="115" t="inlineStr">
        <is>
          <t>AP</t>
        </is>
      </c>
      <c r="C188" s="115" t="inlineStr">
        <is>
          <t>North Shore Telecom</t>
        </is>
      </c>
      <c r="D188" s="125" t="n">
        <v>46029</v>
      </c>
      <c r="E188" s="125" t="n">
        <v>46074</v>
      </c>
      <c r="F188" s="126" t="n">
        <v>2748.94</v>
      </c>
      <c r="G188" s="126" t="n">
        <v>0</v>
      </c>
      <c r="H188" s="126">
        <f>F188-G188</f>
        <v/>
      </c>
      <c r="I188" s="136">
        <f>MAX(0,Mapping_Rules!$B$6-E188)</f>
        <v/>
      </c>
      <c r="J188" s="137">
        <f>IF(I188=0,"Current",IF(I188&lt;=30,"1-30",IF(I188&lt;=60,"31-60",IF(I188&lt;=90,"61-90","90+"))))</f>
        <v/>
      </c>
      <c r="K188" s="115" t="inlineStr">
        <is>
          <t>AP Clerk</t>
        </is>
      </c>
      <c r="L188" s="115" t="inlineStr">
        <is>
          <t>Open</t>
        </is>
      </c>
      <c r="M188" s="137">
        <f>IF(L188="Closed","Closed",IF(OR(H188&gt;=Mapping_Rules!$B$7,I188&gt;=Mapping_Rules!$B$8),"High Risk",IF(I188&gt;30,"Monitor","Normal")))</f>
        <v/>
      </c>
      <c r="N188" s="137">
        <f>IF(M188="Closed","No action",IF(M188="High Risk","Call customer/vendor and escalate",IF(M188="Monitor","Send follow-up email","Keep monitoring")))</f>
        <v/>
      </c>
    </row>
    <row r="189">
      <c r="A189" s="153" t="inlineStr">
        <is>
          <t>INV-00186</t>
        </is>
      </c>
      <c r="B189" s="153" t="inlineStr">
        <is>
          <t>AR</t>
        </is>
      </c>
      <c r="C189" s="153" t="inlineStr">
        <is>
          <t>Maple Retail Group</t>
        </is>
      </c>
      <c r="D189" s="154" t="n">
        <v>46018</v>
      </c>
      <c r="E189" s="154" t="n">
        <v>46033</v>
      </c>
      <c r="F189" s="155" t="n">
        <v>12015.53</v>
      </c>
      <c r="G189" s="155" t="n">
        <v>12015.53</v>
      </c>
      <c r="H189" s="155">
        <f>F189-G189</f>
        <v/>
      </c>
      <c r="I189" s="156">
        <f>MAX(0,Mapping_Rules!$B$6-E189)</f>
        <v/>
      </c>
      <c r="J189" s="157">
        <f>IF(I189=0,"Current",IF(I189&lt;=30,"1-30",IF(I189&lt;=60,"31-60",IF(I189&lt;=90,"61-90","90+"))))</f>
        <v/>
      </c>
      <c r="K189" s="153" t="inlineStr">
        <is>
          <t>AR Clerk</t>
        </is>
      </c>
      <c r="L189" s="153" t="inlineStr">
        <is>
          <t>Closed</t>
        </is>
      </c>
      <c r="M189" s="157">
        <f>IF(L189="Closed","Closed",IF(OR(H189&gt;=Mapping_Rules!$B$7,I189&gt;=Mapping_Rules!$B$8),"High Risk",IF(I189&gt;30,"Monitor","Normal")))</f>
        <v/>
      </c>
      <c r="N189" s="157">
        <f>IF(M189="Closed","No action",IF(M189="High Risk","Call customer/vendor and escalate",IF(M189="Monitor","Send follow-up email","Keep monitoring")))</f>
        <v/>
      </c>
    </row>
    <row r="190">
      <c r="A190" s="115" t="inlineStr">
        <is>
          <t>INV-00187</t>
        </is>
      </c>
      <c r="B190" s="115" t="inlineStr">
        <is>
          <t>AR</t>
        </is>
      </c>
      <c r="C190" s="115" t="inlineStr">
        <is>
          <t>Raincity Tech</t>
        </is>
      </c>
      <c r="D190" s="125" t="n">
        <v>46023</v>
      </c>
      <c r="E190" s="125" t="n">
        <v>46068</v>
      </c>
      <c r="F190" s="126" t="n">
        <v>11666.67</v>
      </c>
      <c r="G190" s="126" t="n">
        <v>0</v>
      </c>
      <c r="H190" s="126">
        <f>F190-G190</f>
        <v/>
      </c>
      <c r="I190" s="136">
        <f>MAX(0,Mapping_Rules!$B$6-E190)</f>
        <v/>
      </c>
      <c r="J190" s="137">
        <f>IF(I190=0,"Current",IF(I190&lt;=30,"1-30",IF(I190&lt;=60,"31-60",IF(I190&lt;=90,"61-90","90+"))))</f>
        <v/>
      </c>
      <c r="K190" s="115" t="inlineStr">
        <is>
          <t>AP Clerk</t>
        </is>
      </c>
      <c r="L190" s="115" t="inlineStr">
        <is>
          <t>Open</t>
        </is>
      </c>
      <c r="M190" s="137">
        <f>IF(L190="Closed","Closed",IF(OR(H190&gt;=Mapping_Rules!$B$7,I190&gt;=Mapping_Rules!$B$8),"High Risk",IF(I190&gt;30,"Monitor","Normal")))</f>
        <v/>
      </c>
      <c r="N190" s="137">
        <f>IF(M190="Closed","No action",IF(M190="High Risk","Call customer/vendor and escalate",IF(M190="Monitor","Send follow-up email","Keep monitoring")))</f>
        <v/>
      </c>
    </row>
    <row r="191">
      <c r="A191" s="153" t="inlineStr">
        <is>
          <t>INV-00188</t>
        </is>
      </c>
      <c r="B191" s="153" t="inlineStr">
        <is>
          <t>AR</t>
        </is>
      </c>
      <c r="C191" s="153" t="inlineStr">
        <is>
          <t>Coastline Foods</t>
        </is>
      </c>
      <c r="D191" s="154" t="n">
        <v>45966</v>
      </c>
      <c r="E191" s="154" t="n">
        <v>46026</v>
      </c>
      <c r="F191" s="155" t="n">
        <v>5905.69</v>
      </c>
      <c r="G191" s="155" t="n">
        <v>0</v>
      </c>
      <c r="H191" s="155">
        <f>F191-G191</f>
        <v/>
      </c>
      <c r="I191" s="156">
        <f>MAX(0,Mapping_Rules!$B$6-E191)</f>
        <v/>
      </c>
      <c r="J191" s="157">
        <f>IF(I191=0,"Current",IF(I191&lt;=30,"1-30",IF(I191&lt;=60,"31-60",IF(I191&lt;=90,"61-90","90+"))))</f>
        <v/>
      </c>
      <c r="K191" s="153" t="inlineStr">
        <is>
          <t>AP Clerk</t>
        </is>
      </c>
      <c r="L191" s="153" t="inlineStr">
        <is>
          <t>Promise to Pay</t>
        </is>
      </c>
      <c r="M191" s="157">
        <f>IF(L191="Closed","Closed",IF(OR(H191&gt;=Mapping_Rules!$B$7,I191&gt;=Mapping_Rules!$B$8),"High Risk",IF(I191&gt;30,"Monitor","Normal")))</f>
        <v/>
      </c>
      <c r="N191" s="157">
        <f>IF(M191="Closed","No action",IF(M191="High Risk","Call customer/vendor and escalate",IF(M191="Monitor","Send follow-up email","Keep monitoring")))</f>
        <v/>
      </c>
    </row>
    <row r="192">
      <c r="A192" s="115" t="inlineStr">
        <is>
          <t>INV-00189</t>
        </is>
      </c>
      <c r="B192" s="115" t="inlineStr">
        <is>
          <t>AR</t>
        </is>
      </c>
      <c r="C192" s="115" t="inlineStr">
        <is>
          <t>Raincity Tech</t>
        </is>
      </c>
      <c r="D192" s="125" t="n">
        <v>45967</v>
      </c>
      <c r="E192" s="125" t="n">
        <v>45982</v>
      </c>
      <c r="F192" s="126" t="n">
        <v>5099.35</v>
      </c>
      <c r="G192" s="126" t="n">
        <v>5099.35</v>
      </c>
      <c r="H192" s="126">
        <f>F192-G192</f>
        <v/>
      </c>
      <c r="I192" s="136">
        <f>MAX(0,Mapping_Rules!$B$6-E192)</f>
        <v/>
      </c>
      <c r="J192" s="137">
        <f>IF(I192=0,"Current",IF(I192&lt;=30,"1-30",IF(I192&lt;=60,"31-60",IF(I192&lt;=90,"61-90","90+"))))</f>
        <v/>
      </c>
      <c r="K192" s="115" t="inlineStr">
        <is>
          <t>AP Clerk</t>
        </is>
      </c>
      <c r="L192" s="115" t="inlineStr">
        <is>
          <t>Closed</t>
        </is>
      </c>
      <c r="M192" s="137">
        <f>IF(L192="Closed","Closed",IF(OR(H192&gt;=Mapping_Rules!$B$7,I192&gt;=Mapping_Rules!$B$8),"High Risk",IF(I192&gt;30,"Monitor","Normal")))</f>
        <v/>
      </c>
      <c r="N192" s="137">
        <f>IF(M192="Closed","No action",IF(M192="High Risk","Call customer/vendor and escalate",IF(M192="Monitor","Send follow-up email","Keep monitoring")))</f>
        <v/>
      </c>
    </row>
    <row r="193">
      <c r="A193" s="153" t="inlineStr">
        <is>
          <t>INV-00190</t>
        </is>
      </c>
      <c r="B193" s="153" t="inlineStr">
        <is>
          <t>AP</t>
        </is>
      </c>
      <c r="C193" s="153" t="inlineStr">
        <is>
          <t>Pacific Office Supplies</t>
        </is>
      </c>
      <c r="D193" s="154" t="n">
        <v>46035</v>
      </c>
      <c r="E193" s="154" t="n">
        <v>46080</v>
      </c>
      <c r="F193" s="155" t="n">
        <v>9636.940000000001</v>
      </c>
      <c r="G193" s="155" t="n">
        <v>0</v>
      </c>
      <c r="H193" s="155">
        <f>F193-G193</f>
        <v/>
      </c>
      <c r="I193" s="156">
        <f>MAX(0,Mapping_Rules!$B$6-E193)</f>
        <v/>
      </c>
      <c r="J193" s="157">
        <f>IF(I193=0,"Current",IF(I193&lt;=30,"1-30",IF(I193&lt;=60,"31-60",IF(I193&lt;=90,"61-90","90+"))))</f>
        <v/>
      </c>
      <c r="K193" s="153" t="inlineStr">
        <is>
          <t>AR Clerk</t>
        </is>
      </c>
      <c r="L193" s="153" t="inlineStr">
        <is>
          <t>Open</t>
        </is>
      </c>
      <c r="M193" s="157">
        <f>IF(L193="Closed","Closed",IF(OR(H193&gt;=Mapping_Rules!$B$7,I193&gt;=Mapping_Rules!$B$8),"High Risk",IF(I193&gt;30,"Monitor","Normal")))</f>
        <v/>
      </c>
      <c r="N193" s="157">
        <f>IF(M193="Closed","No action",IF(M193="High Risk","Call customer/vendor and escalate",IF(M193="Monitor","Send follow-up email","Keep monitoring")))</f>
        <v/>
      </c>
    </row>
    <row r="194">
      <c r="A194" s="115" t="inlineStr">
        <is>
          <t>INV-00191</t>
        </is>
      </c>
      <c r="B194" s="115" t="inlineStr">
        <is>
          <t>AR</t>
        </is>
      </c>
      <c r="C194" s="115" t="inlineStr">
        <is>
          <t>Raincity Tech</t>
        </is>
      </c>
      <c r="D194" s="125" t="n">
        <v>45997</v>
      </c>
      <c r="E194" s="125" t="n">
        <v>46042</v>
      </c>
      <c r="F194" s="126" t="n">
        <v>11625.89</v>
      </c>
      <c r="G194" s="126" t="n">
        <v>3804.28</v>
      </c>
      <c r="H194" s="126">
        <f>F194-G194</f>
        <v/>
      </c>
      <c r="I194" s="136">
        <f>MAX(0,Mapping_Rules!$B$6-E194)</f>
        <v/>
      </c>
      <c r="J194" s="137">
        <f>IF(I194=0,"Current",IF(I194&lt;=30,"1-30",IF(I194&lt;=60,"31-60",IF(I194&lt;=90,"61-90","90+"))))</f>
        <v/>
      </c>
      <c r="K194" s="115" t="inlineStr">
        <is>
          <t>AR Clerk</t>
        </is>
      </c>
      <c r="L194" s="115" t="inlineStr">
        <is>
          <t>Part Paid</t>
        </is>
      </c>
      <c r="M194" s="137">
        <f>IF(L194="Closed","Closed",IF(OR(H194&gt;=Mapping_Rules!$B$7,I194&gt;=Mapping_Rules!$B$8),"High Risk",IF(I194&gt;30,"Monitor","Normal")))</f>
        <v/>
      </c>
      <c r="N194" s="137">
        <f>IF(M194="Closed","No action",IF(M194="High Risk","Call customer/vendor and escalate",IF(M194="Monitor","Send follow-up email","Keep monitoring")))</f>
        <v/>
      </c>
    </row>
    <row r="195">
      <c r="A195" s="153" t="inlineStr">
        <is>
          <t>INV-00192</t>
        </is>
      </c>
      <c r="B195" s="153" t="inlineStr">
        <is>
          <t>AP</t>
        </is>
      </c>
      <c r="C195" s="153" t="inlineStr">
        <is>
          <t>Pacific Office Supplies</t>
        </is>
      </c>
      <c r="D195" s="154" t="n">
        <v>45963</v>
      </c>
      <c r="E195" s="154" t="n">
        <v>45978</v>
      </c>
      <c r="F195" s="155" t="n">
        <v>3217.67</v>
      </c>
      <c r="G195" s="155" t="n">
        <v>0</v>
      </c>
      <c r="H195" s="155">
        <f>F195-G195</f>
        <v/>
      </c>
      <c r="I195" s="156">
        <f>MAX(0,Mapping_Rules!$B$6-E195)</f>
        <v/>
      </c>
      <c r="J195" s="157">
        <f>IF(I195=0,"Current",IF(I195&lt;=30,"1-30",IF(I195&lt;=60,"31-60",IF(I195&lt;=90,"61-90","90+"))))</f>
        <v/>
      </c>
      <c r="K195" s="153" t="inlineStr">
        <is>
          <t>Accounting Technician</t>
        </is>
      </c>
      <c r="L195" s="153" t="inlineStr">
        <is>
          <t>Open</t>
        </is>
      </c>
      <c r="M195" s="157">
        <f>IF(L195="Closed","Closed",IF(OR(H195&gt;=Mapping_Rules!$B$7,I195&gt;=Mapping_Rules!$B$8),"High Risk",IF(I195&gt;30,"Monitor","Normal")))</f>
        <v/>
      </c>
      <c r="N195" s="157">
        <f>IF(M195="Closed","No action",IF(M195="High Risk","Call customer/vendor and escalate",IF(M195="Monitor","Send follow-up email","Keep monitoring")))</f>
        <v/>
      </c>
    </row>
    <row r="196">
      <c r="A196" s="115" t="inlineStr">
        <is>
          <t>INV-00193</t>
        </is>
      </c>
      <c r="B196" s="115" t="inlineStr">
        <is>
          <t>AP</t>
        </is>
      </c>
      <c r="C196" s="115" t="inlineStr">
        <is>
          <t>North Shore Telecom</t>
        </is>
      </c>
      <c r="D196" s="125" t="n">
        <v>46052</v>
      </c>
      <c r="E196" s="125" t="n">
        <v>46097</v>
      </c>
      <c r="F196" s="126" t="n">
        <v>8675.129999999999</v>
      </c>
      <c r="G196" s="126" t="n">
        <v>0</v>
      </c>
      <c r="H196" s="126">
        <f>F196-G196</f>
        <v/>
      </c>
      <c r="I196" s="136">
        <f>MAX(0,Mapping_Rules!$B$6-E196)</f>
        <v/>
      </c>
      <c r="J196" s="137">
        <f>IF(I196=0,"Current",IF(I196&lt;=30,"1-30",IF(I196&lt;=60,"31-60",IF(I196&lt;=90,"61-90","90+"))))</f>
        <v/>
      </c>
      <c r="K196" s="115" t="inlineStr">
        <is>
          <t>Accounting Technician</t>
        </is>
      </c>
      <c r="L196" s="115" t="inlineStr">
        <is>
          <t>Open</t>
        </is>
      </c>
      <c r="M196" s="137">
        <f>IF(L196="Closed","Closed",IF(OR(H196&gt;=Mapping_Rules!$B$7,I196&gt;=Mapping_Rules!$B$8),"High Risk",IF(I196&gt;30,"Monitor","Normal")))</f>
        <v/>
      </c>
      <c r="N196" s="137">
        <f>IF(M196="Closed","No action",IF(M196="High Risk","Call customer/vendor and escalate",IF(M196="Monitor","Send follow-up email","Keep monitoring")))</f>
        <v/>
      </c>
    </row>
    <row r="197">
      <c r="A197" s="153" t="inlineStr">
        <is>
          <t>INV-00194</t>
        </is>
      </c>
      <c r="B197" s="153" t="inlineStr">
        <is>
          <t>AP</t>
        </is>
      </c>
      <c r="C197" s="153" t="inlineStr">
        <is>
          <t>Amazon Business</t>
        </is>
      </c>
      <c r="D197" s="154" t="n">
        <v>46018</v>
      </c>
      <c r="E197" s="154" t="n">
        <v>46033</v>
      </c>
      <c r="F197" s="155" t="n">
        <v>2081.6</v>
      </c>
      <c r="G197" s="155" t="n">
        <v>0</v>
      </c>
      <c r="H197" s="155">
        <f>F197-G197</f>
        <v/>
      </c>
      <c r="I197" s="156">
        <f>MAX(0,Mapping_Rules!$B$6-E197)</f>
        <v/>
      </c>
      <c r="J197" s="157">
        <f>IF(I197=0,"Current",IF(I197&lt;=30,"1-30",IF(I197&lt;=60,"31-60",IF(I197&lt;=90,"61-90","90+"))))</f>
        <v/>
      </c>
      <c r="K197" s="153" t="inlineStr">
        <is>
          <t>AP Clerk</t>
        </is>
      </c>
      <c r="L197" s="153" t="inlineStr">
        <is>
          <t>Open</t>
        </is>
      </c>
      <c r="M197" s="157">
        <f>IF(L197="Closed","Closed",IF(OR(H197&gt;=Mapping_Rules!$B$7,I197&gt;=Mapping_Rules!$B$8),"High Risk",IF(I197&gt;30,"Monitor","Normal")))</f>
        <v/>
      </c>
      <c r="N197" s="157">
        <f>IF(M197="Closed","No action",IF(M197="High Risk","Call customer/vendor and escalate",IF(M197="Monitor","Send follow-up email","Keep monitoring")))</f>
        <v/>
      </c>
    </row>
    <row r="198">
      <c r="A198" s="115" t="inlineStr">
        <is>
          <t>INV-00195</t>
        </is>
      </c>
      <c r="B198" s="115" t="inlineStr">
        <is>
          <t>AR</t>
        </is>
      </c>
      <c r="C198" s="115" t="inlineStr">
        <is>
          <t>Granville Medical</t>
        </is>
      </c>
      <c r="D198" s="125" t="n">
        <v>45968</v>
      </c>
      <c r="E198" s="125" t="n">
        <v>45983</v>
      </c>
      <c r="F198" s="126" t="n">
        <v>6483.02</v>
      </c>
      <c r="G198" s="126" t="n">
        <v>0</v>
      </c>
      <c r="H198" s="126">
        <f>F198-G198</f>
        <v/>
      </c>
      <c r="I198" s="136">
        <f>MAX(0,Mapping_Rules!$B$6-E198)</f>
        <v/>
      </c>
      <c r="J198" s="137">
        <f>IF(I198=0,"Current",IF(I198&lt;=30,"1-30",IF(I198&lt;=60,"31-60",IF(I198&lt;=90,"61-90","90+"))))</f>
        <v/>
      </c>
      <c r="K198" s="115" t="inlineStr">
        <is>
          <t>Finance Analyst</t>
        </is>
      </c>
      <c r="L198" s="115" t="inlineStr">
        <is>
          <t>Open</t>
        </is>
      </c>
      <c r="M198" s="137">
        <f>IF(L198="Closed","Closed",IF(OR(H198&gt;=Mapping_Rules!$B$7,I198&gt;=Mapping_Rules!$B$8),"High Risk",IF(I198&gt;30,"Monitor","Normal")))</f>
        <v/>
      </c>
      <c r="N198" s="137">
        <f>IF(M198="Closed","No action",IF(M198="High Risk","Call customer/vendor and escalate",IF(M198="Monitor","Send follow-up email","Keep monitoring")))</f>
        <v/>
      </c>
    </row>
    <row r="199">
      <c r="A199" s="153" t="inlineStr">
        <is>
          <t>INV-00196</t>
        </is>
      </c>
      <c r="B199" s="153" t="inlineStr">
        <is>
          <t>AP</t>
        </is>
      </c>
      <c r="C199" s="153" t="inlineStr">
        <is>
          <t>Metro Cleaning Ltd.</t>
        </is>
      </c>
      <c r="D199" s="154" t="n">
        <v>46004</v>
      </c>
      <c r="E199" s="154" t="n">
        <v>46034</v>
      </c>
      <c r="F199" s="155" t="n">
        <v>10736.55</v>
      </c>
      <c r="G199" s="155" t="n">
        <v>5333.54</v>
      </c>
      <c r="H199" s="155">
        <f>F199-G199</f>
        <v/>
      </c>
      <c r="I199" s="156">
        <f>MAX(0,Mapping_Rules!$B$6-E199)</f>
        <v/>
      </c>
      <c r="J199" s="157">
        <f>IF(I199=0,"Current",IF(I199&lt;=30,"1-30",IF(I199&lt;=60,"31-60",IF(I199&lt;=90,"61-90","90+"))))</f>
        <v/>
      </c>
      <c r="K199" s="153" t="inlineStr">
        <is>
          <t>Finance Analyst</t>
        </is>
      </c>
      <c r="L199" s="153" t="inlineStr">
        <is>
          <t>Part Paid</t>
        </is>
      </c>
      <c r="M199" s="157">
        <f>IF(L199="Closed","Closed",IF(OR(H199&gt;=Mapping_Rules!$B$7,I199&gt;=Mapping_Rules!$B$8),"High Risk",IF(I199&gt;30,"Monitor","Normal")))</f>
        <v/>
      </c>
      <c r="N199" s="157">
        <f>IF(M199="Closed","No action",IF(M199="High Risk","Call customer/vendor and escalate",IF(M199="Monitor","Send follow-up email","Keep monitoring")))</f>
        <v/>
      </c>
    </row>
    <row r="200">
      <c r="A200" s="115" t="inlineStr">
        <is>
          <t>INV-00197</t>
        </is>
      </c>
      <c r="B200" s="115" t="inlineStr">
        <is>
          <t>AR</t>
        </is>
      </c>
      <c r="C200" s="115" t="inlineStr">
        <is>
          <t>Maple Retail Group</t>
        </is>
      </c>
      <c r="D200" s="125" t="n">
        <v>46051</v>
      </c>
      <c r="E200" s="125" t="n">
        <v>46111</v>
      </c>
      <c r="F200" s="126" t="n">
        <v>1594.36</v>
      </c>
      <c r="G200" s="126" t="n">
        <v>0</v>
      </c>
      <c r="H200" s="126">
        <f>F200-G200</f>
        <v/>
      </c>
      <c r="I200" s="136">
        <f>MAX(0,Mapping_Rules!$B$6-E200)</f>
        <v/>
      </c>
      <c r="J200" s="137">
        <f>IF(I200=0,"Current",IF(I200&lt;=30,"1-30",IF(I200&lt;=60,"31-60",IF(I200&lt;=90,"61-90","90+"))))</f>
        <v/>
      </c>
      <c r="K200" s="115" t="inlineStr">
        <is>
          <t>Finance Analyst</t>
        </is>
      </c>
      <c r="L200" s="115" t="inlineStr">
        <is>
          <t>Open</t>
        </is>
      </c>
      <c r="M200" s="137">
        <f>IF(L200="Closed","Closed",IF(OR(H200&gt;=Mapping_Rules!$B$7,I200&gt;=Mapping_Rules!$B$8),"High Risk",IF(I200&gt;30,"Monitor","Normal")))</f>
        <v/>
      </c>
      <c r="N200" s="137">
        <f>IF(M200="Closed","No action",IF(M200="High Risk","Call customer/vendor and escalate",IF(M200="Monitor","Send follow-up email","Keep monitoring")))</f>
        <v/>
      </c>
    </row>
    <row r="201">
      <c r="A201" s="153" t="inlineStr">
        <is>
          <t>INV-00198</t>
        </is>
      </c>
      <c r="B201" s="153" t="inlineStr">
        <is>
          <t>AP</t>
        </is>
      </c>
      <c r="C201" s="153" t="inlineStr">
        <is>
          <t>North Shore Telecom</t>
        </is>
      </c>
      <c r="D201" s="154" t="n">
        <v>45990</v>
      </c>
      <c r="E201" s="154" t="n">
        <v>46020</v>
      </c>
      <c r="F201" s="155" t="n">
        <v>12937.28</v>
      </c>
      <c r="G201" s="155" t="n">
        <v>9617.059999999999</v>
      </c>
      <c r="H201" s="155">
        <f>F201-G201</f>
        <v/>
      </c>
      <c r="I201" s="156">
        <f>MAX(0,Mapping_Rules!$B$6-E201)</f>
        <v/>
      </c>
      <c r="J201" s="157">
        <f>IF(I201=0,"Current",IF(I201&lt;=30,"1-30",IF(I201&lt;=60,"31-60",IF(I201&lt;=90,"61-90","90+"))))</f>
        <v/>
      </c>
      <c r="K201" s="153" t="inlineStr">
        <is>
          <t>Finance Analyst</t>
        </is>
      </c>
      <c r="L201" s="153" t="inlineStr">
        <is>
          <t>Part Paid</t>
        </is>
      </c>
      <c r="M201" s="157">
        <f>IF(L201="Closed","Closed",IF(OR(H201&gt;=Mapping_Rules!$B$7,I201&gt;=Mapping_Rules!$B$8),"High Risk",IF(I201&gt;30,"Monitor","Normal")))</f>
        <v/>
      </c>
      <c r="N201" s="157">
        <f>IF(M201="Closed","No action",IF(M201="High Risk","Call customer/vendor and escalate",IF(M201="Monitor","Send follow-up email","Keep monitoring")))</f>
        <v/>
      </c>
    </row>
    <row r="202">
      <c r="A202" s="115" t="inlineStr">
        <is>
          <t>INV-00199</t>
        </is>
      </c>
      <c r="B202" s="115" t="inlineStr">
        <is>
          <t>AR</t>
        </is>
      </c>
      <c r="C202" s="115" t="inlineStr">
        <is>
          <t>Harbour Design Co.</t>
        </is>
      </c>
      <c r="D202" s="125" t="n">
        <v>46047</v>
      </c>
      <c r="E202" s="125" t="n">
        <v>46092</v>
      </c>
      <c r="F202" s="126" t="n">
        <v>11863.36</v>
      </c>
      <c r="G202" s="126" t="n">
        <v>11863.36</v>
      </c>
      <c r="H202" s="126">
        <f>F202-G202</f>
        <v/>
      </c>
      <c r="I202" s="136">
        <f>MAX(0,Mapping_Rules!$B$6-E202)</f>
        <v/>
      </c>
      <c r="J202" s="137">
        <f>IF(I202=0,"Current",IF(I202&lt;=30,"1-30",IF(I202&lt;=60,"31-60",IF(I202&lt;=90,"61-90","90+"))))</f>
        <v/>
      </c>
      <c r="K202" s="115" t="inlineStr">
        <is>
          <t>Finance Analyst</t>
        </is>
      </c>
      <c r="L202" s="115" t="inlineStr">
        <is>
          <t>Closed</t>
        </is>
      </c>
      <c r="M202" s="137">
        <f>IF(L202="Closed","Closed",IF(OR(H202&gt;=Mapping_Rules!$B$7,I202&gt;=Mapping_Rules!$B$8),"High Risk",IF(I202&gt;30,"Monitor","Normal")))</f>
        <v/>
      </c>
      <c r="N202" s="137">
        <f>IF(M202="Closed","No action",IF(M202="High Risk","Call customer/vendor and escalate",IF(M202="Monitor","Send follow-up email","Keep monitoring")))</f>
        <v/>
      </c>
    </row>
    <row r="203">
      <c r="A203" s="153" t="inlineStr">
        <is>
          <t>INV-00200</t>
        </is>
      </c>
      <c r="B203" s="153" t="inlineStr">
        <is>
          <t>AP</t>
        </is>
      </c>
      <c r="C203" s="153" t="inlineStr">
        <is>
          <t>Pacific Office Supplies</t>
        </is>
      </c>
      <c r="D203" s="154" t="n">
        <v>45970</v>
      </c>
      <c r="E203" s="154" t="n">
        <v>46030</v>
      </c>
      <c r="F203" s="155" t="n">
        <v>1826.37</v>
      </c>
      <c r="G203" s="155" t="n">
        <v>0</v>
      </c>
      <c r="H203" s="155">
        <f>F203-G203</f>
        <v/>
      </c>
      <c r="I203" s="156">
        <f>MAX(0,Mapping_Rules!$B$6-E203)</f>
        <v/>
      </c>
      <c r="J203" s="157">
        <f>IF(I203=0,"Current",IF(I203&lt;=30,"1-30",IF(I203&lt;=60,"31-60",IF(I203&lt;=90,"61-90","90+"))))</f>
        <v/>
      </c>
      <c r="K203" s="153" t="inlineStr">
        <is>
          <t>AR Clerk</t>
        </is>
      </c>
      <c r="L203" s="153" t="inlineStr">
        <is>
          <t>Open</t>
        </is>
      </c>
      <c r="M203" s="157">
        <f>IF(L203="Closed","Closed",IF(OR(H203&gt;=Mapping_Rules!$B$7,I203&gt;=Mapping_Rules!$B$8),"High Risk",IF(I203&gt;30,"Monitor","Normal")))</f>
        <v/>
      </c>
      <c r="N203" s="157">
        <f>IF(M203="Closed","No action",IF(M203="High Risk","Call customer/vendor and escalate",IF(M203="Monitor","Send follow-up email","Keep monitoring")))</f>
        <v/>
      </c>
    </row>
    <row r="204">
      <c r="A204" s="115" t="inlineStr">
        <is>
          <t>INV-00201</t>
        </is>
      </c>
      <c r="B204" s="115" t="inlineStr">
        <is>
          <t>AP</t>
        </is>
      </c>
      <c r="C204" s="115" t="inlineStr">
        <is>
          <t>Vancouver Courier</t>
        </is>
      </c>
      <c r="D204" s="125" t="n">
        <v>46006</v>
      </c>
      <c r="E204" s="125" t="n">
        <v>46036</v>
      </c>
      <c r="F204" s="126" t="n">
        <v>7693.05</v>
      </c>
      <c r="G204" s="126" t="n">
        <v>0</v>
      </c>
      <c r="H204" s="126">
        <f>F204-G204</f>
        <v/>
      </c>
      <c r="I204" s="136">
        <f>MAX(0,Mapping_Rules!$B$6-E204)</f>
        <v/>
      </c>
      <c r="J204" s="137">
        <f>IF(I204=0,"Current",IF(I204&lt;=30,"1-30",IF(I204&lt;=60,"31-60",IF(I204&lt;=90,"61-90","90+"))))</f>
        <v/>
      </c>
      <c r="K204" s="115" t="inlineStr">
        <is>
          <t>AP Clerk</t>
        </is>
      </c>
      <c r="L204" s="115" t="inlineStr">
        <is>
          <t>Open</t>
        </is>
      </c>
      <c r="M204" s="137">
        <f>IF(L204="Closed","Closed",IF(OR(H204&gt;=Mapping_Rules!$B$7,I204&gt;=Mapping_Rules!$B$8),"High Risk",IF(I204&gt;30,"Monitor","Normal")))</f>
        <v/>
      </c>
      <c r="N204" s="137">
        <f>IF(M204="Closed","No action",IF(M204="High Risk","Call customer/vendor and escalate",IF(M204="Monitor","Send follow-up email","Keep monitoring")))</f>
        <v/>
      </c>
    </row>
    <row r="205">
      <c r="A205" s="153" t="inlineStr">
        <is>
          <t>INV-00202</t>
        </is>
      </c>
      <c r="B205" s="153" t="inlineStr">
        <is>
          <t>AP</t>
        </is>
      </c>
      <c r="C205" s="153" t="inlineStr">
        <is>
          <t>Amazon Business</t>
        </is>
      </c>
      <c r="D205" s="154" t="n">
        <v>46045</v>
      </c>
      <c r="E205" s="154" t="n">
        <v>46060</v>
      </c>
      <c r="F205" s="155" t="n">
        <v>11917.6</v>
      </c>
      <c r="G205" s="155" t="n">
        <v>4892.54</v>
      </c>
      <c r="H205" s="155">
        <f>F205-G205</f>
        <v/>
      </c>
      <c r="I205" s="156">
        <f>MAX(0,Mapping_Rules!$B$6-E205)</f>
        <v/>
      </c>
      <c r="J205" s="157">
        <f>IF(I205=0,"Current",IF(I205&lt;=30,"1-30",IF(I205&lt;=60,"31-60",IF(I205&lt;=90,"61-90","90+"))))</f>
        <v/>
      </c>
      <c r="K205" s="153" t="inlineStr">
        <is>
          <t>Finance Analyst</t>
        </is>
      </c>
      <c r="L205" s="153" t="inlineStr">
        <is>
          <t>Part Paid</t>
        </is>
      </c>
      <c r="M205" s="157">
        <f>IF(L205="Closed","Closed",IF(OR(H205&gt;=Mapping_Rules!$B$7,I205&gt;=Mapping_Rules!$B$8),"High Risk",IF(I205&gt;30,"Monitor","Normal")))</f>
        <v/>
      </c>
      <c r="N205" s="157">
        <f>IF(M205="Closed","No action",IF(M205="High Risk","Call customer/vendor and escalate",IF(M205="Monitor","Send follow-up email","Keep monitoring")))</f>
        <v/>
      </c>
    </row>
    <row r="206">
      <c r="A206" s="115" t="inlineStr">
        <is>
          <t>INV-00203</t>
        </is>
      </c>
      <c r="B206" s="115" t="inlineStr">
        <is>
          <t>AR</t>
        </is>
      </c>
      <c r="C206" s="115" t="inlineStr">
        <is>
          <t>West Van Fitness</t>
        </is>
      </c>
      <c r="D206" s="125" t="n">
        <v>45993</v>
      </c>
      <c r="E206" s="125" t="n">
        <v>46023</v>
      </c>
      <c r="F206" s="126" t="n">
        <v>14612.29</v>
      </c>
      <c r="G206" s="126" t="n">
        <v>0</v>
      </c>
      <c r="H206" s="126">
        <f>F206-G206</f>
        <v/>
      </c>
      <c r="I206" s="136">
        <f>MAX(0,Mapping_Rules!$B$6-E206)</f>
        <v/>
      </c>
      <c r="J206" s="137">
        <f>IF(I206=0,"Current",IF(I206&lt;=30,"1-30",IF(I206&lt;=60,"31-60",IF(I206&lt;=90,"61-90","90+"))))</f>
        <v/>
      </c>
      <c r="K206" s="115" t="inlineStr">
        <is>
          <t>Accounting Technician</t>
        </is>
      </c>
      <c r="L206" s="115" t="inlineStr">
        <is>
          <t>Open</t>
        </is>
      </c>
      <c r="M206" s="137">
        <f>IF(L206="Closed","Closed",IF(OR(H206&gt;=Mapping_Rules!$B$7,I206&gt;=Mapping_Rules!$B$8),"High Risk",IF(I206&gt;30,"Monitor","Normal")))</f>
        <v/>
      </c>
      <c r="N206" s="137">
        <f>IF(M206="Closed","No action",IF(M206="High Risk","Call customer/vendor and escalate",IF(M206="Monitor","Send follow-up email","Keep monitoring")))</f>
        <v/>
      </c>
    </row>
    <row r="207">
      <c r="A207" s="153" t="inlineStr">
        <is>
          <t>INV-00204</t>
        </is>
      </c>
      <c r="B207" s="153" t="inlineStr">
        <is>
          <t>AR</t>
        </is>
      </c>
      <c r="C207" s="153" t="inlineStr">
        <is>
          <t>Harbour Design Co.</t>
        </is>
      </c>
      <c r="D207" s="154" t="n">
        <v>46037</v>
      </c>
      <c r="E207" s="154" t="n">
        <v>46097</v>
      </c>
      <c r="F207" s="155" t="n">
        <v>11797.06</v>
      </c>
      <c r="G207" s="155" t="n">
        <v>0</v>
      </c>
      <c r="H207" s="155">
        <f>F207-G207</f>
        <v/>
      </c>
      <c r="I207" s="156">
        <f>MAX(0,Mapping_Rules!$B$6-E207)</f>
        <v/>
      </c>
      <c r="J207" s="157">
        <f>IF(I207=0,"Current",IF(I207&lt;=30,"1-30",IF(I207&lt;=60,"31-60",IF(I207&lt;=90,"61-90","90+"))))</f>
        <v/>
      </c>
      <c r="K207" s="153" t="inlineStr">
        <is>
          <t>Accounting Technician</t>
        </is>
      </c>
      <c r="L207" s="153" t="inlineStr">
        <is>
          <t>Open</t>
        </is>
      </c>
      <c r="M207" s="157">
        <f>IF(L207="Closed","Closed",IF(OR(H207&gt;=Mapping_Rules!$B$7,I207&gt;=Mapping_Rules!$B$8),"High Risk",IF(I207&gt;30,"Monitor","Normal")))</f>
        <v/>
      </c>
      <c r="N207" s="157">
        <f>IF(M207="Closed","No action",IF(M207="High Risk","Call customer/vendor and escalate",IF(M207="Monitor","Send follow-up email","Keep monitoring")))</f>
        <v/>
      </c>
    </row>
    <row r="208">
      <c r="A208" s="115" t="inlineStr">
        <is>
          <t>INV-00205</t>
        </is>
      </c>
      <c r="B208" s="115" t="inlineStr">
        <is>
          <t>AR</t>
        </is>
      </c>
      <c r="C208" s="115" t="inlineStr">
        <is>
          <t>Coastline Foods</t>
        </is>
      </c>
      <c r="D208" s="125" t="n">
        <v>46046</v>
      </c>
      <c r="E208" s="125" t="n">
        <v>46061</v>
      </c>
      <c r="F208" s="126" t="n">
        <v>11129.6</v>
      </c>
      <c r="G208" s="126" t="n">
        <v>0</v>
      </c>
      <c r="H208" s="126">
        <f>F208-G208</f>
        <v/>
      </c>
      <c r="I208" s="136">
        <f>MAX(0,Mapping_Rules!$B$6-E208)</f>
        <v/>
      </c>
      <c r="J208" s="137">
        <f>IF(I208=0,"Current",IF(I208&lt;=30,"1-30",IF(I208&lt;=60,"31-60",IF(I208&lt;=90,"61-90","90+"))))</f>
        <v/>
      </c>
      <c r="K208" s="115" t="inlineStr">
        <is>
          <t>Finance Analyst</t>
        </is>
      </c>
      <c r="L208" s="115" t="inlineStr">
        <is>
          <t>Disputed</t>
        </is>
      </c>
      <c r="M208" s="137">
        <f>IF(L208="Closed","Closed",IF(OR(H208&gt;=Mapping_Rules!$B$7,I208&gt;=Mapping_Rules!$B$8),"High Risk",IF(I208&gt;30,"Monitor","Normal")))</f>
        <v/>
      </c>
      <c r="N208" s="137">
        <f>IF(M208="Closed","No action",IF(M208="High Risk","Call customer/vendor and escalate",IF(M208="Monitor","Send follow-up email","Keep monitoring")))</f>
        <v/>
      </c>
    </row>
    <row r="209">
      <c r="A209" s="153" t="inlineStr">
        <is>
          <t>INV-00206</t>
        </is>
      </c>
      <c r="B209" s="153" t="inlineStr">
        <is>
          <t>AR</t>
        </is>
      </c>
      <c r="C209" s="153" t="inlineStr">
        <is>
          <t>West Van Fitness</t>
        </is>
      </c>
      <c r="D209" s="154" t="n">
        <v>46038</v>
      </c>
      <c r="E209" s="154" t="n">
        <v>46098</v>
      </c>
      <c r="F209" s="155" t="n">
        <v>4981.86</v>
      </c>
      <c r="G209" s="155" t="n">
        <v>0</v>
      </c>
      <c r="H209" s="155">
        <f>F209-G209</f>
        <v/>
      </c>
      <c r="I209" s="156">
        <f>MAX(0,Mapping_Rules!$B$6-E209)</f>
        <v/>
      </c>
      <c r="J209" s="157">
        <f>IF(I209=0,"Current",IF(I209&lt;=30,"1-30",IF(I209&lt;=60,"31-60",IF(I209&lt;=90,"61-90","90+"))))</f>
        <v/>
      </c>
      <c r="K209" s="153" t="inlineStr">
        <is>
          <t>Finance Analyst</t>
        </is>
      </c>
      <c r="L209" s="153" t="inlineStr">
        <is>
          <t>Open</t>
        </is>
      </c>
      <c r="M209" s="157">
        <f>IF(L209="Closed","Closed",IF(OR(H209&gt;=Mapping_Rules!$B$7,I209&gt;=Mapping_Rules!$B$8),"High Risk",IF(I209&gt;30,"Monitor","Normal")))</f>
        <v/>
      </c>
      <c r="N209" s="157">
        <f>IF(M209="Closed","No action",IF(M209="High Risk","Call customer/vendor and escalate",IF(M209="Monitor","Send follow-up email","Keep monitoring")))</f>
        <v/>
      </c>
    </row>
    <row r="210">
      <c r="A210" s="115" t="inlineStr">
        <is>
          <t>INV-00207</t>
        </is>
      </c>
      <c r="B210" s="115" t="inlineStr">
        <is>
          <t>AR</t>
        </is>
      </c>
      <c r="C210" s="115" t="inlineStr">
        <is>
          <t>Raincity Tech</t>
        </is>
      </c>
      <c r="D210" s="125" t="n">
        <v>46013</v>
      </c>
      <c r="E210" s="125" t="n">
        <v>46028</v>
      </c>
      <c r="F210" s="126" t="n">
        <v>9034.15</v>
      </c>
      <c r="G210" s="126" t="n">
        <v>4857.33</v>
      </c>
      <c r="H210" s="126">
        <f>F210-G210</f>
        <v/>
      </c>
      <c r="I210" s="136">
        <f>MAX(0,Mapping_Rules!$B$6-E210)</f>
        <v/>
      </c>
      <c r="J210" s="137">
        <f>IF(I210=0,"Current",IF(I210&lt;=30,"1-30",IF(I210&lt;=60,"31-60",IF(I210&lt;=90,"61-90","90+"))))</f>
        <v/>
      </c>
      <c r="K210" s="115" t="inlineStr">
        <is>
          <t>Finance Analyst</t>
        </is>
      </c>
      <c r="L210" s="115" t="inlineStr">
        <is>
          <t>Part Paid</t>
        </is>
      </c>
      <c r="M210" s="137">
        <f>IF(L210="Closed","Closed",IF(OR(H210&gt;=Mapping_Rules!$B$7,I210&gt;=Mapping_Rules!$B$8),"High Risk",IF(I210&gt;30,"Monitor","Normal")))</f>
        <v/>
      </c>
      <c r="N210" s="137">
        <f>IF(M210="Closed","No action",IF(M210="High Risk","Call customer/vendor and escalate",IF(M210="Monitor","Send follow-up email","Keep monitoring")))</f>
        <v/>
      </c>
    </row>
    <row r="211">
      <c r="A211" s="153" t="inlineStr">
        <is>
          <t>INV-00208</t>
        </is>
      </c>
      <c r="B211" s="153" t="inlineStr">
        <is>
          <t>AP</t>
        </is>
      </c>
      <c r="C211" s="153" t="inlineStr">
        <is>
          <t>BC Hydro</t>
        </is>
      </c>
      <c r="D211" s="154" t="n">
        <v>46044</v>
      </c>
      <c r="E211" s="154" t="n">
        <v>46059</v>
      </c>
      <c r="F211" s="155" t="n">
        <v>1494.42</v>
      </c>
      <c r="G211" s="155" t="n">
        <v>0</v>
      </c>
      <c r="H211" s="155">
        <f>F211-G211</f>
        <v/>
      </c>
      <c r="I211" s="156">
        <f>MAX(0,Mapping_Rules!$B$6-E211)</f>
        <v/>
      </c>
      <c r="J211" s="157">
        <f>IF(I211=0,"Current",IF(I211&lt;=30,"1-30",IF(I211&lt;=60,"31-60",IF(I211&lt;=90,"61-90","90+"))))</f>
        <v/>
      </c>
      <c r="K211" s="153" t="inlineStr">
        <is>
          <t>AP Clerk</t>
        </is>
      </c>
      <c r="L211" s="153" t="inlineStr">
        <is>
          <t>Promise to Pay</t>
        </is>
      </c>
      <c r="M211" s="157">
        <f>IF(L211="Closed","Closed",IF(OR(H211&gt;=Mapping_Rules!$B$7,I211&gt;=Mapping_Rules!$B$8),"High Risk",IF(I211&gt;30,"Monitor","Normal")))</f>
        <v/>
      </c>
      <c r="N211" s="157">
        <f>IF(M211="Closed","No action",IF(M211="High Risk","Call customer/vendor and escalate",IF(M211="Monitor","Send follow-up email","Keep monitoring")))</f>
        <v/>
      </c>
    </row>
    <row r="212">
      <c r="A212" s="115" t="inlineStr">
        <is>
          <t>INV-00209</t>
        </is>
      </c>
      <c r="B212" s="115" t="inlineStr">
        <is>
          <t>AR</t>
        </is>
      </c>
      <c r="C212" s="115" t="inlineStr">
        <is>
          <t>Harbour Design Co.</t>
        </is>
      </c>
      <c r="D212" s="125" t="n">
        <v>45981</v>
      </c>
      <c r="E212" s="125" t="n">
        <v>46041</v>
      </c>
      <c r="F212" s="126" t="n">
        <v>8039.15</v>
      </c>
      <c r="G212" s="126" t="n">
        <v>0</v>
      </c>
      <c r="H212" s="126">
        <f>F212-G212</f>
        <v/>
      </c>
      <c r="I212" s="136">
        <f>MAX(0,Mapping_Rules!$B$6-E212)</f>
        <v/>
      </c>
      <c r="J212" s="137">
        <f>IF(I212=0,"Current",IF(I212&lt;=30,"1-30",IF(I212&lt;=60,"31-60",IF(I212&lt;=90,"61-90","90+"))))</f>
        <v/>
      </c>
      <c r="K212" s="115" t="inlineStr">
        <is>
          <t>Finance Analyst</t>
        </is>
      </c>
      <c r="L212" s="115" t="inlineStr">
        <is>
          <t>Open</t>
        </is>
      </c>
      <c r="M212" s="137">
        <f>IF(L212="Closed","Closed",IF(OR(H212&gt;=Mapping_Rules!$B$7,I212&gt;=Mapping_Rules!$B$8),"High Risk",IF(I212&gt;30,"Monitor","Normal")))</f>
        <v/>
      </c>
      <c r="N212" s="137">
        <f>IF(M212="Closed","No action",IF(M212="High Risk","Call customer/vendor and escalate",IF(M212="Monitor","Send follow-up email","Keep monitoring")))</f>
        <v/>
      </c>
    </row>
    <row r="213">
      <c r="A213" s="153" t="inlineStr">
        <is>
          <t>INV-00210</t>
        </is>
      </c>
      <c r="B213" s="153" t="inlineStr">
        <is>
          <t>AR</t>
        </is>
      </c>
      <c r="C213" s="153" t="inlineStr">
        <is>
          <t>Coastline Foods</t>
        </is>
      </c>
      <c r="D213" s="154" t="n">
        <v>46049</v>
      </c>
      <c r="E213" s="154" t="n">
        <v>46094</v>
      </c>
      <c r="F213" s="155" t="n">
        <v>4601.07</v>
      </c>
      <c r="G213" s="155" t="n">
        <v>0</v>
      </c>
      <c r="H213" s="155">
        <f>F213-G213</f>
        <v/>
      </c>
      <c r="I213" s="156">
        <f>MAX(0,Mapping_Rules!$B$6-E213)</f>
        <v/>
      </c>
      <c r="J213" s="157">
        <f>IF(I213=0,"Current",IF(I213&lt;=30,"1-30",IF(I213&lt;=60,"31-60",IF(I213&lt;=90,"61-90","90+"))))</f>
        <v/>
      </c>
      <c r="K213" s="153" t="inlineStr">
        <is>
          <t>Accounting Technician</t>
        </is>
      </c>
      <c r="L213" s="153" t="inlineStr">
        <is>
          <t>Promise to Pay</t>
        </is>
      </c>
      <c r="M213" s="157">
        <f>IF(L213="Closed","Closed",IF(OR(H213&gt;=Mapping_Rules!$B$7,I213&gt;=Mapping_Rules!$B$8),"High Risk",IF(I213&gt;30,"Monitor","Normal")))</f>
        <v/>
      </c>
      <c r="N213" s="157">
        <f>IF(M213="Closed","No action",IF(M213="High Risk","Call customer/vendor and escalate",IF(M213="Monitor","Send follow-up email","Keep monitoring")))</f>
        <v/>
      </c>
    </row>
    <row r="214">
      <c r="A214" s="115" t="inlineStr">
        <is>
          <t>INV-00211</t>
        </is>
      </c>
      <c r="B214" s="115" t="inlineStr">
        <is>
          <t>AP</t>
        </is>
      </c>
      <c r="C214" s="115" t="inlineStr">
        <is>
          <t>Staples Canada</t>
        </is>
      </c>
      <c r="D214" s="125" t="n">
        <v>46006</v>
      </c>
      <c r="E214" s="125" t="n">
        <v>46021</v>
      </c>
      <c r="F214" s="126" t="n">
        <v>8803.5</v>
      </c>
      <c r="G214" s="126" t="n">
        <v>4241.31</v>
      </c>
      <c r="H214" s="126">
        <f>F214-G214</f>
        <v/>
      </c>
      <c r="I214" s="136">
        <f>MAX(0,Mapping_Rules!$B$6-E214)</f>
        <v/>
      </c>
      <c r="J214" s="137">
        <f>IF(I214=0,"Current",IF(I214&lt;=30,"1-30",IF(I214&lt;=60,"31-60",IF(I214&lt;=90,"61-90","90+"))))</f>
        <v/>
      </c>
      <c r="K214" s="115" t="inlineStr">
        <is>
          <t>AR Clerk</t>
        </is>
      </c>
      <c r="L214" s="115" t="inlineStr">
        <is>
          <t>Part Paid</t>
        </is>
      </c>
      <c r="M214" s="137">
        <f>IF(L214="Closed","Closed",IF(OR(H214&gt;=Mapping_Rules!$B$7,I214&gt;=Mapping_Rules!$B$8),"High Risk",IF(I214&gt;30,"Monitor","Normal")))</f>
        <v/>
      </c>
      <c r="N214" s="137">
        <f>IF(M214="Closed","No action",IF(M214="High Risk","Call customer/vendor and escalate",IF(M214="Monitor","Send follow-up email","Keep monitoring")))</f>
        <v/>
      </c>
    </row>
    <row r="215">
      <c r="A215" s="153" t="inlineStr">
        <is>
          <t>INV-00212</t>
        </is>
      </c>
      <c r="B215" s="153" t="inlineStr">
        <is>
          <t>AP</t>
        </is>
      </c>
      <c r="C215" s="153" t="inlineStr">
        <is>
          <t>Pacific Office Supplies</t>
        </is>
      </c>
      <c r="D215" s="154" t="n">
        <v>46009</v>
      </c>
      <c r="E215" s="154" t="n">
        <v>46024</v>
      </c>
      <c r="F215" s="155" t="n">
        <v>162.52</v>
      </c>
      <c r="G215" s="155" t="n">
        <v>127.77</v>
      </c>
      <c r="H215" s="155">
        <f>F215-G215</f>
        <v/>
      </c>
      <c r="I215" s="156">
        <f>MAX(0,Mapping_Rules!$B$6-E215)</f>
        <v/>
      </c>
      <c r="J215" s="157">
        <f>IF(I215=0,"Current",IF(I215&lt;=30,"1-30",IF(I215&lt;=60,"31-60",IF(I215&lt;=90,"61-90","90+"))))</f>
        <v/>
      </c>
      <c r="K215" s="153" t="inlineStr">
        <is>
          <t>AP Clerk</t>
        </is>
      </c>
      <c r="L215" s="153" t="inlineStr">
        <is>
          <t>Part Paid</t>
        </is>
      </c>
      <c r="M215" s="157">
        <f>IF(L215="Closed","Closed",IF(OR(H215&gt;=Mapping_Rules!$B$7,I215&gt;=Mapping_Rules!$B$8),"High Risk",IF(I215&gt;30,"Monitor","Normal")))</f>
        <v/>
      </c>
      <c r="N215" s="157">
        <f>IF(M215="Closed","No action",IF(M215="High Risk","Call customer/vendor and escalate",IF(M215="Monitor","Send follow-up email","Keep monitoring")))</f>
        <v/>
      </c>
    </row>
    <row r="216">
      <c r="A216" s="115" t="inlineStr">
        <is>
          <t>INV-00213</t>
        </is>
      </c>
      <c r="B216" s="115" t="inlineStr">
        <is>
          <t>AP</t>
        </is>
      </c>
      <c r="C216" s="115" t="inlineStr">
        <is>
          <t>Vancouver Courier</t>
        </is>
      </c>
      <c r="D216" s="125" t="n">
        <v>45965</v>
      </c>
      <c r="E216" s="125" t="n">
        <v>45995</v>
      </c>
      <c r="F216" s="126" t="n">
        <v>6560.98</v>
      </c>
      <c r="G216" s="126" t="n">
        <v>3650.46</v>
      </c>
      <c r="H216" s="126">
        <f>F216-G216</f>
        <v/>
      </c>
      <c r="I216" s="136">
        <f>MAX(0,Mapping_Rules!$B$6-E216)</f>
        <v/>
      </c>
      <c r="J216" s="137">
        <f>IF(I216=0,"Current",IF(I216&lt;=30,"1-30",IF(I216&lt;=60,"31-60",IF(I216&lt;=90,"61-90","90+"))))</f>
        <v/>
      </c>
      <c r="K216" s="115" t="inlineStr">
        <is>
          <t>Finance Analyst</t>
        </is>
      </c>
      <c r="L216" s="115" t="inlineStr">
        <is>
          <t>Part Paid</t>
        </is>
      </c>
      <c r="M216" s="137">
        <f>IF(L216="Closed","Closed",IF(OR(H216&gt;=Mapping_Rules!$B$7,I216&gt;=Mapping_Rules!$B$8),"High Risk",IF(I216&gt;30,"Monitor","Normal")))</f>
        <v/>
      </c>
      <c r="N216" s="137">
        <f>IF(M216="Closed","No action",IF(M216="High Risk","Call customer/vendor and escalate",IF(M216="Monitor","Send follow-up email","Keep monitoring")))</f>
        <v/>
      </c>
    </row>
    <row r="217">
      <c r="A217" s="153" t="inlineStr">
        <is>
          <t>INV-00214</t>
        </is>
      </c>
      <c r="B217" s="153" t="inlineStr">
        <is>
          <t>AP</t>
        </is>
      </c>
      <c r="C217" s="153" t="inlineStr">
        <is>
          <t>BC Hydro</t>
        </is>
      </c>
      <c r="D217" s="154" t="n">
        <v>46017</v>
      </c>
      <c r="E217" s="154" t="n">
        <v>46047</v>
      </c>
      <c r="F217" s="155" t="n">
        <v>9987.940000000001</v>
      </c>
      <c r="G217" s="155" t="n">
        <v>0</v>
      </c>
      <c r="H217" s="155">
        <f>F217-G217</f>
        <v/>
      </c>
      <c r="I217" s="156">
        <f>MAX(0,Mapping_Rules!$B$6-E217)</f>
        <v/>
      </c>
      <c r="J217" s="157">
        <f>IF(I217=0,"Current",IF(I217&lt;=30,"1-30",IF(I217&lt;=60,"31-60",IF(I217&lt;=90,"61-90","90+"))))</f>
        <v/>
      </c>
      <c r="K217" s="153" t="inlineStr">
        <is>
          <t>AR Clerk</t>
        </is>
      </c>
      <c r="L217" s="153" t="inlineStr">
        <is>
          <t>Open</t>
        </is>
      </c>
      <c r="M217" s="157">
        <f>IF(L217="Closed","Closed",IF(OR(H217&gt;=Mapping_Rules!$B$7,I217&gt;=Mapping_Rules!$B$8),"High Risk",IF(I217&gt;30,"Monitor","Normal")))</f>
        <v/>
      </c>
      <c r="N217" s="157">
        <f>IF(M217="Closed","No action",IF(M217="High Risk","Call customer/vendor and escalate",IF(M217="Monitor","Send follow-up email","Keep monitoring")))</f>
        <v/>
      </c>
    </row>
    <row r="218">
      <c r="A218" s="115" t="inlineStr">
        <is>
          <t>INV-00215</t>
        </is>
      </c>
      <c r="B218" s="115" t="inlineStr">
        <is>
          <t>AP</t>
        </is>
      </c>
      <c r="C218" s="115" t="inlineStr">
        <is>
          <t>Vancouver Courier</t>
        </is>
      </c>
      <c r="D218" s="125" t="n">
        <v>46008</v>
      </c>
      <c r="E218" s="125" t="n">
        <v>46068</v>
      </c>
      <c r="F218" s="126" t="n">
        <v>2440.87</v>
      </c>
      <c r="G218" s="126" t="n">
        <v>2440.87</v>
      </c>
      <c r="H218" s="126">
        <f>F218-G218</f>
        <v/>
      </c>
      <c r="I218" s="136">
        <f>MAX(0,Mapping_Rules!$B$6-E218)</f>
        <v/>
      </c>
      <c r="J218" s="137">
        <f>IF(I218=0,"Current",IF(I218&lt;=30,"1-30",IF(I218&lt;=60,"31-60",IF(I218&lt;=90,"61-90","90+"))))</f>
        <v/>
      </c>
      <c r="K218" s="115" t="inlineStr">
        <is>
          <t>AR Clerk</t>
        </is>
      </c>
      <c r="L218" s="115" t="inlineStr">
        <is>
          <t>Closed</t>
        </is>
      </c>
      <c r="M218" s="137">
        <f>IF(L218="Closed","Closed",IF(OR(H218&gt;=Mapping_Rules!$B$7,I218&gt;=Mapping_Rules!$B$8),"High Risk",IF(I218&gt;30,"Monitor","Normal")))</f>
        <v/>
      </c>
      <c r="N218" s="137">
        <f>IF(M218="Closed","No action",IF(M218="High Risk","Call customer/vendor and escalate",IF(M218="Monitor","Send follow-up email","Keep monitoring")))</f>
        <v/>
      </c>
    </row>
    <row r="219">
      <c r="A219" s="153" t="inlineStr">
        <is>
          <t>INV-00216</t>
        </is>
      </c>
      <c r="B219" s="153" t="inlineStr">
        <is>
          <t>AR</t>
        </is>
      </c>
      <c r="C219" s="153" t="inlineStr">
        <is>
          <t>Maple Retail Group</t>
        </is>
      </c>
      <c r="D219" s="154" t="n">
        <v>45971</v>
      </c>
      <c r="E219" s="154" t="n">
        <v>45986</v>
      </c>
      <c r="F219" s="155" t="n">
        <v>2288.34</v>
      </c>
      <c r="G219" s="155" t="n">
        <v>2288.34</v>
      </c>
      <c r="H219" s="155">
        <f>F219-G219</f>
        <v/>
      </c>
      <c r="I219" s="156">
        <f>MAX(0,Mapping_Rules!$B$6-E219)</f>
        <v/>
      </c>
      <c r="J219" s="157">
        <f>IF(I219=0,"Current",IF(I219&lt;=30,"1-30",IF(I219&lt;=60,"31-60",IF(I219&lt;=90,"61-90","90+"))))</f>
        <v/>
      </c>
      <c r="K219" s="153" t="inlineStr">
        <is>
          <t>Finance Analyst</t>
        </is>
      </c>
      <c r="L219" s="153" t="inlineStr">
        <is>
          <t>Closed</t>
        </is>
      </c>
      <c r="M219" s="157">
        <f>IF(L219="Closed","Closed",IF(OR(H219&gt;=Mapping_Rules!$B$7,I219&gt;=Mapping_Rules!$B$8),"High Risk",IF(I219&gt;30,"Monitor","Normal")))</f>
        <v/>
      </c>
      <c r="N219" s="157">
        <f>IF(M219="Closed","No action",IF(M219="High Risk","Call customer/vendor and escalate",IF(M219="Monitor","Send follow-up email","Keep monitoring")))</f>
        <v/>
      </c>
    </row>
    <row r="220">
      <c r="A220" s="115" t="inlineStr">
        <is>
          <t>INV-00217</t>
        </is>
      </c>
      <c r="B220" s="115" t="inlineStr">
        <is>
          <t>AR</t>
        </is>
      </c>
      <c r="C220" s="115" t="inlineStr">
        <is>
          <t>Maple Retail Group</t>
        </is>
      </c>
      <c r="D220" s="125" t="n">
        <v>45979</v>
      </c>
      <c r="E220" s="125" t="n">
        <v>46039</v>
      </c>
      <c r="F220" s="126" t="n">
        <v>12923.27</v>
      </c>
      <c r="G220" s="126" t="n">
        <v>12923.27</v>
      </c>
      <c r="H220" s="126">
        <f>F220-G220</f>
        <v/>
      </c>
      <c r="I220" s="136">
        <f>MAX(0,Mapping_Rules!$B$6-E220)</f>
        <v/>
      </c>
      <c r="J220" s="137">
        <f>IF(I220=0,"Current",IF(I220&lt;=30,"1-30",IF(I220&lt;=60,"31-60",IF(I220&lt;=90,"61-90","90+"))))</f>
        <v/>
      </c>
      <c r="K220" s="115" t="inlineStr">
        <is>
          <t>Finance Analyst</t>
        </is>
      </c>
      <c r="L220" s="115" t="inlineStr">
        <is>
          <t>Closed</t>
        </is>
      </c>
      <c r="M220" s="137">
        <f>IF(L220="Closed","Closed",IF(OR(H220&gt;=Mapping_Rules!$B$7,I220&gt;=Mapping_Rules!$B$8),"High Risk",IF(I220&gt;30,"Monitor","Normal")))</f>
        <v/>
      </c>
      <c r="N220" s="137">
        <f>IF(M220="Closed","No action",IF(M220="High Risk","Call customer/vendor and escalate",IF(M220="Monitor","Send follow-up email","Keep monitoring")))</f>
        <v/>
      </c>
    </row>
    <row r="221">
      <c r="A221" s="153" t="inlineStr">
        <is>
          <t>INV-00218</t>
        </is>
      </c>
      <c r="B221" s="153" t="inlineStr">
        <is>
          <t>AR</t>
        </is>
      </c>
      <c r="C221" s="153" t="inlineStr">
        <is>
          <t>Granville Medical</t>
        </is>
      </c>
      <c r="D221" s="154" t="n">
        <v>46027</v>
      </c>
      <c r="E221" s="154" t="n">
        <v>46087</v>
      </c>
      <c r="F221" s="155" t="n">
        <v>8347.940000000001</v>
      </c>
      <c r="G221" s="155" t="n">
        <v>0</v>
      </c>
      <c r="H221" s="155">
        <f>F221-G221</f>
        <v/>
      </c>
      <c r="I221" s="156">
        <f>MAX(0,Mapping_Rules!$B$6-E221)</f>
        <v/>
      </c>
      <c r="J221" s="157">
        <f>IF(I221=0,"Current",IF(I221&lt;=30,"1-30",IF(I221&lt;=60,"31-60",IF(I221&lt;=90,"61-90","90+"))))</f>
        <v/>
      </c>
      <c r="K221" s="153" t="inlineStr">
        <is>
          <t>Accounting Technician</t>
        </is>
      </c>
      <c r="L221" s="153" t="inlineStr">
        <is>
          <t>Open</t>
        </is>
      </c>
      <c r="M221" s="157">
        <f>IF(L221="Closed","Closed",IF(OR(H221&gt;=Mapping_Rules!$B$7,I221&gt;=Mapping_Rules!$B$8),"High Risk",IF(I221&gt;30,"Monitor","Normal")))</f>
        <v/>
      </c>
      <c r="N221" s="157">
        <f>IF(M221="Closed","No action",IF(M221="High Risk","Call customer/vendor and escalate",IF(M221="Monitor","Send follow-up email","Keep monitoring")))</f>
        <v/>
      </c>
    </row>
    <row r="222">
      <c r="A222" s="115" t="inlineStr">
        <is>
          <t>INV-00219</t>
        </is>
      </c>
      <c r="B222" s="115" t="inlineStr">
        <is>
          <t>AR</t>
        </is>
      </c>
      <c r="C222" s="115" t="inlineStr">
        <is>
          <t>Coastline Foods</t>
        </is>
      </c>
      <c r="D222" s="125" t="n">
        <v>46016</v>
      </c>
      <c r="E222" s="125" t="n">
        <v>46031</v>
      </c>
      <c r="F222" s="126" t="n">
        <v>8732.389999999999</v>
      </c>
      <c r="G222" s="126" t="n">
        <v>0</v>
      </c>
      <c r="H222" s="126">
        <f>F222-G222</f>
        <v/>
      </c>
      <c r="I222" s="136">
        <f>MAX(0,Mapping_Rules!$B$6-E222)</f>
        <v/>
      </c>
      <c r="J222" s="137">
        <f>IF(I222=0,"Current",IF(I222&lt;=30,"1-30",IF(I222&lt;=60,"31-60",IF(I222&lt;=90,"61-90","90+"))))</f>
        <v/>
      </c>
      <c r="K222" s="115" t="inlineStr">
        <is>
          <t>AR Clerk</t>
        </is>
      </c>
      <c r="L222" s="115" t="inlineStr">
        <is>
          <t>Promise to Pay</t>
        </is>
      </c>
      <c r="M222" s="137">
        <f>IF(L222="Closed","Closed",IF(OR(H222&gt;=Mapping_Rules!$B$7,I222&gt;=Mapping_Rules!$B$8),"High Risk",IF(I222&gt;30,"Monitor","Normal")))</f>
        <v/>
      </c>
      <c r="N222" s="137">
        <f>IF(M222="Closed","No action",IF(M222="High Risk","Call customer/vendor and escalate",IF(M222="Monitor","Send follow-up email","Keep monitoring")))</f>
        <v/>
      </c>
    </row>
    <row r="223">
      <c r="A223" s="153" t="inlineStr">
        <is>
          <t>INV-00220</t>
        </is>
      </c>
      <c r="B223" s="153" t="inlineStr">
        <is>
          <t>AP</t>
        </is>
      </c>
      <c r="C223" s="153" t="inlineStr">
        <is>
          <t>BC Hydro</t>
        </is>
      </c>
      <c r="D223" s="154" t="n">
        <v>46031</v>
      </c>
      <c r="E223" s="154" t="n">
        <v>46076</v>
      </c>
      <c r="F223" s="155" t="n">
        <v>646.91</v>
      </c>
      <c r="G223" s="155" t="n">
        <v>0</v>
      </c>
      <c r="H223" s="155">
        <f>F223-G223</f>
        <v/>
      </c>
      <c r="I223" s="156">
        <f>MAX(0,Mapping_Rules!$B$6-E223)</f>
        <v/>
      </c>
      <c r="J223" s="157">
        <f>IF(I223=0,"Current",IF(I223&lt;=30,"1-30",IF(I223&lt;=60,"31-60",IF(I223&lt;=90,"61-90","90+"))))</f>
        <v/>
      </c>
      <c r="K223" s="153" t="inlineStr">
        <is>
          <t>Finance Analyst</t>
        </is>
      </c>
      <c r="L223" s="153" t="inlineStr">
        <is>
          <t>Open</t>
        </is>
      </c>
      <c r="M223" s="157">
        <f>IF(L223="Closed","Closed",IF(OR(H223&gt;=Mapping_Rules!$B$7,I223&gt;=Mapping_Rules!$B$8),"High Risk",IF(I223&gt;30,"Monitor","Normal")))</f>
        <v/>
      </c>
      <c r="N223" s="157">
        <f>IF(M223="Closed","No action",IF(M223="High Risk","Call customer/vendor and escalate",IF(M223="Monitor","Send follow-up email","Keep monitoring")))</f>
        <v/>
      </c>
    </row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34495E"/>
    <outlinePr summaryBelow="1" summaryRight="1"/>
    <pageSetUpPr/>
  </sheetPr>
  <dimension ref="A1:R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6" customWidth="1" min="4" max="4"/>
    <col width="23" customWidth="1" min="5" max="5"/>
    <col width="28" customWidth="1" min="6" max="6"/>
    <col width="16" customWidth="1" min="7" max="7"/>
    <col width="14" customWidth="1" min="8" max="8"/>
    <col width="28" customWidth="1" min="9" max="9"/>
    <col width="16" customWidth="1" min="10" max="10"/>
    <col width="11" customWidth="1" min="11" max="11"/>
    <col width="28" customWidth="1" min="12" max="12"/>
    <col width="16" customWidth="1" min="13" max="13"/>
    <col width="12" customWidth="1" min="14" max="14"/>
    <col width="28" customWidth="1" min="15" max="15"/>
    <col width="16" customWidth="1" min="16" max="16"/>
    <col width="16" customWidth="1" min="17" max="17"/>
    <col width="16" customWidth="1" min="18" max="18"/>
  </cols>
  <sheetData>
    <row r="1" ht="24" customHeight="1">
      <c r="A1" s="158" t="inlineStr">
        <is>
          <t>Analysis Model - Formula Summary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59" t="n"/>
      <c r="N1" s="159" t="n"/>
      <c r="O1" s="159" t="n"/>
      <c r="P1" s="159" t="n"/>
      <c r="Q1" s="159" t="n"/>
      <c r="R1" s="159" t="n"/>
    </row>
    <row r="2" ht="22" customHeight="1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</row>
    <row r="3" ht="22" customHeight="1">
      <c r="A3" s="161" t="inlineStr">
        <is>
          <t>Metric</t>
        </is>
      </c>
      <c r="B3" s="161" t="inlineStr">
        <is>
          <t>Value</t>
        </is>
      </c>
      <c r="C3" s="161" t="inlineStr">
        <is>
          <t>Formula meaning</t>
        </is>
      </c>
      <c r="D3" s="161" t="n"/>
      <c r="E3" s="161" t="inlineStr">
        <is>
          <t>Reconciliation Status</t>
        </is>
      </c>
      <c r="F3" s="161" t="inlineStr">
        <is>
          <t>Count</t>
        </is>
      </c>
      <c r="G3" s="161" t="n"/>
      <c r="H3" s="161" t="inlineStr">
        <is>
          <t>Aging Bucket</t>
        </is>
      </c>
      <c r="I3" s="161" t="inlineStr">
        <is>
          <t>Open Amount</t>
        </is>
      </c>
      <c r="J3" s="161" t="n"/>
      <c r="K3" s="161" t="inlineStr">
        <is>
          <t>Module</t>
        </is>
      </c>
      <c r="L3" s="161" t="inlineStr">
        <is>
          <t>Absolute Amount</t>
        </is>
      </c>
      <c r="M3" s="161" t="n"/>
      <c r="N3" s="161" t="inlineStr">
        <is>
          <t>Risk Level</t>
        </is>
      </c>
      <c r="O3" s="161" t="inlineStr">
        <is>
          <t>Count</t>
        </is>
      </c>
      <c r="P3" s="161" t="n"/>
      <c r="Q3" s="161" t="n"/>
      <c r="R3" s="161" t="n"/>
    </row>
    <row r="4">
      <c r="A4" s="99" t="inlineStr">
        <is>
          <t>Total ERP transactions</t>
        </is>
      </c>
      <c r="B4" s="162">
        <f>COUNTA(ERP_Transactions!$A$4:$A$503)</f>
        <v/>
      </c>
      <c r="C4" s="103" t="inlineStr">
        <is>
          <t>Count all ERP transaction rows</t>
        </is>
      </c>
      <c r="D4" s="102" t="n"/>
      <c r="E4" s="103" t="inlineStr">
        <is>
          <t>Matched</t>
        </is>
      </c>
      <c r="F4" s="163">
        <f>COUNTIF(Reconciliation!$K$4:$K$503,E4)</f>
        <v/>
      </c>
      <c r="G4" s="102" t="n"/>
      <c r="H4" s="103" t="inlineStr">
        <is>
          <t>Current</t>
        </is>
      </c>
      <c r="I4" s="164">
        <f>SUMIF(Open_Invoices!$J$4:$J$223,H4,Open_Invoices!$H$4:$H$223)</f>
        <v/>
      </c>
      <c r="J4" s="102" t="n"/>
      <c r="K4" s="103" t="inlineStr">
        <is>
          <t>AP</t>
        </is>
      </c>
      <c r="L4" s="164">
        <f>SUMIFS(ERP_Transactions!$H$4:$H$503,ERP_Transactions!$D$4:$D$503,K4)+SUMIFS(ERP_Transactions!$I$4:$I$503,ERP_Transactions!$D$4:$D$503,K4)</f>
        <v/>
      </c>
      <c r="M4" s="102" t="n"/>
      <c r="N4" s="103" t="inlineStr">
        <is>
          <t>Closed</t>
        </is>
      </c>
      <c r="O4" s="163">
        <f>COUNTIF(Open_Invoices!$M$4:$M$223,N4)</f>
        <v/>
      </c>
      <c r="P4" s="102" t="n"/>
      <c r="Q4" s="102" t="n"/>
      <c r="R4" s="102" t="n"/>
    </row>
    <row r="5">
      <c r="A5" s="165" t="inlineStr">
        <is>
          <t>Total bank transactions</t>
        </is>
      </c>
      <c r="B5" s="166">
        <f>COUNTA(Bank_Statement!$A$4:$A$448)</f>
        <v/>
      </c>
      <c r="C5" s="167" t="inlineStr">
        <is>
          <t>Count all bank statement rows</t>
        </is>
      </c>
      <c r="D5" s="168" t="n"/>
      <c r="E5" s="167" t="inlineStr">
        <is>
          <t>Review</t>
        </is>
      </c>
      <c r="F5" s="160">
        <f>COUNTIF(Reconciliation!$K$4:$K$503,E5)</f>
        <v/>
      </c>
      <c r="G5" s="168" t="n"/>
      <c r="H5" s="167" t="inlineStr">
        <is>
          <t>1-30</t>
        </is>
      </c>
      <c r="I5" s="169">
        <f>SUMIF(Open_Invoices!$J$4:$J$223,H5,Open_Invoices!$H$4:$H$223)</f>
        <v/>
      </c>
      <c r="J5" s="168" t="n"/>
      <c r="K5" s="167" t="inlineStr">
        <is>
          <t>AR</t>
        </is>
      </c>
      <c r="L5" s="169">
        <f>SUMIFS(ERP_Transactions!$H$4:$H$503,ERP_Transactions!$D$4:$D$503,K5)+SUMIFS(ERP_Transactions!$I$4:$I$503,ERP_Transactions!$D$4:$D$503,K5)</f>
        <v/>
      </c>
      <c r="M5" s="168" t="n"/>
      <c r="N5" s="167" t="inlineStr">
        <is>
          <t>High Risk</t>
        </is>
      </c>
      <c r="O5" s="160">
        <f>COUNTIF(Open_Invoices!$M$4:$M$223,N5)</f>
        <v/>
      </c>
      <c r="P5" s="168" t="n"/>
      <c r="Q5" s="168" t="n"/>
      <c r="R5" s="168" t="n"/>
    </row>
    <row r="6">
      <c r="A6" s="99" t="inlineStr">
        <is>
          <t>Matched transactions</t>
        </is>
      </c>
      <c r="B6" s="170">
        <f>COUNTIF(Reconciliation!$K$4:$K$503,"Matched")</f>
        <v/>
      </c>
      <c r="C6" s="103" t="inlineStr">
        <is>
          <t>Count status = Matched</t>
        </is>
      </c>
      <c r="D6" s="102" t="n"/>
      <c r="E6" s="103" t="inlineStr">
        <is>
          <t>Unmatched ERP</t>
        </is>
      </c>
      <c r="F6" s="163">
        <f>COUNTIF(Reconciliation!$K$4:$K$503,E6)</f>
        <v/>
      </c>
      <c r="G6" s="102" t="n"/>
      <c r="H6" s="103" t="inlineStr">
        <is>
          <t>31-60</t>
        </is>
      </c>
      <c r="I6" s="164">
        <f>SUMIF(Open_Invoices!$J$4:$J$223,H6,Open_Invoices!$H$4:$H$223)</f>
        <v/>
      </c>
      <c r="J6" s="102" t="n"/>
      <c r="K6" s="103" t="inlineStr">
        <is>
          <t>GL</t>
        </is>
      </c>
      <c r="L6" s="164">
        <f>SUMIFS(ERP_Transactions!$H$4:$H$503,ERP_Transactions!$D$4:$D$503,K6)+SUMIFS(ERP_Transactions!$I$4:$I$503,ERP_Transactions!$D$4:$D$503,K6)</f>
        <v/>
      </c>
      <c r="M6" s="102" t="n"/>
      <c r="N6" s="103" t="inlineStr">
        <is>
          <t>Monitor</t>
        </is>
      </c>
      <c r="O6" s="163">
        <f>COUNTIF(Open_Invoices!$M$4:$M$223,N6)</f>
        <v/>
      </c>
      <c r="P6" s="102" t="n"/>
      <c r="Q6" s="102" t="n"/>
      <c r="R6" s="102" t="n"/>
    </row>
    <row r="7">
      <c r="A7" s="165" t="inlineStr">
        <is>
          <t>Review transactions</t>
        </is>
      </c>
      <c r="B7" s="171">
        <f>COUNTIF(Reconciliation!$K$4:$K$503,"Review")</f>
        <v/>
      </c>
      <c r="C7" s="167" t="inlineStr">
        <is>
          <t>Count status = Review</t>
        </is>
      </c>
      <c r="D7" s="168" t="n"/>
      <c r="E7" s="168" t="n"/>
      <c r="F7" s="168" t="n"/>
      <c r="G7" s="168" t="n"/>
      <c r="H7" s="167" t="inlineStr">
        <is>
          <t>61-90</t>
        </is>
      </c>
      <c r="I7" s="169">
        <f>SUMIF(Open_Invoices!$J$4:$J$223,H7,Open_Invoices!$H$4:$H$223)</f>
        <v/>
      </c>
      <c r="J7" s="168" t="n"/>
      <c r="K7" s="167" t="inlineStr">
        <is>
          <t>Payroll</t>
        </is>
      </c>
      <c r="L7" s="169">
        <f>SUMIFS(ERP_Transactions!$H$4:$H$503,ERP_Transactions!$D$4:$D$503,K7)+SUMIFS(ERP_Transactions!$I$4:$I$503,ERP_Transactions!$D$4:$D$503,K7)</f>
        <v/>
      </c>
      <c r="M7" s="168" t="n"/>
      <c r="N7" s="167" t="inlineStr">
        <is>
          <t>Normal</t>
        </is>
      </c>
      <c r="O7" s="160">
        <f>COUNTIF(Open_Invoices!$M$4:$M$223,N7)</f>
        <v/>
      </c>
      <c r="P7" s="168" t="n"/>
      <c r="Q7" s="168" t="n"/>
      <c r="R7" s="168" t="n"/>
    </row>
    <row r="8">
      <c r="A8" s="99" t="inlineStr">
        <is>
          <t>Unmatched ERP transactions</t>
        </is>
      </c>
      <c r="B8" s="170">
        <f>COUNTIF(Reconciliation!$K$4:$K$503,"Unmatched ERP")</f>
        <v/>
      </c>
      <c r="C8" s="103" t="inlineStr">
        <is>
          <t>Count status = Unmatched ERP</t>
        </is>
      </c>
      <c r="D8" s="102" t="n"/>
      <c r="E8" s="102" t="n"/>
      <c r="F8" s="102" t="n"/>
      <c r="G8" s="102" t="n"/>
      <c r="H8" s="103" t="inlineStr">
        <is>
          <t>90+</t>
        </is>
      </c>
      <c r="I8" s="164">
        <f>SUMIF(Open_Invoices!$J$4:$J$223,H8,Open_Invoices!$H$4:$H$223)</f>
        <v/>
      </c>
      <c r="J8" s="102" t="n"/>
      <c r="K8" s="103" t="inlineStr">
        <is>
          <t>Bank Fees</t>
        </is>
      </c>
      <c r="L8" s="164">
        <f>SUMIFS(ERP_Transactions!$H$4:$H$503,ERP_Transactions!$D$4:$D$503,K8)+SUMIFS(ERP_Transactions!$I$4:$I$503,ERP_Transactions!$D$4:$D$503,K8)</f>
        <v/>
      </c>
      <c r="M8" s="102" t="n"/>
      <c r="N8" s="102" t="n"/>
      <c r="O8" s="102" t="n"/>
      <c r="P8" s="102" t="n"/>
      <c r="Q8" s="102" t="n"/>
      <c r="R8" s="102" t="n"/>
    </row>
    <row r="9">
      <c r="A9" s="165" t="inlineStr">
        <is>
          <t>Match rate</t>
        </is>
      </c>
      <c r="B9" s="172">
        <f>IFERROR(B6/B4,0)</f>
        <v/>
      </c>
      <c r="C9" s="167" t="inlineStr">
        <is>
          <t>Matched / Total ERP transactions</t>
        </is>
      </c>
      <c r="D9" s="168" t="n"/>
      <c r="E9" s="168" t="n"/>
      <c r="F9" s="168" t="n"/>
      <c r="G9" s="168" t="n"/>
      <c r="H9" s="168" t="n"/>
      <c r="I9" s="168" t="n"/>
      <c r="J9" s="168" t="n"/>
      <c r="K9" s="168" t="n"/>
      <c r="L9" s="168" t="n"/>
      <c r="M9" s="168" t="n"/>
      <c r="N9" s="168" t="n"/>
      <c r="O9" s="168" t="n"/>
      <c r="P9" s="168" t="n"/>
      <c r="Q9" s="168" t="n"/>
      <c r="R9" s="168" t="n"/>
    </row>
    <row r="10">
      <c r="A10" s="99" t="inlineStr">
        <is>
          <t>Bank-only items</t>
        </is>
      </c>
      <c r="B10" s="170">
        <f>COUNTIF(Bank_Statement!$H$4:$H$448,"Needs ERP Review")</f>
        <v/>
      </c>
      <c r="C10" s="103" t="inlineStr">
        <is>
          <t>Bank rows not found in ERP</t>
        </is>
      </c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P10" s="102" t="n"/>
      <c r="Q10" s="102" t="n"/>
      <c r="R10" s="102" t="n"/>
    </row>
    <row r="11">
      <c r="A11" s="165" t="inlineStr">
        <is>
          <t>Open invoice amount</t>
        </is>
      </c>
      <c r="B11" s="173">
        <f>SUM(Open_Invoices!$H$4:$H$223)</f>
        <v/>
      </c>
      <c r="C11" s="167" t="inlineStr">
        <is>
          <t>Sum open invoice balance</t>
        </is>
      </c>
      <c r="D11" s="168" t="n"/>
      <c r="E11" s="168" t="n"/>
      <c r="F11" s="168" t="n"/>
      <c r="G11" s="168" t="n"/>
      <c r="H11" s="168" t="n"/>
      <c r="I11" s="168" t="n"/>
      <c r="J11" s="168" t="n"/>
      <c r="K11" s="168" t="n"/>
      <c r="L11" s="168" t="n"/>
      <c r="M11" s="168" t="n"/>
      <c r="N11" s="168" t="n"/>
      <c r="O11" s="168" t="n"/>
      <c r="P11" s="168" t="n"/>
      <c r="Q11" s="168" t="n"/>
      <c r="R11" s="168" t="n"/>
    </row>
    <row r="12">
      <c r="A12" s="99" t="inlineStr">
        <is>
          <t>High-risk invoices</t>
        </is>
      </c>
      <c r="B12" s="170">
        <f>COUNTIF(Open_Invoices!$M$4:$M$223,"High Risk")</f>
        <v/>
      </c>
      <c r="C12" s="103" t="inlineStr">
        <is>
          <t>Count high-risk invoices</t>
        </is>
      </c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P12" s="102" t="n"/>
      <c r="Q12" s="102" t="n"/>
      <c r="R12" s="102" t="n"/>
    </row>
    <row r="13">
      <c r="A13" s="165" t="inlineStr">
        <is>
          <t>Total exceptions</t>
        </is>
      </c>
      <c r="B13" s="166">
        <f>COUNTA(Exception_Log!$A$4:$A$83)</f>
        <v/>
      </c>
      <c r="C13" s="167" t="inlineStr">
        <is>
          <t>Count exception log rows</t>
        </is>
      </c>
      <c r="D13" s="168" t="n"/>
      <c r="E13" s="168" t="n"/>
      <c r="F13" s="168" t="n"/>
      <c r="G13" s="168" t="n"/>
      <c r="H13" s="168" t="n"/>
      <c r="I13" s="168" t="n"/>
      <c r="J13" s="168" t="n"/>
      <c r="K13" s="168" t="n"/>
      <c r="L13" s="168" t="n"/>
      <c r="M13" s="168" t="n"/>
      <c r="N13" s="168" t="n"/>
      <c r="O13" s="168" t="n"/>
      <c r="P13" s="168" t="n"/>
      <c r="Q13" s="168" t="n"/>
      <c r="R13" s="168" t="n"/>
    </row>
    <row r="14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</row>
    <row r="15">
      <c r="A15" s="168" t="n"/>
      <c r="B15" s="168" t="n"/>
      <c r="C15" s="168" t="n"/>
      <c r="D15" s="168" t="n"/>
      <c r="E15" s="168" t="n"/>
      <c r="F15" s="168" t="n"/>
      <c r="G15" s="168" t="n"/>
      <c r="H15" s="168" t="n"/>
      <c r="I15" s="168" t="n"/>
      <c r="J15" s="168" t="n"/>
      <c r="K15" s="168" t="n"/>
      <c r="L15" s="168" t="n"/>
      <c r="M15" s="168" t="n"/>
      <c r="N15" s="168" t="n"/>
      <c r="O15" s="168" t="n"/>
      <c r="P15" s="168" t="n"/>
      <c r="Q15" s="168" t="n"/>
      <c r="R15" s="168" t="n"/>
    </row>
    <row r="16">
      <c r="A16" s="174" t="inlineStr">
        <is>
          <t>Optional Power Pivot / DAX measures for portfolio explanation</t>
        </is>
      </c>
      <c r="B16" s="175" t="n"/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  <c r="R16" s="175" t="n"/>
    </row>
    <row r="17">
      <c r="A17" s="165" t="inlineStr">
        <is>
          <t>Measure Name</t>
        </is>
      </c>
      <c r="B17" s="176" t="inlineStr">
        <is>
          <t>DAX Formula</t>
        </is>
      </c>
      <c r="C17" s="176" t="inlineStr">
        <is>
          <t>Simple meaning</t>
        </is>
      </c>
      <c r="D17" s="168" t="n"/>
      <c r="E17" s="168" t="n"/>
      <c r="F17" s="168" t="n"/>
      <c r="G17" s="168" t="n"/>
      <c r="H17" s="168" t="n"/>
      <c r="I17" s="168" t="n"/>
      <c r="J17" s="168" t="n"/>
      <c r="K17" s="168" t="n"/>
      <c r="L17" s="168" t="n"/>
      <c r="M17" s="168" t="n"/>
      <c r="N17" s="168" t="n"/>
      <c r="O17" s="168" t="n"/>
      <c r="P17" s="168" t="n"/>
      <c r="Q17" s="168" t="n"/>
      <c r="R17" s="168" t="n"/>
    </row>
    <row r="18">
      <c r="A18" s="99" t="inlineStr">
        <is>
          <t>Total Open Amount</t>
        </is>
      </c>
      <c r="B18" s="101" t="inlineStr">
        <is>
          <t>Total Open Amount := SUM(Open_Invoices[Open_Amount])</t>
        </is>
      </c>
      <c r="C18" s="103" t="inlineStr">
        <is>
          <t>Total money still open</t>
        </is>
      </c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</row>
    <row r="19">
      <c r="A19" s="165" t="inlineStr">
        <is>
          <t>Matched Count</t>
        </is>
      </c>
      <c r="B19" s="177" t="inlineStr">
        <is>
          <t>Matched Count := CALCULATE(COUNTROWS(Reconciliation), Reconciliation[Reconciliation_Status] = "Matched")</t>
        </is>
      </c>
      <c r="C19" s="167" t="inlineStr">
        <is>
          <t>How many items matched</t>
        </is>
      </c>
      <c r="D19" s="168" t="n"/>
      <c r="E19" s="168" t="n"/>
      <c r="F19" s="168" t="n"/>
      <c r="G19" s="168" t="n"/>
      <c r="H19" s="168" t="n"/>
      <c r="I19" s="168" t="n"/>
      <c r="J19" s="168" t="n"/>
      <c r="K19" s="168" t="n"/>
      <c r="L19" s="168" t="n"/>
      <c r="M19" s="168" t="n"/>
      <c r="N19" s="168" t="n"/>
      <c r="O19" s="168" t="n"/>
      <c r="P19" s="168" t="n"/>
      <c r="Q19" s="168" t="n"/>
      <c r="R19" s="168" t="n"/>
    </row>
    <row r="20">
      <c r="A20" s="99" t="inlineStr">
        <is>
          <t>Match Rate</t>
        </is>
      </c>
      <c r="B20" s="101" t="inlineStr">
        <is>
          <t>Match Rate := DIVIDE([Matched Count], COUNTROWS(Reconciliation))</t>
        </is>
      </c>
      <c r="C20" s="103" t="inlineStr">
        <is>
          <t>Percent of ERP items matched</t>
        </is>
      </c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</row>
    <row r="21">
      <c r="A21" s="165" t="inlineStr">
        <is>
          <t>High Risk Invoice Count</t>
        </is>
      </c>
      <c r="B21" s="177" t="inlineStr">
        <is>
          <t>High Risk Invoice Count := CALCULATE(COUNTROWS(Open_Invoices), Open_Invoices[Risk_Level] = "High Risk")</t>
        </is>
      </c>
      <c r="C21" s="167" t="inlineStr">
        <is>
          <t>How many invoices need quick action</t>
        </is>
      </c>
      <c r="D21" s="168" t="n"/>
      <c r="E21" s="168" t="n"/>
      <c r="F21" s="168" t="n"/>
      <c r="G21" s="168" t="n"/>
      <c r="H21" s="168" t="n"/>
      <c r="I21" s="168" t="n"/>
      <c r="J21" s="168" t="n"/>
      <c r="K21" s="168" t="n"/>
      <c r="L21" s="168" t="n"/>
      <c r="M21" s="168" t="n"/>
      <c r="N21" s="168" t="n"/>
      <c r="O21" s="168" t="n"/>
      <c r="P21" s="168" t="n"/>
      <c r="Q21" s="168" t="n"/>
      <c r="R21" s="168" t="n"/>
    </row>
  </sheetData>
  <mergeCells count="2">
    <mergeCell ref="A16:R16"/>
    <mergeCell ref="A1:R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J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1" customWidth="1" min="4" max="4"/>
    <col width="25" customWidth="1" min="5" max="5"/>
    <col width="11" customWidth="1" min="6" max="6"/>
    <col width="19" customWidth="1" min="7" max="7"/>
    <col width="10" customWidth="1" min="8" max="8"/>
    <col width="23" customWidth="1" min="9" max="9"/>
    <col width="28" customWidth="1" min="10" max="10"/>
  </cols>
  <sheetData>
    <row r="1" ht="24" customHeight="1">
      <c r="A1" s="178" t="inlineStr">
        <is>
          <t>Exception Log - Items That Need Review</t>
        </is>
      </c>
      <c r="B1" s="179" t="n"/>
      <c r="C1" s="179" t="n"/>
      <c r="D1" s="179" t="n"/>
      <c r="E1" s="179" t="n"/>
      <c r="F1" s="179" t="n"/>
      <c r="G1" s="179" t="n"/>
      <c r="H1" s="179" t="n"/>
      <c r="I1" s="179" t="n"/>
      <c r="J1" s="179" t="n"/>
    </row>
    <row r="2" ht="22" customHeight="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</row>
    <row r="3" ht="22" customHeight="1">
      <c r="A3" s="181" t="inlineStr">
        <is>
          <t>Exception_ID</t>
        </is>
      </c>
      <c r="B3" s="181" t="inlineStr">
        <is>
          <t>Source</t>
        </is>
      </c>
      <c r="C3" s="181" t="inlineStr">
        <is>
          <t>Reference_No</t>
        </is>
      </c>
      <c r="D3" s="181" t="inlineStr">
        <is>
          <t>Date</t>
        </is>
      </c>
      <c r="E3" s="181" t="inlineStr">
        <is>
          <t>Name</t>
        </is>
      </c>
      <c r="F3" s="181" t="inlineStr">
        <is>
          <t>Amount</t>
        </is>
      </c>
      <c r="G3" s="181" t="inlineStr">
        <is>
          <t>Exception_Type</t>
        </is>
      </c>
      <c r="H3" s="181" t="inlineStr">
        <is>
          <t>Priority</t>
        </is>
      </c>
      <c r="I3" s="181" t="inlineStr">
        <is>
          <t>Owner</t>
        </is>
      </c>
      <c r="J3" s="181" t="inlineStr">
        <is>
          <t>Suggested_Action</t>
        </is>
      </c>
    </row>
    <row r="4">
      <c r="A4" s="115" t="inlineStr">
        <is>
          <t>EX-0215</t>
        </is>
      </c>
      <c r="B4" s="115" t="inlineStr">
        <is>
          <t>Open Invoice</t>
        </is>
      </c>
      <c r="C4" s="115" t="inlineStr">
        <is>
          <t>INV-00047</t>
        </is>
      </c>
      <c r="D4" s="125" t="n">
        <v>45977</v>
      </c>
      <c r="E4" s="115" t="inlineStr">
        <is>
          <t>Amazon Business</t>
        </is>
      </c>
      <c r="F4" s="126" t="n">
        <v>12742.96</v>
      </c>
      <c r="G4" s="115" t="inlineStr">
        <is>
          <t>Invoice risk</t>
        </is>
      </c>
      <c r="H4" s="115" t="inlineStr">
        <is>
          <t>High</t>
        </is>
      </c>
      <c r="I4" s="115" t="inlineStr">
        <is>
          <t>AP Clerk</t>
        </is>
      </c>
      <c r="J4" s="115" t="inlineStr">
        <is>
          <t>Escalate and follow up</t>
        </is>
      </c>
    </row>
    <row r="5">
      <c r="A5" s="182" t="inlineStr">
        <is>
          <t>EX-0285</t>
        </is>
      </c>
      <c r="B5" s="182" t="inlineStr">
        <is>
          <t>Open Invoice</t>
        </is>
      </c>
      <c r="C5" s="182" t="inlineStr">
        <is>
          <t>INV-00177</t>
        </is>
      </c>
      <c r="D5" s="183" t="n">
        <v>45977</v>
      </c>
      <c r="E5" s="182" t="inlineStr">
        <is>
          <t>Vancouver Courier</t>
        </is>
      </c>
      <c r="F5" s="184" t="n">
        <v>10334.66</v>
      </c>
      <c r="G5" s="182" t="inlineStr">
        <is>
          <t>Invoice risk</t>
        </is>
      </c>
      <c r="H5" s="182" t="inlineStr">
        <is>
          <t>High</t>
        </is>
      </c>
      <c r="I5" s="182" t="inlineStr">
        <is>
          <t>AP Clerk</t>
        </is>
      </c>
      <c r="J5" s="182" t="inlineStr">
        <is>
          <t>Escalate and follow up</t>
        </is>
      </c>
    </row>
    <row r="6">
      <c r="A6" s="115" t="inlineStr">
        <is>
          <t>EX-0232</t>
        </is>
      </c>
      <c r="B6" s="115" t="inlineStr">
        <is>
          <t>Open Invoice</t>
        </is>
      </c>
      <c r="C6" s="115" t="inlineStr">
        <is>
          <t>INV-00074</t>
        </is>
      </c>
      <c r="D6" s="125" t="n">
        <v>45978</v>
      </c>
      <c r="E6" s="115" t="inlineStr">
        <is>
          <t>Raincity Tech</t>
        </is>
      </c>
      <c r="F6" s="126" t="n">
        <v>7921.25</v>
      </c>
      <c r="G6" s="115" t="inlineStr">
        <is>
          <t>Invoice risk</t>
        </is>
      </c>
      <c r="H6" s="115" t="inlineStr">
        <is>
          <t>High</t>
        </is>
      </c>
      <c r="I6" s="115" t="inlineStr">
        <is>
          <t>AR Clerk</t>
        </is>
      </c>
      <c r="J6" s="115" t="inlineStr">
        <is>
          <t>Escalate and follow up</t>
        </is>
      </c>
    </row>
    <row r="7">
      <c r="A7" s="182" t="inlineStr">
        <is>
          <t>EX-0243</t>
        </is>
      </c>
      <c r="B7" s="182" t="inlineStr">
        <is>
          <t>Open Invoice</t>
        </is>
      </c>
      <c r="C7" s="182" t="inlineStr">
        <is>
          <t>INV-00086</t>
        </is>
      </c>
      <c r="D7" s="183" t="n">
        <v>45978</v>
      </c>
      <c r="E7" s="182" t="inlineStr">
        <is>
          <t>Vancouver Courier</t>
        </is>
      </c>
      <c r="F7" s="184" t="n">
        <v>14622.79</v>
      </c>
      <c r="G7" s="182" t="inlineStr">
        <is>
          <t>Invoice risk</t>
        </is>
      </c>
      <c r="H7" s="182" t="inlineStr">
        <is>
          <t>High</t>
        </is>
      </c>
      <c r="I7" s="182" t="inlineStr">
        <is>
          <t>AP Clerk</t>
        </is>
      </c>
      <c r="J7" s="182" t="inlineStr">
        <is>
          <t>Escalate and follow up</t>
        </is>
      </c>
    </row>
    <row r="8">
      <c r="A8" s="115" t="inlineStr">
        <is>
          <t>EX-0295</t>
        </is>
      </c>
      <c r="B8" s="115" t="inlineStr">
        <is>
          <t>Open Invoice</t>
        </is>
      </c>
      <c r="C8" s="115" t="inlineStr">
        <is>
          <t>INV-00192</t>
        </is>
      </c>
      <c r="D8" s="125" t="n">
        <v>45978</v>
      </c>
      <c r="E8" s="115" t="inlineStr">
        <is>
          <t>Pacific Office Supplies</t>
        </is>
      </c>
      <c r="F8" s="126" t="n">
        <v>3217.67</v>
      </c>
      <c r="G8" s="115" t="inlineStr">
        <is>
          <t>Invoice risk</t>
        </is>
      </c>
      <c r="H8" s="115" t="inlineStr">
        <is>
          <t>High</t>
        </is>
      </c>
      <c r="I8" s="115" t="inlineStr">
        <is>
          <t>AP Clerk</t>
        </is>
      </c>
      <c r="J8" s="115" t="inlineStr">
        <is>
          <t>Escalate and follow up</t>
        </is>
      </c>
    </row>
    <row r="9">
      <c r="A9" s="182" t="inlineStr">
        <is>
          <t>EX-0254</t>
        </is>
      </c>
      <c r="B9" s="182" t="inlineStr">
        <is>
          <t>Open Invoice</t>
        </is>
      </c>
      <c r="C9" s="182" t="inlineStr">
        <is>
          <t>INV-00106</t>
        </is>
      </c>
      <c r="D9" s="183" t="n">
        <v>45982</v>
      </c>
      <c r="E9" s="182" t="inlineStr">
        <is>
          <t>Amazon Business</t>
        </is>
      </c>
      <c r="F9" s="184" t="n">
        <v>12541.68</v>
      </c>
      <c r="G9" s="182" t="inlineStr">
        <is>
          <t>Invoice risk</t>
        </is>
      </c>
      <c r="H9" s="182" t="inlineStr">
        <is>
          <t>High</t>
        </is>
      </c>
      <c r="I9" s="182" t="inlineStr">
        <is>
          <t>AP Clerk</t>
        </is>
      </c>
      <c r="J9" s="182" t="inlineStr">
        <is>
          <t>Escalate and follow up</t>
        </is>
      </c>
    </row>
    <row r="10">
      <c r="A10" s="115" t="inlineStr">
        <is>
          <t>EX-0297</t>
        </is>
      </c>
      <c r="B10" s="115" t="inlineStr">
        <is>
          <t>Open Invoice</t>
        </is>
      </c>
      <c r="C10" s="115" t="inlineStr">
        <is>
          <t>INV-00195</t>
        </is>
      </c>
      <c r="D10" s="125" t="n">
        <v>45983</v>
      </c>
      <c r="E10" s="115" t="inlineStr">
        <is>
          <t>Granville Medical</t>
        </is>
      </c>
      <c r="F10" s="126" t="n">
        <v>6483.02</v>
      </c>
      <c r="G10" s="115" t="inlineStr">
        <is>
          <t>Invoice risk</t>
        </is>
      </c>
      <c r="H10" s="115" t="inlineStr">
        <is>
          <t>High</t>
        </is>
      </c>
      <c r="I10" s="115" t="inlineStr">
        <is>
          <t>AR Clerk</t>
        </is>
      </c>
      <c r="J10" s="115" t="inlineStr">
        <is>
          <t>Escalate and follow up</t>
        </is>
      </c>
    </row>
    <row r="11">
      <c r="A11" s="182" t="inlineStr">
        <is>
          <t>EX-0270</t>
        </is>
      </c>
      <c r="B11" s="182" t="inlineStr">
        <is>
          <t>Open Invoice</t>
        </is>
      </c>
      <c r="C11" s="182" t="inlineStr">
        <is>
          <t>INV-00144</t>
        </is>
      </c>
      <c r="D11" s="183" t="n">
        <v>45985</v>
      </c>
      <c r="E11" s="182" t="inlineStr">
        <is>
          <t>Raincity Tech</t>
        </is>
      </c>
      <c r="F11" s="184" t="n">
        <v>2884.41</v>
      </c>
      <c r="G11" s="182" t="inlineStr">
        <is>
          <t>Invoice risk</t>
        </is>
      </c>
      <c r="H11" s="182" t="inlineStr">
        <is>
          <t>High</t>
        </is>
      </c>
      <c r="I11" s="182" t="inlineStr">
        <is>
          <t>AR Clerk</t>
        </is>
      </c>
      <c r="J11" s="182" t="inlineStr">
        <is>
          <t>Escalate and follow up</t>
        </is>
      </c>
    </row>
    <row r="12">
      <c r="A12" s="115" t="inlineStr">
        <is>
          <t>EX-0195</t>
        </is>
      </c>
      <c r="B12" s="115" t="inlineStr">
        <is>
          <t>Open Invoice</t>
        </is>
      </c>
      <c r="C12" s="115" t="inlineStr">
        <is>
          <t>INV-00010</t>
        </is>
      </c>
      <c r="D12" s="125" t="n">
        <v>45992</v>
      </c>
      <c r="E12" s="115" t="inlineStr">
        <is>
          <t>Amazon Business</t>
        </is>
      </c>
      <c r="F12" s="126" t="n">
        <v>6682.5</v>
      </c>
      <c r="G12" s="115" t="inlineStr">
        <is>
          <t>Invoice risk</t>
        </is>
      </c>
      <c r="H12" s="115" t="inlineStr">
        <is>
          <t>High</t>
        </is>
      </c>
      <c r="I12" s="115" t="inlineStr">
        <is>
          <t>AP Clerk</t>
        </is>
      </c>
      <c r="J12" s="115" t="inlineStr">
        <is>
          <t>Escalate and follow up</t>
        </is>
      </c>
    </row>
    <row r="13">
      <c r="A13" s="182" t="inlineStr">
        <is>
          <t>EX-0220</t>
        </is>
      </c>
      <c r="B13" s="182" t="inlineStr">
        <is>
          <t>Open Invoice</t>
        </is>
      </c>
      <c r="C13" s="182" t="inlineStr">
        <is>
          <t>INV-00057</t>
        </is>
      </c>
      <c r="D13" s="183" t="n">
        <v>45993</v>
      </c>
      <c r="E13" s="182" t="inlineStr">
        <is>
          <t>Vancouver Courier</t>
        </is>
      </c>
      <c r="F13" s="184" t="n">
        <v>6409.58</v>
      </c>
      <c r="G13" s="182" t="inlineStr">
        <is>
          <t>Invoice risk</t>
        </is>
      </c>
      <c r="H13" s="182" t="inlineStr">
        <is>
          <t>High</t>
        </is>
      </c>
      <c r="I13" s="182" t="inlineStr">
        <is>
          <t>AP Clerk</t>
        </is>
      </c>
      <c r="J13" s="182" t="inlineStr">
        <is>
          <t>Escalate and follow up</t>
        </is>
      </c>
    </row>
    <row r="14">
      <c r="A14" s="115" t="inlineStr">
        <is>
          <t>EX-0280</t>
        </is>
      </c>
      <c r="B14" s="115" t="inlineStr">
        <is>
          <t>Open Invoice</t>
        </is>
      </c>
      <c r="C14" s="115" t="inlineStr">
        <is>
          <t>INV-00166</t>
        </is>
      </c>
      <c r="D14" s="125" t="n">
        <v>45995</v>
      </c>
      <c r="E14" s="115" t="inlineStr">
        <is>
          <t>Coastline Foods</t>
        </is>
      </c>
      <c r="F14" s="126" t="n">
        <v>9851.16</v>
      </c>
      <c r="G14" s="115" t="inlineStr">
        <is>
          <t>Invoice risk</t>
        </is>
      </c>
      <c r="H14" s="115" t="inlineStr">
        <is>
          <t>High</t>
        </is>
      </c>
      <c r="I14" s="115" t="inlineStr">
        <is>
          <t>AR Clerk</t>
        </is>
      </c>
      <c r="J14" s="115" t="inlineStr">
        <is>
          <t>Escalate and follow up</t>
        </is>
      </c>
    </row>
    <row r="15">
      <c r="A15" s="182" t="inlineStr">
        <is>
          <t>EX-0244</t>
        </is>
      </c>
      <c r="B15" s="182" t="inlineStr">
        <is>
          <t>Open Invoice</t>
        </is>
      </c>
      <c r="C15" s="182" t="inlineStr">
        <is>
          <t>INV-00087</t>
        </is>
      </c>
      <c r="D15" s="183" t="n">
        <v>45996</v>
      </c>
      <c r="E15" s="182" t="inlineStr">
        <is>
          <t>North Shore Telecom</t>
        </is>
      </c>
      <c r="F15" s="184" t="n">
        <v>6993.39</v>
      </c>
      <c r="G15" s="182" t="inlineStr">
        <is>
          <t>Invoice risk</t>
        </is>
      </c>
      <c r="H15" s="182" t="inlineStr">
        <is>
          <t>High</t>
        </is>
      </c>
      <c r="I15" s="182" t="inlineStr">
        <is>
          <t>AP Clerk</t>
        </is>
      </c>
      <c r="J15" s="182" t="inlineStr">
        <is>
          <t>Escalate and follow up</t>
        </is>
      </c>
    </row>
    <row r="16">
      <c r="A16" s="115" t="inlineStr">
        <is>
          <t>EX-0251</t>
        </is>
      </c>
      <c r="B16" s="115" t="inlineStr">
        <is>
          <t>Open Invoice</t>
        </is>
      </c>
      <c r="C16" s="115" t="inlineStr">
        <is>
          <t>INV-00102</t>
        </is>
      </c>
      <c r="D16" s="125" t="n">
        <v>46002</v>
      </c>
      <c r="E16" s="115" t="inlineStr">
        <is>
          <t>Maple Retail Group</t>
        </is>
      </c>
      <c r="F16" s="126" t="n">
        <v>7357.75</v>
      </c>
      <c r="G16" s="115" t="inlineStr">
        <is>
          <t>Invoice risk</t>
        </is>
      </c>
      <c r="H16" s="115" t="inlineStr">
        <is>
          <t>High</t>
        </is>
      </c>
      <c r="I16" s="115" t="inlineStr">
        <is>
          <t>AR Clerk</t>
        </is>
      </c>
      <c r="J16" s="115" t="inlineStr">
        <is>
          <t>Escalate and follow up</t>
        </is>
      </c>
    </row>
    <row r="17">
      <c r="A17" s="182" t="inlineStr">
        <is>
          <t>EX-0201</t>
        </is>
      </c>
      <c r="B17" s="182" t="inlineStr">
        <is>
          <t>Open Invoice</t>
        </is>
      </c>
      <c r="C17" s="182" t="inlineStr">
        <is>
          <t>INV-00019</t>
        </is>
      </c>
      <c r="D17" s="183" t="n">
        <v>46004</v>
      </c>
      <c r="E17" s="182" t="inlineStr">
        <is>
          <t>West Van Fitness</t>
        </is>
      </c>
      <c r="F17" s="184" t="n">
        <v>5951.05</v>
      </c>
      <c r="G17" s="182" t="inlineStr">
        <is>
          <t>Invoice risk</t>
        </is>
      </c>
      <c r="H17" s="182" t="inlineStr">
        <is>
          <t>High</t>
        </is>
      </c>
      <c r="I17" s="182" t="inlineStr">
        <is>
          <t>AR Clerk</t>
        </is>
      </c>
      <c r="J17" s="182" t="inlineStr">
        <is>
          <t>Escalate and follow up</t>
        </is>
      </c>
    </row>
    <row r="18">
      <c r="A18" s="115" t="inlineStr">
        <is>
          <t>EX-0258</t>
        </is>
      </c>
      <c r="B18" s="115" t="inlineStr">
        <is>
          <t>Open Invoice</t>
        </is>
      </c>
      <c r="C18" s="115" t="inlineStr">
        <is>
          <t>INV-00116</t>
        </is>
      </c>
      <c r="D18" s="125" t="n">
        <v>46004</v>
      </c>
      <c r="E18" s="115" t="inlineStr">
        <is>
          <t>Amazon Business</t>
        </is>
      </c>
      <c r="F18" s="126" t="n">
        <v>10895.17</v>
      </c>
      <c r="G18" s="115" t="inlineStr">
        <is>
          <t>Invoice risk</t>
        </is>
      </c>
      <c r="H18" s="115" t="inlineStr">
        <is>
          <t>High</t>
        </is>
      </c>
      <c r="I18" s="115" t="inlineStr">
        <is>
          <t>AP Clerk</t>
        </is>
      </c>
      <c r="J18" s="115" t="inlineStr">
        <is>
          <t>Escalate and follow up</t>
        </is>
      </c>
    </row>
    <row r="19">
      <c r="A19" s="182" t="inlineStr">
        <is>
          <t>EX-0231</t>
        </is>
      </c>
      <c r="B19" s="182" t="inlineStr">
        <is>
          <t>Open Invoice</t>
        </is>
      </c>
      <c r="C19" s="182" t="inlineStr">
        <is>
          <t>INV-00073</t>
        </is>
      </c>
      <c r="D19" s="183" t="n">
        <v>46006</v>
      </c>
      <c r="E19" s="182" t="inlineStr">
        <is>
          <t>Amazon Business</t>
        </is>
      </c>
      <c r="F19" s="184" t="n">
        <v>6711.63</v>
      </c>
      <c r="G19" s="182" t="inlineStr">
        <is>
          <t>Invoice risk</t>
        </is>
      </c>
      <c r="H19" s="182" t="inlineStr">
        <is>
          <t>High</t>
        </is>
      </c>
      <c r="I19" s="182" t="inlineStr">
        <is>
          <t>AP Clerk</t>
        </is>
      </c>
      <c r="J19" s="182" t="inlineStr">
        <is>
          <t>Escalate and follow up</t>
        </is>
      </c>
    </row>
    <row r="20">
      <c r="A20" s="115" t="inlineStr">
        <is>
          <t>EX-0257</t>
        </is>
      </c>
      <c r="B20" s="115" t="inlineStr">
        <is>
          <t>Open Invoice</t>
        </is>
      </c>
      <c r="C20" s="115" t="inlineStr">
        <is>
          <t>INV-00113</t>
        </is>
      </c>
      <c r="D20" s="125" t="n">
        <v>46007</v>
      </c>
      <c r="E20" s="115" t="inlineStr">
        <is>
          <t>Raincity Tech</t>
        </is>
      </c>
      <c r="F20" s="126" t="n">
        <v>14768.26</v>
      </c>
      <c r="G20" s="115" t="inlineStr">
        <is>
          <t>Invoice risk</t>
        </is>
      </c>
      <c r="H20" s="115" t="inlineStr">
        <is>
          <t>High</t>
        </is>
      </c>
      <c r="I20" s="115" t="inlineStr">
        <is>
          <t>AR Clerk</t>
        </is>
      </c>
      <c r="J20" s="115" t="inlineStr">
        <is>
          <t>Escalate and follow up</t>
        </is>
      </c>
    </row>
    <row r="21">
      <c r="A21" s="182" t="inlineStr">
        <is>
          <t>EX-0246</t>
        </is>
      </c>
      <c r="B21" s="182" t="inlineStr">
        <is>
          <t>Open Invoice</t>
        </is>
      </c>
      <c r="C21" s="182" t="inlineStr">
        <is>
          <t>INV-00091</t>
        </is>
      </c>
      <c r="D21" s="183" t="n">
        <v>46008</v>
      </c>
      <c r="E21" s="182" t="inlineStr">
        <is>
          <t>Granville Medical</t>
        </is>
      </c>
      <c r="F21" s="184" t="n">
        <v>5829.59</v>
      </c>
      <c r="G21" s="182" t="inlineStr">
        <is>
          <t>Invoice risk</t>
        </is>
      </c>
      <c r="H21" s="182" t="inlineStr">
        <is>
          <t>High</t>
        </is>
      </c>
      <c r="I21" s="182" t="inlineStr">
        <is>
          <t>AR Clerk</t>
        </is>
      </c>
      <c r="J21" s="182" t="inlineStr">
        <is>
          <t>Escalate and follow up</t>
        </is>
      </c>
    </row>
    <row r="22">
      <c r="A22" s="115" t="inlineStr">
        <is>
          <t>EX-0236</t>
        </is>
      </c>
      <c r="B22" s="115" t="inlineStr">
        <is>
          <t>Open Invoice</t>
        </is>
      </c>
      <c r="C22" s="115" t="inlineStr">
        <is>
          <t>INV-00078</t>
        </is>
      </c>
      <c r="D22" s="125" t="n">
        <v>46010</v>
      </c>
      <c r="E22" s="115" t="inlineStr">
        <is>
          <t>North Shore Telecom</t>
        </is>
      </c>
      <c r="F22" s="126" t="n">
        <v>6420.25</v>
      </c>
      <c r="G22" s="115" t="inlineStr">
        <is>
          <t>Invoice risk</t>
        </is>
      </c>
      <c r="H22" s="115" t="inlineStr">
        <is>
          <t>High</t>
        </is>
      </c>
      <c r="I22" s="115" t="inlineStr">
        <is>
          <t>AP Clerk</t>
        </is>
      </c>
      <c r="J22" s="115" t="inlineStr">
        <is>
          <t>Escalate and follow up</t>
        </is>
      </c>
    </row>
    <row r="23">
      <c r="A23" s="182" t="inlineStr">
        <is>
          <t>EX-0278</t>
        </is>
      </c>
      <c r="B23" s="182" t="inlineStr">
        <is>
          <t>Open Invoice</t>
        </is>
      </c>
      <c r="C23" s="182" t="inlineStr">
        <is>
          <t>INV-00161</t>
        </is>
      </c>
      <c r="D23" s="183" t="n">
        <v>46010</v>
      </c>
      <c r="E23" s="182" t="inlineStr">
        <is>
          <t>Coastline Foods</t>
        </is>
      </c>
      <c r="F23" s="184" t="n">
        <v>11571.98</v>
      </c>
      <c r="G23" s="182" t="inlineStr">
        <is>
          <t>Invoice risk</t>
        </is>
      </c>
      <c r="H23" s="182" t="inlineStr">
        <is>
          <t>High</t>
        </is>
      </c>
      <c r="I23" s="182" t="inlineStr">
        <is>
          <t>AR Clerk</t>
        </is>
      </c>
      <c r="J23" s="182" t="inlineStr">
        <is>
          <t>Escalate and follow up</t>
        </is>
      </c>
    </row>
    <row r="24">
      <c r="A24" s="115" t="inlineStr">
        <is>
          <t>EX-0288</t>
        </is>
      </c>
      <c r="B24" s="115" t="inlineStr">
        <is>
          <t>Open Invoice</t>
        </is>
      </c>
      <c r="C24" s="115" t="inlineStr">
        <is>
          <t>INV-00182</t>
        </is>
      </c>
      <c r="D24" s="125" t="n">
        <v>46012</v>
      </c>
      <c r="E24" s="115" t="inlineStr">
        <is>
          <t>Coastline Foods</t>
        </is>
      </c>
      <c r="F24" s="126" t="n">
        <v>5186.41</v>
      </c>
      <c r="G24" s="115" t="inlineStr">
        <is>
          <t>Invoice risk</t>
        </is>
      </c>
      <c r="H24" s="115" t="inlineStr">
        <is>
          <t>High</t>
        </is>
      </c>
      <c r="I24" s="115" t="inlineStr">
        <is>
          <t>AR Clerk</t>
        </is>
      </c>
      <c r="J24" s="115" t="inlineStr">
        <is>
          <t>Escalate and follow up</t>
        </is>
      </c>
    </row>
    <row r="25">
      <c r="A25" s="182" t="inlineStr">
        <is>
          <t>EX-0196</t>
        </is>
      </c>
      <c r="B25" s="182" t="inlineStr">
        <is>
          <t>Open Invoice</t>
        </is>
      </c>
      <c r="C25" s="182" t="inlineStr">
        <is>
          <t>INV-00011</t>
        </is>
      </c>
      <c r="D25" s="183" t="n">
        <v>46015</v>
      </c>
      <c r="E25" s="182" t="inlineStr">
        <is>
          <t>Coastline Foods</t>
        </is>
      </c>
      <c r="F25" s="184" t="n">
        <v>5529.01</v>
      </c>
      <c r="G25" s="182" t="inlineStr">
        <is>
          <t>Invoice risk</t>
        </is>
      </c>
      <c r="H25" s="182" t="inlineStr">
        <is>
          <t>High</t>
        </is>
      </c>
      <c r="I25" s="182" t="inlineStr">
        <is>
          <t>AR Clerk</t>
        </is>
      </c>
      <c r="J25" s="182" t="inlineStr">
        <is>
          <t>Escalate and follow up</t>
        </is>
      </c>
    </row>
    <row r="26">
      <c r="A26" s="115" t="inlineStr">
        <is>
          <t>EX-0214</t>
        </is>
      </c>
      <c r="B26" s="115" t="inlineStr">
        <is>
          <t>Open Invoice</t>
        </is>
      </c>
      <c r="C26" s="115" t="inlineStr">
        <is>
          <t>INV-00045</t>
        </is>
      </c>
      <c r="D26" s="125" t="n">
        <v>46017</v>
      </c>
      <c r="E26" s="115" t="inlineStr">
        <is>
          <t>Staples Canada</t>
        </is>
      </c>
      <c r="F26" s="126" t="n">
        <v>11071.12</v>
      </c>
      <c r="G26" s="115" t="inlineStr">
        <is>
          <t>Invoice risk</t>
        </is>
      </c>
      <c r="H26" s="115" t="inlineStr">
        <is>
          <t>High</t>
        </is>
      </c>
      <c r="I26" s="115" t="inlineStr">
        <is>
          <t>AP Clerk</t>
        </is>
      </c>
      <c r="J26" s="115" t="inlineStr">
        <is>
          <t>Escalate and follow up</t>
        </is>
      </c>
    </row>
    <row r="27">
      <c r="A27" s="182" t="inlineStr">
        <is>
          <t>EX-0197</t>
        </is>
      </c>
      <c r="B27" s="182" t="inlineStr">
        <is>
          <t>Open Invoice</t>
        </is>
      </c>
      <c r="C27" s="182" t="inlineStr">
        <is>
          <t>INV-00012</t>
        </is>
      </c>
      <c r="D27" s="183" t="n">
        <v>46019</v>
      </c>
      <c r="E27" s="182" t="inlineStr">
        <is>
          <t>Granville Medical</t>
        </is>
      </c>
      <c r="F27" s="184" t="n">
        <v>7300.52</v>
      </c>
      <c r="G27" s="182" t="inlineStr">
        <is>
          <t>Invoice risk</t>
        </is>
      </c>
      <c r="H27" s="182" t="inlineStr">
        <is>
          <t>High</t>
        </is>
      </c>
      <c r="I27" s="182" t="inlineStr">
        <is>
          <t>AR Clerk</t>
        </is>
      </c>
      <c r="J27" s="182" t="inlineStr">
        <is>
          <t>Escalate and follow up</t>
        </is>
      </c>
    </row>
    <row r="28">
      <c r="A28" s="115" t="inlineStr">
        <is>
          <t>EX-0217</t>
        </is>
      </c>
      <c r="B28" s="115" t="inlineStr">
        <is>
          <t>Open Invoice</t>
        </is>
      </c>
      <c r="C28" s="115" t="inlineStr">
        <is>
          <t>INV-00052</t>
        </is>
      </c>
      <c r="D28" s="125" t="n">
        <v>46019</v>
      </c>
      <c r="E28" s="115" t="inlineStr">
        <is>
          <t>Amazon Business</t>
        </is>
      </c>
      <c r="F28" s="126" t="n">
        <v>5519.79</v>
      </c>
      <c r="G28" s="115" t="inlineStr">
        <is>
          <t>Invoice risk</t>
        </is>
      </c>
      <c r="H28" s="115" t="inlineStr">
        <is>
          <t>High</t>
        </is>
      </c>
      <c r="I28" s="115" t="inlineStr">
        <is>
          <t>AP Clerk</t>
        </is>
      </c>
      <c r="J28" s="115" t="inlineStr">
        <is>
          <t>Escalate and follow up</t>
        </is>
      </c>
    </row>
    <row r="29">
      <c r="A29" s="182" t="inlineStr">
        <is>
          <t>EX-0255</t>
        </is>
      </c>
      <c r="B29" s="182" t="inlineStr">
        <is>
          <t>Open Invoice</t>
        </is>
      </c>
      <c r="C29" s="182" t="inlineStr">
        <is>
          <t>INV-00108</t>
        </is>
      </c>
      <c r="D29" s="183" t="n">
        <v>46020</v>
      </c>
      <c r="E29" s="182" t="inlineStr">
        <is>
          <t>Staples Canada</t>
        </is>
      </c>
      <c r="F29" s="184" t="n">
        <v>10166.21</v>
      </c>
      <c r="G29" s="182" t="inlineStr">
        <is>
          <t>Invoice risk</t>
        </is>
      </c>
      <c r="H29" s="182" t="inlineStr">
        <is>
          <t>High</t>
        </is>
      </c>
      <c r="I29" s="182" t="inlineStr">
        <is>
          <t>AP Clerk</t>
        </is>
      </c>
      <c r="J29" s="182" t="inlineStr">
        <is>
          <t>Escalate and follow up</t>
        </is>
      </c>
    </row>
    <row r="30">
      <c r="A30" s="115" t="inlineStr">
        <is>
          <t>EX-0262</t>
        </is>
      </c>
      <c r="B30" s="115" t="inlineStr">
        <is>
          <t>Open Invoice</t>
        </is>
      </c>
      <c r="C30" s="115" t="inlineStr">
        <is>
          <t>INV-00122</t>
        </is>
      </c>
      <c r="D30" s="125" t="n">
        <v>46020</v>
      </c>
      <c r="E30" s="115" t="inlineStr">
        <is>
          <t>Coastline Foods</t>
        </is>
      </c>
      <c r="F30" s="126" t="n">
        <v>7216.44</v>
      </c>
      <c r="G30" s="115" t="inlineStr">
        <is>
          <t>Invoice risk</t>
        </is>
      </c>
      <c r="H30" s="115" t="inlineStr">
        <is>
          <t>High</t>
        </is>
      </c>
      <c r="I30" s="115" t="inlineStr">
        <is>
          <t>AR Clerk</t>
        </is>
      </c>
      <c r="J30" s="115" t="inlineStr">
        <is>
          <t>Escalate and follow up</t>
        </is>
      </c>
    </row>
    <row r="31">
      <c r="A31" s="182" t="inlineStr">
        <is>
          <t>EX-0273</t>
        </is>
      </c>
      <c r="B31" s="182" t="inlineStr">
        <is>
          <t>Open Invoice</t>
        </is>
      </c>
      <c r="C31" s="182" t="inlineStr">
        <is>
          <t>INV-00150</t>
        </is>
      </c>
      <c r="D31" s="183" t="n">
        <v>46020</v>
      </c>
      <c r="E31" s="182" t="inlineStr">
        <is>
          <t>BC Hydro</t>
        </is>
      </c>
      <c r="F31" s="184" t="n">
        <v>11402.98</v>
      </c>
      <c r="G31" s="182" t="inlineStr">
        <is>
          <t>Invoice risk</t>
        </is>
      </c>
      <c r="H31" s="182" t="inlineStr">
        <is>
          <t>High</t>
        </is>
      </c>
      <c r="I31" s="182" t="inlineStr">
        <is>
          <t>AP Clerk</t>
        </is>
      </c>
      <c r="J31" s="182" t="inlineStr">
        <is>
          <t>Escalate and follow up</t>
        </is>
      </c>
    </row>
    <row r="32">
      <c r="A32" s="115" t="inlineStr">
        <is>
          <t>EX-0271</t>
        </is>
      </c>
      <c r="B32" s="115" t="inlineStr">
        <is>
          <t>Open Invoice</t>
        </is>
      </c>
      <c r="C32" s="115" t="inlineStr">
        <is>
          <t>INV-00147</t>
        </is>
      </c>
      <c r="D32" s="125" t="n">
        <v>46021</v>
      </c>
      <c r="E32" s="115" t="inlineStr">
        <is>
          <t>West Van Fitness</t>
        </is>
      </c>
      <c r="F32" s="126" t="n">
        <v>10357.56</v>
      </c>
      <c r="G32" s="115" t="inlineStr">
        <is>
          <t>Invoice risk</t>
        </is>
      </c>
      <c r="H32" s="115" t="inlineStr">
        <is>
          <t>High</t>
        </is>
      </c>
      <c r="I32" s="115" t="inlineStr">
        <is>
          <t>AR Clerk</t>
        </is>
      </c>
      <c r="J32" s="115" t="inlineStr">
        <is>
          <t>Escalate and follow up</t>
        </is>
      </c>
    </row>
    <row r="33">
      <c r="A33" s="182" t="inlineStr">
        <is>
          <t>EX-0204</t>
        </is>
      </c>
      <c r="B33" s="182" t="inlineStr">
        <is>
          <t>Open Invoice</t>
        </is>
      </c>
      <c r="C33" s="182" t="inlineStr">
        <is>
          <t>INV-00024</t>
        </is>
      </c>
      <c r="D33" s="183" t="n">
        <v>46022</v>
      </c>
      <c r="E33" s="182" t="inlineStr">
        <is>
          <t>West Van Fitness</t>
        </is>
      </c>
      <c r="F33" s="184" t="n">
        <v>6362.84</v>
      </c>
      <c r="G33" s="182" t="inlineStr">
        <is>
          <t>Invoice risk</t>
        </is>
      </c>
      <c r="H33" s="182" t="inlineStr">
        <is>
          <t>High</t>
        </is>
      </c>
      <c r="I33" s="182" t="inlineStr">
        <is>
          <t>AR Clerk</t>
        </is>
      </c>
      <c r="J33" s="182" t="inlineStr">
        <is>
          <t>Escalate and follow up</t>
        </is>
      </c>
    </row>
    <row r="34">
      <c r="A34" s="115" t="inlineStr">
        <is>
          <t>EX-0213</t>
        </is>
      </c>
      <c r="B34" s="115" t="inlineStr">
        <is>
          <t>Open Invoice</t>
        </is>
      </c>
      <c r="C34" s="115" t="inlineStr">
        <is>
          <t>INV-00042</t>
        </is>
      </c>
      <c r="D34" s="125" t="n">
        <v>46022</v>
      </c>
      <c r="E34" s="115" t="inlineStr">
        <is>
          <t>BC Hydro</t>
        </is>
      </c>
      <c r="F34" s="126" t="n">
        <v>10557.16</v>
      </c>
      <c r="G34" s="115" t="inlineStr">
        <is>
          <t>Invoice risk</t>
        </is>
      </c>
      <c r="H34" s="115" t="inlineStr">
        <is>
          <t>High</t>
        </is>
      </c>
      <c r="I34" s="115" t="inlineStr">
        <is>
          <t>AP Clerk</t>
        </is>
      </c>
      <c r="J34" s="115" t="inlineStr">
        <is>
          <t>Escalate and follow up</t>
        </is>
      </c>
    </row>
    <row r="35">
      <c r="A35" s="182" t="inlineStr">
        <is>
          <t>EX-0269</t>
        </is>
      </c>
      <c r="B35" s="182" t="inlineStr">
        <is>
          <t>Open Invoice</t>
        </is>
      </c>
      <c r="C35" s="182" t="inlineStr">
        <is>
          <t>INV-00141</t>
        </is>
      </c>
      <c r="D35" s="183" t="n">
        <v>46022</v>
      </c>
      <c r="E35" s="182" t="inlineStr">
        <is>
          <t>Granville Medical</t>
        </is>
      </c>
      <c r="F35" s="184" t="n">
        <v>6483.01</v>
      </c>
      <c r="G35" s="182" t="inlineStr">
        <is>
          <t>Invoice risk</t>
        </is>
      </c>
      <c r="H35" s="182" t="inlineStr">
        <is>
          <t>High</t>
        </is>
      </c>
      <c r="I35" s="182" t="inlineStr">
        <is>
          <t>AR Clerk</t>
        </is>
      </c>
      <c r="J35" s="182" t="inlineStr">
        <is>
          <t>Escalate and follow up</t>
        </is>
      </c>
    </row>
    <row r="36">
      <c r="A36" s="115" t="inlineStr">
        <is>
          <t>EX-0301</t>
        </is>
      </c>
      <c r="B36" s="115" t="inlineStr">
        <is>
          <t>Open Invoice</t>
        </is>
      </c>
      <c r="C36" s="115" t="inlineStr">
        <is>
          <t>INV-00203</t>
        </is>
      </c>
      <c r="D36" s="125" t="n">
        <v>46023</v>
      </c>
      <c r="E36" s="115" t="inlineStr">
        <is>
          <t>West Van Fitness</t>
        </is>
      </c>
      <c r="F36" s="126" t="n">
        <v>14612.29</v>
      </c>
      <c r="G36" s="115" t="inlineStr">
        <is>
          <t>Invoice risk</t>
        </is>
      </c>
      <c r="H36" s="115" t="inlineStr">
        <is>
          <t>High</t>
        </is>
      </c>
      <c r="I36" s="115" t="inlineStr">
        <is>
          <t>AR Clerk</t>
        </is>
      </c>
      <c r="J36" s="115" t="inlineStr">
        <is>
          <t>Escalate and follow up</t>
        </is>
      </c>
    </row>
    <row r="37">
      <c r="A37" s="182" t="inlineStr">
        <is>
          <t>EX-0116</t>
        </is>
      </c>
      <c r="B37" s="182" t="inlineStr">
        <is>
          <t>Reconciliation</t>
        </is>
      </c>
      <c r="C37" s="182" t="inlineStr">
        <is>
          <t>REF-100376</t>
        </is>
      </c>
      <c r="D37" s="183" t="n">
        <v>46024</v>
      </c>
      <c r="E37" s="182" t="inlineStr">
        <is>
          <t>Payroll Batch</t>
        </is>
      </c>
      <c r="F37" s="184" t="n">
        <v>-16747.22</v>
      </c>
      <c r="G37" s="182" t="inlineStr">
        <is>
          <t>Missing from bank</t>
        </is>
      </c>
      <c r="H37" s="182" t="inlineStr">
        <is>
          <t>High</t>
        </is>
      </c>
      <c r="I37" s="182" t="inlineStr">
        <is>
          <t>Accounting Technician</t>
        </is>
      </c>
      <c r="J37" s="182" t="inlineStr">
        <is>
          <t>Check bank statement or payment date</t>
        </is>
      </c>
    </row>
    <row r="38">
      <c r="A38" s="115" t="inlineStr">
        <is>
          <t>EX-0268</t>
        </is>
      </c>
      <c r="B38" s="115" t="inlineStr">
        <is>
          <t>Open Invoice</t>
        </is>
      </c>
      <c r="C38" s="115" t="inlineStr">
        <is>
          <t>INV-00140</t>
        </is>
      </c>
      <c r="D38" s="125" t="n">
        <v>46026</v>
      </c>
      <c r="E38" s="115" t="inlineStr">
        <is>
          <t>North Shore Telecom</t>
        </is>
      </c>
      <c r="F38" s="126" t="n">
        <v>10683.23</v>
      </c>
      <c r="G38" s="115" t="inlineStr">
        <is>
          <t>Invoice risk</t>
        </is>
      </c>
      <c r="H38" s="115" t="inlineStr">
        <is>
          <t>High</t>
        </is>
      </c>
      <c r="I38" s="115" t="inlineStr">
        <is>
          <t>AP Clerk</t>
        </is>
      </c>
      <c r="J38" s="115" t="inlineStr">
        <is>
          <t>Escalate and follow up</t>
        </is>
      </c>
    </row>
    <row r="39">
      <c r="A39" s="182" t="inlineStr">
        <is>
          <t>EX-0292</t>
        </is>
      </c>
      <c r="B39" s="182" t="inlineStr">
        <is>
          <t>Open Invoice</t>
        </is>
      </c>
      <c r="C39" s="182" t="inlineStr">
        <is>
          <t>INV-00188</t>
        </is>
      </c>
      <c r="D39" s="183" t="n">
        <v>46026</v>
      </c>
      <c r="E39" s="182" t="inlineStr">
        <is>
          <t>Coastline Foods</t>
        </is>
      </c>
      <c r="F39" s="184" t="n">
        <v>5905.69</v>
      </c>
      <c r="G39" s="182" t="inlineStr">
        <is>
          <t>Invoice risk</t>
        </is>
      </c>
      <c r="H39" s="182" t="inlineStr">
        <is>
          <t>High</t>
        </is>
      </c>
      <c r="I39" s="182" t="inlineStr">
        <is>
          <t>AR Clerk</t>
        </is>
      </c>
      <c r="J39" s="182" t="inlineStr">
        <is>
          <t>Escalate and follow up</t>
        </is>
      </c>
    </row>
    <row r="40">
      <c r="A40" s="115" t="inlineStr">
        <is>
          <t>EX-0087</t>
        </is>
      </c>
      <c r="B40" s="115" t="inlineStr">
        <is>
          <t>Reconciliation</t>
        </is>
      </c>
      <c r="C40" s="115" t="inlineStr">
        <is>
          <t>REF-100270</t>
        </is>
      </c>
      <c r="D40" s="125" t="n">
        <v>46027</v>
      </c>
      <c r="E40" s="115" t="inlineStr">
        <is>
          <t>Payroll Batch</t>
        </is>
      </c>
      <c r="F40" s="126" t="n">
        <v>-15763.75</v>
      </c>
      <c r="G40" s="115" t="inlineStr">
        <is>
          <t>Missing from bank</t>
        </is>
      </c>
      <c r="H40" s="115" t="inlineStr">
        <is>
          <t>High</t>
        </is>
      </c>
      <c r="I40" s="115" t="inlineStr">
        <is>
          <t>Accounting Technician</t>
        </is>
      </c>
      <c r="J40" s="115" t="inlineStr">
        <is>
          <t>Check bank statement or payment date</t>
        </is>
      </c>
    </row>
    <row r="41">
      <c r="A41" s="182" t="inlineStr">
        <is>
          <t>EX-0211</t>
        </is>
      </c>
      <c r="B41" s="182" t="inlineStr">
        <is>
          <t>Open Invoice</t>
        </is>
      </c>
      <c r="C41" s="182" t="inlineStr">
        <is>
          <t>INV-00037</t>
        </is>
      </c>
      <c r="D41" s="183" t="n">
        <v>46027</v>
      </c>
      <c r="E41" s="182" t="inlineStr">
        <is>
          <t>Vancouver Courier</t>
        </is>
      </c>
      <c r="F41" s="184" t="n">
        <v>9154.5</v>
      </c>
      <c r="G41" s="182" t="inlineStr">
        <is>
          <t>Invoice risk</t>
        </is>
      </c>
      <c r="H41" s="182" t="inlineStr">
        <is>
          <t>High</t>
        </is>
      </c>
      <c r="I41" s="182" t="inlineStr">
        <is>
          <t>AP Clerk</t>
        </is>
      </c>
      <c r="J41" s="182" t="inlineStr">
        <is>
          <t>Escalate and follow up</t>
        </is>
      </c>
    </row>
    <row r="42">
      <c r="A42" s="115" t="inlineStr">
        <is>
          <t>EX-0242</t>
        </is>
      </c>
      <c r="B42" s="115" t="inlineStr">
        <is>
          <t>Open Invoice</t>
        </is>
      </c>
      <c r="C42" s="115" t="inlineStr">
        <is>
          <t>INV-00085</t>
        </is>
      </c>
      <c r="D42" s="125" t="n">
        <v>46027</v>
      </c>
      <c r="E42" s="115" t="inlineStr">
        <is>
          <t>Raincity Tech</t>
        </is>
      </c>
      <c r="F42" s="126" t="n">
        <v>8216.4</v>
      </c>
      <c r="G42" s="115" t="inlineStr">
        <is>
          <t>Invoice risk</t>
        </is>
      </c>
      <c r="H42" s="115" t="inlineStr">
        <is>
          <t>High</t>
        </is>
      </c>
      <c r="I42" s="115" t="inlineStr">
        <is>
          <t>AR Clerk</t>
        </is>
      </c>
      <c r="J42" s="115" t="inlineStr">
        <is>
          <t>Escalate and follow up</t>
        </is>
      </c>
    </row>
    <row r="43">
      <c r="A43" s="182" t="inlineStr">
        <is>
          <t>EX-0019</t>
        </is>
      </c>
      <c r="B43" s="182" t="inlineStr">
        <is>
          <t>Reconciliation</t>
        </is>
      </c>
      <c r="C43" s="182" t="inlineStr">
        <is>
          <t>REF-100063</t>
        </is>
      </c>
      <c r="D43" s="183" t="n">
        <v>46029</v>
      </c>
      <c r="E43" s="182" t="inlineStr">
        <is>
          <t>Payroll Batch</t>
        </is>
      </c>
      <c r="F43" s="184" t="n">
        <v>-8147.41</v>
      </c>
      <c r="G43" s="182" t="inlineStr">
        <is>
          <t>Missing from bank</t>
        </is>
      </c>
      <c r="H43" s="182" t="inlineStr">
        <is>
          <t>High</t>
        </is>
      </c>
      <c r="I43" s="182" t="inlineStr">
        <is>
          <t>Accounting Technician</t>
        </is>
      </c>
      <c r="J43" s="182" t="inlineStr">
        <is>
          <t>Check bank statement or payment date</t>
        </is>
      </c>
    </row>
    <row r="44">
      <c r="A44" s="115" t="inlineStr">
        <is>
          <t>EX-0287</t>
        </is>
      </c>
      <c r="B44" s="115" t="inlineStr">
        <is>
          <t>Open Invoice</t>
        </is>
      </c>
      <c r="C44" s="115" t="inlineStr">
        <is>
          <t>INV-00180</t>
        </is>
      </c>
      <c r="D44" s="125" t="n">
        <v>46029</v>
      </c>
      <c r="E44" s="115" t="inlineStr">
        <is>
          <t>Vancouver Courier</t>
        </is>
      </c>
      <c r="F44" s="126" t="n">
        <v>12551.32</v>
      </c>
      <c r="G44" s="115" t="inlineStr">
        <is>
          <t>Invoice risk</t>
        </is>
      </c>
      <c r="H44" s="115" t="inlineStr">
        <is>
          <t>High</t>
        </is>
      </c>
      <c r="I44" s="115" t="inlineStr">
        <is>
          <t>AP Clerk</t>
        </is>
      </c>
      <c r="J44" s="115" t="inlineStr">
        <is>
          <t>Escalate and follow up</t>
        </is>
      </c>
    </row>
    <row r="45">
      <c r="A45" s="182" t="inlineStr">
        <is>
          <t>EX-0290</t>
        </is>
      </c>
      <c r="B45" s="182" t="inlineStr">
        <is>
          <t>Open Invoice</t>
        </is>
      </c>
      <c r="C45" s="182" t="inlineStr">
        <is>
          <t>INV-00184</t>
        </is>
      </c>
      <c r="D45" s="183" t="n">
        <v>46029</v>
      </c>
      <c r="E45" s="182" t="inlineStr">
        <is>
          <t>Raincity Tech</t>
        </is>
      </c>
      <c r="F45" s="184" t="n">
        <v>7531.26</v>
      </c>
      <c r="G45" s="182" t="inlineStr">
        <is>
          <t>Invoice risk</t>
        </is>
      </c>
      <c r="H45" s="182" t="inlineStr">
        <is>
          <t>High</t>
        </is>
      </c>
      <c r="I45" s="182" t="inlineStr">
        <is>
          <t>AR Clerk</t>
        </is>
      </c>
      <c r="J45" s="182" t="inlineStr">
        <is>
          <t>Escalate and follow up</t>
        </is>
      </c>
    </row>
    <row r="46">
      <c r="A46" s="115" t="inlineStr">
        <is>
          <t>EX-0048</t>
        </is>
      </c>
      <c r="B46" s="115" t="inlineStr">
        <is>
          <t>Reconciliation</t>
        </is>
      </c>
      <c r="C46" s="115" t="inlineStr">
        <is>
          <t>REF-100157</t>
        </is>
      </c>
      <c r="D46" s="125" t="n">
        <v>46030</v>
      </c>
      <c r="E46" s="115" t="inlineStr">
        <is>
          <t>Harbour Design Co.</t>
        </is>
      </c>
      <c r="F46" s="126" t="n">
        <v>6881.77</v>
      </c>
      <c r="G46" s="115" t="inlineStr">
        <is>
          <t>Missing from bank</t>
        </is>
      </c>
      <c r="H46" s="115" t="inlineStr">
        <is>
          <t>High</t>
        </is>
      </c>
      <c r="I46" s="115" t="inlineStr">
        <is>
          <t>AR Clerk</t>
        </is>
      </c>
      <c r="J46" s="115" t="inlineStr">
        <is>
          <t>Check bank statement or payment date</t>
        </is>
      </c>
    </row>
    <row r="47">
      <c r="A47" s="182" t="inlineStr">
        <is>
          <t>EX-0307</t>
        </is>
      </c>
      <c r="B47" s="182" t="inlineStr">
        <is>
          <t>Open Invoice</t>
        </is>
      </c>
      <c r="C47" s="182" t="inlineStr">
        <is>
          <t>INV-00219</t>
        </is>
      </c>
      <c r="D47" s="183" t="n">
        <v>46031</v>
      </c>
      <c r="E47" s="182" t="inlineStr">
        <is>
          <t>Coastline Foods</t>
        </is>
      </c>
      <c r="F47" s="184" t="n">
        <v>8732.389999999999</v>
      </c>
      <c r="G47" s="182" t="inlineStr">
        <is>
          <t>Invoice risk</t>
        </is>
      </c>
      <c r="H47" s="182" t="inlineStr">
        <is>
          <t>High</t>
        </is>
      </c>
      <c r="I47" s="182" t="inlineStr">
        <is>
          <t>AR Clerk</t>
        </is>
      </c>
      <c r="J47" s="182" t="inlineStr">
        <is>
          <t>Escalate and follow up</t>
        </is>
      </c>
    </row>
    <row r="48">
      <c r="A48" s="115" t="inlineStr">
        <is>
          <t>EX-0029</t>
        </is>
      </c>
      <c r="B48" s="115" t="inlineStr">
        <is>
          <t>Reconciliation</t>
        </is>
      </c>
      <c r="C48" s="115" t="inlineStr">
        <is>
          <t>REF-100099</t>
        </is>
      </c>
      <c r="D48" s="125" t="n">
        <v>46033</v>
      </c>
      <c r="E48" s="115" t="inlineStr">
        <is>
          <t>Pacific Office Supplies</t>
        </is>
      </c>
      <c r="F48" s="126" t="n">
        <v>-6017.53</v>
      </c>
      <c r="G48" s="115" t="inlineStr">
        <is>
          <t>Missing from bank</t>
        </is>
      </c>
      <c r="H48" s="115" t="inlineStr">
        <is>
          <t>High</t>
        </is>
      </c>
      <c r="I48" s="115" t="inlineStr">
        <is>
          <t>AP Clerk</t>
        </is>
      </c>
      <c r="J48" s="115" t="inlineStr">
        <is>
          <t>Check bank statement or payment date</t>
        </is>
      </c>
    </row>
    <row r="49">
      <c r="A49" s="182" t="inlineStr">
        <is>
          <t>EX-0041</t>
        </is>
      </c>
      <c r="B49" s="182" t="inlineStr">
        <is>
          <t>Reconciliation</t>
        </is>
      </c>
      <c r="C49" s="182" t="inlineStr">
        <is>
          <t>REF-100125</t>
        </is>
      </c>
      <c r="D49" s="183" t="n">
        <v>46034</v>
      </c>
      <c r="E49" s="182" t="inlineStr">
        <is>
          <t>Raincity Tech</t>
        </is>
      </c>
      <c r="F49" s="184" t="n">
        <v>7084.45</v>
      </c>
      <c r="G49" s="182" t="inlineStr">
        <is>
          <t>Missing from bank</t>
        </is>
      </c>
      <c r="H49" s="182" t="inlineStr">
        <is>
          <t>High</t>
        </is>
      </c>
      <c r="I49" s="182" t="inlineStr">
        <is>
          <t>AR Clerk</t>
        </is>
      </c>
      <c r="J49" s="182" t="inlineStr">
        <is>
          <t>Check bank statement or payment date</t>
        </is>
      </c>
    </row>
    <row r="50">
      <c r="A50" s="115" t="inlineStr">
        <is>
          <t>EX-0224</t>
        </is>
      </c>
      <c r="B50" s="115" t="inlineStr">
        <is>
          <t>Open Invoice</t>
        </is>
      </c>
      <c r="C50" s="115" t="inlineStr">
        <is>
          <t>INV-00062</t>
        </is>
      </c>
      <c r="D50" s="125" t="n">
        <v>46034</v>
      </c>
      <c r="E50" s="115" t="inlineStr">
        <is>
          <t>Vancouver Courier</t>
        </is>
      </c>
      <c r="F50" s="126" t="n">
        <v>5808.9</v>
      </c>
      <c r="G50" s="115" t="inlineStr">
        <is>
          <t>Invoice risk</t>
        </is>
      </c>
      <c r="H50" s="115" t="inlineStr">
        <is>
          <t>High</t>
        </is>
      </c>
      <c r="I50" s="115" t="inlineStr">
        <is>
          <t>AP Clerk</t>
        </is>
      </c>
      <c r="J50" s="115" t="inlineStr">
        <is>
          <t>Escalate and follow up</t>
        </is>
      </c>
    </row>
    <row r="51">
      <c r="A51" s="182" t="inlineStr">
        <is>
          <t>EX-0240</t>
        </is>
      </c>
      <c r="B51" s="182" t="inlineStr">
        <is>
          <t>Open Invoice</t>
        </is>
      </c>
      <c r="C51" s="182" t="inlineStr">
        <is>
          <t>INV-00083</t>
        </is>
      </c>
      <c r="D51" s="183" t="n">
        <v>46034</v>
      </c>
      <c r="E51" s="182" t="inlineStr">
        <is>
          <t>Granville Medical</t>
        </is>
      </c>
      <c r="F51" s="184" t="n">
        <v>6390.61</v>
      </c>
      <c r="G51" s="182" t="inlineStr">
        <is>
          <t>Invoice risk</t>
        </is>
      </c>
      <c r="H51" s="182" t="inlineStr">
        <is>
          <t>High</t>
        </is>
      </c>
      <c r="I51" s="182" t="inlineStr">
        <is>
          <t>AR Clerk</t>
        </is>
      </c>
      <c r="J51" s="182" t="inlineStr">
        <is>
          <t>Escalate and follow up</t>
        </is>
      </c>
    </row>
    <row r="52">
      <c r="A52" s="115" t="inlineStr">
        <is>
          <t>EX-0298</t>
        </is>
      </c>
      <c r="B52" s="115" t="inlineStr">
        <is>
          <t>Open Invoice</t>
        </is>
      </c>
      <c r="C52" s="115" t="inlineStr">
        <is>
          <t>INV-00196</t>
        </is>
      </c>
      <c r="D52" s="125" t="n">
        <v>46034</v>
      </c>
      <c r="E52" s="115" t="inlineStr">
        <is>
          <t>Metro Cleaning Ltd.</t>
        </is>
      </c>
      <c r="F52" s="126" t="n">
        <v>5403.01</v>
      </c>
      <c r="G52" s="115" t="inlineStr">
        <is>
          <t>Invoice risk</t>
        </is>
      </c>
      <c r="H52" s="115" t="inlineStr">
        <is>
          <t>High</t>
        </is>
      </c>
      <c r="I52" s="115" t="inlineStr">
        <is>
          <t>AP Clerk</t>
        </is>
      </c>
      <c r="J52" s="115" t="inlineStr">
        <is>
          <t>Escalate and follow up</t>
        </is>
      </c>
    </row>
    <row r="53">
      <c r="A53" s="182" t="inlineStr">
        <is>
          <t>EX-0276</t>
        </is>
      </c>
      <c r="B53" s="182" t="inlineStr">
        <is>
          <t>Open Invoice</t>
        </is>
      </c>
      <c r="C53" s="182" t="inlineStr">
        <is>
          <t>INV-00153</t>
        </is>
      </c>
      <c r="D53" s="183" t="n">
        <v>46035</v>
      </c>
      <c r="E53" s="182" t="inlineStr">
        <is>
          <t>Granville Medical</t>
        </is>
      </c>
      <c r="F53" s="184" t="n">
        <v>13185.03</v>
      </c>
      <c r="G53" s="182" t="inlineStr">
        <is>
          <t>Invoice risk</t>
        </is>
      </c>
      <c r="H53" s="182" t="inlineStr">
        <is>
          <t>High</t>
        </is>
      </c>
      <c r="I53" s="182" t="inlineStr">
        <is>
          <t>AR Clerk</t>
        </is>
      </c>
      <c r="J53" s="182" t="inlineStr">
        <is>
          <t>Escalate and follow up</t>
        </is>
      </c>
    </row>
    <row r="54">
      <c r="A54" s="115" t="inlineStr">
        <is>
          <t>EX-0238</t>
        </is>
      </c>
      <c r="B54" s="115" t="inlineStr">
        <is>
          <t>Open Invoice</t>
        </is>
      </c>
      <c r="C54" s="115" t="inlineStr">
        <is>
          <t>INV-00080</t>
        </is>
      </c>
      <c r="D54" s="125" t="n">
        <v>46036</v>
      </c>
      <c r="E54" s="115" t="inlineStr">
        <is>
          <t>Raincity Tech</t>
        </is>
      </c>
      <c r="F54" s="126" t="n">
        <v>9323.280000000001</v>
      </c>
      <c r="G54" s="115" t="inlineStr">
        <is>
          <t>Invoice risk</t>
        </is>
      </c>
      <c r="H54" s="115" t="inlineStr">
        <is>
          <t>High</t>
        </is>
      </c>
      <c r="I54" s="115" t="inlineStr">
        <is>
          <t>AR Clerk</t>
        </is>
      </c>
      <c r="J54" s="115" t="inlineStr">
        <is>
          <t>Escalate and follow up</t>
        </is>
      </c>
    </row>
    <row r="55">
      <c r="A55" s="182" t="inlineStr">
        <is>
          <t>EX-0277</t>
        </is>
      </c>
      <c r="B55" s="182" t="inlineStr">
        <is>
          <t>Open Invoice</t>
        </is>
      </c>
      <c r="C55" s="182" t="inlineStr">
        <is>
          <t>INV-00159</t>
        </is>
      </c>
      <c r="D55" s="183" t="n">
        <v>46036</v>
      </c>
      <c r="E55" s="182" t="inlineStr">
        <is>
          <t>Maple Retail Group</t>
        </is>
      </c>
      <c r="F55" s="184" t="n">
        <v>9565.98</v>
      </c>
      <c r="G55" s="182" t="inlineStr">
        <is>
          <t>Invoice risk</t>
        </is>
      </c>
      <c r="H55" s="182" t="inlineStr">
        <is>
          <t>High</t>
        </is>
      </c>
      <c r="I55" s="182" t="inlineStr">
        <is>
          <t>AR Clerk</t>
        </is>
      </c>
      <c r="J55" s="182" t="inlineStr">
        <is>
          <t>Escalate and follow up</t>
        </is>
      </c>
    </row>
    <row r="56">
      <c r="A56" s="115" t="inlineStr">
        <is>
          <t>EX-0299</t>
        </is>
      </c>
      <c r="B56" s="115" t="inlineStr">
        <is>
          <t>Open Invoice</t>
        </is>
      </c>
      <c r="C56" s="115" t="inlineStr">
        <is>
          <t>INV-00201</t>
        </is>
      </c>
      <c r="D56" s="125" t="n">
        <v>46036</v>
      </c>
      <c r="E56" s="115" t="inlineStr">
        <is>
          <t>Vancouver Courier</t>
        </is>
      </c>
      <c r="F56" s="126" t="n">
        <v>7693.05</v>
      </c>
      <c r="G56" s="115" t="inlineStr">
        <is>
          <t>Invoice risk</t>
        </is>
      </c>
      <c r="H56" s="115" t="inlineStr">
        <is>
          <t>High</t>
        </is>
      </c>
      <c r="I56" s="115" t="inlineStr">
        <is>
          <t>AP Clerk</t>
        </is>
      </c>
      <c r="J56" s="115" t="inlineStr">
        <is>
          <t>Escalate and follow up</t>
        </is>
      </c>
    </row>
    <row r="57">
      <c r="A57" s="182" t="inlineStr">
        <is>
          <t>EX-0064</t>
        </is>
      </c>
      <c r="B57" s="182" t="inlineStr">
        <is>
          <t>Reconciliation</t>
        </is>
      </c>
      <c r="C57" s="182" t="inlineStr">
        <is>
          <t>REF-100199</t>
        </is>
      </c>
      <c r="D57" s="183" t="n">
        <v>46037</v>
      </c>
      <c r="E57" s="182" t="inlineStr">
        <is>
          <t>Maple Retail Group</t>
        </is>
      </c>
      <c r="F57" s="184" t="n">
        <v>6218.9</v>
      </c>
      <c r="G57" s="182" t="inlineStr">
        <is>
          <t>Missing from bank</t>
        </is>
      </c>
      <c r="H57" s="182" t="inlineStr">
        <is>
          <t>High</t>
        </is>
      </c>
      <c r="I57" s="182" t="inlineStr">
        <is>
          <t>AR Clerk</t>
        </is>
      </c>
      <c r="J57" s="182" t="inlineStr">
        <is>
          <t>Check bank statement or payment date</t>
        </is>
      </c>
    </row>
    <row r="58">
      <c r="A58" s="115" t="inlineStr">
        <is>
          <t>EX-0226</t>
        </is>
      </c>
      <c r="B58" s="115" t="inlineStr">
        <is>
          <t>Open Invoice</t>
        </is>
      </c>
      <c r="C58" s="115" t="inlineStr">
        <is>
          <t>INV-00066</t>
        </is>
      </c>
      <c r="D58" s="125" t="n">
        <v>46037</v>
      </c>
      <c r="E58" s="115" t="inlineStr">
        <is>
          <t>Harbour Design Co.</t>
        </is>
      </c>
      <c r="F58" s="126" t="n">
        <v>14115.49</v>
      </c>
      <c r="G58" s="115" t="inlineStr">
        <is>
          <t>Invoice risk</t>
        </is>
      </c>
      <c r="H58" s="115" t="inlineStr">
        <is>
          <t>High</t>
        </is>
      </c>
      <c r="I58" s="115" t="inlineStr">
        <is>
          <t>AR Clerk</t>
        </is>
      </c>
      <c r="J58" s="115" t="inlineStr">
        <is>
          <t>Escalate and follow up</t>
        </is>
      </c>
    </row>
    <row r="59">
      <c r="A59" s="182" t="inlineStr">
        <is>
          <t>EX-0233</t>
        </is>
      </c>
      <c r="B59" s="182" t="inlineStr">
        <is>
          <t>Open Invoice</t>
        </is>
      </c>
      <c r="C59" s="182" t="inlineStr">
        <is>
          <t>INV-00075</t>
        </is>
      </c>
      <c r="D59" s="183" t="n">
        <v>46037</v>
      </c>
      <c r="E59" s="182" t="inlineStr">
        <is>
          <t>Metro Cleaning Ltd.</t>
        </is>
      </c>
      <c r="F59" s="184" t="n">
        <v>10363.38</v>
      </c>
      <c r="G59" s="182" t="inlineStr">
        <is>
          <t>Invoice risk</t>
        </is>
      </c>
      <c r="H59" s="182" t="inlineStr">
        <is>
          <t>High</t>
        </is>
      </c>
      <c r="I59" s="182" t="inlineStr">
        <is>
          <t>AP Clerk</t>
        </is>
      </c>
      <c r="J59" s="182" t="inlineStr">
        <is>
          <t>Escalate and follow up</t>
        </is>
      </c>
    </row>
    <row r="60">
      <c r="A60" s="115" t="inlineStr">
        <is>
          <t>EX-0247</t>
        </is>
      </c>
      <c r="B60" s="115" t="inlineStr">
        <is>
          <t>Open Invoice</t>
        </is>
      </c>
      <c r="C60" s="115" t="inlineStr">
        <is>
          <t>INV-00093</t>
        </is>
      </c>
      <c r="D60" s="125" t="n">
        <v>46037</v>
      </c>
      <c r="E60" s="115" t="inlineStr">
        <is>
          <t>Maple Retail Group</t>
        </is>
      </c>
      <c r="F60" s="126" t="n">
        <v>10564.72</v>
      </c>
      <c r="G60" s="115" t="inlineStr">
        <is>
          <t>Invoice risk</t>
        </is>
      </c>
      <c r="H60" s="115" t="inlineStr">
        <is>
          <t>High</t>
        </is>
      </c>
      <c r="I60" s="115" t="inlineStr">
        <is>
          <t>AR Clerk</t>
        </is>
      </c>
      <c r="J60" s="115" t="inlineStr">
        <is>
          <t>Escalate and follow up</t>
        </is>
      </c>
    </row>
    <row r="61">
      <c r="A61" s="182" t="inlineStr">
        <is>
          <t>EX-0227</t>
        </is>
      </c>
      <c r="B61" s="182" t="inlineStr">
        <is>
          <t>Open Invoice</t>
        </is>
      </c>
      <c r="C61" s="182" t="inlineStr">
        <is>
          <t>INV-00069</t>
        </is>
      </c>
      <c r="D61" s="183" t="n">
        <v>46038</v>
      </c>
      <c r="E61" s="182" t="inlineStr">
        <is>
          <t>North Shore Telecom</t>
        </is>
      </c>
      <c r="F61" s="184" t="n">
        <v>6730.93</v>
      </c>
      <c r="G61" s="182" t="inlineStr">
        <is>
          <t>Invoice risk</t>
        </is>
      </c>
      <c r="H61" s="182" t="inlineStr">
        <is>
          <t>High</t>
        </is>
      </c>
      <c r="I61" s="182" t="inlineStr">
        <is>
          <t>AP Clerk</t>
        </is>
      </c>
      <c r="J61" s="182" t="inlineStr">
        <is>
          <t>Escalate and follow up</t>
        </is>
      </c>
    </row>
    <row r="62">
      <c r="A62" s="115" t="inlineStr">
        <is>
          <t>EX-0239</t>
        </is>
      </c>
      <c r="B62" s="115" t="inlineStr">
        <is>
          <t>Open Invoice</t>
        </is>
      </c>
      <c r="C62" s="115" t="inlineStr">
        <is>
          <t>INV-00082</t>
        </is>
      </c>
      <c r="D62" s="125" t="n">
        <v>46038</v>
      </c>
      <c r="E62" s="115" t="inlineStr">
        <is>
          <t>Metro Cleaning Ltd.</t>
        </is>
      </c>
      <c r="F62" s="126" t="n">
        <v>10947.54</v>
      </c>
      <c r="G62" s="115" t="inlineStr">
        <is>
          <t>Invoice risk</t>
        </is>
      </c>
      <c r="H62" s="115" t="inlineStr">
        <is>
          <t>High</t>
        </is>
      </c>
      <c r="I62" s="115" t="inlineStr">
        <is>
          <t>AP Clerk</t>
        </is>
      </c>
      <c r="J62" s="115" t="inlineStr">
        <is>
          <t>Escalate and follow up</t>
        </is>
      </c>
    </row>
    <row r="63">
      <c r="A63" s="182" t="inlineStr">
        <is>
          <t>EX-0127</t>
        </is>
      </c>
      <c r="B63" s="182" t="inlineStr">
        <is>
          <t>Reconciliation</t>
        </is>
      </c>
      <c r="C63" s="182" t="inlineStr">
        <is>
          <t>REF-100412</t>
        </is>
      </c>
      <c r="D63" s="183" t="n">
        <v>46040</v>
      </c>
      <c r="E63" s="182" t="inlineStr">
        <is>
          <t>Raincity Tech</t>
        </is>
      </c>
      <c r="F63" s="184" t="n">
        <v>7302.81</v>
      </c>
      <c r="G63" s="182" t="inlineStr">
        <is>
          <t>Missing from bank</t>
        </is>
      </c>
      <c r="H63" s="182" t="inlineStr">
        <is>
          <t>High</t>
        </is>
      </c>
      <c r="I63" s="182" t="inlineStr">
        <is>
          <t>AR Clerk</t>
        </is>
      </c>
      <c r="J63" s="182" t="inlineStr">
        <is>
          <t>Check bank statement or payment date</t>
        </is>
      </c>
    </row>
    <row r="64">
      <c r="A64" s="115" t="inlineStr">
        <is>
          <t>EX-0053</t>
        </is>
      </c>
      <c r="B64" s="115" t="inlineStr">
        <is>
          <t>Reconciliation</t>
        </is>
      </c>
      <c r="C64" s="115" t="inlineStr">
        <is>
          <t>REF-100168</t>
        </is>
      </c>
      <c r="D64" s="125" t="n">
        <v>46041</v>
      </c>
      <c r="E64" s="115" t="inlineStr">
        <is>
          <t>Raincity Tech</t>
        </is>
      </c>
      <c r="F64" s="126" t="n">
        <v>5201.8</v>
      </c>
      <c r="G64" s="115" t="inlineStr">
        <is>
          <t>Missing from bank</t>
        </is>
      </c>
      <c r="H64" s="115" t="inlineStr">
        <is>
          <t>High</t>
        </is>
      </c>
      <c r="I64" s="115" t="inlineStr">
        <is>
          <t>AR Clerk</t>
        </is>
      </c>
      <c r="J64" s="115" t="inlineStr">
        <is>
          <t>Check bank statement or payment date</t>
        </is>
      </c>
    </row>
    <row r="65">
      <c r="A65" s="182" t="inlineStr">
        <is>
          <t>EX-0096</t>
        </is>
      </c>
      <c r="B65" s="182" t="inlineStr">
        <is>
          <t>Reconciliation</t>
        </is>
      </c>
      <c r="C65" s="182" t="inlineStr">
        <is>
          <t>REF-100290</t>
        </is>
      </c>
      <c r="D65" s="183" t="n">
        <v>46041</v>
      </c>
      <c r="E65" s="182" t="inlineStr">
        <is>
          <t>Coastline Foods</t>
        </is>
      </c>
      <c r="F65" s="184" t="n">
        <v>7905.2</v>
      </c>
      <c r="G65" s="182" t="inlineStr">
        <is>
          <t>Missing from bank</t>
        </is>
      </c>
      <c r="H65" s="182" t="inlineStr">
        <is>
          <t>High</t>
        </is>
      </c>
      <c r="I65" s="182" t="inlineStr">
        <is>
          <t>AR Clerk</t>
        </is>
      </c>
      <c r="J65" s="182" t="inlineStr">
        <is>
          <t>Check bank statement or payment date</t>
        </is>
      </c>
    </row>
    <row r="66">
      <c r="A66" s="115" t="inlineStr">
        <is>
          <t>EX-0304</t>
        </is>
      </c>
      <c r="B66" s="115" t="inlineStr">
        <is>
          <t>Open Invoice</t>
        </is>
      </c>
      <c r="C66" s="115" t="inlineStr">
        <is>
          <t>INV-00209</t>
        </is>
      </c>
      <c r="D66" s="125" t="n">
        <v>46041</v>
      </c>
      <c r="E66" s="115" t="inlineStr">
        <is>
          <t>Harbour Design Co.</t>
        </is>
      </c>
      <c r="F66" s="126" t="n">
        <v>8039.15</v>
      </c>
      <c r="G66" s="115" t="inlineStr">
        <is>
          <t>Invoice risk</t>
        </is>
      </c>
      <c r="H66" s="115" t="inlineStr">
        <is>
          <t>High</t>
        </is>
      </c>
      <c r="I66" s="115" t="inlineStr">
        <is>
          <t>AR Clerk</t>
        </is>
      </c>
      <c r="J66" s="115" t="inlineStr">
        <is>
          <t>Escalate and follow up</t>
        </is>
      </c>
    </row>
    <row r="67">
      <c r="A67" s="182" t="inlineStr">
        <is>
          <t>EX-0134</t>
        </is>
      </c>
      <c r="B67" s="182" t="inlineStr">
        <is>
          <t>Reconciliation</t>
        </is>
      </c>
      <c r="C67" s="182" t="inlineStr">
        <is>
          <t>REF-100426</t>
        </is>
      </c>
      <c r="D67" s="183" t="n">
        <v>46042</v>
      </c>
      <c r="E67" s="182" t="inlineStr">
        <is>
          <t>Payroll Batch</t>
        </is>
      </c>
      <c r="F67" s="184" t="n">
        <v>-6929.17</v>
      </c>
      <c r="G67" s="182" t="inlineStr">
        <is>
          <t>Missing from bank</t>
        </is>
      </c>
      <c r="H67" s="182" t="inlineStr">
        <is>
          <t>High</t>
        </is>
      </c>
      <c r="I67" s="182" t="inlineStr">
        <is>
          <t>Accounting Technician</t>
        </is>
      </c>
      <c r="J67" s="182" t="inlineStr">
        <is>
          <t>Check bank statement or payment date</t>
        </is>
      </c>
    </row>
    <row r="68">
      <c r="A68" s="115" t="inlineStr">
        <is>
          <t>EX-0142</t>
        </is>
      </c>
      <c r="B68" s="115" t="inlineStr">
        <is>
          <t>Reconciliation</t>
        </is>
      </c>
      <c r="C68" s="115" t="inlineStr">
        <is>
          <t>REF-100459</t>
        </is>
      </c>
      <c r="D68" s="125" t="n">
        <v>46042</v>
      </c>
      <c r="E68" s="115" t="inlineStr">
        <is>
          <t>Staples Canada</t>
        </is>
      </c>
      <c r="F68" s="126" t="n">
        <v>-5465.3</v>
      </c>
      <c r="G68" s="115" t="inlineStr">
        <is>
          <t>Missing from bank</t>
        </is>
      </c>
      <c r="H68" s="115" t="inlineStr">
        <is>
          <t>High</t>
        </is>
      </c>
      <c r="I68" s="115" t="inlineStr">
        <is>
          <t>AP Clerk</t>
        </is>
      </c>
      <c r="J68" s="115" t="inlineStr">
        <is>
          <t>Check bank statement or payment date</t>
        </is>
      </c>
    </row>
    <row r="69">
      <c r="A69" s="182" t="inlineStr">
        <is>
          <t>EX-0198</t>
        </is>
      </c>
      <c r="B69" s="182" t="inlineStr">
        <is>
          <t>Open Invoice</t>
        </is>
      </c>
      <c r="C69" s="182" t="inlineStr">
        <is>
          <t>INV-00014</t>
        </is>
      </c>
      <c r="D69" s="183" t="n">
        <v>46042</v>
      </c>
      <c r="E69" s="182" t="inlineStr">
        <is>
          <t>Harbour Design Co.</t>
        </is>
      </c>
      <c r="F69" s="184" t="n">
        <v>13378.35</v>
      </c>
      <c r="G69" s="182" t="inlineStr">
        <is>
          <t>Invoice risk</t>
        </is>
      </c>
      <c r="H69" s="182" t="inlineStr">
        <is>
          <t>High</t>
        </is>
      </c>
      <c r="I69" s="182" t="inlineStr">
        <is>
          <t>AR Clerk</t>
        </is>
      </c>
      <c r="J69" s="182" t="inlineStr">
        <is>
          <t>Escalate and follow up</t>
        </is>
      </c>
    </row>
    <row r="70">
      <c r="A70" s="115" t="inlineStr">
        <is>
          <t>EX-0294</t>
        </is>
      </c>
      <c r="B70" s="115" t="inlineStr">
        <is>
          <t>Open Invoice</t>
        </is>
      </c>
      <c r="C70" s="115" t="inlineStr">
        <is>
          <t>INV-00191</t>
        </is>
      </c>
      <c r="D70" s="125" t="n">
        <v>46042</v>
      </c>
      <c r="E70" s="115" t="inlineStr">
        <is>
          <t>Raincity Tech</t>
        </is>
      </c>
      <c r="F70" s="126" t="n">
        <v>7821.61</v>
      </c>
      <c r="G70" s="115" t="inlineStr">
        <is>
          <t>Invoice risk</t>
        </is>
      </c>
      <c r="H70" s="115" t="inlineStr">
        <is>
          <t>High</t>
        </is>
      </c>
      <c r="I70" s="115" t="inlineStr">
        <is>
          <t>AR Clerk</t>
        </is>
      </c>
      <c r="J70" s="115" t="inlineStr">
        <is>
          <t>Escalate and follow up</t>
        </is>
      </c>
    </row>
    <row r="71">
      <c r="A71" s="182" t="inlineStr">
        <is>
          <t>EX-0283</t>
        </is>
      </c>
      <c r="B71" s="182" t="inlineStr">
        <is>
          <t>Open Invoice</t>
        </is>
      </c>
      <c r="C71" s="182" t="inlineStr">
        <is>
          <t>INV-00171</t>
        </is>
      </c>
      <c r="D71" s="183" t="n">
        <v>46044</v>
      </c>
      <c r="E71" s="182" t="inlineStr">
        <is>
          <t>Amazon Business</t>
        </is>
      </c>
      <c r="F71" s="184" t="n">
        <v>8165.82</v>
      </c>
      <c r="G71" s="182" t="inlineStr">
        <is>
          <t>Invoice risk</t>
        </is>
      </c>
      <c r="H71" s="182" t="inlineStr">
        <is>
          <t>High</t>
        </is>
      </c>
      <c r="I71" s="182" t="inlineStr">
        <is>
          <t>AP Clerk</t>
        </is>
      </c>
      <c r="J71" s="182" t="inlineStr">
        <is>
          <t>Escalate and follow up</t>
        </is>
      </c>
    </row>
    <row r="72">
      <c r="A72" s="115" t="inlineStr">
        <is>
          <t>EX-0036</t>
        </is>
      </c>
      <c r="B72" s="115" t="inlineStr">
        <is>
          <t>Reconciliation</t>
        </is>
      </c>
      <c r="C72" s="115" t="inlineStr">
        <is>
          <t>REF-100112</t>
        </is>
      </c>
      <c r="D72" s="125" t="n">
        <v>46045</v>
      </c>
      <c r="E72" s="115" t="inlineStr">
        <is>
          <t>Maple Retail Group</t>
        </is>
      </c>
      <c r="F72" s="126" t="n">
        <v>7262.24</v>
      </c>
      <c r="G72" s="115" t="inlineStr">
        <is>
          <t>Missing from bank</t>
        </is>
      </c>
      <c r="H72" s="115" t="inlineStr">
        <is>
          <t>High</t>
        </is>
      </c>
      <c r="I72" s="115" t="inlineStr">
        <is>
          <t>AR Clerk</t>
        </is>
      </c>
      <c r="J72" s="115" t="inlineStr">
        <is>
          <t>Check bank statement or payment date</t>
        </is>
      </c>
    </row>
    <row r="73">
      <c r="A73" s="182" t="inlineStr">
        <is>
          <t>EX-0282</t>
        </is>
      </c>
      <c r="B73" s="182" t="inlineStr">
        <is>
          <t>Open Invoice</t>
        </is>
      </c>
      <c r="C73" s="182" t="inlineStr">
        <is>
          <t>INV-00169</t>
        </is>
      </c>
      <c r="D73" s="183" t="n">
        <v>46045</v>
      </c>
      <c r="E73" s="182" t="inlineStr">
        <is>
          <t>Maple Retail Group</t>
        </is>
      </c>
      <c r="F73" s="184" t="n">
        <v>5623.26</v>
      </c>
      <c r="G73" s="182" t="inlineStr">
        <is>
          <t>Invoice risk</t>
        </is>
      </c>
      <c r="H73" s="182" t="inlineStr">
        <is>
          <t>High</t>
        </is>
      </c>
      <c r="I73" s="182" t="inlineStr">
        <is>
          <t>AR Clerk</t>
        </is>
      </c>
      <c r="J73" s="182" t="inlineStr">
        <is>
          <t>Escalate and follow up</t>
        </is>
      </c>
    </row>
    <row r="74">
      <c r="A74" s="115" t="inlineStr">
        <is>
          <t>EX-0154</t>
        </is>
      </c>
      <c r="B74" s="115" t="inlineStr">
        <is>
          <t>Reconciliation</t>
        </is>
      </c>
      <c r="C74" s="115" t="inlineStr">
        <is>
          <t>REF-100495</t>
        </is>
      </c>
      <c r="D74" s="125" t="n">
        <v>46047</v>
      </c>
      <c r="E74" s="115" t="inlineStr">
        <is>
          <t>Maple Retail Group</t>
        </is>
      </c>
      <c r="F74" s="126" t="n">
        <v>5384.89</v>
      </c>
      <c r="G74" s="115" t="inlineStr">
        <is>
          <t>Missing from bank</t>
        </is>
      </c>
      <c r="H74" s="115" t="inlineStr">
        <is>
          <t>High</t>
        </is>
      </c>
      <c r="I74" s="115" t="inlineStr">
        <is>
          <t>AR Clerk</t>
        </is>
      </c>
      <c r="J74" s="115" t="inlineStr">
        <is>
          <t>Check bank statement or payment date</t>
        </is>
      </c>
    </row>
    <row r="75">
      <c r="A75" s="182" t="inlineStr">
        <is>
          <t>EX-0248</t>
        </is>
      </c>
      <c r="B75" s="182" t="inlineStr">
        <is>
          <t>Open Invoice</t>
        </is>
      </c>
      <c r="C75" s="182" t="inlineStr">
        <is>
          <t>INV-00094</t>
        </is>
      </c>
      <c r="D75" s="183" t="n">
        <v>46047</v>
      </c>
      <c r="E75" s="182" t="inlineStr">
        <is>
          <t>North Shore Telecom</t>
        </is>
      </c>
      <c r="F75" s="184" t="n">
        <v>12112.05</v>
      </c>
      <c r="G75" s="182" t="inlineStr">
        <is>
          <t>Invoice risk</t>
        </is>
      </c>
      <c r="H75" s="182" t="inlineStr">
        <is>
          <t>High</t>
        </is>
      </c>
      <c r="I75" s="182" t="inlineStr">
        <is>
          <t>AP Clerk</t>
        </is>
      </c>
      <c r="J75" s="182" t="inlineStr">
        <is>
          <t>Escalate and follow up</t>
        </is>
      </c>
    </row>
    <row r="76">
      <c r="A76" s="115" t="inlineStr">
        <is>
          <t>EX-0305</t>
        </is>
      </c>
      <c r="B76" s="115" t="inlineStr">
        <is>
          <t>Open Invoice</t>
        </is>
      </c>
      <c r="C76" s="115" t="inlineStr">
        <is>
          <t>INV-00214</t>
        </is>
      </c>
      <c r="D76" s="125" t="n">
        <v>46047</v>
      </c>
      <c r="E76" s="115" t="inlineStr">
        <is>
          <t>BC Hydro</t>
        </is>
      </c>
      <c r="F76" s="126" t="n">
        <v>9987.940000000001</v>
      </c>
      <c r="G76" s="115" t="inlineStr">
        <is>
          <t>Invoice risk</t>
        </is>
      </c>
      <c r="H76" s="115" t="inlineStr">
        <is>
          <t>High</t>
        </is>
      </c>
      <c r="I76" s="115" t="inlineStr">
        <is>
          <t>AP Clerk</t>
        </is>
      </c>
      <c r="J76" s="115" t="inlineStr">
        <is>
          <t>Escalate and follow up</t>
        </is>
      </c>
    </row>
    <row r="77">
      <c r="A77" s="182" t="inlineStr">
        <is>
          <t>EX-0034</t>
        </is>
      </c>
      <c r="B77" s="182" t="inlineStr">
        <is>
          <t>Reconciliation</t>
        </is>
      </c>
      <c r="C77" s="182" t="inlineStr">
        <is>
          <t>REF-100109</t>
        </is>
      </c>
      <c r="D77" s="183" t="n">
        <v>46048</v>
      </c>
      <c r="E77" s="182" t="inlineStr">
        <is>
          <t>Harbour Design Co.</t>
        </is>
      </c>
      <c r="F77" s="184" t="n">
        <v>6766.49</v>
      </c>
      <c r="G77" s="182" t="inlineStr">
        <is>
          <t>Missing from bank</t>
        </is>
      </c>
      <c r="H77" s="182" t="inlineStr">
        <is>
          <t>High</t>
        </is>
      </c>
      <c r="I77" s="182" t="inlineStr">
        <is>
          <t>AR Clerk</t>
        </is>
      </c>
      <c r="J77" s="182" t="inlineStr">
        <is>
          <t>Check bank statement or payment date</t>
        </is>
      </c>
    </row>
    <row r="78">
      <c r="A78" s="115" t="inlineStr">
        <is>
          <t>EX-0112</t>
        </is>
      </c>
      <c r="B78" s="115" t="inlineStr">
        <is>
          <t>Reconciliation</t>
        </is>
      </c>
      <c r="C78" s="115" t="inlineStr">
        <is>
          <t>REF-100362</t>
        </is>
      </c>
      <c r="D78" s="125" t="n">
        <v>46048</v>
      </c>
      <c r="E78" s="115" t="inlineStr">
        <is>
          <t>Maple Retail Group</t>
        </is>
      </c>
      <c r="F78" s="126" t="n">
        <v>8116.56</v>
      </c>
      <c r="G78" s="115" t="inlineStr">
        <is>
          <t>Missing from bank</t>
        </is>
      </c>
      <c r="H78" s="115" t="inlineStr">
        <is>
          <t>High</t>
        </is>
      </c>
      <c r="I78" s="115" t="inlineStr">
        <is>
          <t>AR Clerk</t>
        </is>
      </c>
      <c r="J78" s="115" t="inlineStr">
        <is>
          <t>Check bank statement or payment date</t>
        </is>
      </c>
    </row>
    <row r="79">
      <c r="A79" s="182" t="inlineStr">
        <is>
          <t>EX-0205</t>
        </is>
      </c>
      <c r="B79" s="182" t="inlineStr">
        <is>
          <t>Open Invoice</t>
        </is>
      </c>
      <c r="C79" s="182" t="inlineStr">
        <is>
          <t>INV-00026</t>
        </is>
      </c>
      <c r="D79" s="183" t="n">
        <v>46048</v>
      </c>
      <c r="E79" s="182" t="inlineStr">
        <is>
          <t>Vancouver Courier</t>
        </is>
      </c>
      <c r="F79" s="184" t="n">
        <v>6126.59</v>
      </c>
      <c r="G79" s="182" t="inlineStr">
        <is>
          <t>Invoice risk</t>
        </is>
      </c>
      <c r="H79" s="182" t="inlineStr">
        <is>
          <t>High</t>
        </is>
      </c>
      <c r="I79" s="182" t="inlineStr">
        <is>
          <t>AP Clerk</t>
        </is>
      </c>
      <c r="J79" s="182" t="inlineStr">
        <is>
          <t>Escalate and follow up</t>
        </is>
      </c>
    </row>
    <row r="80">
      <c r="A80" s="115" t="inlineStr">
        <is>
          <t>EX-0219</t>
        </is>
      </c>
      <c r="B80" s="115" t="inlineStr">
        <is>
          <t>Open Invoice</t>
        </is>
      </c>
      <c r="C80" s="115" t="inlineStr">
        <is>
          <t>INV-00054</t>
        </is>
      </c>
      <c r="D80" s="125" t="n">
        <v>46048</v>
      </c>
      <c r="E80" s="115" t="inlineStr">
        <is>
          <t>BC Hydro</t>
        </is>
      </c>
      <c r="F80" s="126" t="n">
        <v>10555.58</v>
      </c>
      <c r="G80" s="115" t="inlineStr">
        <is>
          <t>Invoice risk</t>
        </is>
      </c>
      <c r="H80" s="115" t="inlineStr">
        <is>
          <t>High</t>
        </is>
      </c>
      <c r="I80" s="115" t="inlineStr">
        <is>
          <t>AP Clerk</t>
        </is>
      </c>
      <c r="J80" s="115" t="inlineStr">
        <is>
          <t>Escalate and follow up</t>
        </is>
      </c>
    </row>
    <row r="81">
      <c r="A81" s="182" t="inlineStr">
        <is>
          <t>EX-0260</t>
        </is>
      </c>
      <c r="B81" s="182" t="inlineStr">
        <is>
          <t>Open Invoice</t>
        </is>
      </c>
      <c r="C81" s="182" t="inlineStr">
        <is>
          <t>INV-00118</t>
        </is>
      </c>
      <c r="D81" s="183" t="n">
        <v>46049</v>
      </c>
      <c r="E81" s="182" t="inlineStr">
        <is>
          <t>Maple Retail Group</t>
        </is>
      </c>
      <c r="F81" s="184" t="n">
        <v>13214.92</v>
      </c>
      <c r="G81" s="182" t="inlineStr">
        <is>
          <t>Invoice risk</t>
        </is>
      </c>
      <c r="H81" s="182" t="inlineStr">
        <is>
          <t>High</t>
        </is>
      </c>
      <c r="I81" s="182" t="inlineStr">
        <is>
          <t>AR Clerk</t>
        </is>
      </c>
      <c r="J81" s="182" t="inlineStr">
        <is>
          <t>Escalate and follow up</t>
        </is>
      </c>
    </row>
    <row r="82">
      <c r="A82" s="115" t="inlineStr">
        <is>
          <t>EX-0286</t>
        </is>
      </c>
      <c r="B82" s="115" t="inlineStr">
        <is>
          <t>Open Invoice</t>
        </is>
      </c>
      <c r="C82" s="115" t="inlineStr">
        <is>
          <t>INV-00178</t>
        </is>
      </c>
      <c r="D82" s="125" t="n">
        <v>46049</v>
      </c>
      <c r="E82" s="115" t="inlineStr">
        <is>
          <t>Coastline Foods</t>
        </is>
      </c>
      <c r="F82" s="126" t="n">
        <v>13845.85</v>
      </c>
      <c r="G82" s="115" t="inlineStr">
        <is>
          <t>Invoice risk</t>
        </is>
      </c>
      <c r="H82" s="115" t="inlineStr">
        <is>
          <t>High</t>
        </is>
      </c>
      <c r="I82" s="115" t="inlineStr">
        <is>
          <t>AR Clerk</t>
        </is>
      </c>
      <c r="J82" s="115" t="inlineStr">
        <is>
          <t>Escalate and follow up</t>
        </is>
      </c>
    </row>
    <row r="83">
      <c r="A83" s="182" t="inlineStr">
        <is>
          <t>EX-0010</t>
        </is>
      </c>
      <c r="B83" s="182" t="inlineStr">
        <is>
          <t>Reconciliation</t>
        </is>
      </c>
      <c r="C83" s="182" t="inlineStr">
        <is>
          <t>REF-100043</t>
        </is>
      </c>
      <c r="D83" s="183" t="n">
        <v>46051</v>
      </c>
      <c r="E83" s="182" t="inlineStr">
        <is>
          <t>Payroll Batch</t>
        </is>
      </c>
      <c r="F83" s="184" t="n">
        <v>-16620.64</v>
      </c>
      <c r="G83" s="182" t="inlineStr">
        <is>
          <t>Missing from bank</t>
        </is>
      </c>
      <c r="H83" s="182" t="inlineStr">
        <is>
          <t>High</t>
        </is>
      </c>
      <c r="I83" s="182" t="inlineStr">
        <is>
          <t>Accounting Technician</t>
        </is>
      </c>
      <c r="J83" s="182" t="inlineStr">
        <is>
          <t>Check bank statement or payment date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5D6D7E"/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0" customWidth="1" min="3" max="3"/>
    <col width="28" customWidth="1" min="4" max="4"/>
    <col width="18" customWidth="1" min="5" max="5"/>
    <col width="28" customWidth="1" min="6" max="6"/>
  </cols>
  <sheetData>
    <row r="1" ht="24" customHeight="1">
      <c r="A1" s="185" t="inlineStr">
        <is>
          <t>Power Query Blueprint - How to Automate This Project</t>
        </is>
      </c>
      <c r="B1" s="186" t="n"/>
      <c r="C1" s="186" t="n"/>
      <c r="D1" s="186" t="n"/>
      <c r="E1" s="186" t="n"/>
      <c r="F1" s="186" t="n"/>
    </row>
    <row r="2" ht="22" customHeight="1">
      <c r="A2" s="187" t="n"/>
      <c r="B2" s="187" t="n"/>
      <c r="C2" s="187" t="n"/>
      <c r="D2" s="187" t="n"/>
      <c r="E2" s="187" t="n"/>
      <c r="F2" s="187" t="n"/>
    </row>
    <row r="3" ht="22" customHeight="1">
      <c r="A3" s="188" t="inlineStr">
        <is>
          <t>Step</t>
        </is>
      </c>
      <c r="B3" s="188" t="inlineStr">
        <is>
          <t>Query Name</t>
        </is>
      </c>
      <c r="C3" s="188" t="inlineStr">
        <is>
          <t>Source</t>
        </is>
      </c>
      <c r="D3" s="188" t="inlineStr">
        <is>
          <t>Action</t>
        </is>
      </c>
      <c r="E3" s="188" t="inlineStr">
        <is>
          <t>Output</t>
        </is>
      </c>
      <c r="F3" s="188" t="inlineStr">
        <is>
          <t>Simple explanation</t>
        </is>
      </c>
    </row>
    <row r="4">
      <c r="A4" s="189" t="n">
        <v>1</v>
      </c>
      <c r="B4" s="103" t="inlineStr">
        <is>
          <t>Load_ERP_Transactions</t>
        </is>
      </c>
      <c r="C4" s="103" t="inlineStr">
        <is>
          <t>ERP export CSV</t>
        </is>
      </c>
      <c r="D4" s="101" t="inlineStr">
        <is>
          <t>Change data types, trim text, remove blank rows</t>
        </is>
      </c>
      <c r="E4" s="103" t="inlineStr">
        <is>
          <t>ERP_Transactions</t>
        </is>
      </c>
      <c r="F4" s="103" t="inlineStr">
        <is>
          <t>Clean ERP data before analysis</t>
        </is>
      </c>
    </row>
    <row r="5">
      <c r="A5" s="190" t="n">
        <v>2</v>
      </c>
      <c r="B5" s="191" t="inlineStr">
        <is>
          <t>Load_Bank_Statement</t>
        </is>
      </c>
      <c r="C5" s="191" t="inlineStr">
        <is>
          <t>Bank CSV</t>
        </is>
      </c>
      <c r="D5" s="192" t="inlineStr">
        <is>
          <t>Change date and amount types, clean reference number</t>
        </is>
      </c>
      <c r="E5" s="191" t="inlineStr">
        <is>
          <t>Bank_Statement</t>
        </is>
      </c>
      <c r="F5" s="191" t="inlineStr">
        <is>
          <t>Prepare bank data for matching</t>
        </is>
      </c>
    </row>
    <row r="6">
      <c r="A6" s="189" t="n">
        <v>3</v>
      </c>
      <c r="B6" s="103" t="inlineStr">
        <is>
          <t>Merge_ERP_to_Bank</t>
        </is>
      </c>
      <c r="C6" s="103" t="inlineStr">
        <is>
          <t>ERP + Bank</t>
        </is>
      </c>
      <c r="D6" s="103" t="inlineStr">
        <is>
          <t>Left join by Reference_No</t>
        </is>
      </c>
      <c r="E6" s="103" t="inlineStr">
        <is>
          <t>Reconciliation</t>
        </is>
      </c>
      <c r="F6" s="103" t="inlineStr">
        <is>
          <t>Find bank match for each ERP item</t>
        </is>
      </c>
    </row>
    <row r="7">
      <c r="A7" s="190" t="n">
        <v>4</v>
      </c>
      <c r="B7" s="191" t="inlineStr">
        <is>
          <t>Find_Bank_Only</t>
        </is>
      </c>
      <c r="C7" s="191" t="inlineStr">
        <is>
          <t>Bank + ERP</t>
        </is>
      </c>
      <c r="D7" s="192" t="inlineStr">
        <is>
          <t>Anti join where bank reference is not in ERP</t>
        </is>
      </c>
      <c r="E7" s="191" t="inlineStr">
        <is>
          <t>Exception_Log</t>
        </is>
      </c>
      <c r="F7" s="191" t="inlineStr">
        <is>
          <t>Find bank items missing in ERP</t>
        </is>
      </c>
    </row>
    <row r="8">
      <c r="A8" s="189" t="n">
        <v>5</v>
      </c>
      <c r="B8" s="103" t="inlineStr">
        <is>
          <t>Load_Open_Invoices</t>
        </is>
      </c>
      <c r="C8" s="103" t="inlineStr">
        <is>
          <t>AP/AR aging export</t>
        </is>
      </c>
      <c r="D8" s="103" t="inlineStr">
        <is>
          <t>Calculate open amount and aging bucket</t>
        </is>
      </c>
      <c r="E8" s="103" t="inlineStr">
        <is>
          <t>Open_Invoices</t>
        </is>
      </c>
      <c r="F8" s="103" t="inlineStr">
        <is>
          <t>Find old or high-risk invoices</t>
        </is>
      </c>
    </row>
    <row r="9">
      <c r="A9" s="190" t="n">
        <v>6</v>
      </c>
      <c r="B9" s="191" t="inlineStr">
        <is>
          <t>Build_Model</t>
        </is>
      </c>
      <c r="C9" s="191" t="inlineStr">
        <is>
          <t>All clean tables</t>
        </is>
      </c>
      <c r="D9" s="191" t="inlineStr">
        <is>
          <t>Load to Power Pivot data model</t>
        </is>
      </c>
      <c r="E9" s="191" t="inlineStr">
        <is>
          <t>Analysis_Model</t>
        </is>
      </c>
      <c r="F9" s="191" t="inlineStr">
        <is>
          <t>Create reusable reporting model</t>
        </is>
      </c>
    </row>
    <row r="10">
      <c r="A10" s="189" t="n">
        <v>7</v>
      </c>
      <c r="B10" s="103" t="inlineStr">
        <is>
          <t>Refresh_Dashboard</t>
        </is>
      </c>
      <c r="C10" s="103" t="inlineStr">
        <is>
          <t>Data model</t>
        </is>
      </c>
      <c r="D10" s="103" t="inlineStr">
        <is>
          <t>Refresh all queries and formulas</t>
        </is>
      </c>
      <c r="E10" s="103" t="inlineStr">
        <is>
          <t>Dashboard</t>
        </is>
      </c>
      <c r="F10" s="103" t="inlineStr">
        <is>
          <t>Update KPIs for month-end close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0" customWidth="1" min="4" max="4"/>
    <col width="28" customWidth="1" min="5" max="5"/>
    <col width="17" customWidth="1" min="6" max="6"/>
    <col width="17" customWidth="1" min="7" max="7"/>
  </cols>
  <sheetData>
    <row r="1" ht="24" customHeight="1">
      <c r="A1" s="193" t="inlineStr">
        <is>
          <t>Month-End Close Dashboard</t>
        </is>
      </c>
      <c r="B1" s="194" t="n"/>
      <c r="C1" s="194" t="n"/>
      <c r="D1" s="194" t="n"/>
      <c r="E1" s="194" t="n"/>
      <c r="F1" s="194" t="n"/>
      <c r="G1" s="194" t="n"/>
    </row>
    <row r="2" ht="22" customHeight="1">
      <c r="A2" s="195" t="inlineStr">
        <is>
          <t>Purpose: Show key month-end close risks in one simple view. Start here, then go to Reconciliation or Open_Invoices to fix details.</t>
        </is>
      </c>
      <c r="B2" s="196" t="n"/>
      <c r="C2" s="196" t="n"/>
      <c r="D2" s="196" t="n"/>
      <c r="E2" s="196" t="n"/>
      <c r="F2" s="196" t="n"/>
      <c r="G2" s="196" t="n"/>
    </row>
    <row r="3" ht="22" customHeight="1">
      <c r="A3" s="197" t="n"/>
      <c r="B3" s="197" t="n"/>
      <c r="C3" s="197" t="n"/>
      <c r="D3" s="197" t="n"/>
      <c r="E3" s="197" t="n"/>
      <c r="F3" s="197" t="n"/>
      <c r="G3" s="197" t="n"/>
    </row>
    <row r="4" ht="24" customHeight="1">
      <c r="A4" s="198">
        <f>"Match Rate: "&amp;TEXT(Analysis_Model!B9,"0.0%")</f>
        <v/>
      </c>
      <c r="B4" s="1" t="n"/>
      <c r="C4" s="198">
        <f>"Unmatched ERP: "&amp;TEXT(Analysis_Model!B8,"#,##0")</f>
        <v/>
      </c>
      <c r="D4" s="1" t="n"/>
      <c r="E4" s="198">
        <f>"Bank-only Items: "&amp;TEXT(Analysis_Model!B10,"#,##0")</f>
        <v/>
      </c>
      <c r="F4" s="1" t="n"/>
      <c r="G4" s="85" t="n"/>
    </row>
    <row r="5" ht="38" customHeight="1">
      <c r="A5" s="1" t="n"/>
      <c r="B5" s="1" t="n"/>
      <c r="C5" s="1" t="n"/>
      <c r="D5" s="1" t="n"/>
      <c r="E5" s="1" t="n"/>
      <c r="F5" s="1" t="n"/>
      <c r="G5" s="85" t="n"/>
    </row>
    <row r="6">
      <c r="A6" s="85" t="n"/>
      <c r="B6" s="85" t="n"/>
      <c r="C6" s="85" t="n"/>
      <c r="D6" s="85" t="n"/>
      <c r="E6" s="85" t="n"/>
      <c r="F6" s="85" t="n"/>
      <c r="G6" s="85" t="n"/>
    </row>
    <row r="7" ht="24" customHeight="1">
      <c r="A7" s="198">
        <f>"Open Invoice Amount: "&amp;TEXT(Analysis_Model!B11,"$#,##0")</f>
        <v/>
      </c>
      <c r="B7" s="1" t="n"/>
      <c r="C7" s="198">
        <f>"High-risk Invoices: "&amp;TEXT(Analysis_Model!B12,"#,##0")</f>
        <v/>
      </c>
      <c r="D7" s="1" t="n"/>
      <c r="E7" s="198">
        <f>"Total Exceptions: "&amp;TEXT(Analysis_Model!B13,"#,##0")</f>
        <v/>
      </c>
      <c r="F7" s="1" t="n"/>
      <c r="G7" s="85" t="n"/>
    </row>
    <row r="8" ht="38" customHeight="1">
      <c r="A8" s="1" t="n"/>
      <c r="B8" s="1" t="n"/>
      <c r="C8" s="1" t="n"/>
      <c r="D8" s="1" t="n"/>
      <c r="E8" s="1" t="n"/>
      <c r="F8" s="1" t="n"/>
      <c r="G8" s="85" t="n"/>
    </row>
    <row r="9">
      <c r="A9" s="85" t="n"/>
      <c r="B9" s="85" t="n"/>
      <c r="C9" s="85" t="n"/>
      <c r="D9" s="85" t="n"/>
      <c r="E9" s="85" t="n"/>
      <c r="F9" s="85" t="n"/>
      <c r="G9" s="85" t="n"/>
    </row>
    <row r="10">
      <c r="A10" s="85" t="n"/>
      <c r="B10" s="85" t="n"/>
      <c r="C10" s="85" t="n"/>
      <c r="D10" s="85" t="n"/>
      <c r="E10" s="85" t="n"/>
      <c r="F10" s="85" t="n"/>
      <c r="G10" s="85" t="n"/>
    </row>
    <row r="11">
      <c r="A11" s="199" t="inlineStr">
        <is>
          <t>Reconciliation Status</t>
        </is>
      </c>
      <c r="B11" s="199" t="inlineStr">
        <is>
          <t>Count</t>
        </is>
      </c>
      <c r="C11" s="85" t="n"/>
      <c r="D11" s="199" t="inlineStr">
        <is>
          <t>Aging Bucket</t>
        </is>
      </c>
      <c r="E11" s="199" t="inlineStr">
        <is>
          <t>Open Amount</t>
        </is>
      </c>
      <c r="F11" s="85" t="n"/>
      <c r="G11" s="85" t="n"/>
    </row>
    <row r="12">
      <c r="A12" s="200" t="inlineStr">
        <is>
          <t>Matched</t>
        </is>
      </c>
      <c r="B12" s="201">
        <f>Analysis_Model!F4</f>
        <v/>
      </c>
      <c r="C12" s="85" t="n"/>
      <c r="D12" s="201">
        <f>Analysis_Model!H4</f>
        <v/>
      </c>
      <c r="E12" s="202">
        <f>Analysis_Model!I4</f>
        <v/>
      </c>
      <c r="F12" s="85" t="n"/>
      <c r="G12" s="85" t="n"/>
    </row>
    <row r="13">
      <c r="A13" s="200" t="inlineStr">
        <is>
          <t>Review</t>
        </is>
      </c>
      <c r="B13" s="201">
        <f>Analysis_Model!F5</f>
        <v/>
      </c>
      <c r="C13" s="85" t="n"/>
      <c r="D13" s="201">
        <f>Analysis_Model!H5</f>
        <v/>
      </c>
      <c r="E13" s="202">
        <f>Analysis_Model!I5</f>
        <v/>
      </c>
      <c r="F13" s="85" t="n"/>
      <c r="G13" s="85" t="n"/>
    </row>
    <row r="14">
      <c r="A14" s="200" t="inlineStr">
        <is>
          <t>Unmatched ERP</t>
        </is>
      </c>
      <c r="B14" s="201">
        <f>Analysis_Model!F6</f>
        <v/>
      </c>
      <c r="C14" s="85" t="n"/>
      <c r="D14" s="201">
        <f>Analysis_Model!H6</f>
        <v/>
      </c>
      <c r="E14" s="202">
        <f>Analysis_Model!I6</f>
        <v/>
      </c>
      <c r="F14" s="85" t="n"/>
      <c r="G14" s="85" t="n"/>
    </row>
    <row r="15">
      <c r="A15" s="85" t="n"/>
      <c r="B15" s="85" t="n"/>
      <c r="C15" s="85" t="n"/>
      <c r="D15" s="201">
        <f>Analysis_Model!H7</f>
        <v/>
      </c>
      <c r="E15" s="202">
        <f>Analysis_Model!I7</f>
        <v/>
      </c>
      <c r="F15" s="85" t="n"/>
      <c r="G15" s="85" t="n"/>
    </row>
    <row r="16">
      <c r="A16" s="85" t="n"/>
      <c r="B16" s="85" t="n"/>
      <c r="C16" s="85" t="n"/>
      <c r="D16" s="201">
        <f>Analysis_Model!H8</f>
        <v/>
      </c>
      <c r="E16" s="202">
        <f>Analysis_Model!I8</f>
        <v/>
      </c>
      <c r="F16" s="85" t="n"/>
      <c r="G16" s="85" t="n"/>
    </row>
    <row r="17">
      <c r="A17" s="85" t="n"/>
      <c r="B17" s="85" t="n"/>
      <c r="C17" s="85" t="n"/>
      <c r="D17" s="85" t="n"/>
      <c r="E17" s="85" t="n"/>
      <c r="F17" s="85" t="n"/>
      <c r="G17" s="85" t="n"/>
    </row>
    <row r="18">
      <c r="A18" s="203" t="inlineStr">
        <is>
          <t>How to read this dashboard</t>
        </is>
      </c>
      <c r="B18" s="1" t="n"/>
      <c r="C18" s="1" t="n"/>
      <c r="D18" s="1" t="n"/>
      <c r="E18" s="1" t="n"/>
      <c r="F18" s="1" t="n"/>
      <c r="G18" s="1" t="n"/>
    </row>
    <row r="19">
      <c r="A19" s="200" t="inlineStr">
        <is>
          <t>1</t>
        </is>
      </c>
      <c r="B19" s="204" t="inlineStr">
        <is>
          <t>If match rate is low, check the Reconciliation sheet.</t>
        </is>
      </c>
      <c r="C19" s="85" t="n"/>
      <c r="D19" s="85" t="n"/>
      <c r="E19" s="85" t="n"/>
      <c r="F19" s="85" t="n"/>
      <c r="G19" s="85" t="n"/>
    </row>
    <row r="20">
      <c r="A20" s="200" t="inlineStr">
        <is>
          <t>2</t>
        </is>
      </c>
      <c r="B20" s="204" t="inlineStr">
        <is>
          <t>If there are bank-only items, check if ERP entries are missing.</t>
        </is>
      </c>
      <c r="C20" s="85" t="n"/>
      <c r="D20" s="85" t="n"/>
      <c r="E20" s="85" t="n"/>
      <c r="F20" s="85" t="n"/>
      <c r="G20" s="85" t="n"/>
    </row>
    <row r="21">
      <c r="A21" s="200" t="inlineStr">
        <is>
          <t>3</t>
        </is>
      </c>
      <c r="B21" s="204" t="inlineStr">
        <is>
          <t>If high-risk invoices are high, review Open_Invoices and contact the owner.</t>
        </is>
      </c>
      <c r="C21" s="85" t="n"/>
      <c r="D21" s="85" t="n"/>
      <c r="E21" s="85" t="n"/>
      <c r="F21" s="85" t="n"/>
      <c r="G21" s="85" t="n"/>
    </row>
    <row r="22">
      <c r="A22" s="200" t="inlineStr">
        <is>
          <t>4</t>
        </is>
      </c>
      <c r="B22" s="204" t="inlineStr">
        <is>
          <t>Use Exception_Log to see the most urgent items first.</t>
        </is>
      </c>
      <c r="C22" s="85" t="n"/>
      <c r="D22" s="85" t="n"/>
      <c r="E22" s="85" t="n"/>
      <c r="F22" s="85" t="n"/>
      <c r="G22" s="85" t="n"/>
    </row>
    <row r="23">
      <c r="A23" s="85" t="n"/>
      <c r="B23" s="85" t="n"/>
      <c r="C23" s="85" t="n"/>
      <c r="D23" s="85" t="n"/>
      <c r="E23" s="85" t="n"/>
      <c r="F23" s="85" t="n"/>
      <c r="G23" s="85" t="n"/>
    </row>
    <row r="24">
      <c r="A24" s="85" t="n"/>
      <c r="B24" s="85" t="n"/>
      <c r="C24" s="85" t="n"/>
      <c r="D24" s="85" t="n"/>
      <c r="E24" s="85" t="n"/>
      <c r="F24" s="85" t="n"/>
      <c r="G24" s="85" t="n"/>
    </row>
    <row r="25">
      <c r="A25" s="85" t="n"/>
      <c r="B25" s="85" t="n"/>
      <c r="C25" s="85" t="n"/>
      <c r="D25" s="85" t="n"/>
      <c r="E25" s="85" t="n"/>
      <c r="F25" s="85" t="n"/>
      <c r="G25" s="85" t="n"/>
    </row>
    <row r="26">
      <c r="A26" s="85" t="n"/>
      <c r="B26" s="85" t="n"/>
      <c r="C26" s="85" t="n"/>
      <c r="D26" s="85" t="n"/>
      <c r="E26" s="85" t="n"/>
      <c r="F26" s="85" t="n"/>
      <c r="G26" s="85" t="n"/>
    </row>
    <row r="27">
      <c r="A27" s="85" t="n"/>
      <c r="B27" s="85" t="n"/>
      <c r="C27" s="85" t="n"/>
      <c r="D27" s="85" t="n"/>
      <c r="E27" s="85" t="n"/>
      <c r="F27" s="85" t="n"/>
      <c r="G27" s="85" t="n"/>
    </row>
    <row r="28">
      <c r="A28" s="85" t="n"/>
      <c r="B28" s="85" t="n"/>
      <c r="C28" s="85" t="n"/>
      <c r="D28" s="85" t="n"/>
      <c r="E28" s="85" t="n"/>
      <c r="F28" s="85" t="n"/>
      <c r="G28" s="85" t="n"/>
    </row>
    <row r="29">
      <c r="A29" s="85" t="n"/>
      <c r="B29" s="85" t="n"/>
      <c r="C29" s="85" t="n"/>
      <c r="D29" s="85" t="n"/>
      <c r="E29" s="85" t="n"/>
      <c r="F29" s="85" t="n"/>
      <c r="G29" s="85" t="n"/>
    </row>
    <row r="30">
      <c r="A30" s="199" t="inlineStr">
        <is>
          <t>Module</t>
        </is>
      </c>
      <c r="B30" s="199" t="inlineStr">
        <is>
          <t>Absolute Amount</t>
        </is>
      </c>
      <c r="C30" s="85" t="n"/>
      <c r="D30" s="199" t="inlineStr">
        <is>
          <t>Risk Level</t>
        </is>
      </c>
      <c r="E30" s="199" t="inlineStr">
        <is>
          <t>Count</t>
        </is>
      </c>
      <c r="F30" s="85" t="n"/>
      <c r="G30" s="85" t="n"/>
    </row>
    <row r="31">
      <c r="A31" s="201">
        <f>Analysis_Model!K4</f>
        <v/>
      </c>
      <c r="B31" s="202">
        <f>Analysis_Model!L4</f>
        <v/>
      </c>
      <c r="C31" s="85" t="n"/>
      <c r="D31" s="201">
        <f>Analysis_Model!N4</f>
        <v/>
      </c>
      <c r="E31" s="201">
        <f>Analysis_Model!O4</f>
        <v/>
      </c>
      <c r="F31" s="85" t="n"/>
      <c r="G31" s="85" t="n"/>
    </row>
    <row r="32">
      <c r="A32" s="201">
        <f>Analysis_Model!K5</f>
        <v/>
      </c>
      <c r="B32" s="202">
        <f>Analysis_Model!L5</f>
        <v/>
      </c>
      <c r="C32" s="85" t="n"/>
      <c r="D32" s="201">
        <f>Analysis_Model!N5</f>
        <v/>
      </c>
      <c r="E32" s="201">
        <f>Analysis_Model!O5</f>
        <v/>
      </c>
      <c r="F32" s="85" t="n"/>
      <c r="G32" s="85" t="n"/>
    </row>
    <row r="33">
      <c r="A33" s="201">
        <f>Analysis_Model!K6</f>
        <v/>
      </c>
      <c r="B33" s="202">
        <f>Analysis_Model!L6</f>
        <v/>
      </c>
      <c r="C33" s="85" t="n"/>
      <c r="D33" s="201">
        <f>Analysis_Model!N6</f>
        <v/>
      </c>
      <c r="E33" s="201">
        <f>Analysis_Model!O6</f>
        <v/>
      </c>
      <c r="F33" s="85" t="n"/>
      <c r="G33" s="85" t="n"/>
    </row>
    <row r="34">
      <c r="A34" s="201">
        <f>Analysis_Model!K7</f>
        <v/>
      </c>
      <c r="B34" s="202">
        <f>Analysis_Model!L7</f>
        <v/>
      </c>
      <c r="C34" s="85" t="n"/>
      <c r="D34" s="201">
        <f>Analysis_Model!N7</f>
        <v/>
      </c>
      <c r="E34" s="201">
        <f>Analysis_Model!O7</f>
        <v/>
      </c>
      <c r="F34" s="85" t="n"/>
      <c r="G34" s="85" t="n"/>
    </row>
    <row r="35">
      <c r="A35" s="201">
        <f>Analysis_Model!K8</f>
        <v/>
      </c>
      <c r="B35" s="202">
        <f>Analysis_Model!L8</f>
        <v/>
      </c>
      <c r="C35" s="85" t="n"/>
      <c r="D35" s="85" t="n"/>
      <c r="E35" s="85" t="n"/>
      <c r="F35" s="85" t="n"/>
      <c r="G35" s="85" t="n"/>
    </row>
  </sheetData>
  <mergeCells count="9">
    <mergeCell ref="C4:D5"/>
    <mergeCell ref="A4:B5"/>
    <mergeCell ref="A1:G1"/>
    <mergeCell ref="E4:F5"/>
    <mergeCell ref="A18:G18"/>
    <mergeCell ref="C7:D8"/>
    <mergeCell ref="A7:B8"/>
    <mergeCell ref="E7:F8"/>
    <mergeCell ref="A2:G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2026-06-13T11:48:11Z</dcterms:created>
  <dcterms:modified xmlns:dcterms="http://purl.org/dc/terms/" xmlns:xsi="http://www.w3.org/2001/XMLSchema-instance" xsi:type="dcterms:W3CDTF">2026-06-13T11:48:13Z</dcterms:modified>
</cp:coreProperties>
</file>