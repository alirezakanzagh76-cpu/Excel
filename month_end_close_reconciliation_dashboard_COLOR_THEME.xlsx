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f15a2498358bbb95/EXCEL_PROJECTS/"/>
    </mc:Choice>
  </mc:AlternateContent>
  <xr:revisionPtr revIDLastSave="0" documentId="8_{A2894B44-D920-49C2-9F33-2C84C0E6D13F}" xr6:coauthVersionLast="47" xr6:coauthVersionMax="47" xr10:uidLastSave="{00000000-0000-0000-0000-000000000000}"/>
  <bookViews>
    <workbookView xWindow="5760" yWindow="2988" windowWidth="17280" windowHeight="8880" firstSheet="2" activeTab="7" xr2:uid="{00000000-000D-0000-FFFF-FFFF00000000}"/>
  </bookViews>
  <sheets>
    <sheet name="README" sheetId="1" r:id="rId1"/>
    <sheet name="Mapping_Rules" sheetId="2" r:id="rId2"/>
    <sheet name="ERP_Transactions" sheetId="3" r:id="rId3"/>
    <sheet name="Bank_Statement" sheetId="4" r:id="rId4"/>
    <sheet name="Reconciliation" sheetId="5" r:id="rId5"/>
    <sheet name="Open_Invoices" sheetId="6" r:id="rId6"/>
    <sheet name="Analysis_Model" sheetId="7" r:id="rId7"/>
    <sheet name="Exception_Log" sheetId="8" r:id="rId8"/>
    <sheet name="Power_Query_Blueprint" sheetId="9" r:id="rId9"/>
    <sheet name="Dashboard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5" i="10" l="1"/>
  <c r="D34" i="10"/>
  <c r="A34" i="10"/>
  <c r="D33" i="10"/>
  <c r="A33" i="10"/>
  <c r="D32" i="10"/>
  <c r="A32" i="10"/>
  <c r="D31" i="10"/>
  <c r="A31" i="10"/>
  <c r="D16" i="10"/>
  <c r="D15" i="10"/>
  <c r="D14" i="10"/>
  <c r="D13" i="10"/>
  <c r="D12" i="10"/>
  <c r="B13" i="7"/>
  <c r="E7" i="10" s="1"/>
  <c r="B10" i="7"/>
  <c r="E4" i="10" s="1"/>
  <c r="L8" i="7"/>
  <c r="B35" i="10" s="1"/>
  <c r="L7" i="7"/>
  <c r="B34" i="10" s="1"/>
  <c r="L6" i="7"/>
  <c r="B33" i="10" s="1"/>
  <c r="L5" i="7"/>
  <c r="B32" i="10" s="1"/>
  <c r="B5" i="7"/>
  <c r="L4" i="7"/>
  <c r="B31" i="10" s="1"/>
  <c r="B4" i="7"/>
  <c r="M223" i="6"/>
  <c r="N223" i="6" s="1"/>
  <c r="I223" i="6"/>
  <c r="J223" i="6" s="1"/>
  <c r="H223" i="6"/>
  <c r="M222" i="6"/>
  <c r="N222" i="6" s="1"/>
  <c r="I222" i="6"/>
  <c r="J222" i="6" s="1"/>
  <c r="H222" i="6"/>
  <c r="J221" i="6"/>
  <c r="I221" i="6"/>
  <c r="H221" i="6"/>
  <c r="N220" i="6"/>
  <c r="M220" i="6"/>
  <c r="I220" i="6"/>
  <c r="J220" i="6" s="1"/>
  <c r="H220" i="6"/>
  <c r="N219" i="6"/>
  <c r="M219" i="6"/>
  <c r="J219" i="6"/>
  <c r="I219" i="6"/>
  <c r="H219" i="6"/>
  <c r="N218" i="6"/>
  <c r="M218" i="6"/>
  <c r="J218" i="6"/>
  <c r="I218" i="6"/>
  <c r="H218" i="6"/>
  <c r="J217" i="6"/>
  <c r="I217" i="6"/>
  <c r="H217" i="6"/>
  <c r="M217" i="6" s="1"/>
  <c r="N217" i="6" s="1"/>
  <c r="J216" i="6"/>
  <c r="I216" i="6"/>
  <c r="H216" i="6"/>
  <c r="M216" i="6" s="1"/>
  <c r="N216" i="6" s="1"/>
  <c r="J215" i="6"/>
  <c r="I215" i="6"/>
  <c r="H215" i="6"/>
  <c r="M215" i="6" s="1"/>
  <c r="N215" i="6" s="1"/>
  <c r="M214" i="6"/>
  <c r="N214" i="6" s="1"/>
  <c r="I214" i="6"/>
  <c r="J214" i="6" s="1"/>
  <c r="H214" i="6"/>
  <c r="I213" i="6"/>
  <c r="J213" i="6" s="1"/>
  <c r="H213" i="6"/>
  <c r="M213" i="6" s="1"/>
  <c r="N213" i="6" s="1"/>
  <c r="M212" i="6"/>
  <c r="N212" i="6" s="1"/>
  <c r="I212" i="6"/>
  <c r="J212" i="6" s="1"/>
  <c r="H212" i="6"/>
  <c r="M211" i="6"/>
  <c r="N211" i="6" s="1"/>
  <c r="J211" i="6"/>
  <c r="I211" i="6"/>
  <c r="H211" i="6"/>
  <c r="M210" i="6"/>
  <c r="N210" i="6" s="1"/>
  <c r="I210" i="6"/>
  <c r="J210" i="6" s="1"/>
  <c r="H210" i="6"/>
  <c r="J209" i="6"/>
  <c r="I209" i="6"/>
  <c r="H209" i="6"/>
  <c r="N208" i="6"/>
  <c r="J208" i="6"/>
  <c r="I208" i="6"/>
  <c r="M208" i="6" s="1"/>
  <c r="H208" i="6"/>
  <c r="J207" i="6"/>
  <c r="I207" i="6"/>
  <c r="H207" i="6"/>
  <c r="M207" i="6" s="1"/>
  <c r="N207" i="6" s="1"/>
  <c r="N206" i="6"/>
  <c r="M206" i="6"/>
  <c r="J206" i="6"/>
  <c r="I206" i="6"/>
  <c r="H206" i="6"/>
  <c r="J205" i="6"/>
  <c r="I205" i="6"/>
  <c r="H205" i="6"/>
  <c r="M205" i="6" s="1"/>
  <c r="N205" i="6" s="1"/>
  <c r="I204" i="6"/>
  <c r="J204" i="6" s="1"/>
  <c r="H204" i="6"/>
  <c r="M203" i="6"/>
  <c r="N203" i="6" s="1"/>
  <c r="J203" i="6"/>
  <c r="I203" i="6"/>
  <c r="H203" i="6"/>
  <c r="M202" i="6"/>
  <c r="N202" i="6" s="1"/>
  <c r="I202" i="6"/>
  <c r="J202" i="6" s="1"/>
  <c r="H202" i="6"/>
  <c r="I201" i="6"/>
  <c r="J201" i="6" s="1"/>
  <c r="H201" i="6"/>
  <c r="M201" i="6" s="1"/>
  <c r="N201" i="6" s="1"/>
  <c r="M200" i="6"/>
  <c r="N200" i="6" s="1"/>
  <c r="I200" i="6"/>
  <c r="J200" i="6" s="1"/>
  <c r="H200" i="6"/>
  <c r="M199" i="6"/>
  <c r="N199" i="6" s="1"/>
  <c r="J199" i="6"/>
  <c r="I199" i="6"/>
  <c r="H199" i="6"/>
  <c r="M198" i="6"/>
  <c r="N198" i="6" s="1"/>
  <c r="I198" i="6"/>
  <c r="J198" i="6" s="1"/>
  <c r="H198" i="6"/>
  <c r="J197" i="6"/>
  <c r="I197" i="6"/>
  <c r="H197" i="6"/>
  <c r="N196" i="6"/>
  <c r="J196" i="6"/>
  <c r="I196" i="6"/>
  <c r="M196" i="6" s="1"/>
  <c r="H196" i="6"/>
  <c r="J195" i="6"/>
  <c r="I195" i="6"/>
  <c r="H195" i="6"/>
  <c r="M195" i="6" s="1"/>
  <c r="N195" i="6" s="1"/>
  <c r="M194" i="6"/>
  <c r="N194" i="6" s="1"/>
  <c r="J194" i="6"/>
  <c r="I194" i="6"/>
  <c r="H194" i="6"/>
  <c r="J193" i="6"/>
  <c r="I193" i="6"/>
  <c r="H193" i="6"/>
  <c r="M193" i="6" s="1"/>
  <c r="N193" i="6" s="1"/>
  <c r="M192" i="6"/>
  <c r="N192" i="6" s="1"/>
  <c r="I192" i="6"/>
  <c r="J192" i="6" s="1"/>
  <c r="H192" i="6"/>
  <c r="M191" i="6"/>
  <c r="N191" i="6" s="1"/>
  <c r="J191" i="6"/>
  <c r="I191" i="6"/>
  <c r="H191" i="6"/>
  <c r="M190" i="6"/>
  <c r="N190" i="6" s="1"/>
  <c r="I190" i="6"/>
  <c r="J190" i="6" s="1"/>
  <c r="H190" i="6"/>
  <c r="M189" i="6"/>
  <c r="N189" i="6" s="1"/>
  <c r="I189" i="6"/>
  <c r="J189" i="6" s="1"/>
  <c r="H189" i="6"/>
  <c r="M188" i="6"/>
  <c r="N188" i="6" s="1"/>
  <c r="I188" i="6"/>
  <c r="J188" i="6" s="1"/>
  <c r="H188" i="6"/>
  <c r="M187" i="6"/>
  <c r="N187" i="6" s="1"/>
  <c r="J187" i="6"/>
  <c r="I187" i="6"/>
  <c r="H187" i="6"/>
  <c r="M186" i="6"/>
  <c r="N186" i="6" s="1"/>
  <c r="I186" i="6"/>
  <c r="J186" i="6" s="1"/>
  <c r="H186" i="6"/>
  <c r="J185" i="6"/>
  <c r="I185" i="6"/>
  <c r="H185" i="6"/>
  <c r="N184" i="6"/>
  <c r="M184" i="6"/>
  <c r="J184" i="6"/>
  <c r="I184" i="6"/>
  <c r="H184" i="6"/>
  <c r="N183" i="6"/>
  <c r="J183" i="6"/>
  <c r="I183" i="6"/>
  <c r="H183" i="6"/>
  <c r="M183" i="6" s="1"/>
  <c r="N182" i="6"/>
  <c r="J182" i="6"/>
  <c r="I182" i="6"/>
  <c r="H182" i="6"/>
  <c r="M182" i="6" s="1"/>
  <c r="J181" i="6"/>
  <c r="I181" i="6"/>
  <c r="H181" i="6"/>
  <c r="M181" i="6" s="1"/>
  <c r="N181" i="6" s="1"/>
  <c r="J180" i="6"/>
  <c r="I180" i="6"/>
  <c r="H180" i="6"/>
  <c r="J179" i="6"/>
  <c r="I179" i="6"/>
  <c r="H179" i="6"/>
  <c r="M179" i="6" s="1"/>
  <c r="N179" i="6" s="1"/>
  <c r="I178" i="6"/>
  <c r="J178" i="6" s="1"/>
  <c r="H178" i="6"/>
  <c r="M178" i="6" s="1"/>
  <c r="N178" i="6" s="1"/>
  <c r="I177" i="6"/>
  <c r="J177" i="6" s="1"/>
  <c r="H177" i="6"/>
  <c r="M177" i="6" s="1"/>
  <c r="N177" i="6" s="1"/>
  <c r="M176" i="6"/>
  <c r="N176" i="6" s="1"/>
  <c r="I176" i="6"/>
  <c r="J176" i="6" s="1"/>
  <c r="H176" i="6"/>
  <c r="N175" i="6"/>
  <c r="M175" i="6"/>
  <c r="J175" i="6"/>
  <c r="I175" i="6"/>
  <c r="H175" i="6"/>
  <c r="I174" i="6"/>
  <c r="H174" i="6"/>
  <c r="N173" i="6"/>
  <c r="J173" i="6"/>
  <c r="I173" i="6"/>
  <c r="H173" i="6"/>
  <c r="M173" i="6" s="1"/>
  <c r="N172" i="6"/>
  <c r="J172" i="6"/>
  <c r="I172" i="6"/>
  <c r="M172" i="6" s="1"/>
  <c r="H172" i="6"/>
  <c r="N171" i="6"/>
  <c r="J171" i="6"/>
  <c r="I171" i="6"/>
  <c r="H171" i="6"/>
  <c r="M171" i="6" s="1"/>
  <c r="N170" i="6"/>
  <c r="M170" i="6"/>
  <c r="J170" i="6"/>
  <c r="I170" i="6"/>
  <c r="H170" i="6"/>
  <c r="J169" i="6"/>
  <c r="I169" i="6"/>
  <c r="H169" i="6"/>
  <c r="M169" i="6" s="1"/>
  <c r="N169" i="6" s="1"/>
  <c r="J168" i="6"/>
  <c r="I168" i="6"/>
  <c r="H168" i="6"/>
  <c r="M168" i="6" s="1"/>
  <c r="N168" i="6" s="1"/>
  <c r="J167" i="6"/>
  <c r="I167" i="6"/>
  <c r="H167" i="6"/>
  <c r="M167" i="6" s="1"/>
  <c r="N167" i="6" s="1"/>
  <c r="I166" i="6"/>
  <c r="J166" i="6" s="1"/>
  <c r="H166" i="6"/>
  <c r="M166" i="6" s="1"/>
  <c r="N166" i="6" s="1"/>
  <c r="I165" i="6"/>
  <c r="J165" i="6" s="1"/>
  <c r="H165" i="6"/>
  <c r="M164" i="6"/>
  <c r="N164" i="6" s="1"/>
  <c r="I164" i="6"/>
  <c r="J164" i="6" s="1"/>
  <c r="H164" i="6"/>
  <c r="N163" i="6"/>
  <c r="M163" i="6"/>
  <c r="J163" i="6"/>
  <c r="I163" i="6"/>
  <c r="H163" i="6"/>
  <c r="I162" i="6"/>
  <c r="H162" i="6"/>
  <c r="N161" i="6"/>
  <c r="M161" i="6"/>
  <c r="I161" i="6"/>
  <c r="J161" i="6" s="1"/>
  <c r="H161" i="6"/>
  <c r="I160" i="6"/>
  <c r="M160" i="6" s="1"/>
  <c r="N160" i="6" s="1"/>
  <c r="H160" i="6"/>
  <c r="J159" i="6"/>
  <c r="I159" i="6"/>
  <c r="H159" i="6"/>
  <c r="M159" i="6" s="1"/>
  <c r="N159" i="6" s="1"/>
  <c r="N158" i="6"/>
  <c r="M158" i="6"/>
  <c r="J158" i="6"/>
  <c r="I158" i="6"/>
  <c r="H158" i="6"/>
  <c r="J157" i="6"/>
  <c r="I157" i="6"/>
  <c r="H157" i="6"/>
  <c r="M157" i="6" s="1"/>
  <c r="N157" i="6" s="1"/>
  <c r="J156" i="6"/>
  <c r="I156" i="6"/>
  <c r="M156" i="6" s="1"/>
  <c r="N156" i="6" s="1"/>
  <c r="H156" i="6"/>
  <c r="J155" i="6"/>
  <c r="I155" i="6"/>
  <c r="H155" i="6"/>
  <c r="M155" i="6" s="1"/>
  <c r="N155" i="6" s="1"/>
  <c r="I154" i="6"/>
  <c r="J154" i="6" s="1"/>
  <c r="H154" i="6"/>
  <c r="M154" i="6" s="1"/>
  <c r="N154" i="6" s="1"/>
  <c r="M153" i="6"/>
  <c r="N153" i="6" s="1"/>
  <c r="I153" i="6"/>
  <c r="J153" i="6" s="1"/>
  <c r="H153" i="6"/>
  <c r="M152" i="6"/>
  <c r="N152" i="6" s="1"/>
  <c r="I152" i="6"/>
  <c r="J152" i="6" s="1"/>
  <c r="H152" i="6"/>
  <c r="I151" i="6"/>
  <c r="M151" i="6" s="1"/>
  <c r="N151" i="6" s="1"/>
  <c r="H151" i="6"/>
  <c r="I150" i="6"/>
  <c r="J150" i="6" s="1"/>
  <c r="H150" i="6"/>
  <c r="I149" i="6"/>
  <c r="J149" i="6" s="1"/>
  <c r="H149" i="6"/>
  <c r="I148" i="6"/>
  <c r="M148" i="6" s="1"/>
  <c r="N148" i="6" s="1"/>
  <c r="H148" i="6"/>
  <c r="J147" i="6"/>
  <c r="I147" i="6"/>
  <c r="H147" i="6"/>
  <c r="M147" i="6" s="1"/>
  <c r="N147" i="6" s="1"/>
  <c r="N146" i="6"/>
  <c r="M146" i="6"/>
  <c r="J146" i="6"/>
  <c r="I146" i="6"/>
  <c r="H146" i="6"/>
  <c r="J145" i="6"/>
  <c r="I145" i="6"/>
  <c r="H145" i="6"/>
  <c r="M145" i="6" s="1"/>
  <c r="N145" i="6" s="1"/>
  <c r="I144" i="6"/>
  <c r="H144" i="6"/>
  <c r="J143" i="6"/>
  <c r="I143" i="6"/>
  <c r="H143" i="6"/>
  <c r="M143" i="6" s="1"/>
  <c r="N143" i="6" s="1"/>
  <c r="I142" i="6"/>
  <c r="J142" i="6" s="1"/>
  <c r="H142" i="6"/>
  <c r="M142" i="6" s="1"/>
  <c r="N142" i="6" s="1"/>
  <c r="I141" i="6"/>
  <c r="J141" i="6" s="1"/>
  <c r="H141" i="6"/>
  <c r="M140" i="6"/>
  <c r="N140" i="6" s="1"/>
  <c r="I140" i="6"/>
  <c r="J140" i="6" s="1"/>
  <c r="H140" i="6"/>
  <c r="I139" i="6"/>
  <c r="M139" i="6" s="1"/>
  <c r="N139" i="6" s="1"/>
  <c r="H139" i="6"/>
  <c r="M138" i="6"/>
  <c r="N138" i="6" s="1"/>
  <c r="I138" i="6"/>
  <c r="J138" i="6" s="1"/>
  <c r="H138" i="6"/>
  <c r="N137" i="6"/>
  <c r="M137" i="6"/>
  <c r="J137" i="6"/>
  <c r="I137" i="6"/>
  <c r="H137" i="6"/>
  <c r="I136" i="6"/>
  <c r="H136" i="6"/>
  <c r="N135" i="6"/>
  <c r="M135" i="6"/>
  <c r="J135" i="6"/>
  <c r="I135" i="6"/>
  <c r="H135" i="6"/>
  <c r="J134" i="6"/>
  <c r="I134" i="6"/>
  <c r="H134" i="6"/>
  <c r="M134" i="6" s="1"/>
  <c r="N134" i="6" s="1"/>
  <c r="J133" i="6"/>
  <c r="I133" i="6"/>
  <c r="H133" i="6"/>
  <c r="M133" i="6" s="1"/>
  <c r="N133" i="6" s="1"/>
  <c r="M132" i="6"/>
  <c r="N132" i="6" s="1"/>
  <c r="J132" i="6"/>
  <c r="I132" i="6"/>
  <c r="H132" i="6"/>
  <c r="J131" i="6"/>
  <c r="I131" i="6"/>
  <c r="H131" i="6"/>
  <c r="M131" i="6" s="1"/>
  <c r="N131" i="6" s="1"/>
  <c r="M130" i="6"/>
  <c r="N130" i="6" s="1"/>
  <c r="I130" i="6"/>
  <c r="J130" i="6" s="1"/>
  <c r="H130" i="6"/>
  <c r="M129" i="6"/>
  <c r="N129" i="6" s="1"/>
  <c r="I129" i="6"/>
  <c r="J129" i="6" s="1"/>
  <c r="H129" i="6"/>
  <c r="M128" i="6"/>
  <c r="N128" i="6" s="1"/>
  <c r="I128" i="6"/>
  <c r="J128" i="6" s="1"/>
  <c r="H128" i="6"/>
  <c r="M127" i="6"/>
  <c r="N127" i="6" s="1"/>
  <c r="J127" i="6"/>
  <c r="I127" i="6"/>
  <c r="H127" i="6"/>
  <c r="N126" i="6"/>
  <c r="M126" i="6"/>
  <c r="I126" i="6"/>
  <c r="J126" i="6" s="1"/>
  <c r="H126" i="6"/>
  <c r="J125" i="6"/>
  <c r="I125" i="6"/>
  <c r="H125" i="6"/>
  <c r="N124" i="6"/>
  <c r="J124" i="6"/>
  <c r="I124" i="6"/>
  <c r="M124" i="6" s="1"/>
  <c r="H124" i="6"/>
  <c r="N123" i="6"/>
  <c r="J123" i="6"/>
  <c r="I123" i="6"/>
  <c r="H123" i="6"/>
  <c r="M123" i="6" s="1"/>
  <c r="J122" i="6"/>
  <c r="I122" i="6"/>
  <c r="H122" i="6"/>
  <c r="M122" i="6" s="1"/>
  <c r="N122" i="6" s="1"/>
  <c r="J121" i="6"/>
  <c r="I121" i="6"/>
  <c r="H121" i="6"/>
  <c r="M121" i="6" s="1"/>
  <c r="N121" i="6" s="1"/>
  <c r="M120" i="6"/>
  <c r="N120" i="6" s="1"/>
  <c r="J120" i="6"/>
  <c r="I120" i="6"/>
  <c r="H120" i="6"/>
  <c r="J119" i="6"/>
  <c r="I119" i="6"/>
  <c r="H119" i="6"/>
  <c r="M119" i="6" s="1"/>
  <c r="N119" i="6" s="1"/>
  <c r="M118" i="6"/>
  <c r="N118" i="6" s="1"/>
  <c r="I118" i="6"/>
  <c r="J118" i="6" s="1"/>
  <c r="H118" i="6"/>
  <c r="N117" i="6"/>
  <c r="M117" i="6"/>
  <c r="I117" i="6"/>
  <c r="J117" i="6" s="1"/>
  <c r="H117" i="6"/>
  <c r="M116" i="6"/>
  <c r="N116" i="6" s="1"/>
  <c r="I116" i="6"/>
  <c r="J116" i="6" s="1"/>
  <c r="H116" i="6"/>
  <c r="M115" i="6"/>
  <c r="N115" i="6" s="1"/>
  <c r="J115" i="6"/>
  <c r="I115" i="6"/>
  <c r="H115" i="6"/>
  <c r="N114" i="6"/>
  <c r="M114" i="6"/>
  <c r="I114" i="6"/>
  <c r="J114" i="6" s="1"/>
  <c r="H114" i="6"/>
  <c r="J113" i="6"/>
  <c r="I113" i="6"/>
  <c r="H113" i="6"/>
  <c r="N112" i="6"/>
  <c r="J112" i="6"/>
  <c r="I112" i="6"/>
  <c r="M112" i="6" s="1"/>
  <c r="H112" i="6"/>
  <c r="N111" i="6"/>
  <c r="J111" i="6"/>
  <c r="I111" i="6"/>
  <c r="H111" i="6"/>
  <c r="M111" i="6" s="1"/>
  <c r="J110" i="6"/>
  <c r="I110" i="6"/>
  <c r="H110" i="6"/>
  <c r="M110" i="6" s="1"/>
  <c r="N110" i="6" s="1"/>
  <c r="J109" i="6"/>
  <c r="I109" i="6"/>
  <c r="H109" i="6"/>
  <c r="M109" i="6" s="1"/>
  <c r="N109" i="6" s="1"/>
  <c r="M108" i="6"/>
  <c r="N108" i="6" s="1"/>
  <c r="J108" i="6"/>
  <c r="I108" i="6"/>
  <c r="H108" i="6"/>
  <c r="J107" i="6"/>
  <c r="I107" i="6"/>
  <c r="H107" i="6"/>
  <c r="M107" i="6" s="1"/>
  <c r="N107" i="6" s="1"/>
  <c r="I106" i="6"/>
  <c r="J106" i="6" s="1"/>
  <c r="H106" i="6"/>
  <c r="M106" i="6" s="1"/>
  <c r="N106" i="6" s="1"/>
  <c r="M105" i="6"/>
  <c r="N105" i="6" s="1"/>
  <c r="I105" i="6"/>
  <c r="J105" i="6" s="1"/>
  <c r="H105" i="6"/>
  <c r="I104" i="6"/>
  <c r="J104" i="6" s="1"/>
  <c r="H104" i="6"/>
  <c r="M103" i="6"/>
  <c r="N103" i="6" s="1"/>
  <c r="J103" i="6"/>
  <c r="I103" i="6"/>
  <c r="H103" i="6"/>
  <c r="M102" i="6"/>
  <c r="N102" i="6" s="1"/>
  <c r="I102" i="6"/>
  <c r="J102" i="6" s="1"/>
  <c r="H102" i="6"/>
  <c r="J101" i="6"/>
  <c r="I101" i="6"/>
  <c r="H101" i="6"/>
  <c r="N100" i="6"/>
  <c r="J100" i="6"/>
  <c r="I100" i="6"/>
  <c r="M100" i="6" s="1"/>
  <c r="H100" i="6"/>
  <c r="N99" i="6"/>
  <c r="J99" i="6"/>
  <c r="I99" i="6"/>
  <c r="H99" i="6"/>
  <c r="M99" i="6" s="1"/>
  <c r="J98" i="6"/>
  <c r="I98" i="6"/>
  <c r="H98" i="6"/>
  <c r="M98" i="6" s="1"/>
  <c r="N98" i="6" s="1"/>
  <c r="N97" i="6"/>
  <c r="J97" i="6"/>
  <c r="I97" i="6"/>
  <c r="H97" i="6"/>
  <c r="M97" i="6" s="1"/>
  <c r="M96" i="6"/>
  <c r="N96" i="6" s="1"/>
  <c r="J96" i="6"/>
  <c r="I96" i="6"/>
  <c r="H96" i="6"/>
  <c r="J95" i="6"/>
  <c r="I95" i="6"/>
  <c r="H95" i="6"/>
  <c r="M95" i="6" s="1"/>
  <c r="N95" i="6" s="1"/>
  <c r="I94" i="6"/>
  <c r="J94" i="6" s="1"/>
  <c r="H94" i="6"/>
  <c r="M94" i="6" s="1"/>
  <c r="N94" i="6" s="1"/>
  <c r="M93" i="6"/>
  <c r="N93" i="6" s="1"/>
  <c r="I93" i="6"/>
  <c r="J93" i="6" s="1"/>
  <c r="H93" i="6"/>
  <c r="M92" i="6"/>
  <c r="N92" i="6" s="1"/>
  <c r="I92" i="6"/>
  <c r="J92" i="6" s="1"/>
  <c r="H92" i="6"/>
  <c r="M91" i="6"/>
  <c r="N91" i="6" s="1"/>
  <c r="J91" i="6"/>
  <c r="I91" i="6"/>
  <c r="H91" i="6"/>
  <c r="N90" i="6"/>
  <c r="M90" i="6"/>
  <c r="I90" i="6"/>
  <c r="J90" i="6" s="1"/>
  <c r="H90" i="6"/>
  <c r="J89" i="6"/>
  <c r="I89" i="6"/>
  <c r="H89" i="6"/>
  <c r="N88" i="6"/>
  <c r="J88" i="6"/>
  <c r="I88" i="6"/>
  <c r="M88" i="6" s="1"/>
  <c r="H88" i="6"/>
  <c r="N87" i="6"/>
  <c r="J87" i="6"/>
  <c r="I87" i="6"/>
  <c r="H87" i="6"/>
  <c r="M87" i="6" s="1"/>
  <c r="J86" i="6"/>
  <c r="I86" i="6"/>
  <c r="H86" i="6"/>
  <c r="M86" i="6" s="1"/>
  <c r="N86" i="6" s="1"/>
  <c r="N85" i="6"/>
  <c r="J85" i="6"/>
  <c r="I85" i="6"/>
  <c r="H85" i="6"/>
  <c r="M85" i="6" s="1"/>
  <c r="M84" i="6"/>
  <c r="N84" i="6" s="1"/>
  <c r="J84" i="6"/>
  <c r="I84" i="6"/>
  <c r="H84" i="6"/>
  <c r="J83" i="6"/>
  <c r="I83" i="6"/>
  <c r="H83" i="6"/>
  <c r="M83" i="6" s="1"/>
  <c r="N83" i="6" s="1"/>
  <c r="I82" i="6"/>
  <c r="J82" i="6" s="1"/>
  <c r="H82" i="6"/>
  <c r="M82" i="6" s="1"/>
  <c r="N82" i="6" s="1"/>
  <c r="N81" i="6"/>
  <c r="I81" i="6"/>
  <c r="J81" i="6" s="1"/>
  <c r="H81" i="6"/>
  <c r="M81" i="6" s="1"/>
  <c r="M80" i="6"/>
  <c r="N80" i="6" s="1"/>
  <c r="I80" i="6"/>
  <c r="J80" i="6" s="1"/>
  <c r="H80" i="6"/>
  <c r="I79" i="6"/>
  <c r="J79" i="6" s="1"/>
  <c r="H79" i="6"/>
  <c r="N78" i="6"/>
  <c r="M78" i="6"/>
  <c r="I78" i="6"/>
  <c r="J78" i="6" s="1"/>
  <c r="H78" i="6"/>
  <c r="I77" i="6"/>
  <c r="J77" i="6" s="1"/>
  <c r="H77" i="6"/>
  <c r="M77" i="6" s="1"/>
  <c r="N77" i="6" s="1"/>
  <c r="J76" i="6"/>
  <c r="I76" i="6"/>
  <c r="M76" i="6" s="1"/>
  <c r="N76" i="6" s="1"/>
  <c r="H76" i="6"/>
  <c r="I75" i="6"/>
  <c r="J75" i="6" s="1"/>
  <c r="H75" i="6"/>
  <c r="M75" i="6" s="1"/>
  <c r="N75" i="6" s="1"/>
  <c r="J74" i="6"/>
  <c r="I74" i="6"/>
  <c r="H74" i="6"/>
  <c r="M74" i="6" s="1"/>
  <c r="N74" i="6" s="1"/>
  <c r="N73" i="6"/>
  <c r="J73" i="6"/>
  <c r="I73" i="6"/>
  <c r="H73" i="6"/>
  <c r="M73" i="6" s="1"/>
  <c r="M72" i="6"/>
  <c r="N72" i="6" s="1"/>
  <c r="J72" i="6"/>
  <c r="I72" i="6"/>
  <c r="H72" i="6"/>
  <c r="J71" i="6"/>
  <c r="I71" i="6"/>
  <c r="H71" i="6"/>
  <c r="M71" i="6" s="1"/>
  <c r="N71" i="6" s="1"/>
  <c r="M70" i="6"/>
  <c r="N70" i="6" s="1"/>
  <c r="J70" i="6"/>
  <c r="I70" i="6"/>
  <c r="H70" i="6"/>
  <c r="M69" i="6"/>
  <c r="N69" i="6" s="1"/>
  <c r="I69" i="6"/>
  <c r="J69" i="6" s="1"/>
  <c r="H69" i="6"/>
  <c r="I68" i="6"/>
  <c r="J68" i="6" s="1"/>
  <c r="H68" i="6"/>
  <c r="M67" i="6"/>
  <c r="N67" i="6" s="1"/>
  <c r="J67" i="6"/>
  <c r="I67" i="6"/>
  <c r="H67" i="6"/>
  <c r="M66" i="6"/>
  <c r="N66" i="6" s="1"/>
  <c r="I66" i="6"/>
  <c r="J66" i="6" s="1"/>
  <c r="H66" i="6"/>
  <c r="I65" i="6"/>
  <c r="J65" i="6" s="1"/>
  <c r="H65" i="6"/>
  <c r="M65" i="6" s="1"/>
  <c r="N65" i="6" s="1"/>
  <c r="N64" i="6"/>
  <c r="J64" i="6"/>
  <c r="I64" i="6"/>
  <c r="M64" i="6" s="1"/>
  <c r="H64" i="6"/>
  <c r="J63" i="6"/>
  <c r="I63" i="6"/>
  <c r="H63" i="6"/>
  <c r="M63" i="6" s="1"/>
  <c r="N63" i="6" s="1"/>
  <c r="N62" i="6"/>
  <c r="J62" i="6"/>
  <c r="I62" i="6"/>
  <c r="H62" i="6"/>
  <c r="M62" i="6" s="1"/>
  <c r="J61" i="6"/>
  <c r="I61" i="6"/>
  <c r="H61" i="6"/>
  <c r="M61" i="6" s="1"/>
  <c r="N61" i="6" s="1"/>
  <c r="I60" i="6"/>
  <c r="J60" i="6" s="1"/>
  <c r="H60" i="6"/>
  <c r="M59" i="6"/>
  <c r="N59" i="6" s="1"/>
  <c r="J59" i="6"/>
  <c r="I59" i="6"/>
  <c r="H59" i="6"/>
  <c r="I58" i="6"/>
  <c r="J58" i="6" s="1"/>
  <c r="H58" i="6"/>
  <c r="M58" i="6" s="1"/>
  <c r="N58" i="6" s="1"/>
  <c r="I57" i="6"/>
  <c r="H57" i="6"/>
  <c r="M56" i="6"/>
  <c r="N56" i="6" s="1"/>
  <c r="I56" i="6"/>
  <c r="J56" i="6" s="1"/>
  <c r="H56" i="6"/>
  <c r="I55" i="6"/>
  <c r="M55" i="6" s="1"/>
  <c r="N55" i="6" s="1"/>
  <c r="H55" i="6"/>
  <c r="I54" i="6"/>
  <c r="J54" i="6" s="1"/>
  <c r="H54" i="6"/>
  <c r="N53" i="6"/>
  <c r="M53" i="6"/>
  <c r="J53" i="6"/>
  <c r="I53" i="6"/>
  <c r="H53" i="6"/>
  <c r="N52" i="6"/>
  <c r="J52" i="6"/>
  <c r="I52" i="6"/>
  <c r="M52" i="6" s="1"/>
  <c r="H52" i="6"/>
  <c r="J51" i="6"/>
  <c r="I51" i="6"/>
  <c r="H51" i="6"/>
  <c r="M51" i="6" s="1"/>
  <c r="N51" i="6" s="1"/>
  <c r="M50" i="6"/>
  <c r="N50" i="6" s="1"/>
  <c r="J50" i="6"/>
  <c r="I50" i="6"/>
  <c r="H50" i="6"/>
  <c r="J49" i="6"/>
  <c r="I49" i="6"/>
  <c r="H49" i="6"/>
  <c r="M49" i="6" s="1"/>
  <c r="N49" i="6" s="1"/>
  <c r="J48" i="6"/>
  <c r="I48" i="6"/>
  <c r="H48" i="6"/>
  <c r="M48" i="6" s="1"/>
  <c r="N48" i="6" s="1"/>
  <c r="J47" i="6"/>
  <c r="I47" i="6"/>
  <c r="H47" i="6"/>
  <c r="M47" i="6" s="1"/>
  <c r="N47" i="6" s="1"/>
  <c r="M46" i="6"/>
  <c r="N46" i="6" s="1"/>
  <c r="I46" i="6"/>
  <c r="J46" i="6" s="1"/>
  <c r="H46" i="6"/>
  <c r="M45" i="6"/>
  <c r="N45" i="6" s="1"/>
  <c r="I45" i="6"/>
  <c r="J45" i="6" s="1"/>
  <c r="H45" i="6"/>
  <c r="M44" i="6"/>
  <c r="N44" i="6" s="1"/>
  <c r="I44" i="6"/>
  <c r="J44" i="6" s="1"/>
  <c r="H44" i="6"/>
  <c r="I43" i="6"/>
  <c r="H43" i="6"/>
  <c r="M42" i="6"/>
  <c r="N42" i="6" s="1"/>
  <c r="I42" i="6"/>
  <c r="J42" i="6" s="1"/>
  <c r="H42" i="6"/>
  <c r="I41" i="6"/>
  <c r="J41" i="6" s="1"/>
  <c r="H41" i="6"/>
  <c r="M41" i="6" s="1"/>
  <c r="N41" i="6" s="1"/>
  <c r="J40" i="6"/>
  <c r="I40" i="6"/>
  <c r="M40" i="6" s="1"/>
  <c r="N40" i="6" s="1"/>
  <c r="H40" i="6"/>
  <c r="J39" i="6"/>
  <c r="I39" i="6"/>
  <c r="H39" i="6"/>
  <c r="M38" i="6"/>
  <c r="N38" i="6" s="1"/>
  <c r="J38" i="6"/>
  <c r="I38" i="6"/>
  <c r="H38" i="6"/>
  <c r="N37" i="6"/>
  <c r="J37" i="6"/>
  <c r="I37" i="6"/>
  <c r="H37" i="6"/>
  <c r="M37" i="6" s="1"/>
  <c r="M36" i="6"/>
  <c r="N36" i="6" s="1"/>
  <c r="J36" i="6"/>
  <c r="I36" i="6"/>
  <c r="H36" i="6"/>
  <c r="J35" i="6"/>
  <c r="I35" i="6"/>
  <c r="H35" i="6"/>
  <c r="M35" i="6" s="1"/>
  <c r="N35" i="6" s="1"/>
  <c r="M34" i="6"/>
  <c r="N34" i="6" s="1"/>
  <c r="I34" i="6"/>
  <c r="J34" i="6" s="1"/>
  <c r="H34" i="6"/>
  <c r="N33" i="6"/>
  <c r="I33" i="6"/>
  <c r="J33" i="6" s="1"/>
  <c r="H33" i="6"/>
  <c r="M33" i="6" s="1"/>
  <c r="M32" i="6"/>
  <c r="N32" i="6" s="1"/>
  <c r="I32" i="6"/>
  <c r="J32" i="6" s="1"/>
  <c r="H32" i="6"/>
  <c r="N31" i="6"/>
  <c r="M31" i="6"/>
  <c r="I31" i="6"/>
  <c r="J31" i="6" s="1"/>
  <c r="H31" i="6"/>
  <c r="N30" i="6"/>
  <c r="M30" i="6"/>
  <c r="I30" i="6"/>
  <c r="J30" i="6" s="1"/>
  <c r="H30" i="6"/>
  <c r="I29" i="6"/>
  <c r="J29" i="6" s="1"/>
  <c r="H29" i="6"/>
  <c r="J28" i="6"/>
  <c r="I28" i="6"/>
  <c r="M28" i="6" s="1"/>
  <c r="N28" i="6" s="1"/>
  <c r="H28" i="6"/>
  <c r="I27" i="6"/>
  <c r="J27" i="6" s="1"/>
  <c r="H27" i="6"/>
  <c r="M27" i="6" s="1"/>
  <c r="N27" i="6" s="1"/>
  <c r="J26" i="6"/>
  <c r="I26" i="6"/>
  <c r="H26" i="6"/>
  <c r="M26" i="6" s="1"/>
  <c r="N26" i="6" s="1"/>
  <c r="N25" i="6"/>
  <c r="J25" i="6"/>
  <c r="I25" i="6"/>
  <c r="H25" i="6"/>
  <c r="M25" i="6" s="1"/>
  <c r="M24" i="6"/>
  <c r="N24" i="6" s="1"/>
  <c r="J24" i="6"/>
  <c r="I24" i="6"/>
  <c r="H24" i="6"/>
  <c r="J23" i="6"/>
  <c r="I23" i="6"/>
  <c r="H23" i="6"/>
  <c r="M23" i="6" s="1"/>
  <c r="N23" i="6" s="1"/>
  <c r="M22" i="6"/>
  <c r="N22" i="6" s="1"/>
  <c r="J22" i="6"/>
  <c r="I22" i="6"/>
  <c r="H22" i="6"/>
  <c r="M21" i="6"/>
  <c r="N21" i="6" s="1"/>
  <c r="I21" i="6"/>
  <c r="J21" i="6" s="1"/>
  <c r="H21" i="6"/>
  <c r="M20" i="6"/>
  <c r="N20" i="6" s="1"/>
  <c r="I20" i="6"/>
  <c r="J20" i="6" s="1"/>
  <c r="H20" i="6"/>
  <c r="N19" i="6"/>
  <c r="M19" i="6"/>
  <c r="J19" i="6"/>
  <c r="I19" i="6"/>
  <c r="H19" i="6"/>
  <c r="M18" i="6"/>
  <c r="N18" i="6" s="1"/>
  <c r="I18" i="6"/>
  <c r="J18" i="6" s="1"/>
  <c r="H18" i="6"/>
  <c r="I17" i="6"/>
  <c r="J17" i="6" s="1"/>
  <c r="H17" i="6"/>
  <c r="M17" i="6" s="1"/>
  <c r="N17" i="6" s="1"/>
  <c r="N16" i="6"/>
  <c r="J16" i="6"/>
  <c r="I16" i="6"/>
  <c r="M16" i="6" s="1"/>
  <c r="H16" i="6"/>
  <c r="J15" i="6"/>
  <c r="I15" i="6"/>
  <c r="H15" i="6"/>
  <c r="M15" i="6" s="1"/>
  <c r="N15" i="6" s="1"/>
  <c r="N14" i="6"/>
  <c r="J14" i="6"/>
  <c r="I14" i="6"/>
  <c r="H14" i="6"/>
  <c r="M14" i="6" s="1"/>
  <c r="J13" i="6"/>
  <c r="I13" i="6"/>
  <c r="H13" i="6"/>
  <c r="M13" i="6" s="1"/>
  <c r="N13" i="6" s="1"/>
  <c r="I12" i="6"/>
  <c r="J12" i="6" s="1"/>
  <c r="H12" i="6"/>
  <c r="M11" i="6"/>
  <c r="N11" i="6" s="1"/>
  <c r="J11" i="6"/>
  <c r="I11" i="6"/>
  <c r="H11" i="6"/>
  <c r="I10" i="6"/>
  <c r="J10" i="6" s="1"/>
  <c r="H10" i="6"/>
  <c r="M10" i="6" s="1"/>
  <c r="N10" i="6" s="1"/>
  <c r="M9" i="6"/>
  <c r="N9" i="6" s="1"/>
  <c r="I9" i="6"/>
  <c r="J9" i="6" s="1"/>
  <c r="H9" i="6"/>
  <c r="I8" i="6"/>
  <c r="J8" i="6" s="1"/>
  <c r="H8" i="6"/>
  <c r="M8" i="6" s="1"/>
  <c r="N8" i="6" s="1"/>
  <c r="I7" i="6"/>
  <c r="H7" i="6"/>
  <c r="I6" i="6"/>
  <c r="J6" i="6" s="1"/>
  <c r="H6" i="6"/>
  <c r="N5" i="6"/>
  <c r="M5" i="6"/>
  <c r="J5" i="6"/>
  <c r="I5" i="6"/>
  <c r="H5" i="6"/>
  <c r="J4" i="6"/>
  <c r="I4" i="6"/>
  <c r="M4" i="6" s="1"/>
  <c r="H4" i="6"/>
  <c r="I503" i="5"/>
  <c r="J503" i="5" s="1"/>
  <c r="G503" i="5"/>
  <c r="K503" i="5" s="1"/>
  <c r="I502" i="5"/>
  <c r="J502" i="5" s="1"/>
  <c r="H502" i="5"/>
  <c r="G502" i="5"/>
  <c r="K502" i="5" s="1"/>
  <c r="I501" i="5"/>
  <c r="J501" i="5" s="1"/>
  <c r="G501" i="5"/>
  <c r="I500" i="5"/>
  <c r="J500" i="5" s="1"/>
  <c r="G500" i="5"/>
  <c r="H500" i="5" s="1"/>
  <c r="I499" i="5"/>
  <c r="J499" i="5" s="1"/>
  <c r="G499" i="5"/>
  <c r="K499" i="5" s="1"/>
  <c r="L499" i="5" s="1"/>
  <c r="I498" i="5"/>
  <c r="J498" i="5" s="1"/>
  <c r="G498" i="5"/>
  <c r="K498" i="5" s="1"/>
  <c r="L498" i="5" s="1"/>
  <c r="N498" i="5" s="1"/>
  <c r="I497" i="5"/>
  <c r="J497" i="5" s="1"/>
  <c r="G497" i="5"/>
  <c r="H497" i="5" s="1"/>
  <c r="I496" i="5"/>
  <c r="J496" i="5" s="1"/>
  <c r="G496" i="5"/>
  <c r="I495" i="5"/>
  <c r="J495" i="5" s="1"/>
  <c r="G495" i="5"/>
  <c r="H495" i="5" s="1"/>
  <c r="I494" i="5"/>
  <c r="J494" i="5" s="1"/>
  <c r="G494" i="5"/>
  <c r="K494" i="5" s="1"/>
  <c r="S494" i="5" s="1"/>
  <c r="J493" i="5"/>
  <c r="I493" i="5"/>
  <c r="G493" i="5"/>
  <c r="H493" i="5" s="1"/>
  <c r="I492" i="5"/>
  <c r="J492" i="5" s="1"/>
  <c r="G492" i="5"/>
  <c r="J491" i="5"/>
  <c r="I491" i="5"/>
  <c r="G491" i="5"/>
  <c r="H491" i="5" s="1"/>
  <c r="J490" i="5"/>
  <c r="I490" i="5"/>
  <c r="G490" i="5"/>
  <c r="K490" i="5" s="1"/>
  <c r="I489" i="5"/>
  <c r="J489" i="5" s="1"/>
  <c r="G489" i="5"/>
  <c r="H489" i="5" s="1"/>
  <c r="I488" i="5"/>
  <c r="J488" i="5" s="1"/>
  <c r="G488" i="5"/>
  <c r="I487" i="5"/>
  <c r="J487" i="5" s="1"/>
  <c r="G487" i="5"/>
  <c r="H487" i="5" s="1"/>
  <c r="I486" i="5"/>
  <c r="J486" i="5" s="1"/>
  <c r="G486" i="5"/>
  <c r="K486" i="5" s="1"/>
  <c r="I485" i="5"/>
  <c r="J485" i="5" s="1"/>
  <c r="G485" i="5"/>
  <c r="I484" i="5"/>
  <c r="J484" i="5" s="1"/>
  <c r="G484" i="5"/>
  <c r="I483" i="5"/>
  <c r="J483" i="5" s="1"/>
  <c r="H483" i="5"/>
  <c r="G483" i="5"/>
  <c r="K483" i="5" s="1"/>
  <c r="M483" i="5" s="1"/>
  <c r="I482" i="5"/>
  <c r="J482" i="5" s="1"/>
  <c r="G482" i="5"/>
  <c r="K482" i="5" s="1"/>
  <c r="J481" i="5"/>
  <c r="I481" i="5"/>
  <c r="G481" i="5"/>
  <c r="I480" i="5"/>
  <c r="J480" i="5" s="1"/>
  <c r="G480" i="5"/>
  <c r="I479" i="5"/>
  <c r="J479" i="5" s="1"/>
  <c r="G479" i="5"/>
  <c r="K479" i="5" s="1"/>
  <c r="I478" i="5"/>
  <c r="J478" i="5" s="1"/>
  <c r="G478" i="5"/>
  <c r="K478" i="5" s="1"/>
  <c r="I477" i="5"/>
  <c r="J477" i="5" s="1"/>
  <c r="G477" i="5"/>
  <c r="J476" i="5"/>
  <c r="I476" i="5"/>
  <c r="G476" i="5"/>
  <c r="I475" i="5"/>
  <c r="J475" i="5" s="1"/>
  <c r="G475" i="5"/>
  <c r="I474" i="5"/>
  <c r="J474" i="5" s="1"/>
  <c r="G474" i="5"/>
  <c r="K474" i="5" s="1"/>
  <c r="L474" i="5" s="1"/>
  <c r="I473" i="5"/>
  <c r="J473" i="5" s="1"/>
  <c r="G473" i="5"/>
  <c r="H473" i="5" s="1"/>
  <c r="I472" i="5"/>
  <c r="J472" i="5" s="1"/>
  <c r="G472" i="5"/>
  <c r="I471" i="5"/>
  <c r="J471" i="5" s="1"/>
  <c r="G471" i="5"/>
  <c r="H471" i="5" s="1"/>
  <c r="I470" i="5"/>
  <c r="J470" i="5" s="1"/>
  <c r="G470" i="5"/>
  <c r="K470" i="5" s="1"/>
  <c r="I469" i="5"/>
  <c r="J469" i="5" s="1"/>
  <c r="G469" i="5"/>
  <c r="H469" i="5" s="1"/>
  <c r="K468" i="5"/>
  <c r="L468" i="5" s="1"/>
  <c r="I468" i="5"/>
  <c r="J468" i="5" s="1"/>
  <c r="G468" i="5"/>
  <c r="H468" i="5" s="1"/>
  <c r="I467" i="5"/>
  <c r="J467" i="5" s="1"/>
  <c r="G467" i="5"/>
  <c r="K467" i="5" s="1"/>
  <c r="I466" i="5"/>
  <c r="J466" i="5" s="1"/>
  <c r="H466" i="5"/>
  <c r="G466" i="5"/>
  <c r="K466" i="5" s="1"/>
  <c r="S466" i="5" s="1"/>
  <c r="I465" i="5"/>
  <c r="J465" i="5" s="1"/>
  <c r="G465" i="5"/>
  <c r="I464" i="5"/>
  <c r="J464" i="5" s="1"/>
  <c r="G464" i="5"/>
  <c r="K464" i="5" s="1"/>
  <c r="S464" i="5" s="1"/>
  <c r="K463" i="5"/>
  <c r="J463" i="5"/>
  <c r="I463" i="5"/>
  <c r="G463" i="5"/>
  <c r="H463" i="5" s="1"/>
  <c r="I462" i="5"/>
  <c r="J462" i="5" s="1"/>
  <c r="G462" i="5"/>
  <c r="J461" i="5"/>
  <c r="I461" i="5"/>
  <c r="G461" i="5"/>
  <c r="H461" i="5" s="1"/>
  <c r="I460" i="5"/>
  <c r="J460" i="5" s="1"/>
  <c r="G460" i="5"/>
  <c r="K460" i="5" s="1"/>
  <c r="I459" i="5"/>
  <c r="J459" i="5" s="1"/>
  <c r="G459" i="5"/>
  <c r="H459" i="5" s="1"/>
  <c r="J458" i="5"/>
  <c r="I458" i="5"/>
  <c r="G458" i="5"/>
  <c r="K458" i="5" s="1"/>
  <c r="I457" i="5"/>
  <c r="J457" i="5" s="1"/>
  <c r="G457" i="5"/>
  <c r="I456" i="5"/>
  <c r="J456" i="5" s="1"/>
  <c r="G456" i="5"/>
  <c r="K456" i="5" s="1"/>
  <c r="S456" i="5" s="1"/>
  <c r="I455" i="5"/>
  <c r="J455" i="5" s="1"/>
  <c r="G455" i="5"/>
  <c r="I454" i="5"/>
  <c r="J454" i="5" s="1"/>
  <c r="G454" i="5"/>
  <c r="K454" i="5" s="1"/>
  <c r="S454" i="5" s="1"/>
  <c r="K453" i="5"/>
  <c r="I453" i="5"/>
  <c r="J453" i="5" s="1"/>
  <c r="G453" i="5"/>
  <c r="H453" i="5" s="1"/>
  <c r="I452" i="5"/>
  <c r="J452" i="5" s="1"/>
  <c r="G452" i="5"/>
  <c r="K452" i="5" s="1"/>
  <c r="S452" i="5" s="1"/>
  <c r="I451" i="5"/>
  <c r="J451" i="5" s="1"/>
  <c r="G451" i="5"/>
  <c r="I450" i="5"/>
  <c r="J450" i="5" s="1"/>
  <c r="G450" i="5"/>
  <c r="K450" i="5" s="1"/>
  <c r="I449" i="5"/>
  <c r="J449" i="5" s="1"/>
  <c r="G449" i="5"/>
  <c r="K449" i="5" s="1"/>
  <c r="L449" i="5" s="1"/>
  <c r="I448" i="5"/>
  <c r="J448" i="5" s="1"/>
  <c r="G448" i="5"/>
  <c r="I447" i="5"/>
  <c r="J447" i="5" s="1"/>
  <c r="G447" i="5"/>
  <c r="H447" i="5" s="1"/>
  <c r="I446" i="5"/>
  <c r="J446" i="5" s="1"/>
  <c r="G446" i="5"/>
  <c r="K445" i="5"/>
  <c r="I445" i="5"/>
  <c r="J445" i="5" s="1"/>
  <c r="H445" i="5"/>
  <c r="G445" i="5"/>
  <c r="I444" i="5"/>
  <c r="J444" i="5" s="1"/>
  <c r="G444" i="5"/>
  <c r="I443" i="5"/>
  <c r="J443" i="5" s="1"/>
  <c r="G443" i="5"/>
  <c r="H443" i="5" s="1"/>
  <c r="I442" i="5"/>
  <c r="J442" i="5" s="1"/>
  <c r="G442" i="5"/>
  <c r="H442" i="5" s="1"/>
  <c r="S441" i="5"/>
  <c r="L441" i="5"/>
  <c r="I441" i="5"/>
  <c r="J441" i="5" s="1"/>
  <c r="H441" i="5"/>
  <c r="G441" i="5"/>
  <c r="K441" i="5" s="1"/>
  <c r="I440" i="5"/>
  <c r="J440" i="5" s="1"/>
  <c r="G440" i="5"/>
  <c r="K440" i="5" s="1"/>
  <c r="S440" i="5" s="1"/>
  <c r="I439" i="5"/>
  <c r="J439" i="5" s="1"/>
  <c r="G439" i="5"/>
  <c r="H439" i="5" s="1"/>
  <c r="I438" i="5"/>
  <c r="J438" i="5" s="1"/>
  <c r="G438" i="5"/>
  <c r="I437" i="5"/>
  <c r="J437" i="5" s="1"/>
  <c r="G437" i="5"/>
  <c r="H437" i="5" s="1"/>
  <c r="I436" i="5"/>
  <c r="J436" i="5" s="1"/>
  <c r="G436" i="5"/>
  <c r="K436" i="5" s="1"/>
  <c r="S436" i="5" s="1"/>
  <c r="I435" i="5"/>
  <c r="J435" i="5" s="1"/>
  <c r="G435" i="5"/>
  <c r="I434" i="5"/>
  <c r="J434" i="5" s="1"/>
  <c r="G434" i="5"/>
  <c r="K434" i="5" s="1"/>
  <c r="I433" i="5"/>
  <c r="J433" i="5" s="1"/>
  <c r="G433" i="5"/>
  <c r="K433" i="5" s="1"/>
  <c r="I432" i="5"/>
  <c r="J432" i="5" s="1"/>
  <c r="G432" i="5"/>
  <c r="K432" i="5" s="1"/>
  <c r="S432" i="5" s="1"/>
  <c r="I431" i="5"/>
  <c r="J431" i="5" s="1"/>
  <c r="G431" i="5"/>
  <c r="H431" i="5" s="1"/>
  <c r="I430" i="5"/>
  <c r="J430" i="5" s="1"/>
  <c r="G430" i="5"/>
  <c r="J429" i="5"/>
  <c r="I429" i="5"/>
  <c r="G429" i="5"/>
  <c r="H429" i="5" s="1"/>
  <c r="I428" i="5"/>
  <c r="J428" i="5" s="1"/>
  <c r="G428" i="5"/>
  <c r="I427" i="5"/>
  <c r="J427" i="5" s="1"/>
  <c r="G427" i="5"/>
  <c r="H427" i="5" s="1"/>
  <c r="K426" i="5"/>
  <c r="I426" i="5"/>
  <c r="J426" i="5" s="1"/>
  <c r="G426" i="5"/>
  <c r="H426" i="5" s="1"/>
  <c r="I425" i="5"/>
  <c r="J425" i="5" s="1"/>
  <c r="G425" i="5"/>
  <c r="K425" i="5" s="1"/>
  <c r="L425" i="5" s="1"/>
  <c r="I424" i="5"/>
  <c r="J424" i="5" s="1"/>
  <c r="G424" i="5"/>
  <c r="K424" i="5" s="1"/>
  <c r="S424" i="5" s="1"/>
  <c r="I423" i="5"/>
  <c r="J423" i="5" s="1"/>
  <c r="G423" i="5"/>
  <c r="I422" i="5"/>
  <c r="J422" i="5" s="1"/>
  <c r="G422" i="5"/>
  <c r="K422" i="5" s="1"/>
  <c r="I421" i="5"/>
  <c r="J421" i="5" s="1"/>
  <c r="G421" i="5"/>
  <c r="L420" i="5"/>
  <c r="N420" i="5" s="1"/>
  <c r="I420" i="5"/>
  <c r="J420" i="5" s="1"/>
  <c r="G420" i="5"/>
  <c r="K420" i="5" s="1"/>
  <c r="S420" i="5" s="1"/>
  <c r="I419" i="5"/>
  <c r="J419" i="5" s="1"/>
  <c r="G419" i="5"/>
  <c r="K419" i="5" s="1"/>
  <c r="L419" i="5" s="1"/>
  <c r="N419" i="5" s="1"/>
  <c r="I418" i="5"/>
  <c r="J418" i="5" s="1"/>
  <c r="G418" i="5"/>
  <c r="H418" i="5" s="1"/>
  <c r="I417" i="5"/>
  <c r="J417" i="5" s="1"/>
  <c r="H417" i="5"/>
  <c r="G417" i="5"/>
  <c r="K417" i="5" s="1"/>
  <c r="I416" i="5"/>
  <c r="J416" i="5" s="1"/>
  <c r="G416" i="5"/>
  <c r="K416" i="5" s="1"/>
  <c r="S416" i="5" s="1"/>
  <c r="I415" i="5"/>
  <c r="J415" i="5" s="1"/>
  <c r="G415" i="5"/>
  <c r="I414" i="5"/>
  <c r="J414" i="5" s="1"/>
  <c r="G414" i="5"/>
  <c r="J413" i="5"/>
  <c r="I413" i="5"/>
  <c r="G413" i="5"/>
  <c r="K413" i="5" s="1"/>
  <c r="I412" i="5"/>
  <c r="J412" i="5" s="1"/>
  <c r="G412" i="5"/>
  <c r="I411" i="5"/>
  <c r="J411" i="5" s="1"/>
  <c r="G411" i="5"/>
  <c r="I410" i="5"/>
  <c r="J410" i="5" s="1"/>
  <c r="G410" i="5"/>
  <c r="I409" i="5"/>
  <c r="J409" i="5" s="1"/>
  <c r="H409" i="5"/>
  <c r="G409" i="5"/>
  <c r="K409" i="5" s="1"/>
  <c r="I408" i="5"/>
  <c r="J408" i="5" s="1"/>
  <c r="G408" i="5"/>
  <c r="I407" i="5"/>
  <c r="J407" i="5" s="1"/>
  <c r="G407" i="5"/>
  <c r="I406" i="5"/>
  <c r="J406" i="5" s="1"/>
  <c r="G406" i="5"/>
  <c r="I405" i="5"/>
  <c r="J405" i="5" s="1"/>
  <c r="G405" i="5"/>
  <c r="K405" i="5" s="1"/>
  <c r="I404" i="5"/>
  <c r="J404" i="5" s="1"/>
  <c r="G404" i="5"/>
  <c r="H404" i="5" s="1"/>
  <c r="I403" i="5"/>
  <c r="J403" i="5" s="1"/>
  <c r="G403" i="5"/>
  <c r="I402" i="5"/>
  <c r="J402" i="5" s="1"/>
  <c r="G402" i="5"/>
  <c r="H402" i="5" s="1"/>
  <c r="I401" i="5"/>
  <c r="J401" i="5" s="1"/>
  <c r="G401" i="5"/>
  <c r="I400" i="5"/>
  <c r="J400" i="5" s="1"/>
  <c r="G400" i="5"/>
  <c r="I399" i="5"/>
  <c r="J399" i="5" s="1"/>
  <c r="G399" i="5"/>
  <c r="K399" i="5" s="1"/>
  <c r="S399" i="5" s="1"/>
  <c r="I398" i="5"/>
  <c r="J398" i="5" s="1"/>
  <c r="G398" i="5"/>
  <c r="H398" i="5" s="1"/>
  <c r="I397" i="5"/>
  <c r="J397" i="5" s="1"/>
  <c r="G397" i="5"/>
  <c r="K397" i="5" s="1"/>
  <c r="I396" i="5"/>
  <c r="J396" i="5" s="1"/>
  <c r="G396" i="5"/>
  <c r="H396" i="5" s="1"/>
  <c r="I395" i="5"/>
  <c r="J395" i="5" s="1"/>
  <c r="G395" i="5"/>
  <c r="K395" i="5" s="1"/>
  <c r="I394" i="5"/>
  <c r="J394" i="5" s="1"/>
  <c r="G394" i="5"/>
  <c r="H394" i="5" s="1"/>
  <c r="I393" i="5"/>
  <c r="J393" i="5" s="1"/>
  <c r="G393" i="5"/>
  <c r="I392" i="5"/>
  <c r="J392" i="5" s="1"/>
  <c r="G392" i="5"/>
  <c r="K392" i="5" s="1"/>
  <c r="L392" i="5" s="1"/>
  <c r="I391" i="5"/>
  <c r="J391" i="5" s="1"/>
  <c r="G391" i="5"/>
  <c r="I390" i="5"/>
  <c r="J390" i="5" s="1"/>
  <c r="G390" i="5"/>
  <c r="H390" i="5" s="1"/>
  <c r="I389" i="5"/>
  <c r="J389" i="5" s="1"/>
  <c r="G389" i="5"/>
  <c r="K389" i="5" s="1"/>
  <c r="S389" i="5" s="1"/>
  <c r="I388" i="5"/>
  <c r="J388" i="5" s="1"/>
  <c r="G388" i="5"/>
  <c r="H388" i="5" s="1"/>
  <c r="I387" i="5"/>
  <c r="J387" i="5" s="1"/>
  <c r="G387" i="5"/>
  <c r="I386" i="5"/>
  <c r="J386" i="5" s="1"/>
  <c r="G386" i="5"/>
  <c r="H386" i="5" s="1"/>
  <c r="I385" i="5"/>
  <c r="J385" i="5" s="1"/>
  <c r="G385" i="5"/>
  <c r="K385" i="5" s="1"/>
  <c r="J384" i="5"/>
  <c r="I384" i="5"/>
  <c r="G384" i="5"/>
  <c r="K384" i="5" s="1"/>
  <c r="I383" i="5"/>
  <c r="J383" i="5" s="1"/>
  <c r="H383" i="5"/>
  <c r="G383" i="5"/>
  <c r="K383" i="5" s="1"/>
  <c r="S383" i="5" s="1"/>
  <c r="I382" i="5"/>
  <c r="J382" i="5" s="1"/>
  <c r="G382" i="5"/>
  <c r="I381" i="5"/>
  <c r="J381" i="5" s="1"/>
  <c r="G381" i="5"/>
  <c r="K381" i="5" s="1"/>
  <c r="I380" i="5"/>
  <c r="J380" i="5" s="1"/>
  <c r="G380" i="5"/>
  <c r="K380" i="5" s="1"/>
  <c r="S380" i="5" s="1"/>
  <c r="I379" i="5"/>
  <c r="J379" i="5" s="1"/>
  <c r="G379" i="5"/>
  <c r="K379" i="5" s="1"/>
  <c r="S379" i="5" s="1"/>
  <c r="I378" i="5"/>
  <c r="J378" i="5" s="1"/>
  <c r="G378" i="5"/>
  <c r="I377" i="5"/>
  <c r="J377" i="5" s="1"/>
  <c r="G377" i="5"/>
  <c r="H377" i="5" s="1"/>
  <c r="I376" i="5"/>
  <c r="J376" i="5" s="1"/>
  <c r="G376" i="5"/>
  <c r="I375" i="5"/>
  <c r="J375" i="5" s="1"/>
  <c r="G375" i="5"/>
  <c r="K375" i="5" s="1"/>
  <c r="L375" i="5" s="1"/>
  <c r="I374" i="5"/>
  <c r="J374" i="5" s="1"/>
  <c r="G374" i="5"/>
  <c r="H374" i="5" s="1"/>
  <c r="I373" i="5"/>
  <c r="J373" i="5" s="1"/>
  <c r="G373" i="5"/>
  <c r="H373" i="5" s="1"/>
  <c r="J372" i="5"/>
  <c r="I372" i="5"/>
  <c r="G372" i="5"/>
  <c r="I371" i="5"/>
  <c r="J371" i="5" s="1"/>
  <c r="G371" i="5"/>
  <c r="H371" i="5" s="1"/>
  <c r="I370" i="5"/>
  <c r="J370" i="5" s="1"/>
  <c r="G370" i="5"/>
  <c r="I369" i="5"/>
  <c r="J369" i="5" s="1"/>
  <c r="H369" i="5"/>
  <c r="G369" i="5"/>
  <c r="K369" i="5" s="1"/>
  <c r="I368" i="5"/>
  <c r="J368" i="5" s="1"/>
  <c r="G368" i="5"/>
  <c r="K368" i="5" s="1"/>
  <c r="S368" i="5" s="1"/>
  <c r="J367" i="5"/>
  <c r="I367" i="5"/>
  <c r="G367" i="5"/>
  <c r="H367" i="5" s="1"/>
  <c r="I366" i="5"/>
  <c r="J366" i="5" s="1"/>
  <c r="G366" i="5"/>
  <c r="I365" i="5"/>
  <c r="J365" i="5" s="1"/>
  <c r="G365" i="5"/>
  <c r="H365" i="5" s="1"/>
  <c r="I364" i="5"/>
  <c r="J364" i="5" s="1"/>
  <c r="G364" i="5"/>
  <c r="I363" i="5"/>
  <c r="J363" i="5" s="1"/>
  <c r="G363" i="5"/>
  <c r="K363" i="5" s="1"/>
  <c r="I362" i="5"/>
  <c r="J362" i="5" s="1"/>
  <c r="G362" i="5"/>
  <c r="K362" i="5" s="1"/>
  <c r="L362" i="5" s="1"/>
  <c r="I361" i="5"/>
  <c r="J361" i="5" s="1"/>
  <c r="G361" i="5"/>
  <c r="H361" i="5" s="1"/>
  <c r="J360" i="5"/>
  <c r="I360" i="5"/>
  <c r="G360" i="5"/>
  <c r="K360" i="5" s="1"/>
  <c r="S360" i="5" s="1"/>
  <c r="I359" i="5"/>
  <c r="J359" i="5" s="1"/>
  <c r="G359" i="5"/>
  <c r="H359" i="5" s="1"/>
  <c r="J358" i="5"/>
  <c r="I358" i="5"/>
  <c r="G358" i="5"/>
  <c r="K358" i="5" s="1"/>
  <c r="I357" i="5"/>
  <c r="J357" i="5" s="1"/>
  <c r="G357" i="5"/>
  <c r="H357" i="5" s="1"/>
  <c r="I356" i="5"/>
  <c r="J356" i="5" s="1"/>
  <c r="G356" i="5"/>
  <c r="K356" i="5" s="1"/>
  <c r="S356" i="5" s="1"/>
  <c r="I355" i="5"/>
  <c r="J355" i="5" s="1"/>
  <c r="G355" i="5"/>
  <c r="H355" i="5" s="1"/>
  <c r="I354" i="5"/>
  <c r="J354" i="5" s="1"/>
  <c r="G354" i="5"/>
  <c r="I353" i="5"/>
  <c r="J353" i="5" s="1"/>
  <c r="G353" i="5"/>
  <c r="H353" i="5" s="1"/>
  <c r="I352" i="5"/>
  <c r="J352" i="5" s="1"/>
  <c r="G352" i="5"/>
  <c r="K352" i="5" s="1"/>
  <c r="I351" i="5"/>
  <c r="J351" i="5" s="1"/>
  <c r="G351" i="5"/>
  <c r="H351" i="5" s="1"/>
  <c r="I350" i="5"/>
  <c r="J350" i="5" s="1"/>
  <c r="G350" i="5"/>
  <c r="K350" i="5" s="1"/>
  <c r="I349" i="5"/>
  <c r="J349" i="5" s="1"/>
  <c r="G349" i="5"/>
  <c r="H349" i="5" s="1"/>
  <c r="I348" i="5"/>
  <c r="J348" i="5" s="1"/>
  <c r="G348" i="5"/>
  <c r="K348" i="5" s="1"/>
  <c r="S348" i="5" s="1"/>
  <c r="I347" i="5"/>
  <c r="J347" i="5" s="1"/>
  <c r="G347" i="5"/>
  <c r="H347" i="5" s="1"/>
  <c r="I346" i="5"/>
  <c r="J346" i="5" s="1"/>
  <c r="G346" i="5"/>
  <c r="K346" i="5" s="1"/>
  <c r="L346" i="5" s="1"/>
  <c r="I345" i="5"/>
  <c r="J345" i="5" s="1"/>
  <c r="G345" i="5"/>
  <c r="I344" i="5"/>
  <c r="J344" i="5" s="1"/>
  <c r="G344" i="5"/>
  <c r="K344" i="5" s="1"/>
  <c r="S344" i="5" s="1"/>
  <c r="I343" i="5"/>
  <c r="J343" i="5" s="1"/>
  <c r="G343" i="5"/>
  <c r="H343" i="5" s="1"/>
  <c r="I342" i="5"/>
  <c r="J342" i="5" s="1"/>
  <c r="G342" i="5"/>
  <c r="I341" i="5"/>
  <c r="J341" i="5" s="1"/>
  <c r="G341" i="5"/>
  <c r="I340" i="5"/>
  <c r="J340" i="5" s="1"/>
  <c r="G340" i="5"/>
  <c r="K340" i="5" s="1"/>
  <c r="I339" i="5"/>
  <c r="J339" i="5" s="1"/>
  <c r="G339" i="5"/>
  <c r="H339" i="5" s="1"/>
  <c r="I338" i="5"/>
  <c r="J338" i="5" s="1"/>
  <c r="G338" i="5"/>
  <c r="K338" i="5" s="1"/>
  <c r="I337" i="5"/>
  <c r="J337" i="5" s="1"/>
  <c r="G337" i="5"/>
  <c r="H337" i="5" s="1"/>
  <c r="J336" i="5"/>
  <c r="I336" i="5"/>
  <c r="G336" i="5"/>
  <c r="K336" i="5" s="1"/>
  <c r="S336" i="5" s="1"/>
  <c r="I335" i="5"/>
  <c r="J335" i="5" s="1"/>
  <c r="G335" i="5"/>
  <c r="I334" i="5"/>
  <c r="J334" i="5" s="1"/>
  <c r="G334" i="5"/>
  <c r="K334" i="5" s="1"/>
  <c r="I333" i="5"/>
  <c r="J333" i="5" s="1"/>
  <c r="G333" i="5"/>
  <c r="H333" i="5" s="1"/>
  <c r="I332" i="5"/>
  <c r="J332" i="5" s="1"/>
  <c r="G332" i="5"/>
  <c r="I331" i="5"/>
  <c r="J331" i="5" s="1"/>
  <c r="G331" i="5"/>
  <c r="H331" i="5" s="1"/>
  <c r="I330" i="5"/>
  <c r="J330" i="5" s="1"/>
  <c r="G330" i="5"/>
  <c r="K330" i="5" s="1"/>
  <c r="I329" i="5"/>
  <c r="J329" i="5" s="1"/>
  <c r="G329" i="5"/>
  <c r="I328" i="5"/>
  <c r="J328" i="5" s="1"/>
  <c r="G328" i="5"/>
  <c r="H328" i="5" s="1"/>
  <c r="I327" i="5"/>
  <c r="J327" i="5" s="1"/>
  <c r="G327" i="5"/>
  <c r="K327" i="5" s="1"/>
  <c r="I326" i="5"/>
  <c r="J326" i="5" s="1"/>
  <c r="G326" i="5"/>
  <c r="K326" i="5" s="1"/>
  <c r="K325" i="5"/>
  <c r="I325" i="5"/>
  <c r="J325" i="5" s="1"/>
  <c r="G325" i="5"/>
  <c r="H325" i="5" s="1"/>
  <c r="I324" i="5"/>
  <c r="J324" i="5" s="1"/>
  <c r="G324" i="5"/>
  <c r="H324" i="5" s="1"/>
  <c r="I323" i="5"/>
  <c r="J323" i="5" s="1"/>
  <c r="G323" i="5"/>
  <c r="K323" i="5" s="1"/>
  <c r="I322" i="5"/>
  <c r="J322" i="5" s="1"/>
  <c r="H322" i="5"/>
  <c r="G322" i="5"/>
  <c r="K322" i="5" s="1"/>
  <c r="L322" i="5" s="1"/>
  <c r="I321" i="5"/>
  <c r="J321" i="5" s="1"/>
  <c r="G321" i="5"/>
  <c r="I320" i="5"/>
  <c r="J320" i="5" s="1"/>
  <c r="G320" i="5"/>
  <c r="K320" i="5" s="1"/>
  <c r="S320" i="5" s="1"/>
  <c r="I319" i="5"/>
  <c r="J319" i="5" s="1"/>
  <c r="G319" i="5"/>
  <c r="K319" i="5" s="1"/>
  <c r="I318" i="5"/>
  <c r="J318" i="5" s="1"/>
  <c r="H318" i="5"/>
  <c r="G318" i="5"/>
  <c r="K318" i="5" s="1"/>
  <c r="L318" i="5" s="1"/>
  <c r="I317" i="5"/>
  <c r="J317" i="5" s="1"/>
  <c r="G317" i="5"/>
  <c r="H317" i="5" s="1"/>
  <c r="I316" i="5"/>
  <c r="J316" i="5" s="1"/>
  <c r="G316" i="5"/>
  <c r="H316" i="5" s="1"/>
  <c r="I315" i="5"/>
  <c r="J315" i="5" s="1"/>
  <c r="G315" i="5"/>
  <c r="I314" i="5"/>
  <c r="J314" i="5" s="1"/>
  <c r="G314" i="5"/>
  <c r="I313" i="5"/>
  <c r="J313" i="5" s="1"/>
  <c r="G313" i="5"/>
  <c r="H313" i="5" s="1"/>
  <c r="I312" i="5"/>
  <c r="J312" i="5" s="1"/>
  <c r="G312" i="5"/>
  <c r="K312" i="5" s="1"/>
  <c r="I311" i="5"/>
  <c r="J311" i="5" s="1"/>
  <c r="G311" i="5"/>
  <c r="K311" i="5" s="1"/>
  <c r="S311" i="5" s="1"/>
  <c r="S310" i="5"/>
  <c r="I310" i="5"/>
  <c r="J310" i="5" s="1"/>
  <c r="G310" i="5"/>
  <c r="K310" i="5" s="1"/>
  <c r="L310" i="5" s="1"/>
  <c r="I309" i="5"/>
  <c r="J309" i="5" s="1"/>
  <c r="G309" i="5"/>
  <c r="H309" i="5" s="1"/>
  <c r="J308" i="5"/>
  <c r="I308" i="5"/>
  <c r="G308" i="5"/>
  <c r="I307" i="5"/>
  <c r="J307" i="5" s="1"/>
  <c r="G307" i="5"/>
  <c r="H307" i="5" s="1"/>
  <c r="I306" i="5"/>
  <c r="J306" i="5" s="1"/>
  <c r="G306" i="5"/>
  <c r="K306" i="5" s="1"/>
  <c r="L306" i="5" s="1"/>
  <c r="I305" i="5"/>
  <c r="J305" i="5" s="1"/>
  <c r="G305" i="5"/>
  <c r="K305" i="5" s="1"/>
  <c r="S305" i="5" s="1"/>
  <c r="J304" i="5"/>
  <c r="I304" i="5"/>
  <c r="G304" i="5"/>
  <c r="K304" i="5" s="1"/>
  <c r="L304" i="5" s="1"/>
  <c r="K303" i="5"/>
  <c r="L303" i="5" s="1"/>
  <c r="I303" i="5"/>
  <c r="J303" i="5" s="1"/>
  <c r="G303" i="5"/>
  <c r="H303" i="5" s="1"/>
  <c r="I302" i="5"/>
  <c r="J302" i="5" s="1"/>
  <c r="G302" i="5"/>
  <c r="K301" i="5"/>
  <c r="S301" i="5" s="1"/>
  <c r="I301" i="5"/>
  <c r="J301" i="5" s="1"/>
  <c r="G301" i="5"/>
  <c r="H301" i="5" s="1"/>
  <c r="I300" i="5"/>
  <c r="J300" i="5" s="1"/>
  <c r="G300" i="5"/>
  <c r="K300" i="5" s="1"/>
  <c r="J299" i="5"/>
  <c r="I299" i="5"/>
  <c r="G299" i="5"/>
  <c r="H299" i="5" s="1"/>
  <c r="I298" i="5"/>
  <c r="J298" i="5" s="1"/>
  <c r="G298" i="5"/>
  <c r="K298" i="5" s="1"/>
  <c r="I297" i="5"/>
  <c r="J297" i="5" s="1"/>
  <c r="G297" i="5"/>
  <c r="K297" i="5" s="1"/>
  <c r="S297" i="5" s="1"/>
  <c r="I296" i="5"/>
  <c r="J296" i="5" s="1"/>
  <c r="G296" i="5"/>
  <c r="K296" i="5" s="1"/>
  <c r="I295" i="5"/>
  <c r="J295" i="5" s="1"/>
  <c r="G295" i="5"/>
  <c r="H295" i="5" s="1"/>
  <c r="I294" i="5"/>
  <c r="J294" i="5" s="1"/>
  <c r="G294" i="5"/>
  <c r="K294" i="5" s="1"/>
  <c r="I293" i="5"/>
  <c r="J293" i="5" s="1"/>
  <c r="G293" i="5"/>
  <c r="K293" i="5" s="1"/>
  <c r="S293" i="5" s="1"/>
  <c r="S292" i="5"/>
  <c r="I292" i="5"/>
  <c r="J292" i="5" s="1"/>
  <c r="G292" i="5"/>
  <c r="K292" i="5" s="1"/>
  <c r="L292" i="5" s="1"/>
  <c r="I291" i="5"/>
  <c r="J291" i="5" s="1"/>
  <c r="G291" i="5"/>
  <c r="H291" i="5" s="1"/>
  <c r="I290" i="5"/>
  <c r="J290" i="5" s="1"/>
  <c r="G290" i="5"/>
  <c r="H290" i="5" s="1"/>
  <c r="I289" i="5"/>
  <c r="J289" i="5" s="1"/>
  <c r="H289" i="5"/>
  <c r="G289" i="5"/>
  <c r="K289" i="5" s="1"/>
  <c r="S289" i="5" s="1"/>
  <c r="I288" i="5"/>
  <c r="J288" i="5" s="1"/>
  <c r="H288" i="5"/>
  <c r="G288" i="5"/>
  <c r="K288" i="5" s="1"/>
  <c r="L288" i="5" s="1"/>
  <c r="I287" i="5"/>
  <c r="J287" i="5" s="1"/>
  <c r="G287" i="5"/>
  <c r="H287" i="5" s="1"/>
  <c r="I286" i="5"/>
  <c r="J286" i="5" s="1"/>
  <c r="G286" i="5"/>
  <c r="H286" i="5" s="1"/>
  <c r="I285" i="5"/>
  <c r="J285" i="5" s="1"/>
  <c r="H285" i="5"/>
  <c r="G285" i="5"/>
  <c r="K285" i="5" s="1"/>
  <c r="S285" i="5" s="1"/>
  <c r="S284" i="5"/>
  <c r="I284" i="5"/>
  <c r="J284" i="5" s="1"/>
  <c r="G284" i="5"/>
  <c r="K284" i="5" s="1"/>
  <c r="L284" i="5" s="1"/>
  <c r="I283" i="5"/>
  <c r="J283" i="5" s="1"/>
  <c r="G283" i="5"/>
  <c r="I282" i="5"/>
  <c r="J282" i="5" s="1"/>
  <c r="G282" i="5"/>
  <c r="K282" i="5" s="1"/>
  <c r="I281" i="5"/>
  <c r="J281" i="5" s="1"/>
  <c r="G281" i="5"/>
  <c r="H281" i="5" s="1"/>
  <c r="I280" i="5"/>
  <c r="J280" i="5" s="1"/>
  <c r="G280" i="5"/>
  <c r="K280" i="5" s="1"/>
  <c r="K279" i="5"/>
  <c r="I279" i="5"/>
  <c r="J279" i="5" s="1"/>
  <c r="G279" i="5"/>
  <c r="H279" i="5" s="1"/>
  <c r="I278" i="5"/>
  <c r="J278" i="5" s="1"/>
  <c r="G278" i="5"/>
  <c r="K278" i="5" s="1"/>
  <c r="I277" i="5"/>
  <c r="J277" i="5" s="1"/>
  <c r="G277" i="5"/>
  <c r="K277" i="5" s="1"/>
  <c r="S277" i="5" s="1"/>
  <c r="I276" i="5"/>
  <c r="J276" i="5" s="1"/>
  <c r="G276" i="5"/>
  <c r="K276" i="5" s="1"/>
  <c r="L276" i="5" s="1"/>
  <c r="I275" i="5"/>
  <c r="J275" i="5" s="1"/>
  <c r="G275" i="5"/>
  <c r="H275" i="5" s="1"/>
  <c r="I274" i="5"/>
  <c r="J274" i="5" s="1"/>
  <c r="G274" i="5"/>
  <c r="K274" i="5" s="1"/>
  <c r="I273" i="5"/>
  <c r="J273" i="5" s="1"/>
  <c r="G273" i="5"/>
  <c r="K273" i="5" s="1"/>
  <c r="S273" i="5" s="1"/>
  <c r="I272" i="5"/>
  <c r="J272" i="5" s="1"/>
  <c r="G272" i="5"/>
  <c r="I271" i="5"/>
  <c r="J271" i="5" s="1"/>
  <c r="G271" i="5"/>
  <c r="H271" i="5" s="1"/>
  <c r="I270" i="5"/>
  <c r="J270" i="5" s="1"/>
  <c r="G270" i="5"/>
  <c r="H270" i="5" s="1"/>
  <c r="I269" i="5"/>
  <c r="J269" i="5" s="1"/>
  <c r="G269" i="5"/>
  <c r="I268" i="5"/>
  <c r="J268" i="5" s="1"/>
  <c r="G268" i="5"/>
  <c r="K268" i="5" s="1"/>
  <c r="L268" i="5" s="1"/>
  <c r="I267" i="5"/>
  <c r="J267" i="5" s="1"/>
  <c r="G267" i="5"/>
  <c r="H267" i="5" s="1"/>
  <c r="I266" i="5"/>
  <c r="J266" i="5" s="1"/>
  <c r="G266" i="5"/>
  <c r="K266" i="5" s="1"/>
  <c r="I265" i="5"/>
  <c r="J265" i="5" s="1"/>
  <c r="G265" i="5"/>
  <c r="H265" i="5" s="1"/>
  <c r="I264" i="5"/>
  <c r="J264" i="5" s="1"/>
  <c r="G264" i="5"/>
  <c r="K264" i="5" s="1"/>
  <c r="I263" i="5"/>
  <c r="J263" i="5" s="1"/>
  <c r="G263" i="5"/>
  <c r="H263" i="5" s="1"/>
  <c r="I262" i="5"/>
  <c r="J262" i="5" s="1"/>
  <c r="G262" i="5"/>
  <c r="K262" i="5" s="1"/>
  <c r="K261" i="5"/>
  <c r="S261" i="5" s="1"/>
  <c r="I261" i="5"/>
  <c r="J261" i="5" s="1"/>
  <c r="G261" i="5"/>
  <c r="H261" i="5" s="1"/>
  <c r="I260" i="5"/>
  <c r="J260" i="5" s="1"/>
  <c r="G260" i="5"/>
  <c r="K260" i="5" s="1"/>
  <c r="L260" i="5" s="1"/>
  <c r="I259" i="5"/>
  <c r="J259" i="5" s="1"/>
  <c r="G259" i="5"/>
  <c r="H259" i="5" s="1"/>
  <c r="I258" i="5"/>
  <c r="J258" i="5" s="1"/>
  <c r="G258" i="5"/>
  <c r="I257" i="5"/>
  <c r="J257" i="5" s="1"/>
  <c r="G257" i="5"/>
  <c r="K257" i="5" s="1"/>
  <c r="S257" i="5" s="1"/>
  <c r="I256" i="5"/>
  <c r="J256" i="5" s="1"/>
  <c r="G256" i="5"/>
  <c r="K256" i="5" s="1"/>
  <c r="L256" i="5" s="1"/>
  <c r="I255" i="5"/>
  <c r="J255" i="5" s="1"/>
  <c r="G255" i="5"/>
  <c r="H255" i="5" s="1"/>
  <c r="I254" i="5"/>
  <c r="J254" i="5" s="1"/>
  <c r="G254" i="5"/>
  <c r="H254" i="5" s="1"/>
  <c r="I253" i="5"/>
  <c r="J253" i="5" s="1"/>
  <c r="G253" i="5"/>
  <c r="K253" i="5" s="1"/>
  <c r="S253" i="5" s="1"/>
  <c r="I252" i="5"/>
  <c r="J252" i="5" s="1"/>
  <c r="G252" i="5"/>
  <c r="K252" i="5" s="1"/>
  <c r="J251" i="5"/>
  <c r="I251" i="5"/>
  <c r="G251" i="5"/>
  <c r="H251" i="5" s="1"/>
  <c r="I250" i="5"/>
  <c r="J250" i="5" s="1"/>
  <c r="G250" i="5"/>
  <c r="K250" i="5" s="1"/>
  <c r="I249" i="5"/>
  <c r="J249" i="5" s="1"/>
  <c r="G249" i="5"/>
  <c r="K249" i="5" s="1"/>
  <c r="S249" i="5" s="1"/>
  <c r="I248" i="5"/>
  <c r="J248" i="5" s="1"/>
  <c r="G248" i="5"/>
  <c r="K248" i="5" s="1"/>
  <c r="L248" i="5" s="1"/>
  <c r="N248" i="5" s="1"/>
  <c r="I247" i="5"/>
  <c r="J247" i="5" s="1"/>
  <c r="G247" i="5"/>
  <c r="H247" i="5" s="1"/>
  <c r="I246" i="5"/>
  <c r="J246" i="5" s="1"/>
  <c r="G246" i="5"/>
  <c r="K246" i="5" s="1"/>
  <c r="I245" i="5"/>
  <c r="J245" i="5" s="1"/>
  <c r="H245" i="5"/>
  <c r="G245" i="5"/>
  <c r="K245" i="5" s="1"/>
  <c r="S245" i="5" s="1"/>
  <c r="S244" i="5"/>
  <c r="I244" i="5"/>
  <c r="J244" i="5" s="1"/>
  <c r="G244" i="5"/>
  <c r="K244" i="5" s="1"/>
  <c r="L244" i="5" s="1"/>
  <c r="I243" i="5"/>
  <c r="J243" i="5" s="1"/>
  <c r="G243" i="5"/>
  <c r="H243" i="5" s="1"/>
  <c r="I242" i="5"/>
  <c r="J242" i="5" s="1"/>
  <c r="G242" i="5"/>
  <c r="H242" i="5" s="1"/>
  <c r="I241" i="5"/>
  <c r="J241" i="5" s="1"/>
  <c r="G241" i="5"/>
  <c r="K241" i="5" s="1"/>
  <c r="S241" i="5" s="1"/>
  <c r="I240" i="5"/>
  <c r="J240" i="5" s="1"/>
  <c r="H240" i="5"/>
  <c r="G240" i="5"/>
  <c r="K240" i="5" s="1"/>
  <c r="I239" i="5"/>
  <c r="J239" i="5" s="1"/>
  <c r="G239" i="5"/>
  <c r="H239" i="5" s="1"/>
  <c r="I238" i="5"/>
  <c r="J238" i="5" s="1"/>
  <c r="G238" i="5"/>
  <c r="K238" i="5" s="1"/>
  <c r="I237" i="5"/>
  <c r="J237" i="5" s="1"/>
  <c r="G237" i="5"/>
  <c r="K237" i="5" s="1"/>
  <c r="S237" i="5" s="1"/>
  <c r="I236" i="5"/>
  <c r="J236" i="5" s="1"/>
  <c r="G236" i="5"/>
  <c r="K236" i="5" s="1"/>
  <c r="L236" i="5" s="1"/>
  <c r="I235" i="5"/>
  <c r="J235" i="5" s="1"/>
  <c r="G235" i="5"/>
  <c r="H235" i="5" s="1"/>
  <c r="I234" i="5"/>
  <c r="J234" i="5" s="1"/>
  <c r="G234" i="5"/>
  <c r="K234" i="5" s="1"/>
  <c r="K233" i="5"/>
  <c r="S233" i="5" s="1"/>
  <c r="I233" i="5"/>
  <c r="J233" i="5" s="1"/>
  <c r="H233" i="5"/>
  <c r="G233" i="5"/>
  <c r="I232" i="5"/>
  <c r="J232" i="5" s="1"/>
  <c r="G232" i="5"/>
  <c r="K232" i="5" s="1"/>
  <c r="L232" i="5" s="1"/>
  <c r="I231" i="5"/>
  <c r="J231" i="5" s="1"/>
  <c r="G231" i="5"/>
  <c r="H231" i="5" s="1"/>
  <c r="I230" i="5"/>
  <c r="J230" i="5" s="1"/>
  <c r="G230" i="5"/>
  <c r="H230" i="5" s="1"/>
  <c r="I229" i="5"/>
  <c r="J229" i="5" s="1"/>
  <c r="G229" i="5"/>
  <c r="K229" i="5" s="1"/>
  <c r="I228" i="5"/>
  <c r="J228" i="5" s="1"/>
  <c r="G228" i="5"/>
  <c r="K228" i="5" s="1"/>
  <c r="J227" i="5"/>
  <c r="I227" i="5"/>
  <c r="G227" i="5"/>
  <c r="H227" i="5" s="1"/>
  <c r="I226" i="5"/>
  <c r="J226" i="5" s="1"/>
  <c r="G226" i="5"/>
  <c r="K226" i="5" s="1"/>
  <c r="I225" i="5"/>
  <c r="J225" i="5" s="1"/>
  <c r="G225" i="5"/>
  <c r="K225" i="5" s="1"/>
  <c r="I224" i="5"/>
  <c r="J224" i="5" s="1"/>
  <c r="G224" i="5"/>
  <c r="K224" i="5" s="1"/>
  <c r="I223" i="5"/>
  <c r="J223" i="5" s="1"/>
  <c r="G223" i="5"/>
  <c r="H223" i="5" s="1"/>
  <c r="I222" i="5"/>
  <c r="J222" i="5" s="1"/>
  <c r="G222" i="5"/>
  <c r="K222" i="5" s="1"/>
  <c r="I221" i="5"/>
  <c r="J221" i="5" s="1"/>
  <c r="G221" i="5"/>
  <c r="K221" i="5" s="1"/>
  <c r="I220" i="5"/>
  <c r="J220" i="5" s="1"/>
  <c r="G220" i="5"/>
  <c r="K220" i="5" s="1"/>
  <c r="I219" i="5"/>
  <c r="J219" i="5" s="1"/>
  <c r="G219" i="5"/>
  <c r="K219" i="5" s="1"/>
  <c r="L219" i="5" s="1"/>
  <c r="I218" i="5"/>
  <c r="J218" i="5" s="1"/>
  <c r="G218" i="5"/>
  <c r="I217" i="5"/>
  <c r="J217" i="5" s="1"/>
  <c r="G217" i="5"/>
  <c r="K217" i="5" s="1"/>
  <c r="I216" i="5"/>
  <c r="J216" i="5" s="1"/>
  <c r="G216" i="5"/>
  <c r="I215" i="5"/>
  <c r="J215" i="5" s="1"/>
  <c r="G215" i="5"/>
  <c r="K215" i="5" s="1"/>
  <c r="L215" i="5" s="1"/>
  <c r="J214" i="5"/>
  <c r="I214" i="5"/>
  <c r="G214" i="5"/>
  <c r="K214" i="5" s="1"/>
  <c r="L214" i="5" s="1"/>
  <c r="I213" i="5"/>
  <c r="J213" i="5" s="1"/>
  <c r="G213" i="5"/>
  <c r="I212" i="5"/>
  <c r="J212" i="5" s="1"/>
  <c r="G212" i="5"/>
  <c r="I211" i="5"/>
  <c r="J211" i="5" s="1"/>
  <c r="G211" i="5"/>
  <c r="K211" i="5" s="1"/>
  <c r="L211" i="5" s="1"/>
  <c r="I210" i="5"/>
  <c r="J210" i="5" s="1"/>
  <c r="G210" i="5"/>
  <c r="K210" i="5" s="1"/>
  <c r="I209" i="5"/>
  <c r="J209" i="5" s="1"/>
  <c r="G209" i="5"/>
  <c r="K209" i="5" s="1"/>
  <c r="I208" i="5"/>
  <c r="J208" i="5" s="1"/>
  <c r="G208" i="5"/>
  <c r="I207" i="5"/>
  <c r="J207" i="5" s="1"/>
  <c r="G207" i="5"/>
  <c r="K207" i="5" s="1"/>
  <c r="I206" i="5"/>
  <c r="J206" i="5" s="1"/>
  <c r="G206" i="5"/>
  <c r="K206" i="5" s="1"/>
  <c r="L206" i="5" s="1"/>
  <c r="I205" i="5"/>
  <c r="J205" i="5" s="1"/>
  <c r="G205" i="5"/>
  <c r="K205" i="5" s="1"/>
  <c r="I204" i="5"/>
  <c r="J204" i="5" s="1"/>
  <c r="G204" i="5"/>
  <c r="S203" i="5"/>
  <c r="I203" i="5"/>
  <c r="J203" i="5" s="1"/>
  <c r="G203" i="5"/>
  <c r="K203" i="5" s="1"/>
  <c r="L203" i="5" s="1"/>
  <c r="I202" i="5"/>
  <c r="J202" i="5" s="1"/>
  <c r="G202" i="5"/>
  <c r="I201" i="5"/>
  <c r="J201" i="5" s="1"/>
  <c r="G201" i="5"/>
  <c r="K201" i="5" s="1"/>
  <c r="I200" i="5"/>
  <c r="J200" i="5" s="1"/>
  <c r="G200" i="5"/>
  <c r="I199" i="5"/>
  <c r="J199" i="5" s="1"/>
  <c r="G199" i="5"/>
  <c r="K199" i="5" s="1"/>
  <c r="J198" i="5"/>
  <c r="I198" i="5"/>
  <c r="G198" i="5"/>
  <c r="K198" i="5" s="1"/>
  <c r="L198" i="5" s="1"/>
  <c r="I197" i="5"/>
  <c r="J197" i="5" s="1"/>
  <c r="G197" i="5"/>
  <c r="K197" i="5" s="1"/>
  <c r="I196" i="5"/>
  <c r="J196" i="5" s="1"/>
  <c r="G196" i="5"/>
  <c r="I195" i="5"/>
  <c r="J195" i="5" s="1"/>
  <c r="G195" i="5"/>
  <c r="K195" i="5" s="1"/>
  <c r="I194" i="5"/>
  <c r="J194" i="5" s="1"/>
  <c r="G194" i="5"/>
  <c r="K194" i="5" s="1"/>
  <c r="I193" i="5"/>
  <c r="J193" i="5" s="1"/>
  <c r="G193" i="5"/>
  <c r="K193" i="5" s="1"/>
  <c r="I192" i="5"/>
  <c r="J192" i="5" s="1"/>
  <c r="G192" i="5"/>
  <c r="I191" i="5"/>
  <c r="J191" i="5" s="1"/>
  <c r="G191" i="5"/>
  <c r="K191" i="5" s="1"/>
  <c r="L191" i="5" s="1"/>
  <c r="I190" i="5"/>
  <c r="J190" i="5" s="1"/>
  <c r="G190" i="5"/>
  <c r="K190" i="5" s="1"/>
  <c r="L190" i="5" s="1"/>
  <c r="I189" i="5"/>
  <c r="J189" i="5" s="1"/>
  <c r="G189" i="5"/>
  <c r="K189" i="5" s="1"/>
  <c r="I188" i="5"/>
  <c r="J188" i="5" s="1"/>
  <c r="G188" i="5"/>
  <c r="I187" i="5"/>
  <c r="J187" i="5" s="1"/>
  <c r="G187" i="5"/>
  <c r="H187" i="5" s="1"/>
  <c r="I186" i="5"/>
  <c r="J186" i="5" s="1"/>
  <c r="G186" i="5"/>
  <c r="I185" i="5"/>
  <c r="J185" i="5" s="1"/>
  <c r="G185" i="5"/>
  <c r="J184" i="5"/>
  <c r="I184" i="5"/>
  <c r="G184" i="5"/>
  <c r="I183" i="5"/>
  <c r="J183" i="5" s="1"/>
  <c r="G183" i="5"/>
  <c r="J182" i="5"/>
  <c r="I182" i="5"/>
  <c r="G182" i="5"/>
  <c r="K182" i="5" s="1"/>
  <c r="I181" i="5"/>
  <c r="J181" i="5" s="1"/>
  <c r="G181" i="5"/>
  <c r="I180" i="5"/>
  <c r="J180" i="5" s="1"/>
  <c r="G180" i="5"/>
  <c r="I179" i="5"/>
  <c r="J179" i="5" s="1"/>
  <c r="G179" i="5"/>
  <c r="L178" i="5"/>
  <c r="I178" i="5"/>
  <c r="J178" i="5" s="1"/>
  <c r="G178" i="5"/>
  <c r="K178" i="5" s="1"/>
  <c r="I177" i="5"/>
  <c r="J177" i="5" s="1"/>
  <c r="G177" i="5"/>
  <c r="K177" i="5" s="1"/>
  <c r="I176" i="5"/>
  <c r="J176" i="5" s="1"/>
  <c r="G176" i="5"/>
  <c r="I175" i="5"/>
  <c r="J175" i="5" s="1"/>
  <c r="G175" i="5"/>
  <c r="H175" i="5" s="1"/>
  <c r="I174" i="5"/>
  <c r="J174" i="5" s="1"/>
  <c r="G174" i="5"/>
  <c r="I173" i="5"/>
  <c r="J173" i="5" s="1"/>
  <c r="H173" i="5"/>
  <c r="G173" i="5"/>
  <c r="K173" i="5" s="1"/>
  <c r="I172" i="5"/>
  <c r="J172" i="5" s="1"/>
  <c r="G172" i="5"/>
  <c r="I171" i="5"/>
  <c r="J171" i="5" s="1"/>
  <c r="G171" i="5"/>
  <c r="H171" i="5" s="1"/>
  <c r="J170" i="5"/>
  <c r="I170" i="5"/>
  <c r="G170" i="5"/>
  <c r="I169" i="5"/>
  <c r="J169" i="5" s="1"/>
  <c r="G169" i="5"/>
  <c r="K169" i="5" s="1"/>
  <c r="I168" i="5"/>
  <c r="J168" i="5" s="1"/>
  <c r="G168" i="5"/>
  <c r="I167" i="5"/>
  <c r="J167" i="5" s="1"/>
  <c r="G167" i="5"/>
  <c r="I166" i="5"/>
  <c r="J166" i="5" s="1"/>
  <c r="H166" i="5"/>
  <c r="G166" i="5"/>
  <c r="K166" i="5" s="1"/>
  <c r="I165" i="5"/>
  <c r="J165" i="5" s="1"/>
  <c r="G165" i="5"/>
  <c r="K165" i="5" s="1"/>
  <c r="I164" i="5"/>
  <c r="J164" i="5" s="1"/>
  <c r="G164" i="5"/>
  <c r="I163" i="5"/>
  <c r="J163" i="5" s="1"/>
  <c r="G163" i="5"/>
  <c r="I162" i="5"/>
  <c r="J162" i="5" s="1"/>
  <c r="G162" i="5"/>
  <c r="I161" i="5"/>
  <c r="J161" i="5" s="1"/>
  <c r="G161" i="5"/>
  <c r="I160" i="5"/>
  <c r="J160" i="5" s="1"/>
  <c r="G160" i="5"/>
  <c r="I159" i="5"/>
  <c r="J159" i="5" s="1"/>
  <c r="G159" i="5"/>
  <c r="H159" i="5" s="1"/>
  <c r="J158" i="5"/>
  <c r="I158" i="5"/>
  <c r="G158" i="5"/>
  <c r="H158" i="5" s="1"/>
  <c r="I157" i="5"/>
  <c r="J157" i="5" s="1"/>
  <c r="G157" i="5"/>
  <c r="I156" i="5"/>
  <c r="J156" i="5" s="1"/>
  <c r="G156" i="5"/>
  <c r="I155" i="5"/>
  <c r="J155" i="5" s="1"/>
  <c r="G155" i="5"/>
  <c r="H155" i="5" s="1"/>
  <c r="I154" i="5"/>
  <c r="J154" i="5" s="1"/>
  <c r="G154" i="5"/>
  <c r="I153" i="5"/>
  <c r="J153" i="5" s="1"/>
  <c r="G153" i="5"/>
  <c r="I152" i="5"/>
  <c r="J152" i="5" s="1"/>
  <c r="G152" i="5"/>
  <c r="I151" i="5"/>
  <c r="J151" i="5" s="1"/>
  <c r="G151" i="5"/>
  <c r="H151" i="5" s="1"/>
  <c r="I150" i="5"/>
  <c r="J150" i="5" s="1"/>
  <c r="G150" i="5"/>
  <c r="K150" i="5" s="1"/>
  <c r="I149" i="5"/>
  <c r="J149" i="5" s="1"/>
  <c r="G149" i="5"/>
  <c r="I148" i="5"/>
  <c r="J148" i="5" s="1"/>
  <c r="G148" i="5"/>
  <c r="K148" i="5" s="1"/>
  <c r="L148" i="5" s="1"/>
  <c r="N148" i="5" s="1"/>
  <c r="I147" i="5"/>
  <c r="J147" i="5" s="1"/>
  <c r="G147" i="5"/>
  <c r="I146" i="5"/>
  <c r="J146" i="5" s="1"/>
  <c r="G146" i="5"/>
  <c r="K146" i="5" s="1"/>
  <c r="I145" i="5"/>
  <c r="J145" i="5" s="1"/>
  <c r="G145" i="5"/>
  <c r="K145" i="5" s="1"/>
  <c r="I144" i="5"/>
  <c r="J144" i="5" s="1"/>
  <c r="G144" i="5"/>
  <c r="K144" i="5" s="1"/>
  <c r="L144" i="5" s="1"/>
  <c r="I143" i="5"/>
  <c r="J143" i="5" s="1"/>
  <c r="G143" i="5"/>
  <c r="K143" i="5" s="1"/>
  <c r="I142" i="5"/>
  <c r="J142" i="5" s="1"/>
  <c r="G142" i="5"/>
  <c r="I141" i="5"/>
  <c r="J141" i="5" s="1"/>
  <c r="G141" i="5"/>
  <c r="K141" i="5" s="1"/>
  <c r="L141" i="5" s="1"/>
  <c r="I140" i="5"/>
  <c r="J140" i="5" s="1"/>
  <c r="G140" i="5"/>
  <c r="K140" i="5" s="1"/>
  <c r="L140" i="5" s="1"/>
  <c r="I139" i="5"/>
  <c r="J139" i="5" s="1"/>
  <c r="G139" i="5"/>
  <c r="I138" i="5"/>
  <c r="J138" i="5" s="1"/>
  <c r="G138" i="5"/>
  <c r="I137" i="5"/>
  <c r="J137" i="5" s="1"/>
  <c r="G137" i="5"/>
  <c r="I136" i="5"/>
  <c r="J136" i="5" s="1"/>
  <c r="G136" i="5"/>
  <c r="K136" i="5" s="1"/>
  <c r="L136" i="5" s="1"/>
  <c r="I135" i="5"/>
  <c r="J135" i="5" s="1"/>
  <c r="G135" i="5"/>
  <c r="I134" i="5"/>
  <c r="J134" i="5" s="1"/>
  <c r="G134" i="5"/>
  <c r="H134" i="5" s="1"/>
  <c r="I133" i="5"/>
  <c r="J133" i="5" s="1"/>
  <c r="G133" i="5"/>
  <c r="K133" i="5" s="1"/>
  <c r="S133" i="5" s="1"/>
  <c r="I132" i="5"/>
  <c r="J132" i="5" s="1"/>
  <c r="G132" i="5"/>
  <c r="K132" i="5" s="1"/>
  <c r="L132" i="5" s="1"/>
  <c r="I131" i="5"/>
  <c r="J131" i="5" s="1"/>
  <c r="G131" i="5"/>
  <c r="K131" i="5" s="1"/>
  <c r="I130" i="5"/>
  <c r="J130" i="5" s="1"/>
  <c r="G130" i="5"/>
  <c r="H130" i="5" s="1"/>
  <c r="J129" i="5"/>
  <c r="I129" i="5"/>
  <c r="G129" i="5"/>
  <c r="K129" i="5" s="1"/>
  <c r="S129" i="5" s="1"/>
  <c r="I128" i="5"/>
  <c r="J128" i="5" s="1"/>
  <c r="G128" i="5"/>
  <c r="K128" i="5" s="1"/>
  <c r="L128" i="5" s="1"/>
  <c r="I127" i="5"/>
  <c r="J127" i="5" s="1"/>
  <c r="G127" i="5"/>
  <c r="K127" i="5" s="1"/>
  <c r="I126" i="5"/>
  <c r="J126" i="5" s="1"/>
  <c r="G126" i="5"/>
  <c r="H126" i="5" s="1"/>
  <c r="I125" i="5"/>
  <c r="J125" i="5" s="1"/>
  <c r="G125" i="5"/>
  <c r="I124" i="5"/>
  <c r="J124" i="5" s="1"/>
  <c r="H124" i="5"/>
  <c r="G124" i="5"/>
  <c r="K124" i="5" s="1"/>
  <c r="L124" i="5" s="1"/>
  <c r="I123" i="5"/>
  <c r="J123" i="5" s="1"/>
  <c r="G123" i="5"/>
  <c r="K123" i="5" s="1"/>
  <c r="I122" i="5"/>
  <c r="J122" i="5" s="1"/>
  <c r="G122" i="5"/>
  <c r="H122" i="5" s="1"/>
  <c r="I121" i="5"/>
  <c r="J121" i="5" s="1"/>
  <c r="G121" i="5"/>
  <c r="I120" i="5"/>
  <c r="J120" i="5" s="1"/>
  <c r="G120" i="5"/>
  <c r="I119" i="5"/>
  <c r="J119" i="5" s="1"/>
  <c r="G119" i="5"/>
  <c r="K119" i="5" s="1"/>
  <c r="I118" i="5"/>
  <c r="J118" i="5" s="1"/>
  <c r="G118" i="5"/>
  <c r="K117" i="5"/>
  <c r="I117" i="5"/>
  <c r="J117" i="5" s="1"/>
  <c r="G117" i="5"/>
  <c r="H117" i="5" s="1"/>
  <c r="I116" i="5"/>
  <c r="J116" i="5" s="1"/>
  <c r="G116" i="5"/>
  <c r="K116" i="5" s="1"/>
  <c r="L116" i="5" s="1"/>
  <c r="I115" i="5"/>
  <c r="J115" i="5" s="1"/>
  <c r="G115" i="5"/>
  <c r="K115" i="5" s="1"/>
  <c r="I114" i="5"/>
  <c r="J114" i="5" s="1"/>
  <c r="G114" i="5"/>
  <c r="H114" i="5" s="1"/>
  <c r="I113" i="5"/>
  <c r="J113" i="5" s="1"/>
  <c r="G113" i="5"/>
  <c r="H113" i="5" s="1"/>
  <c r="I112" i="5"/>
  <c r="J112" i="5" s="1"/>
  <c r="G112" i="5"/>
  <c r="K112" i="5" s="1"/>
  <c r="L112" i="5" s="1"/>
  <c r="I111" i="5"/>
  <c r="J111" i="5" s="1"/>
  <c r="G111" i="5"/>
  <c r="K111" i="5" s="1"/>
  <c r="K110" i="5"/>
  <c r="I110" i="5"/>
  <c r="J110" i="5" s="1"/>
  <c r="G110" i="5"/>
  <c r="H110" i="5" s="1"/>
  <c r="J109" i="5"/>
  <c r="I109" i="5"/>
  <c r="G109" i="5"/>
  <c r="K109" i="5" s="1"/>
  <c r="S109" i="5" s="1"/>
  <c r="I108" i="5"/>
  <c r="J108" i="5" s="1"/>
  <c r="G108" i="5"/>
  <c r="K108" i="5" s="1"/>
  <c r="L108" i="5" s="1"/>
  <c r="I107" i="5"/>
  <c r="J107" i="5" s="1"/>
  <c r="G107" i="5"/>
  <c r="K107" i="5" s="1"/>
  <c r="I106" i="5"/>
  <c r="J106" i="5" s="1"/>
  <c r="G106" i="5"/>
  <c r="I105" i="5"/>
  <c r="J105" i="5" s="1"/>
  <c r="G105" i="5"/>
  <c r="K105" i="5" s="1"/>
  <c r="I104" i="5"/>
  <c r="J104" i="5" s="1"/>
  <c r="G104" i="5"/>
  <c r="K104" i="5" s="1"/>
  <c r="I103" i="5"/>
  <c r="J103" i="5" s="1"/>
  <c r="G103" i="5"/>
  <c r="K103" i="5" s="1"/>
  <c r="I102" i="5"/>
  <c r="J102" i="5" s="1"/>
  <c r="G102" i="5"/>
  <c r="I101" i="5"/>
  <c r="J101" i="5" s="1"/>
  <c r="G101" i="5"/>
  <c r="H101" i="5" s="1"/>
  <c r="I100" i="5"/>
  <c r="J100" i="5" s="1"/>
  <c r="G100" i="5"/>
  <c r="K100" i="5" s="1"/>
  <c r="I99" i="5"/>
  <c r="J99" i="5" s="1"/>
  <c r="G99" i="5"/>
  <c r="K99" i="5" s="1"/>
  <c r="I98" i="5"/>
  <c r="J98" i="5" s="1"/>
  <c r="G98" i="5"/>
  <c r="H98" i="5" s="1"/>
  <c r="J97" i="5"/>
  <c r="I97" i="5"/>
  <c r="G97" i="5"/>
  <c r="H97" i="5" s="1"/>
  <c r="I96" i="5"/>
  <c r="J96" i="5" s="1"/>
  <c r="G96" i="5"/>
  <c r="K96" i="5" s="1"/>
  <c r="L96" i="5" s="1"/>
  <c r="I95" i="5"/>
  <c r="J95" i="5" s="1"/>
  <c r="G95" i="5"/>
  <c r="K95" i="5" s="1"/>
  <c r="K94" i="5"/>
  <c r="I94" i="5"/>
  <c r="J94" i="5" s="1"/>
  <c r="G94" i="5"/>
  <c r="H94" i="5" s="1"/>
  <c r="I93" i="5"/>
  <c r="J93" i="5" s="1"/>
  <c r="G93" i="5"/>
  <c r="K93" i="5" s="1"/>
  <c r="S93" i="5" s="1"/>
  <c r="I92" i="5"/>
  <c r="J92" i="5" s="1"/>
  <c r="G92" i="5"/>
  <c r="K92" i="5" s="1"/>
  <c r="I91" i="5"/>
  <c r="J91" i="5" s="1"/>
  <c r="G91" i="5"/>
  <c r="K91" i="5" s="1"/>
  <c r="I90" i="5"/>
  <c r="J90" i="5" s="1"/>
  <c r="G90" i="5"/>
  <c r="H90" i="5" s="1"/>
  <c r="J89" i="5"/>
  <c r="I89" i="5"/>
  <c r="G89" i="5"/>
  <c r="K89" i="5" s="1"/>
  <c r="I88" i="5"/>
  <c r="J88" i="5" s="1"/>
  <c r="G88" i="5"/>
  <c r="K88" i="5" s="1"/>
  <c r="L88" i="5" s="1"/>
  <c r="I87" i="5"/>
  <c r="J87" i="5" s="1"/>
  <c r="G87" i="5"/>
  <c r="K87" i="5" s="1"/>
  <c r="I86" i="5"/>
  <c r="J86" i="5" s="1"/>
  <c r="G86" i="5"/>
  <c r="H86" i="5" s="1"/>
  <c r="K85" i="5"/>
  <c r="I85" i="5"/>
  <c r="J85" i="5" s="1"/>
  <c r="G85" i="5"/>
  <c r="H85" i="5" s="1"/>
  <c r="I84" i="5"/>
  <c r="J84" i="5" s="1"/>
  <c r="G84" i="5"/>
  <c r="K84" i="5" s="1"/>
  <c r="L84" i="5" s="1"/>
  <c r="I83" i="5"/>
  <c r="J83" i="5" s="1"/>
  <c r="G83" i="5"/>
  <c r="K83" i="5" s="1"/>
  <c r="I82" i="5"/>
  <c r="J82" i="5" s="1"/>
  <c r="G82" i="5"/>
  <c r="H82" i="5" s="1"/>
  <c r="I81" i="5"/>
  <c r="J81" i="5" s="1"/>
  <c r="G81" i="5"/>
  <c r="H81" i="5" s="1"/>
  <c r="I80" i="5"/>
  <c r="J80" i="5" s="1"/>
  <c r="H80" i="5"/>
  <c r="G80" i="5"/>
  <c r="K80" i="5" s="1"/>
  <c r="L80" i="5" s="1"/>
  <c r="I79" i="5"/>
  <c r="J79" i="5" s="1"/>
  <c r="G79" i="5"/>
  <c r="K79" i="5" s="1"/>
  <c r="I78" i="5"/>
  <c r="J78" i="5" s="1"/>
  <c r="G78" i="5"/>
  <c r="H78" i="5" s="1"/>
  <c r="I77" i="5"/>
  <c r="J77" i="5" s="1"/>
  <c r="G77" i="5"/>
  <c r="K77" i="5" s="1"/>
  <c r="S77" i="5" s="1"/>
  <c r="I76" i="5"/>
  <c r="J76" i="5" s="1"/>
  <c r="H76" i="5"/>
  <c r="G76" i="5"/>
  <c r="K76" i="5" s="1"/>
  <c r="L76" i="5" s="1"/>
  <c r="I75" i="5"/>
  <c r="J75" i="5" s="1"/>
  <c r="G75" i="5"/>
  <c r="K75" i="5" s="1"/>
  <c r="I74" i="5"/>
  <c r="J74" i="5" s="1"/>
  <c r="G74" i="5"/>
  <c r="I73" i="5"/>
  <c r="J73" i="5" s="1"/>
  <c r="G73" i="5"/>
  <c r="H73" i="5" s="1"/>
  <c r="I72" i="5"/>
  <c r="J72" i="5" s="1"/>
  <c r="G72" i="5"/>
  <c r="K72" i="5" s="1"/>
  <c r="I71" i="5"/>
  <c r="J71" i="5" s="1"/>
  <c r="G71" i="5"/>
  <c r="K71" i="5" s="1"/>
  <c r="I70" i="5"/>
  <c r="J70" i="5" s="1"/>
  <c r="G70" i="5"/>
  <c r="H70" i="5" s="1"/>
  <c r="I69" i="5"/>
  <c r="J69" i="5" s="1"/>
  <c r="G69" i="5"/>
  <c r="K69" i="5" s="1"/>
  <c r="I68" i="5"/>
  <c r="J68" i="5" s="1"/>
  <c r="G68" i="5"/>
  <c r="K68" i="5" s="1"/>
  <c r="L68" i="5" s="1"/>
  <c r="I67" i="5"/>
  <c r="J67" i="5" s="1"/>
  <c r="G67" i="5"/>
  <c r="K67" i="5" s="1"/>
  <c r="I66" i="5"/>
  <c r="J66" i="5" s="1"/>
  <c r="G66" i="5"/>
  <c r="H66" i="5" s="1"/>
  <c r="I65" i="5"/>
  <c r="J65" i="5" s="1"/>
  <c r="G65" i="5"/>
  <c r="I64" i="5"/>
  <c r="J64" i="5" s="1"/>
  <c r="G64" i="5"/>
  <c r="K64" i="5" s="1"/>
  <c r="L64" i="5" s="1"/>
  <c r="I63" i="5"/>
  <c r="J63" i="5" s="1"/>
  <c r="G63" i="5"/>
  <c r="K63" i="5" s="1"/>
  <c r="I62" i="5"/>
  <c r="J62" i="5" s="1"/>
  <c r="G62" i="5"/>
  <c r="I61" i="5"/>
  <c r="J61" i="5" s="1"/>
  <c r="G61" i="5"/>
  <c r="K61" i="5" s="1"/>
  <c r="S61" i="5" s="1"/>
  <c r="I60" i="5"/>
  <c r="J60" i="5" s="1"/>
  <c r="G60" i="5"/>
  <c r="K60" i="5" s="1"/>
  <c r="L60" i="5" s="1"/>
  <c r="I59" i="5"/>
  <c r="J59" i="5" s="1"/>
  <c r="G59" i="5"/>
  <c r="K59" i="5" s="1"/>
  <c r="L59" i="5" s="1"/>
  <c r="I58" i="5"/>
  <c r="J58" i="5" s="1"/>
  <c r="G58" i="5"/>
  <c r="H58" i="5" s="1"/>
  <c r="I57" i="5"/>
  <c r="J57" i="5" s="1"/>
  <c r="G57" i="5"/>
  <c r="H57" i="5" s="1"/>
  <c r="I56" i="5"/>
  <c r="J56" i="5" s="1"/>
  <c r="G56" i="5"/>
  <c r="K56" i="5" s="1"/>
  <c r="S56" i="5" s="1"/>
  <c r="I55" i="5"/>
  <c r="J55" i="5" s="1"/>
  <c r="G55" i="5"/>
  <c r="K55" i="5" s="1"/>
  <c r="I54" i="5"/>
  <c r="J54" i="5" s="1"/>
  <c r="G54" i="5"/>
  <c r="H54" i="5" s="1"/>
  <c r="J53" i="5"/>
  <c r="I53" i="5"/>
  <c r="G53" i="5"/>
  <c r="K53" i="5" s="1"/>
  <c r="I52" i="5"/>
  <c r="J52" i="5" s="1"/>
  <c r="G52" i="5"/>
  <c r="K52" i="5" s="1"/>
  <c r="S52" i="5" s="1"/>
  <c r="I51" i="5"/>
  <c r="J51" i="5" s="1"/>
  <c r="G51" i="5"/>
  <c r="K51" i="5" s="1"/>
  <c r="I50" i="5"/>
  <c r="J50" i="5" s="1"/>
  <c r="G50" i="5"/>
  <c r="H50" i="5" s="1"/>
  <c r="I49" i="5"/>
  <c r="J49" i="5" s="1"/>
  <c r="G49" i="5"/>
  <c r="K49" i="5" s="1"/>
  <c r="I48" i="5"/>
  <c r="J48" i="5" s="1"/>
  <c r="G48" i="5"/>
  <c r="K48" i="5" s="1"/>
  <c r="S48" i="5" s="1"/>
  <c r="I47" i="5"/>
  <c r="J47" i="5" s="1"/>
  <c r="G47" i="5"/>
  <c r="K47" i="5" s="1"/>
  <c r="I46" i="5"/>
  <c r="J46" i="5" s="1"/>
  <c r="G46" i="5"/>
  <c r="H46" i="5" s="1"/>
  <c r="J45" i="5"/>
  <c r="I45" i="5"/>
  <c r="G45" i="5"/>
  <c r="H45" i="5" s="1"/>
  <c r="I44" i="5"/>
  <c r="J44" i="5" s="1"/>
  <c r="G44" i="5"/>
  <c r="I43" i="5"/>
  <c r="J43" i="5" s="1"/>
  <c r="G43" i="5"/>
  <c r="K43" i="5" s="1"/>
  <c r="L43" i="5" s="1"/>
  <c r="I42" i="5"/>
  <c r="J42" i="5" s="1"/>
  <c r="G42" i="5"/>
  <c r="H42" i="5" s="1"/>
  <c r="I41" i="5"/>
  <c r="J41" i="5" s="1"/>
  <c r="G41" i="5"/>
  <c r="I40" i="5"/>
  <c r="J40" i="5" s="1"/>
  <c r="G40" i="5"/>
  <c r="K40" i="5" s="1"/>
  <c r="L40" i="5" s="1"/>
  <c r="I39" i="5"/>
  <c r="J39" i="5" s="1"/>
  <c r="G39" i="5"/>
  <c r="K39" i="5" s="1"/>
  <c r="I38" i="5"/>
  <c r="J38" i="5" s="1"/>
  <c r="G38" i="5"/>
  <c r="I37" i="5"/>
  <c r="J37" i="5" s="1"/>
  <c r="G37" i="5"/>
  <c r="K37" i="5" s="1"/>
  <c r="I36" i="5"/>
  <c r="J36" i="5" s="1"/>
  <c r="G36" i="5"/>
  <c r="K36" i="5" s="1"/>
  <c r="L36" i="5" s="1"/>
  <c r="I35" i="5"/>
  <c r="J35" i="5" s="1"/>
  <c r="G35" i="5"/>
  <c r="K35" i="5" s="1"/>
  <c r="I34" i="5"/>
  <c r="J34" i="5" s="1"/>
  <c r="G34" i="5"/>
  <c r="H34" i="5" s="1"/>
  <c r="J33" i="5"/>
  <c r="I33" i="5"/>
  <c r="G33" i="5"/>
  <c r="H33" i="5" s="1"/>
  <c r="I32" i="5"/>
  <c r="J32" i="5" s="1"/>
  <c r="G32" i="5"/>
  <c r="K32" i="5" s="1"/>
  <c r="L32" i="5" s="1"/>
  <c r="I31" i="5"/>
  <c r="J31" i="5" s="1"/>
  <c r="G31" i="5"/>
  <c r="K31" i="5" s="1"/>
  <c r="L31" i="5" s="1"/>
  <c r="I30" i="5"/>
  <c r="J30" i="5" s="1"/>
  <c r="G30" i="5"/>
  <c r="H30" i="5" s="1"/>
  <c r="I29" i="5"/>
  <c r="J29" i="5" s="1"/>
  <c r="G29" i="5"/>
  <c r="K29" i="5" s="1"/>
  <c r="S29" i="5" s="1"/>
  <c r="I28" i="5"/>
  <c r="J28" i="5" s="1"/>
  <c r="G28" i="5"/>
  <c r="I27" i="5"/>
  <c r="J27" i="5" s="1"/>
  <c r="G27" i="5"/>
  <c r="K27" i="5" s="1"/>
  <c r="S27" i="5" s="1"/>
  <c r="I26" i="5"/>
  <c r="J26" i="5" s="1"/>
  <c r="G26" i="5"/>
  <c r="H26" i="5" s="1"/>
  <c r="I25" i="5"/>
  <c r="J25" i="5" s="1"/>
  <c r="G25" i="5"/>
  <c r="H25" i="5" s="1"/>
  <c r="I24" i="5"/>
  <c r="J24" i="5" s="1"/>
  <c r="G24" i="5"/>
  <c r="K24" i="5" s="1"/>
  <c r="S24" i="5" s="1"/>
  <c r="I23" i="5"/>
  <c r="J23" i="5" s="1"/>
  <c r="G23" i="5"/>
  <c r="K23" i="5" s="1"/>
  <c r="L23" i="5" s="1"/>
  <c r="I22" i="5"/>
  <c r="J22" i="5" s="1"/>
  <c r="G22" i="5"/>
  <c r="I21" i="5"/>
  <c r="J21" i="5" s="1"/>
  <c r="G21" i="5"/>
  <c r="H21" i="5" s="1"/>
  <c r="I20" i="5"/>
  <c r="J20" i="5" s="1"/>
  <c r="G20" i="5"/>
  <c r="K20" i="5" s="1"/>
  <c r="S20" i="5" s="1"/>
  <c r="I19" i="5"/>
  <c r="J19" i="5" s="1"/>
  <c r="G19" i="5"/>
  <c r="K19" i="5" s="1"/>
  <c r="I18" i="5"/>
  <c r="J18" i="5" s="1"/>
  <c r="G18" i="5"/>
  <c r="H18" i="5" s="1"/>
  <c r="I17" i="5"/>
  <c r="J17" i="5" s="1"/>
  <c r="G17" i="5"/>
  <c r="H17" i="5" s="1"/>
  <c r="I16" i="5"/>
  <c r="J16" i="5" s="1"/>
  <c r="G16" i="5"/>
  <c r="K16" i="5" s="1"/>
  <c r="S16" i="5" s="1"/>
  <c r="I15" i="5"/>
  <c r="J15" i="5" s="1"/>
  <c r="G15" i="5"/>
  <c r="K15" i="5" s="1"/>
  <c r="S15" i="5" s="1"/>
  <c r="I14" i="5"/>
  <c r="J14" i="5" s="1"/>
  <c r="G14" i="5"/>
  <c r="H14" i="5" s="1"/>
  <c r="I13" i="5"/>
  <c r="J13" i="5" s="1"/>
  <c r="G13" i="5"/>
  <c r="H13" i="5" s="1"/>
  <c r="I12" i="5"/>
  <c r="J12" i="5" s="1"/>
  <c r="G12" i="5"/>
  <c r="K12" i="5" s="1"/>
  <c r="L12" i="5" s="1"/>
  <c r="I11" i="5"/>
  <c r="J11" i="5" s="1"/>
  <c r="G11" i="5"/>
  <c r="K11" i="5" s="1"/>
  <c r="I10" i="5"/>
  <c r="J10" i="5" s="1"/>
  <c r="G10" i="5"/>
  <c r="H10" i="5" s="1"/>
  <c r="I9" i="5"/>
  <c r="J9" i="5" s="1"/>
  <c r="G9" i="5"/>
  <c r="H9" i="5" s="1"/>
  <c r="I8" i="5"/>
  <c r="J8" i="5" s="1"/>
  <c r="G8" i="5"/>
  <c r="K8" i="5" s="1"/>
  <c r="I7" i="5"/>
  <c r="J7" i="5" s="1"/>
  <c r="G7" i="5"/>
  <c r="K7" i="5" s="1"/>
  <c r="S7" i="5" s="1"/>
  <c r="I6" i="5"/>
  <c r="J6" i="5" s="1"/>
  <c r="G6" i="5"/>
  <c r="H6" i="5" s="1"/>
  <c r="I5" i="5"/>
  <c r="J5" i="5" s="1"/>
  <c r="G5" i="5"/>
  <c r="H5" i="5" s="1"/>
  <c r="I4" i="5"/>
  <c r="J4" i="5" s="1"/>
  <c r="G4" i="5"/>
  <c r="K4" i="5" s="1"/>
  <c r="L4" i="5" s="1"/>
  <c r="H206" i="5" l="1"/>
  <c r="H266" i="5"/>
  <c r="N276" i="5"/>
  <c r="H399" i="5"/>
  <c r="H440" i="5"/>
  <c r="H478" i="5"/>
  <c r="K50" i="5"/>
  <c r="L50" i="5" s="1"/>
  <c r="N50" i="5" s="1"/>
  <c r="S60" i="5"/>
  <c r="K82" i="5"/>
  <c r="L82" i="5" s="1"/>
  <c r="N256" i="5"/>
  <c r="K290" i="5"/>
  <c r="S290" i="5" s="1"/>
  <c r="K487" i="5"/>
  <c r="S487" i="5" s="1"/>
  <c r="K17" i="5"/>
  <c r="S17" i="5" s="1"/>
  <c r="K34" i="5"/>
  <c r="L34" i="5" s="1"/>
  <c r="N34" i="5" s="1"/>
  <c r="K45" i="5"/>
  <c r="S45" i="5" s="1"/>
  <c r="H140" i="5"/>
  <c r="H236" i="5"/>
  <c r="H277" i="5"/>
  <c r="H304" i="5"/>
  <c r="M304" i="5" s="1"/>
  <c r="H319" i="5"/>
  <c r="L380" i="5"/>
  <c r="L399" i="5"/>
  <c r="N399" i="5" s="1"/>
  <c r="H419" i="5"/>
  <c r="L440" i="5"/>
  <c r="N440" i="5" s="1"/>
  <c r="N474" i="5"/>
  <c r="N232" i="5"/>
  <c r="H362" i="5"/>
  <c r="H385" i="5"/>
  <c r="H432" i="5"/>
  <c r="S474" i="5"/>
  <c r="K497" i="5"/>
  <c r="M497" i="5" s="1"/>
  <c r="L56" i="5"/>
  <c r="H89" i="5"/>
  <c r="M89" i="5" s="1"/>
  <c r="K97" i="5"/>
  <c r="L97" i="5" s="1"/>
  <c r="S232" i="5"/>
  <c r="K295" i="5"/>
  <c r="L295" i="5" s="1"/>
  <c r="N295" i="5" s="1"/>
  <c r="K371" i="5"/>
  <c r="L371" i="5" s="1"/>
  <c r="L424" i="5"/>
  <c r="K54" i="5"/>
  <c r="L93" i="5"/>
  <c r="H146" i="5"/>
  <c r="M146" i="5" s="1"/>
  <c r="N203" i="5"/>
  <c r="H292" i="5"/>
  <c r="K347" i="5"/>
  <c r="L347" i="5" s="1"/>
  <c r="K367" i="5"/>
  <c r="S367" i="5" s="1"/>
  <c r="K396" i="5"/>
  <c r="H416" i="5"/>
  <c r="K493" i="5"/>
  <c r="M325" i="5"/>
  <c r="H229" i="5"/>
  <c r="H392" i="5"/>
  <c r="H397" i="5"/>
  <c r="H433" i="5"/>
  <c r="H194" i="5"/>
  <c r="S425" i="5"/>
  <c r="H413" i="5"/>
  <c r="M413" i="5" s="1"/>
  <c r="K429" i="5"/>
  <c r="S429" i="5" s="1"/>
  <c r="H458" i="5"/>
  <c r="K81" i="5"/>
  <c r="L81" i="5" s="1"/>
  <c r="K90" i="5"/>
  <c r="H143" i="5"/>
  <c r="H210" i="5"/>
  <c r="M210" i="5" s="1"/>
  <c r="H220" i="5"/>
  <c r="K255" i="5"/>
  <c r="L255" i="5" s="1"/>
  <c r="K265" i="5"/>
  <c r="S265" i="5" s="1"/>
  <c r="H276" i="5"/>
  <c r="M276" i="5" s="1"/>
  <c r="L279" i="5"/>
  <c r="N279" i="5" s="1"/>
  <c r="H293" i="5"/>
  <c r="M293" i="5" s="1"/>
  <c r="H312" i="5"/>
  <c r="H482" i="5"/>
  <c r="K495" i="5"/>
  <c r="L495" i="5" s="1"/>
  <c r="S479" i="5"/>
  <c r="L479" i="5"/>
  <c r="S397" i="5"/>
  <c r="M397" i="5"/>
  <c r="L397" i="5"/>
  <c r="N397" i="5" s="1"/>
  <c r="S105" i="5"/>
  <c r="L105" i="5"/>
  <c r="N105" i="5" s="1"/>
  <c r="S458" i="5"/>
  <c r="L458" i="5"/>
  <c r="N458" i="5" s="1"/>
  <c r="S434" i="5"/>
  <c r="L434" i="5"/>
  <c r="N434" i="5" s="1"/>
  <c r="S409" i="5"/>
  <c r="L409" i="5"/>
  <c r="K343" i="5"/>
  <c r="K361" i="5"/>
  <c r="S361" i="5" s="1"/>
  <c r="K386" i="5"/>
  <c r="K21" i="5"/>
  <c r="S21" i="5" s="1"/>
  <c r="S40" i="5"/>
  <c r="K126" i="5"/>
  <c r="M126" i="5" s="1"/>
  <c r="H198" i="5"/>
  <c r="M198" i="5" s="1"/>
  <c r="S215" i="5"/>
  <c r="H237" i="5"/>
  <c r="M237" i="5" s="1"/>
  <c r="H257" i="5"/>
  <c r="K271" i="5"/>
  <c r="L271" i="5" s="1"/>
  <c r="K281" i="5"/>
  <c r="S281" i="5" s="1"/>
  <c r="N292" i="5"/>
  <c r="H296" i="5"/>
  <c r="K307" i="5"/>
  <c r="K316" i="5"/>
  <c r="K324" i="5"/>
  <c r="M324" i="5" s="1"/>
  <c r="K365" i="5"/>
  <c r="H395" i="5"/>
  <c r="M395" i="5" s="1"/>
  <c r="H424" i="5"/>
  <c r="H434" i="5"/>
  <c r="M434" i="5" s="1"/>
  <c r="K437" i="5"/>
  <c r="H449" i="5"/>
  <c r="L456" i="5"/>
  <c r="N456" i="5" s="1"/>
  <c r="H479" i="5"/>
  <c r="H494" i="5"/>
  <c r="H49" i="5"/>
  <c r="K5" i="5"/>
  <c r="K9" i="5"/>
  <c r="L9" i="5" s="1"/>
  <c r="K14" i="5"/>
  <c r="K18" i="5"/>
  <c r="S18" i="5" s="1"/>
  <c r="K57" i="5"/>
  <c r="L57" i="5" s="1"/>
  <c r="K78" i="5"/>
  <c r="K86" i="5"/>
  <c r="L86" i="5" s="1"/>
  <c r="N86" i="5" s="1"/>
  <c r="K98" i="5"/>
  <c r="M98" i="5" s="1"/>
  <c r="K130" i="5"/>
  <c r="S130" i="5" s="1"/>
  <c r="K151" i="5"/>
  <c r="K275" i="5"/>
  <c r="L275" i="5" s="1"/>
  <c r="L368" i="5"/>
  <c r="N368" i="5" s="1"/>
  <c r="K471" i="5"/>
  <c r="M479" i="5"/>
  <c r="S498" i="5"/>
  <c r="N268" i="5"/>
  <c r="K353" i="5"/>
  <c r="M424" i="5"/>
  <c r="M495" i="5"/>
  <c r="S268" i="5"/>
  <c r="H499" i="5"/>
  <c r="H503" i="5"/>
  <c r="H145" i="5"/>
  <c r="H29" i="5"/>
  <c r="K42" i="5"/>
  <c r="S50" i="5"/>
  <c r="H88" i="5"/>
  <c r="M88" i="5" s="1"/>
  <c r="H141" i="5"/>
  <c r="M141" i="5" s="1"/>
  <c r="H190" i="5"/>
  <c r="K230" i="5"/>
  <c r="K251" i="5"/>
  <c r="L251" i="5" s="1"/>
  <c r="N251" i="5" s="1"/>
  <c r="H273" i="5"/>
  <c r="K287" i="5"/>
  <c r="L287" i="5" s="1"/>
  <c r="H298" i="5"/>
  <c r="K313" i="5"/>
  <c r="H363" i="5"/>
  <c r="K373" i="5"/>
  <c r="L373" i="5" s="1"/>
  <c r="H381" i="5"/>
  <c r="M381" i="5" s="1"/>
  <c r="H389" i="5"/>
  <c r="M389" i="5" s="1"/>
  <c r="H405" i="5"/>
  <c r="M405" i="5" s="1"/>
  <c r="M409" i="5"/>
  <c r="H450" i="5"/>
  <c r="M450" i="5" s="1"/>
  <c r="H454" i="5"/>
  <c r="K469" i="5"/>
  <c r="L483" i="5"/>
  <c r="S495" i="5"/>
  <c r="H105" i="5"/>
  <c r="K239" i="5"/>
  <c r="L239" i="5" s="1"/>
  <c r="N239" i="5" s="1"/>
  <c r="K243" i="5"/>
  <c r="L243" i="5" s="1"/>
  <c r="N318" i="5"/>
  <c r="N322" i="5"/>
  <c r="K377" i="5"/>
  <c r="L466" i="5"/>
  <c r="N466" i="5" s="1"/>
  <c r="L7" i="5"/>
  <c r="N7" i="5" s="1"/>
  <c r="L20" i="5"/>
  <c r="L24" i="5"/>
  <c r="K33" i="5"/>
  <c r="S33" i="5" s="1"/>
  <c r="H60" i="5"/>
  <c r="H129" i="5"/>
  <c r="H133" i="5"/>
  <c r="H150" i="5"/>
  <c r="K158" i="5"/>
  <c r="L158" i="5" s="1"/>
  <c r="N158" i="5" s="1"/>
  <c r="K227" i="5"/>
  <c r="M227" i="5" s="1"/>
  <c r="H248" i="5"/>
  <c r="M248" i="5" s="1"/>
  <c r="H256" i="5"/>
  <c r="H280" i="5"/>
  <c r="K291" i="5"/>
  <c r="S318" i="5"/>
  <c r="S322" i="5"/>
  <c r="L336" i="5"/>
  <c r="S346" i="5"/>
  <c r="K442" i="5"/>
  <c r="M466" i="5"/>
  <c r="K473" i="5"/>
  <c r="S473" i="5" s="1"/>
  <c r="K500" i="5"/>
  <c r="S500" i="5" s="1"/>
  <c r="H109" i="5"/>
  <c r="M109" i="5" s="1"/>
  <c r="H128" i="5"/>
  <c r="M166" i="5"/>
  <c r="M190" i="5"/>
  <c r="N346" i="5"/>
  <c r="S12" i="5"/>
  <c r="K101" i="5"/>
  <c r="S101" i="5" s="1"/>
  <c r="K187" i="5"/>
  <c r="S187" i="5" s="1"/>
  <c r="K223" i="5"/>
  <c r="S223" i="5" s="1"/>
  <c r="K259" i="5"/>
  <c r="L259" i="5" s="1"/>
  <c r="K263" i="5"/>
  <c r="L263" i="5" s="1"/>
  <c r="N263" i="5" s="1"/>
  <c r="K267" i="5"/>
  <c r="L267" i="5" s="1"/>
  <c r="N267" i="5" s="1"/>
  <c r="K270" i="5"/>
  <c r="S270" i="5" s="1"/>
  <c r="N284" i="5"/>
  <c r="K374" i="5"/>
  <c r="S374" i="5" s="1"/>
  <c r="K447" i="5"/>
  <c r="H228" i="5"/>
  <c r="H249" i="5"/>
  <c r="H253" i="5"/>
  <c r="S256" i="5"/>
  <c r="H268" i="5"/>
  <c r="M268" i="5" s="1"/>
  <c r="M319" i="5"/>
  <c r="H375" i="5"/>
  <c r="H467" i="5"/>
  <c r="M467" i="5" s="1"/>
  <c r="K30" i="5"/>
  <c r="L30" i="5" s="1"/>
  <c r="N30" i="5" s="1"/>
  <c r="H53" i="5"/>
  <c r="K333" i="5"/>
  <c r="L90" i="5"/>
  <c r="N90" i="5" s="1"/>
  <c r="S90" i="5"/>
  <c r="M90" i="5"/>
  <c r="K28" i="5"/>
  <c r="H28" i="5"/>
  <c r="H77" i="5"/>
  <c r="L110" i="5"/>
  <c r="N110" i="5" s="1"/>
  <c r="M110" i="5"/>
  <c r="K139" i="5"/>
  <c r="M139" i="5" s="1"/>
  <c r="H139" i="5"/>
  <c r="H221" i="5"/>
  <c r="K314" i="5"/>
  <c r="H314" i="5"/>
  <c r="L326" i="5"/>
  <c r="S326" i="5"/>
  <c r="H476" i="5"/>
  <c r="K476" i="5"/>
  <c r="H65" i="5"/>
  <c r="K65" i="5"/>
  <c r="S65" i="5" s="1"/>
  <c r="K302" i="5"/>
  <c r="S302" i="5" s="1"/>
  <c r="H302" i="5"/>
  <c r="K6" i="5"/>
  <c r="S6" i="5" s="1"/>
  <c r="H61" i="5"/>
  <c r="K73" i="5"/>
  <c r="S73" i="5" s="1"/>
  <c r="H118" i="5"/>
  <c r="K118" i="5"/>
  <c r="L130" i="5"/>
  <c r="N130" i="5"/>
  <c r="K135" i="5"/>
  <c r="H135" i="5"/>
  <c r="M150" i="5"/>
  <c r="L150" i="5"/>
  <c r="N150" i="5" s="1"/>
  <c r="K159" i="5"/>
  <c r="L159" i="5" s="1"/>
  <c r="N159" i="5" s="1"/>
  <c r="H182" i="5"/>
  <c r="H274" i="5"/>
  <c r="L450" i="5"/>
  <c r="N450" i="5" s="1"/>
  <c r="S450" i="5"/>
  <c r="H163" i="5"/>
  <c r="K163" i="5"/>
  <c r="M10" i="5"/>
  <c r="K13" i="5"/>
  <c r="S13" i="5" s="1"/>
  <c r="L16" i="5"/>
  <c r="H74" i="5"/>
  <c r="K74" i="5"/>
  <c r="S110" i="5"/>
  <c r="K114" i="5"/>
  <c r="M114" i="5" s="1"/>
  <c r="H393" i="5"/>
  <c r="K393" i="5"/>
  <c r="H106" i="5"/>
  <c r="M106" i="5" s="1"/>
  <c r="K106" i="5"/>
  <c r="H154" i="5"/>
  <c r="M154" i="5" s="1"/>
  <c r="K154" i="5"/>
  <c r="H186" i="5"/>
  <c r="K186" i="5"/>
  <c r="S186" i="5" s="1"/>
  <c r="H341" i="5"/>
  <c r="K341" i="5"/>
  <c r="S341" i="5" s="1"/>
  <c r="H16" i="5"/>
  <c r="H22" i="5"/>
  <c r="K22" i="5"/>
  <c r="K10" i="5"/>
  <c r="K25" i="5"/>
  <c r="S25" i="5" s="1"/>
  <c r="K46" i="5"/>
  <c r="L54" i="5"/>
  <c r="N54" i="5" s="1"/>
  <c r="S54" i="5"/>
  <c r="K58" i="5"/>
  <c r="K66" i="5"/>
  <c r="M66" i="5" s="1"/>
  <c r="K70" i="5"/>
  <c r="M70" i="5" s="1"/>
  <c r="H96" i="5"/>
  <c r="M96" i="5" s="1"/>
  <c r="M173" i="5"/>
  <c r="L187" i="5"/>
  <c r="H401" i="5"/>
  <c r="K401" i="5"/>
  <c r="K44" i="5"/>
  <c r="H44" i="5"/>
  <c r="M44" i="5" s="1"/>
  <c r="H174" i="5"/>
  <c r="K174" i="5"/>
  <c r="M174" i="5" s="1"/>
  <c r="H218" i="5"/>
  <c r="K218" i="5"/>
  <c r="L218" i="5" s="1"/>
  <c r="N218" i="5" s="1"/>
  <c r="M433" i="5"/>
  <c r="S433" i="5"/>
  <c r="L94" i="5"/>
  <c r="N94" i="5" s="1"/>
  <c r="S94" i="5"/>
  <c r="H62" i="5"/>
  <c r="K62" i="5"/>
  <c r="H20" i="5"/>
  <c r="H37" i="5"/>
  <c r="M37" i="5" s="1"/>
  <c r="H93" i="5"/>
  <c r="K170" i="5"/>
  <c r="H170" i="5"/>
  <c r="H214" i="5"/>
  <c r="M214" i="5" s="1"/>
  <c r="H481" i="5"/>
  <c r="K481" i="5"/>
  <c r="S481" i="5" s="1"/>
  <c r="H41" i="5"/>
  <c r="K41" i="5"/>
  <c r="L41" i="5" s="1"/>
  <c r="K26" i="5"/>
  <c r="M86" i="5"/>
  <c r="K120" i="5"/>
  <c r="H120" i="5"/>
  <c r="H137" i="5"/>
  <c r="K137" i="5"/>
  <c r="L137" i="5" s="1"/>
  <c r="H179" i="5"/>
  <c r="K179" i="5"/>
  <c r="H202" i="5"/>
  <c r="K202" i="5"/>
  <c r="H258" i="5"/>
  <c r="K258" i="5"/>
  <c r="K272" i="5"/>
  <c r="H272" i="5"/>
  <c r="M316" i="5"/>
  <c r="L334" i="5"/>
  <c r="N334" i="5" s="1"/>
  <c r="S334" i="5"/>
  <c r="K415" i="5"/>
  <c r="L415" i="5" s="1"/>
  <c r="N415" i="5" s="1"/>
  <c r="H415" i="5"/>
  <c r="M415" i="5" s="1"/>
  <c r="K448" i="5"/>
  <c r="S448" i="5" s="1"/>
  <c r="H448" i="5"/>
  <c r="H125" i="5"/>
  <c r="K125" i="5"/>
  <c r="S125" i="5" s="1"/>
  <c r="L358" i="5"/>
  <c r="N358" i="5" s="1"/>
  <c r="S358" i="5"/>
  <c r="K387" i="5"/>
  <c r="H387" i="5"/>
  <c r="N424" i="5"/>
  <c r="L98" i="5"/>
  <c r="N98" i="5" s="1"/>
  <c r="S98" i="5"/>
  <c r="H38" i="5"/>
  <c r="K38" i="5"/>
  <c r="H138" i="5"/>
  <c r="K138" i="5"/>
  <c r="H269" i="5"/>
  <c r="K269" i="5"/>
  <c r="S269" i="5" s="1"/>
  <c r="H283" i="5"/>
  <c r="K283" i="5"/>
  <c r="N82" i="5"/>
  <c r="K121" i="5"/>
  <c r="S121" i="5" s="1"/>
  <c r="H121" i="5"/>
  <c r="K162" i="5"/>
  <c r="S162" i="5" s="1"/>
  <c r="H162" i="5"/>
  <c r="H24" i="5"/>
  <c r="M24" i="5" s="1"/>
  <c r="S82" i="5"/>
  <c r="S86" i="5"/>
  <c r="S146" i="5"/>
  <c r="L146" i="5"/>
  <c r="N146" i="5" s="1"/>
  <c r="K185" i="5"/>
  <c r="H185" i="5"/>
  <c r="M206" i="5"/>
  <c r="H224" i="5"/>
  <c r="M224" i="5" s="1"/>
  <c r="H384" i="5"/>
  <c r="K408" i="5"/>
  <c r="L408" i="5" s="1"/>
  <c r="H408" i="5"/>
  <c r="H460" i="5"/>
  <c r="M460" i="5" s="1"/>
  <c r="H102" i="5"/>
  <c r="K102" i="5"/>
  <c r="K113" i="5"/>
  <c r="H142" i="5"/>
  <c r="K142" i="5"/>
  <c r="M240" i="5"/>
  <c r="M256" i="5"/>
  <c r="H366" i="5"/>
  <c r="K366" i="5"/>
  <c r="S381" i="5"/>
  <c r="L381" i="5"/>
  <c r="K438" i="5"/>
  <c r="S438" i="5" s="1"/>
  <c r="H438" i="5"/>
  <c r="M494" i="5"/>
  <c r="L502" i="5"/>
  <c r="N502" i="5" s="1"/>
  <c r="S502" i="5"/>
  <c r="M50" i="5"/>
  <c r="H177" i="5"/>
  <c r="M177" i="5" s="1"/>
  <c r="N191" i="5"/>
  <c r="H205" i="5"/>
  <c r="N211" i="5"/>
  <c r="H241" i="5"/>
  <c r="M241" i="5" s="1"/>
  <c r="H244" i="5"/>
  <c r="H264" i="5"/>
  <c r="N288" i="5"/>
  <c r="H297" i="5"/>
  <c r="H305" i="5"/>
  <c r="H338" i="5"/>
  <c r="M338" i="5" s="1"/>
  <c r="H352" i="5"/>
  <c r="K418" i="5"/>
  <c r="S418" i="5" s="1"/>
  <c r="H422" i="5"/>
  <c r="K431" i="5"/>
  <c r="M431" i="5" s="1"/>
  <c r="H436" i="5"/>
  <c r="H470" i="5"/>
  <c r="M470" i="5" s="1"/>
  <c r="S478" i="5"/>
  <c r="S34" i="5"/>
  <c r="M54" i="5"/>
  <c r="H69" i="5"/>
  <c r="M69" i="5" s="1"/>
  <c r="H72" i="5"/>
  <c r="M94" i="5"/>
  <c r="K122" i="5"/>
  <c r="H131" i="5"/>
  <c r="K134" i="5"/>
  <c r="M134" i="5" s="1"/>
  <c r="K171" i="5"/>
  <c r="M171" i="5" s="1"/>
  <c r="H189" i="5"/>
  <c r="M189" i="5" s="1"/>
  <c r="S191" i="5"/>
  <c r="S211" i="5"/>
  <c r="H222" i="5"/>
  <c r="H232" i="5"/>
  <c r="K247" i="5"/>
  <c r="H284" i="5"/>
  <c r="M284" i="5" s="1"/>
  <c r="K286" i="5"/>
  <c r="S288" i="5"/>
  <c r="H300" i="5"/>
  <c r="K331" i="5"/>
  <c r="L331" i="5" s="1"/>
  <c r="K355" i="5"/>
  <c r="M355" i="5" s="1"/>
  <c r="K398" i="5"/>
  <c r="S398" i="5" s="1"/>
  <c r="M422" i="5"/>
  <c r="K235" i="5"/>
  <c r="N244" i="5"/>
  <c r="L348" i="5"/>
  <c r="N336" i="5"/>
  <c r="L436" i="5"/>
  <c r="M82" i="5"/>
  <c r="K155" i="5"/>
  <c r="H169" i="5"/>
  <c r="M169" i="5" s="1"/>
  <c r="K175" i="5"/>
  <c r="H178" i="5"/>
  <c r="M178" i="5" s="1"/>
  <c r="M187" i="5"/>
  <c r="N219" i="5"/>
  <c r="K254" i="5"/>
  <c r="K328" i="5"/>
  <c r="K359" i="5"/>
  <c r="L359" i="5" s="1"/>
  <c r="H380" i="5"/>
  <c r="M380" i="5" s="1"/>
  <c r="K402" i="5"/>
  <c r="H452" i="5"/>
  <c r="M452" i="5" s="1"/>
  <c r="M458" i="5"/>
  <c r="H490" i="5"/>
  <c r="M490" i="5" s="1"/>
  <c r="H498" i="5"/>
  <c r="M498" i="5" s="1"/>
  <c r="L500" i="5"/>
  <c r="K242" i="5"/>
  <c r="N310" i="5"/>
  <c r="M440" i="5"/>
  <c r="M130" i="5"/>
  <c r="M223" i="5"/>
  <c r="H252" i="5"/>
  <c r="M252" i="5" s="1"/>
  <c r="H260" i="5"/>
  <c r="M322" i="5"/>
  <c r="H360" i="5"/>
  <c r="H368" i="5"/>
  <c r="M368" i="5" s="1"/>
  <c r="M34" i="5"/>
  <c r="K231" i="5"/>
  <c r="L231" i="5" s="1"/>
  <c r="N260" i="5"/>
  <c r="K299" i="5"/>
  <c r="L299" i="5" s="1"/>
  <c r="N299" i="5" s="1"/>
  <c r="N304" i="5"/>
  <c r="L395" i="5"/>
  <c r="N395" i="5" s="1"/>
  <c r="L478" i="5"/>
  <c r="N478" i="5" s="1"/>
  <c r="K491" i="5"/>
  <c r="L494" i="5"/>
  <c r="N494" i="5" s="1"/>
  <c r="S260" i="5"/>
  <c r="M288" i="5"/>
  <c r="N348" i="5"/>
  <c r="H36" i="5"/>
  <c r="H4" i="5"/>
  <c r="S92" i="5"/>
  <c r="H112" i="5"/>
  <c r="M112" i="5" s="1"/>
  <c r="L129" i="5"/>
  <c r="N129" i="5" s="1"/>
  <c r="S165" i="5"/>
  <c r="L165" i="5"/>
  <c r="N165" i="5" s="1"/>
  <c r="L13" i="5"/>
  <c r="N13" i="5" s="1"/>
  <c r="L17" i="5"/>
  <c r="N17" i="5" s="1"/>
  <c r="L21" i="5"/>
  <c r="N21" i="5" s="1"/>
  <c r="N23" i="5"/>
  <c r="L25" i="5"/>
  <c r="N25" i="5" s="1"/>
  <c r="N27" i="5"/>
  <c r="L29" i="5"/>
  <c r="H32" i="5"/>
  <c r="M32" i="5" s="1"/>
  <c r="S36" i="5"/>
  <c r="L45" i="5"/>
  <c r="N45" i="5" s="1"/>
  <c r="H48" i="5"/>
  <c r="M48" i="5" s="1"/>
  <c r="L61" i="5"/>
  <c r="N61" i="5" s="1"/>
  <c r="S72" i="5"/>
  <c r="M72" i="5"/>
  <c r="L79" i="5"/>
  <c r="N79" i="5" s="1"/>
  <c r="S79" i="5"/>
  <c r="S81" i="5"/>
  <c r="H92" i="5"/>
  <c r="M92" i="5" s="1"/>
  <c r="L109" i="5"/>
  <c r="S120" i="5"/>
  <c r="L127" i="5"/>
  <c r="N127" i="5" s="1"/>
  <c r="S127" i="5"/>
  <c r="S141" i="5"/>
  <c r="K149" i="5"/>
  <c r="H149" i="5"/>
  <c r="L151" i="5"/>
  <c r="N151" i="5" s="1"/>
  <c r="S151" i="5"/>
  <c r="M151" i="5"/>
  <c r="K157" i="5"/>
  <c r="H157" i="5"/>
  <c r="H165" i="5"/>
  <c r="M165" i="5" s="1"/>
  <c r="H197" i="5"/>
  <c r="M197" i="5" s="1"/>
  <c r="K200" i="5"/>
  <c r="H200" i="5"/>
  <c r="L296" i="5"/>
  <c r="N296" i="5" s="1"/>
  <c r="S296" i="5"/>
  <c r="M296" i="5"/>
  <c r="M49" i="5"/>
  <c r="S104" i="5"/>
  <c r="L49" i="5"/>
  <c r="N49" i="5" s="1"/>
  <c r="S197" i="5"/>
  <c r="L197" i="5"/>
  <c r="N197" i="5" s="1"/>
  <c r="H8" i="5"/>
  <c r="M8" i="5" s="1"/>
  <c r="S23" i="5"/>
  <c r="L89" i="5"/>
  <c r="N89" i="5" s="1"/>
  <c r="S100" i="5"/>
  <c r="L107" i="5"/>
  <c r="N107" i="5" s="1"/>
  <c r="S107" i="5"/>
  <c r="M117" i="5"/>
  <c r="S154" i="5"/>
  <c r="S226" i="5"/>
  <c r="L226" i="5"/>
  <c r="N226" i="5" s="1"/>
  <c r="S238" i="5"/>
  <c r="L238" i="5"/>
  <c r="N238" i="5" s="1"/>
  <c r="S250" i="5"/>
  <c r="L250" i="5"/>
  <c r="N250" i="5" s="1"/>
  <c r="L11" i="5"/>
  <c r="N11" i="5" s="1"/>
  <c r="M13" i="5"/>
  <c r="S59" i="5"/>
  <c r="N59" i="5"/>
  <c r="L99" i="5"/>
  <c r="S99" i="5"/>
  <c r="N99" i="5"/>
  <c r="S11" i="5"/>
  <c r="S4" i="5"/>
  <c r="N12" i="5"/>
  <c r="N16" i="5"/>
  <c r="M16" i="5"/>
  <c r="N20" i="5"/>
  <c r="M20" i="5"/>
  <c r="N24" i="5"/>
  <c r="M28" i="5"/>
  <c r="S39" i="5"/>
  <c r="N41" i="5"/>
  <c r="M41" i="5"/>
  <c r="L48" i="5"/>
  <c r="N48" i="5" s="1"/>
  <c r="S55" i="5"/>
  <c r="N57" i="5"/>
  <c r="M57" i="5"/>
  <c r="N60" i="5"/>
  <c r="M60" i="5"/>
  <c r="L69" i="5"/>
  <c r="N69" i="5" s="1"/>
  <c r="S80" i="5"/>
  <c r="N80" i="5"/>
  <c r="M80" i="5"/>
  <c r="L87" i="5"/>
  <c r="N87" i="5" s="1"/>
  <c r="S87" i="5"/>
  <c r="S89" i="5"/>
  <c r="L92" i="5"/>
  <c r="N92" i="5" s="1"/>
  <c r="H100" i="5"/>
  <c r="M100" i="5" s="1"/>
  <c r="L117" i="5"/>
  <c r="N117" i="5" s="1"/>
  <c r="S128" i="5"/>
  <c r="N128" i="5"/>
  <c r="M128" i="5"/>
  <c r="N137" i="5"/>
  <c r="S140" i="5"/>
  <c r="N140" i="5"/>
  <c r="M140" i="5"/>
  <c r="L154" i="5"/>
  <c r="N154" i="5" s="1"/>
  <c r="K213" i="5"/>
  <c r="H213" i="5"/>
  <c r="H226" i="5"/>
  <c r="M226" i="5" s="1"/>
  <c r="H238" i="5"/>
  <c r="M238" i="5" s="1"/>
  <c r="H250" i="5"/>
  <c r="M250" i="5" s="1"/>
  <c r="L280" i="5"/>
  <c r="N280" i="5" s="1"/>
  <c r="S280" i="5"/>
  <c r="M280" i="5"/>
  <c r="S31" i="5"/>
  <c r="N31" i="5"/>
  <c r="L63" i="5"/>
  <c r="N63" i="5" s="1"/>
  <c r="S63" i="5"/>
  <c r="M73" i="5"/>
  <c r="S84" i="5"/>
  <c r="N84" i="5"/>
  <c r="L121" i="5"/>
  <c r="H167" i="5"/>
  <c r="K167" i="5"/>
  <c r="L101" i="5"/>
  <c r="N101" i="5" s="1"/>
  <c r="M129" i="5"/>
  <c r="N141" i="5"/>
  <c r="N32" i="5"/>
  <c r="L52" i="5"/>
  <c r="N52" i="5" s="1"/>
  <c r="H64" i="5"/>
  <c r="M64" i="5" s="1"/>
  <c r="H132" i="5"/>
  <c r="M132" i="5" s="1"/>
  <c r="H144" i="5"/>
  <c r="M144" i="5" s="1"/>
  <c r="K212" i="5"/>
  <c r="H212" i="5"/>
  <c r="L8" i="5"/>
  <c r="N8" i="5" s="1"/>
  <c r="S32" i="5"/>
  <c r="L67" i="5"/>
  <c r="N67" i="5" s="1"/>
  <c r="S67" i="5"/>
  <c r="S69" i="5"/>
  <c r="L72" i="5"/>
  <c r="N72" i="5" s="1"/>
  <c r="M77" i="5"/>
  <c r="S108" i="5"/>
  <c r="N108" i="5"/>
  <c r="L115" i="5"/>
  <c r="N115" i="5" s="1"/>
  <c r="S115" i="5"/>
  <c r="S117" i="5"/>
  <c r="L120" i="5"/>
  <c r="N120" i="5" s="1"/>
  <c r="M125" i="5"/>
  <c r="M135" i="5"/>
  <c r="L135" i="5"/>
  <c r="N135" i="5" s="1"/>
  <c r="S135" i="5"/>
  <c r="S182" i="5"/>
  <c r="M182" i="5"/>
  <c r="L182" i="5"/>
  <c r="N182" i="5" s="1"/>
  <c r="H84" i="5"/>
  <c r="M84" i="5" s="1"/>
  <c r="M17" i="5"/>
  <c r="N29" i="5"/>
  <c r="M29" i="5"/>
  <c r="M61" i="5"/>
  <c r="L104" i="5"/>
  <c r="N104" i="5" s="1"/>
  <c r="S19" i="5"/>
  <c r="H12" i="5"/>
  <c r="M12" i="5" s="1"/>
  <c r="S8" i="5"/>
  <c r="L39" i="5"/>
  <c r="N39" i="5" s="1"/>
  <c r="S41" i="5"/>
  <c r="L55" i="5"/>
  <c r="N55" i="5" s="1"/>
  <c r="S57" i="5"/>
  <c r="L77" i="5"/>
  <c r="N77" i="5" s="1"/>
  <c r="S88" i="5"/>
  <c r="N88" i="5"/>
  <c r="L95" i="5"/>
  <c r="N95" i="5" s="1"/>
  <c r="S95" i="5"/>
  <c r="L100" i="5"/>
  <c r="N100" i="5" s="1"/>
  <c r="M105" i="5"/>
  <c r="H108" i="5"/>
  <c r="M108" i="5" s="1"/>
  <c r="L125" i="5"/>
  <c r="N125" i="5" s="1"/>
  <c r="S137" i="5"/>
  <c r="H147" i="5"/>
  <c r="K147" i="5"/>
  <c r="K172" i="5"/>
  <c r="H172" i="5"/>
  <c r="H183" i="5"/>
  <c r="K183" i="5"/>
  <c r="K204" i="5"/>
  <c r="H204" i="5"/>
  <c r="K411" i="5"/>
  <c r="H411" i="5"/>
  <c r="N36" i="5"/>
  <c r="M36" i="5"/>
  <c r="S47" i="5"/>
  <c r="L111" i="5"/>
  <c r="N111" i="5" s="1"/>
  <c r="S111" i="5"/>
  <c r="L73" i="5"/>
  <c r="N73" i="5" s="1"/>
  <c r="L47" i="5"/>
  <c r="N47" i="5" s="1"/>
  <c r="N81" i="5"/>
  <c r="M81" i="5"/>
  <c r="L119" i="5"/>
  <c r="S119" i="5"/>
  <c r="N119" i="5"/>
  <c r="K309" i="5"/>
  <c r="L19" i="5"/>
  <c r="N19" i="5" s="1"/>
  <c r="L27" i="5"/>
  <c r="M45" i="5"/>
  <c r="S35" i="5"/>
  <c r="N40" i="5"/>
  <c r="S51" i="5"/>
  <c r="M53" i="5"/>
  <c r="N56" i="5"/>
  <c r="S68" i="5"/>
  <c r="N68" i="5"/>
  <c r="L75" i="5"/>
  <c r="N75" i="5" s="1"/>
  <c r="S75" i="5"/>
  <c r="M85" i="5"/>
  <c r="S116" i="5"/>
  <c r="N116" i="5"/>
  <c r="L123" i="5"/>
  <c r="N123" i="5" s="1"/>
  <c r="S123" i="5"/>
  <c r="K180" i="5"/>
  <c r="H180" i="5"/>
  <c r="S194" i="5"/>
  <c r="M194" i="5"/>
  <c r="L194" i="5"/>
  <c r="N194" i="5" s="1"/>
  <c r="L207" i="5"/>
  <c r="N207" i="5" s="1"/>
  <c r="S207" i="5"/>
  <c r="S217" i="5"/>
  <c r="L217" i="5"/>
  <c r="N217" i="5" s="1"/>
  <c r="K181" i="5"/>
  <c r="H181" i="5"/>
  <c r="H52" i="5"/>
  <c r="M52" i="5" s="1"/>
  <c r="L91" i="5"/>
  <c r="N91" i="5" s="1"/>
  <c r="S91" i="5"/>
  <c r="H104" i="5"/>
  <c r="M104" i="5" s="1"/>
  <c r="S214" i="5"/>
  <c r="N214" i="5"/>
  <c r="S49" i="5"/>
  <c r="L71" i="5"/>
  <c r="N71" i="5" s="1"/>
  <c r="S71" i="5"/>
  <c r="S112" i="5"/>
  <c r="N112" i="5"/>
  <c r="S132" i="5"/>
  <c r="N132" i="5"/>
  <c r="L15" i="5"/>
  <c r="N15" i="5" s="1"/>
  <c r="M25" i="5"/>
  <c r="S43" i="5"/>
  <c r="N43" i="5"/>
  <c r="N109" i="5"/>
  <c r="L37" i="5"/>
  <c r="N37" i="5" s="1"/>
  <c r="H40" i="5"/>
  <c r="M40" i="5" s="1"/>
  <c r="L53" i="5"/>
  <c r="N53" i="5" s="1"/>
  <c r="H56" i="5"/>
  <c r="M56" i="5" s="1"/>
  <c r="H68" i="5"/>
  <c r="M68" i="5" s="1"/>
  <c r="L85" i="5"/>
  <c r="N85" i="5" s="1"/>
  <c r="S96" i="5"/>
  <c r="N96" i="5"/>
  <c r="L103" i="5"/>
  <c r="N103" i="5" s="1"/>
  <c r="S103" i="5"/>
  <c r="H116" i="5"/>
  <c r="M116" i="5" s="1"/>
  <c r="M133" i="5"/>
  <c r="S136" i="5"/>
  <c r="N136" i="5"/>
  <c r="S145" i="5"/>
  <c r="M145" i="5"/>
  <c r="K153" i="5"/>
  <c r="H153" i="5"/>
  <c r="L155" i="5"/>
  <c r="N155" i="5" s="1"/>
  <c r="S155" i="5"/>
  <c r="M155" i="5"/>
  <c r="K161" i="5"/>
  <c r="H161" i="5"/>
  <c r="L163" i="5"/>
  <c r="N163" i="5" s="1"/>
  <c r="S163" i="5"/>
  <c r="M163" i="5"/>
  <c r="L195" i="5"/>
  <c r="N195" i="5" s="1"/>
  <c r="S195" i="5"/>
  <c r="H217" i="5"/>
  <c r="M217" i="5" s="1"/>
  <c r="H345" i="5"/>
  <c r="K345" i="5"/>
  <c r="M33" i="5"/>
  <c r="L33" i="5"/>
  <c r="N33" i="5" s="1"/>
  <c r="L199" i="5"/>
  <c r="N199" i="5" s="1"/>
  <c r="S199" i="5"/>
  <c r="S324" i="5"/>
  <c r="N4" i="5"/>
  <c r="M4" i="5"/>
  <c r="S64" i="5"/>
  <c r="N64" i="5"/>
  <c r="S144" i="5"/>
  <c r="N144" i="5"/>
  <c r="S9" i="5"/>
  <c r="M21" i="5"/>
  <c r="M5" i="5"/>
  <c r="L35" i="5"/>
  <c r="N35" i="5" s="1"/>
  <c r="S37" i="5"/>
  <c r="L51" i="5"/>
  <c r="N51" i="5" s="1"/>
  <c r="S53" i="5"/>
  <c r="S76" i="5"/>
  <c r="N76" i="5"/>
  <c r="M76" i="5"/>
  <c r="L83" i="5"/>
  <c r="N83" i="5" s="1"/>
  <c r="S83" i="5"/>
  <c r="S85" i="5"/>
  <c r="N93" i="5"/>
  <c r="M93" i="5"/>
  <c r="S124" i="5"/>
  <c r="N124" i="5"/>
  <c r="M124" i="5"/>
  <c r="M131" i="5"/>
  <c r="L131" i="5"/>
  <c r="N131" i="5" s="1"/>
  <c r="S131" i="5"/>
  <c r="L133" i="5"/>
  <c r="N133" i="5" s="1"/>
  <c r="H136" i="5"/>
  <c r="M136" i="5" s="1"/>
  <c r="M143" i="5"/>
  <c r="L143" i="5"/>
  <c r="N143" i="5" s="1"/>
  <c r="S143" i="5"/>
  <c r="L145" i="5"/>
  <c r="N145" i="5" s="1"/>
  <c r="S150" i="5"/>
  <c r="S166" i="5"/>
  <c r="K196" i="5"/>
  <c r="H196" i="5"/>
  <c r="S209" i="5"/>
  <c r="L209" i="5"/>
  <c r="N209" i="5" s="1"/>
  <c r="S221" i="5"/>
  <c r="M221" i="5"/>
  <c r="L221" i="5"/>
  <c r="N221" i="5" s="1"/>
  <c r="S234" i="5"/>
  <c r="L234" i="5"/>
  <c r="N234" i="5" s="1"/>
  <c r="S246" i="5"/>
  <c r="L246" i="5"/>
  <c r="N246" i="5" s="1"/>
  <c r="S282" i="5"/>
  <c r="L282" i="5"/>
  <c r="N282" i="5" s="1"/>
  <c r="S327" i="5"/>
  <c r="L327" i="5"/>
  <c r="N327" i="5" s="1"/>
  <c r="L166" i="5"/>
  <c r="N166" i="5" s="1"/>
  <c r="S169" i="5"/>
  <c r="L169" i="5"/>
  <c r="N169" i="5" s="1"/>
  <c r="K184" i="5"/>
  <c r="H184" i="5"/>
  <c r="S189" i="5"/>
  <c r="L189" i="5"/>
  <c r="N189" i="5" s="1"/>
  <c r="S206" i="5"/>
  <c r="N206" i="5"/>
  <c r="H209" i="5"/>
  <c r="M209" i="5" s="1"/>
  <c r="S222" i="5"/>
  <c r="M222" i="5"/>
  <c r="L222" i="5"/>
  <c r="N222" i="5" s="1"/>
  <c r="S225" i="5"/>
  <c r="L225" i="5"/>
  <c r="N225" i="5" s="1"/>
  <c r="L228" i="5"/>
  <c r="N228" i="5" s="1"/>
  <c r="S228" i="5"/>
  <c r="M228" i="5"/>
  <c r="S266" i="5"/>
  <c r="M266" i="5"/>
  <c r="L266" i="5"/>
  <c r="N266" i="5" s="1"/>
  <c r="H282" i="5"/>
  <c r="M282" i="5" s="1"/>
  <c r="S298" i="5"/>
  <c r="M298" i="5"/>
  <c r="L298" i="5"/>
  <c r="N298" i="5" s="1"/>
  <c r="S312" i="5"/>
  <c r="M312" i="5"/>
  <c r="L312" i="5"/>
  <c r="N312" i="5" s="1"/>
  <c r="H327" i="5"/>
  <c r="M327" i="5" s="1"/>
  <c r="K372" i="5"/>
  <c r="H372" i="5"/>
  <c r="H364" i="5"/>
  <c r="K364" i="5"/>
  <c r="K176" i="5"/>
  <c r="H176" i="5"/>
  <c r="S185" i="5"/>
  <c r="M185" i="5"/>
  <c r="L185" i="5"/>
  <c r="N185" i="5" s="1"/>
  <c r="K192" i="5"/>
  <c r="H192" i="5"/>
  <c r="S205" i="5"/>
  <c r="M205" i="5"/>
  <c r="L205" i="5"/>
  <c r="N205" i="5" s="1"/>
  <c r="S219" i="5"/>
  <c r="S235" i="5"/>
  <c r="M235" i="5"/>
  <c r="S247" i="5"/>
  <c r="M247" i="5"/>
  <c r="L264" i="5"/>
  <c r="N264" i="5" s="1"/>
  <c r="S264" i="5"/>
  <c r="M264" i="5"/>
  <c r="K342" i="5"/>
  <c r="H342" i="5"/>
  <c r="M408" i="5"/>
  <c r="H7" i="5"/>
  <c r="M7" i="5" s="1"/>
  <c r="H11" i="5"/>
  <c r="M11" i="5" s="1"/>
  <c r="H15" i="5"/>
  <c r="M15" i="5" s="1"/>
  <c r="H19" i="5"/>
  <c r="M19" i="5" s="1"/>
  <c r="H23" i="5"/>
  <c r="M23" i="5" s="1"/>
  <c r="H27" i="5"/>
  <c r="M27" i="5" s="1"/>
  <c r="H31" i="5"/>
  <c r="M31" i="5" s="1"/>
  <c r="H35" i="5"/>
  <c r="M35" i="5" s="1"/>
  <c r="H39" i="5"/>
  <c r="M39" i="5" s="1"/>
  <c r="H43" i="5"/>
  <c r="M43" i="5" s="1"/>
  <c r="H47" i="5"/>
  <c r="M47" i="5" s="1"/>
  <c r="H51" i="5"/>
  <c r="M51" i="5" s="1"/>
  <c r="H55" i="5"/>
  <c r="M55" i="5" s="1"/>
  <c r="H59" i="5"/>
  <c r="M59" i="5" s="1"/>
  <c r="H63" i="5"/>
  <c r="M63" i="5" s="1"/>
  <c r="H67" i="5"/>
  <c r="M67" i="5" s="1"/>
  <c r="H71" i="5"/>
  <c r="M71" i="5" s="1"/>
  <c r="H75" i="5"/>
  <c r="M75" i="5" s="1"/>
  <c r="H79" i="5"/>
  <c r="M79" i="5" s="1"/>
  <c r="H83" i="5"/>
  <c r="M83" i="5" s="1"/>
  <c r="H87" i="5"/>
  <c r="M87" i="5" s="1"/>
  <c r="H91" i="5"/>
  <c r="M91" i="5" s="1"/>
  <c r="H95" i="5"/>
  <c r="M95" i="5" s="1"/>
  <c r="H99" i="5"/>
  <c r="M99" i="5" s="1"/>
  <c r="H103" i="5"/>
  <c r="M103" i="5" s="1"/>
  <c r="H107" i="5"/>
  <c r="M107" i="5" s="1"/>
  <c r="H111" i="5"/>
  <c r="M111" i="5" s="1"/>
  <c r="H115" i="5"/>
  <c r="M115" i="5" s="1"/>
  <c r="H119" i="5"/>
  <c r="M119" i="5" s="1"/>
  <c r="H123" i="5"/>
  <c r="M123" i="5" s="1"/>
  <c r="H127" i="5"/>
  <c r="M127" i="5" s="1"/>
  <c r="S178" i="5"/>
  <c r="N178" i="5"/>
  <c r="S202" i="5"/>
  <c r="L220" i="5"/>
  <c r="N220" i="5" s="1"/>
  <c r="S220" i="5"/>
  <c r="M220" i="5"/>
  <c r="S174" i="5"/>
  <c r="S193" i="5"/>
  <c r="L193" i="5"/>
  <c r="N193" i="5" s="1"/>
  <c r="S210" i="5"/>
  <c r="S278" i="5"/>
  <c r="L278" i="5"/>
  <c r="N278" i="5" s="1"/>
  <c r="S286" i="5"/>
  <c r="M286" i="5"/>
  <c r="L286" i="5"/>
  <c r="N286" i="5" s="1"/>
  <c r="S291" i="5"/>
  <c r="M291" i="5"/>
  <c r="S294" i="5"/>
  <c r="L294" i="5"/>
  <c r="N294" i="5" s="1"/>
  <c r="K168" i="5"/>
  <c r="H168" i="5"/>
  <c r="L174" i="5"/>
  <c r="N174" i="5" s="1"/>
  <c r="S177" i="5"/>
  <c r="L177" i="5"/>
  <c r="N177" i="5" s="1"/>
  <c r="S190" i="5"/>
  <c r="N190" i="5"/>
  <c r="H193" i="5"/>
  <c r="M193" i="5" s="1"/>
  <c r="K208" i="5"/>
  <c r="H208" i="5"/>
  <c r="L210" i="5"/>
  <c r="N210" i="5" s="1"/>
  <c r="N215" i="5"/>
  <c r="S230" i="5"/>
  <c r="M230" i="5"/>
  <c r="L230" i="5"/>
  <c r="N230" i="5" s="1"/>
  <c r="S242" i="5"/>
  <c r="M242" i="5"/>
  <c r="L242" i="5"/>
  <c r="N242" i="5" s="1"/>
  <c r="S254" i="5"/>
  <c r="M254" i="5"/>
  <c r="L254" i="5"/>
  <c r="N254" i="5" s="1"/>
  <c r="S259" i="5"/>
  <c r="M259" i="5"/>
  <c r="N259" i="5"/>
  <c r="S262" i="5"/>
  <c r="L262" i="5"/>
  <c r="N262" i="5" s="1"/>
  <c r="S275" i="5"/>
  <c r="M275" i="5"/>
  <c r="N275" i="5"/>
  <c r="L291" i="5"/>
  <c r="N291" i="5" s="1"/>
  <c r="L300" i="5"/>
  <c r="N300" i="5" s="1"/>
  <c r="S300" i="5"/>
  <c r="M300" i="5"/>
  <c r="S316" i="5"/>
  <c r="L316" i="5"/>
  <c r="N316" i="5" s="1"/>
  <c r="S148" i="5"/>
  <c r="S170" i="5"/>
  <c r="K188" i="5"/>
  <c r="H188" i="5"/>
  <c r="S201" i="5"/>
  <c r="L201" i="5"/>
  <c r="N201" i="5" s="1"/>
  <c r="L224" i="5"/>
  <c r="N224" i="5" s="1"/>
  <c r="S224" i="5"/>
  <c r="L330" i="5"/>
  <c r="N330" i="5" s="1"/>
  <c r="S330" i="5"/>
  <c r="L350" i="5"/>
  <c r="N350" i="5" s="1"/>
  <c r="S350" i="5"/>
  <c r="S353" i="5"/>
  <c r="M353" i="5"/>
  <c r="L353" i="5"/>
  <c r="N353" i="5" s="1"/>
  <c r="M385" i="5"/>
  <c r="S385" i="5"/>
  <c r="L385" i="5"/>
  <c r="N385" i="5" s="1"/>
  <c r="H148" i="5"/>
  <c r="M148" i="5" s="1"/>
  <c r="K152" i="5"/>
  <c r="H152" i="5"/>
  <c r="K156" i="5"/>
  <c r="H156" i="5"/>
  <c r="K160" i="5"/>
  <c r="H160" i="5"/>
  <c r="K164" i="5"/>
  <c r="H164" i="5"/>
  <c r="L170" i="5"/>
  <c r="N170" i="5" s="1"/>
  <c r="S173" i="5"/>
  <c r="L173" i="5"/>
  <c r="N173" i="5" s="1"/>
  <c r="S198" i="5"/>
  <c r="N198" i="5"/>
  <c r="H201" i="5"/>
  <c r="M201" i="5" s="1"/>
  <c r="K216" i="5"/>
  <c r="H216" i="5"/>
  <c r="L240" i="5"/>
  <c r="N240" i="5" s="1"/>
  <c r="S240" i="5"/>
  <c r="L252" i="5"/>
  <c r="N252" i="5" s="1"/>
  <c r="S252" i="5"/>
  <c r="H330" i="5"/>
  <c r="M330" i="5" s="1"/>
  <c r="H350" i="5"/>
  <c r="M350" i="5" s="1"/>
  <c r="L429" i="5"/>
  <c r="N429" i="5" s="1"/>
  <c r="M471" i="5"/>
  <c r="L471" i="5"/>
  <c r="N471" i="5" s="1"/>
  <c r="S304" i="5"/>
  <c r="S333" i="5"/>
  <c r="L333" i="5"/>
  <c r="N333" i="5" s="1"/>
  <c r="S340" i="5"/>
  <c r="L340" i="5"/>
  <c r="N340" i="5" s="1"/>
  <c r="M369" i="5"/>
  <c r="S369" i="5"/>
  <c r="K412" i="5"/>
  <c r="H412" i="5"/>
  <c r="H421" i="5"/>
  <c r="K421" i="5"/>
  <c r="S471" i="5"/>
  <c r="S243" i="5"/>
  <c r="M243" i="5"/>
  <c r="S255" i="5"/>
  <c r="M255" i="5"/>
  <c r="H262" i="5"/>
  <c r="M262" i="5" s="1"/>
  <c r="S271" i="5"/>
  <c r="M271" i="5"/>
  <c r="H278" i="5"/>
  <c r="M278" i="5" s="1"/>
  <c r="S287" i="5"/>
  <c r="M287" i="5"/>
  <c r="H294" i="5"/>
  <c r="M294" i="5" s="1"/>
  <c r="S319" i="5"/>
  <c r="L319" i="5"/>
  <c r="N319" i="5" s="1"/>
  <c r="M333" i="5"/>
  <c r="H340" i="5"/>
  <c r="M340" i="5" s="1"/>
  <c r="K354" i="5"/>
  <c r="H354" i="5"/>
  <c r="N362" i="5"/>
  <c r="M362" i="5"/>
  <c r="S362" i="5"/>
  <c r="L369" i="5"/>
  <c r="N369" i="5" s="1"/>
  <c r="K376" i="5"/>
  <c r="H376" i="5"/>
  <c r="K457" i="5"/>
  <c r="H457" i="5"/>
  <c r="L463" i="5"/>
  <c r="N463" i="5" s="1"/>
  <c r="S463" i="5"/>
  <c r="M463" i="5"/>
  <c r="K496" i="5"/>
  <c r="H496" i="5"/>
  <c r="N307" i="5"/>
  <c r="S307" i="5"/>
  <c r="K315" i="5"/>
  <c r="H315" i="5"/>
  <c r="M367" i="5"/>
  <c r="K370" i="5"/>
  <c r="H370" i="5"/>
  <c r="L405" i="5"/>
  <c r="N405" i="5" s="1"/>
  <c r="S405" i="5"/>
  <c r="L418" i="5"/>
  <c r="N418" i="5" s="1"/>
  <c r="H191" i="5"/>
  <c r="M191" i="5" s="1"/>
  <c r="H195" i="5"/>
  <c r="M195" i="5" s="1"/>
  <c r="H199" i="5"/>
  <c r="M199" i="5" s="1"/>
  <c r="H203" i="5"/>
  <c r="M203" i="5" s="1"/>
  <c r="H207" i="5"/>
  <c r="M207" i="5" s="1"/>
  <c r="H211" i="5"/>
  <c r="M211" i="5" s="1"/>
  <c r="H215" i="5"/>
  <c r="M215" i="5" s="1"/>
  <c r="H219" i="5"/>
  <c r="M219" i="5" s="1"/>
  <c r="S229" i="5"/>
  <c r="M229" i="5"/>
  <c r="L229" i="5"/>
  <c r="N229" i="5" s="1"/>
  <c r="H234" i="5"/>
  <c r="M234" i="5" s="1"/>
  <c r="M236" i="5"/>
  <c r="N243" i="5"/>
  <c r="H246" i="5"/>
  <c r="M246" i="5" s="1"/>
  <c r="N255" i="5"/>
  <c r="N271" i="5"/>
  <c r="N287" i="5"/>
  <c r="S303" i="5"/>
  <c r="M303" i="5"/>
  <c r="L307" i="5"/>
  <c r="L320" i="5"/>
  <c r="N320" i="5" s="1"/>
  <c r="L325" i="5"/>
  <c r="N325" i="5" s="1"/>
  <c r="S352" i="5"/>
  <c r="M352" i="5"/>
  <c r="L352" i="5"/>
  <c r="N352" i="5" s="1"/>
  <c r="K357" i="5"/>
  <c r="M373" i="5"/>
  <c r="N373" i="5"/>
  <c r="M418" i="5"/>
  <c r="N236" i="5"/>
  <c r="M267" i="5"/>
  <c r="S283" i="5"/>
  <c r="M283" i="5"/>
  <c r="M307" i="5"/>
  <c r="S313" i="5"/>
  <c r="M313" i="5"/>
  <c r="S343" i="5"/>
  <c r="L343" i="5"/>
  <c r="N343" i="5" s="1"/>
  <c r="H382" i="5"/>
  <c r="K382" i="5"/>
  <c r="K403" i="5"/>
  <c r="H403" i="5"/>
  <c r="H406" i="5"/>
  <c r="K406" i="5"/>
  <c r="H225" i="5"/>
  <c r="M225" i="5" s="1"/>
  <c r="S236" i="5"/>
  <c r="S239" i="5"/>
  <c r="M239" i="5"/>
  <c r="S248" i="5"/>
  <c r="S251" i="5"/>
  <c r="M251" i="5"/>
  <c r="M260" i="5"/>
  <c r="L283" i="5"/>
  <c r="N283" i="5" s="1"/>
  <c r="M292" i="5"/>
  <c r="S299" i="5"/>
  <c r="M299" i="5"/>
  <c r="N303" i="5"/>
  <c r="K308" i="5"/>
  <c r="H308" i="5"/>
  <c r="L313" i="5"/>
  <c r="N313" i="5" s="1"/>
  <c r="M318" i="5"/>
  <c r="S323" i="5"/>
  <c r="L323" i="5"/>
  <c r="N323" i="5" s="1"/>
  <c r="S325" i="5"/>
  <c r="L338" i="5"/>
  <c r="S338" i="5"/>
  <c r="N338" i="5"/>
  <c r="M343" i="5"/>
  <c r="M363" i="5"/>
  <c r="N363" i="5"/>
  <c r="S363" i="5"/>
  <c r="L363" i="5"/>
  <c r="S373" i="5"/>
  <c r="S258" i="5"/>
  <c r="M258" i="5"/>
  <c r="L258" i="5"/>
  <c r="N258" i="5" s="1"/>
  <c r="S274" i="5"/>
  <c r="M274" i="5"/>
  <c r="L274" i="5"/>
  <c r="N274" i="5" s="1"/>
  <c r="L290" i="5"/>
  <c r="N290" i="5" s="1"/>
  <c r="S306" i="5"/>
  <c r="N306" i="5"/>
  <c r="L311" i="5"/>
  <c r="N311" i="5" s="1"/>
  <c r="K335" i="5"/>
  <c r="H335" i="5"/>
  <c r="L360" i="5"/>
  <c r="N360" i="5"/>
  <c r="L223" i="5"/>
  <c r="N223" i="5" s="1"/>
  <c r="M232" i="5"/>
  <c r="M244" i="5"/>
  <c r="S263" i="5"/>
  <c r="S276" i="5"/>
  <c r="S279" i="5"/>
  <c r="M279" i="5"/>
  <c r="S295" i="5"/>
  <c r="M295" i="5"/>
  <c r="H306" i="5"/>
  <c r="M306" i="5" s="1"/>
  <c r="H321" i="5"/>
  <c r="K321" i="5"/>
  <c r="H329" i="5"/>
  <c r="K329" i="5"/>
  <c r="K332" i="5"/>
  <c r="H332" i="5"/>
  <c r="M360" i="5"/>
  <c r="M371" i="5"/>
  <c r="S371" i="5"/>
  <c r="N371" i="5"/>
  <c r="S413" i="5"/>
  <c r="L413" i="5"/>
  <c r="N413" i="5" s="1"/>
  <c r="N380" i="5"/>
  <c r="L389" i="5"/>
  <c r="N389" i="5" s="1"/>
  <c r="S493" i="5"/>
  <c r="L493" i="5"/>
  <c r="N493" i="5" s="1"/>
  <c r="M493" i="5"/>
  <c r="S366" i="5"/>
  <c r="L366" i="5"/>
  <c r="N366" i="5" s="1"/>
  <c r="H378" i="5"/>
  <c r="K378" i="5"/>
  <c r="H414" i="5"/>
  <c r="K414" i="5"/>
  <c r="S442" i="5"/>
  <c r="M442" i="5"/>
  <c r="L442" i="5"/>
  <c r="N442" i="5" s="1"/>
  <c r="L487" i="5"/>
  <c r="N487" i="5" s="1"/>
  <c r="H311" i="5"/>
  <c r="M311" i="5" s="1"/>
  <c r="H320" i="5"/>
  <c r="M320" i="5" s="1"/>
  <c r="H323" i="5"/>
  <c r="M323" i="5" s="1"/>
  <c r="H326" i="5"/>
  <c r="M326" i="5" s="1"/>
  <c r="H344" i="5"/>
  <c r="M344" i="5" s="1"/>
  <c r="S347" i="5"/>
  <c r="H356" i="5"/>
  <c r="M356" i="5" s="1"/>
  <c r="M359" i="5"/>
  <c r="S359" i="5"/>
  <c r="M366" i="5"/>
  <c r="H455" i="5"/>
  <c r="K455" i="5"/>
  <c r="H488" i="5"/>
  <c r="K488" i="5"/>
  <c r="L384" i="5"/>
  <c r="N384" i="5" s="1"/>
  <c r="S401" i="5"/>
  <c r="M401" i="5"/>
  <c r="L401" i="5"/>
  <c r="N401" i="5" s="1"/>
  <c r="K404" i="5"/>
  <c r="K407" i="5"/>
  <c r="H407" i="5"/>
  <c r="H423" i="5"/>
  <c r="K423" i="5"/>
  <c r="K484" i="5"/>
  <c r="H484" i="5"/>
  <c r="L233" i="5"/>
  <c r="N233" i="5" s="1"/>
  <c r="L237" i="5"/>
  <c r="N237" i="5" s="1"/>
  <c r="L241" i="5"/>
  <c r="N241" i="5" s="1"/>
  <c r="L245" i="5"/>
  <c r="N245" i="5" s="1"/>
  <c r="L249" i="5"/>
  <c r="N249" i="5" s="1"/>
  <c r="L253" i="5"/>
  <c r="N253" i="5" s="1"/>
  <c r="L257" i="5"/>
  <c r="N257" i="5" s="1"/>
  <c r="L261" i="5"/>
  <c r="N261" i="5" s="1"/>
  <c r="L265" i="5"/>
  <c r="L269" i="5"/>
  <c r="N269" i="5" s="1"/>
  <c r="L273" i="5"/>
  <c r="N273" i="5" s="1"/>
  <c r="L277" i="5"/>
  <c r="N277" i="5" s="1"/>
  <c r="L281" i="5"/>
  <c r="N281" i="5" s="1"/>
  <c r="L285" i="5"/>
  <c r="N285" i="5" s="1"/>
  <c r="L289" i="5"/>
  <c r="N289" i="5" s="1"/>
  <c r="L293" i="5"/>
  <c r="N293" i="5" s="1"/>
  <c r="L297" i="5"/>
  <c r="N297" i="5" s="1"/>
  <c r="L301" i="5"/>
  <c r="N301" i="5" s="1"/>
  <c r="L305" i="5"/>
  <c r="N305" i="5" s="1"/>
  <c r="H334" i="5"/>
  <c r="M334" i="5" s="1"/>
  <c r="K337" i="5"/>
  <c r="M347" i="5"/>
  <c r="K349" i="5"/>
  <c r="N359" i="5"/>
  <c r="L374" i="5"/>
  <c r="N374" i="5" s="1"/>
  <c r="M384" i="5"/>
  <c r="M386" i="5"/>
  <c r="L386" i="5"/>
  <c r="N386" i="5" s="1"/>
  <c r="K388" i="5"/>
  <c r="S417" i="5"/>
  <c r="M417" i="5"/>
  <c r="M233" i="5"/>
  <c r="M245" i="5"/>
  <c r="M249" i="5"/>
  <c r="M253" i="5"/>
  <c r="M257" i="5"/>
  <c r="M261" i="5"/>
  <c r="M265" i="5"/>
  <c r="M269" i="5"/>
  <c r="M273" i="5"/>
  <c r="M277" i="5"/>
  <c r="M281" i="5"/>
  <c r="M285" i="5"/>
  <c r="M289" i="5"/>
  <c r="M297" i="5"/>
  <c r="M301" i="5"/>
  <c r="M305" i="5"/>
  <c r="L344" i="5"/>
  <c r="N344" i="5" s="1"/>
  <c r="H346" i="5"/>
  <c r="M346" i="5" s="1"/>
  <c r="L356" i="5"/>
  <c r="N356" i="5" s="1"/>
  <c r="H358" i="5"/>
  <c r="M358" i="5" s="1"/>
  <c r="L361" i="5"/>
  <c r="N361" i="5" s="1"/>
  <c r="M374" i="5"/>
  <c r="L379" i="5"/>
  <c r="N379" i="5" s="1"/>
  <c r="S384" i="5"/>
  <c r="L417" i="5"/>
  <c r="N417" i="5" s="1"/>
  <c r="M473" i="5"/>
  <c r="N265" i="5"/>
  <c r="H310" i="5"/>
  <c r="M310" i="5" s="1"/>
  <c r="K317" i="5"/>
  <c r="N326" i="5"/>
  <c r="H336" i="5"/>
  <c r="M336" i="5" s="1"/>
  <c r="K339" i="5"/>
  <c r="H348" i="5"/>
  <c r="M348" i="5" s="1"/>
  <c r="K351" i="5"/>
  <c r="M361" i="5"/>
  <c r="H379" i="5"/>
  <c r="M379" i="5" s="1"/>
  <c r="S386" i="5"/>
  <c r="K391" i="5"/>
  <c r="H391" i="5"/>
  <c r="L402" i="5"/>
  <c r="N402" i="5" s="1"/>
  <c r="H410" i="5"/>
  <c r="K410" i="5"/>
  <c r="S331" i="5"/>
  <c r="N331" i="5"/>
  <c r="M375" i="5"/>
  <c r="S375" i="5"/>
  <c r="N375" i="5"/>
  <c r="M387" i="5"/>
  <c r="K400" i="5"/>
  <c r="H400" i="5"/>
  <c r="N408" i="5"/>
  <c r="S408" i="5"/>
  <c r="M416" i="5"/>
  <c r="L416" i="5"/>
  <c r="N416" i="5" s="1"/>
  <c r="L422" i="5"/>
  <c r="N422" i="5" s="1"/>
  <c r="H430" i="5"/>
  <c r="K430" i="5"/>
  <c r="M432" i="5"/>
  <c r="L432" i="5"/>
  <c r="N432" i="5" s="1"/>
  <c r="K444" i="5"/>
  <c r="H444" i="5"/>
  <c r="K390" i="5"/>
  <c r="S419" i="5"/>
  <c r="M419" i="5"/>
  <c r="S422" i="5"/>
  <c r="K428" i="5"/>
  <c r="H428" i="5"/>
  <c r="L452" i="5"/>
  <c r="N452" i="5" s="1"/>
  <c r="H477" i="5"/>
  <c r="K477" i="5"/>
  <c r="S482" i="5"/>
  <c r="M482" i="5"/>
  <c r="L482" i="5"/>
  <c r="N482" i="5" s="1"/>
  <c r="S426" i="5"/>
  <c r="M426" i="5"/>
  <c r="K462" i="5"/>
  <c r="H462" i="5"/>
  <c r="K472" i="5"/>
  <c r="H472" i="5"/>
  <c r="N503" i="5"/>
  <c r="L503" i="5"/>
  <c r="M144" i="6"/>
  <c r="N144" i="6" s="1"/>
  <c r="J144" i="6"/>
  <c r="M383" i="5"/>
  <c r="L426" i="5"/>
  <c r="N426" i="5" s="1"/>
  <c r="M436" i="5"/>
  <c r="H465" i="5"/>
  <c r="K465" i="5"/>
  <c r="H475" i="5"/>
  <c r="K475" i="5"/>
  <c r="M503" i="5"/>
  <c r="M6" i="6"/>
  <c r="N6" i="6" s="1"/>
  <c r="M204" i="6"/>
  <c r="N204" i="6" s="1"/>
  <c r="N392" i="5"/>
  <c r="N425" i="5"/>
  <c r="N436" i="5"/>
  <c r="N441" i="5"/>
  <c r="M441" i="5"/>
  <c r="N449" i="5"/>
  <c r="H451" i="5"/>
  <c r="K451" i="5"/>
  <c r="S460" i="5"/>
  <c r="L460" i="5"/>
  <c r="N460" i="5" s="1"/>
  <c r="S470" i="5"/>
  <c r="L470" i="5"/>
  <c r="N470" i="5" s="1"/>
  <c r="K480" i="5"/>
  <c r="H480" i="5"/>
  <c r="S503" i="5"/>
  <c r="H425" i="5"/>
  <c r="M425" i="5" s="1"/>
  <c r="L447" i="5"/>
  <c r="N447" i="5" s="1"/>
  <c r="S447" i="5"/>
  <c r="M453" i="5"/>
  <c r="S486" i="5"/>
  <c r="M486" i="5"/>
  <c r="L486" i="5"/>
  <c r="N486" i="5" s="1"/>
  <c r="M7" i="6"/>
  <c r="N7" i="6" s="1"/>
  <c r="J7" i="6"/>
  <c r="N381" i="5"/>
  <c r="M392" i="5"/>
  <c r="S395" i="5"/>
  <c r="N409" i="5"/>
  <c r="H435" i="5"/>
  <c r="K435" i="5"/>
  <c r="K439" i="5"/>
  <c r="K443" i="5"/>
  <c r="M447" i="5"/>
  <c r="M449" i="5"/>
  <c r="L453" i="5"/>
  <c r="N453" i="5" s="1"/>
  <c r="H486" i="5"/>
  <c r="K492" i="5"/>
  <c r="H492" i="5"/>
  <c r="L383" i="5"/>
  <c r="N383" i="5" s="1"/>
  <c r="S392" i="5"/>
  <c r="K394" i="5"/>
  <c r="M399" i="5"/>
  <c r="S415" i="5"/>
  <c r="H420" i="5"/>
  <c r="M420" i="5" s="1"/>
  <c r="K427" i="5"/>
  <c r="L433" i="5"/>
  <c r="N433" i="5" s="1"/>
  <c r="M437" i="5"/>
  <c r="S445" i="5"/>
  <c r="M445" i="5"/>
  <c r="L445" i="5"/>
  <c r="N445" i="5" s="1"/>
  <c r="S449" i="5"/>
  <c r="S453" i="5"/>
  <c r="J57" i="6"/>
  <c r="M57" i="6"/>
  <c r="N57" i="6" s="1"/>
  <c r="H446" i="5"/>
  <c r="K446" i="5"/>
  <c r="M454" i="5"/>
  <c r="L454" i="5"/>
  <c r="N454" i="5" s="1"/>
  <c r="N468" i="5"/>
  <c r="S468" i="5"/>
  <c r="M468" i="5"/>
  <c r="S490" i="5"/>
  <c r="L490" i="5"/>
  <c r="N490" i="5" s="1"/>
  <c r="K461" i="5"/>
  <c r="L464" i="5"/>
  <c r="N464" i="5" s="1"/>
  <c r="M478" i="5"/>
  <c r="N483" i="5"/>
  <c r="S483" i="5"/>
  <c r="K489" i="5"/>
  <c r="M491" i="5"/>
  <c r="S497" i="5"/>
  <c r="L497" i="5"/>
  <c r="N497" i="5" s="1"/>
  <c r="M60" i="6"/>
  <c r="N60" i="6" s="1"/>
  <c r="M150" i="6"/>
  <c r="N150" i="6" s="1"/>
  <c r="J162" i="6"/>
  <c r="M162" i="6"/>
  <c r="N162" i="6" s="1"/>
  <c r="M180" i="6"/>
  <c r="N180" i="6" s="1"/>
  <c r="M12" i="6"/>
  <c r="N12" i="6" s="1"/>
  <c r="M29" i="6"/>
  <c r="N29" i="6" s="1"/>
  <c r="M43" i="6"/>
  <c r="N43" i="6" s="1"/>
  <c r="J43" i="6"/>
  <c r="M136" i="6"/>
  <c r="N136" i="6" s="1"/>
  <c r="J136" i="6"/>
  <c r="J174" i="6"/>
  <c r="M174" i="6"/>
  <c r="N174" i="6" s="1"/>
  <c r="H456" i="5"/>
  <c r="M456" i="5" s="1"/>
  <c r="M68" i="6"/>
  <c r="N68" i="6" s="1"/>
  <c r="M79" i="6"/>
  <c r="N79" i="6" s="1"/>
  <c r="S467" i="5"/>
  <c r="K459" i="5"/>
  <c r="H464" i="5"/>
  <c r="M464" i="5" s="1"/>
  <c r="L467" i="5"/>
  <c r="N467" i="5" s="1"/>
  <c r="H474" i="5"/>
  <c r="M474" i="5" s="1"/>
  <c r="M54" i="6"/>
  <c r="N54" i="6" s="1"/>
  <c r="M141" i="6"/>
  <c r="N141" i="6" s="1"/>
  <c r="H485" i="5"/>
  <c r="K485" i="5"/>
  <c r="M499" i="5"/>
  <c r="H501" i="5"/>
  <c r="K501" i="5"/>
  <c r="M165" i="6"/>
  <c r="N165" i="6" s="1"/>
  <c r="M502" i="5"/>
  <c r="B11" i="7"/>
  <c r="A7" i="10" s="1"/>
  <c r="M89" i="6"/>
  <c r="N89" i="6" s="1"/>
  <c r="M101" i="6"/>
  <c r="N101" i="6" s="1"/>
  <c r="M113" i="6"/>
  <c r="N113" i="6" s="1"/>
  <c r="M125" i="6"/>
  <c r="N125" i="6" s="1"/>
  <c r="J139" i="6"/>
  <c r="J148" i="6"/>
  <c r="J151" i="6"/>
  <c r="J160" i="6"/>
  <c r="N499" i="5"/>
  <c r="M149" i="6"/>
  <c r="N149" i="6" s="1"/>
  <c r="N4" i="6"/>
  <c r="J55" i="6"/>
  <c r="I4" i="7" s="1"/>
  <c r="E12" i="10" s="1"/>
  <c r="M104" i="6"/>
  <c r="N104" i="6" s="1"/>
  <c r="N479" i="5"/>
  <c r="N495" i="5"/>
  <c r="S499" i="5"/>
  <c r="M185" i="6"/>
  <c r="N185" i="6" s="1"/>
  <c r="M197" i="6"/>
  <c r="N197" i="6" s="1"/>
  <c r="M209" i="6"/>
  <c r="N209" i="6" s="1"/>
  <c r="M221" i="6"/>
  <c r="N221" i="6" s="1"/>
  <c r="M39" i="6"/>
  <c r="N39" i="6" s="1"/>
  <c r="M38" i="5" l="1"/>
  <c r="M74" i="5"/>
  <c r="M170" i="5"/>
  <c r="M429" i="5"/>
  <c r="N347" i="5"/>
  <c r="S267" i="5"/>
  <c r="S139" i="5"/>
  <c r="L139" i="5"/>
  <c r="N139" i="5" s="1"/>
  <c r="M159" i="5"/>
  <c r="M158" i="5"/>
  <c r="S355" i="5"/>
  <c r="S158" i="5"/>
  <c r="M9" i="5"/>
  <c r="S97" i="5"/>
  <c r="S159" i="5"/>
  <c r="N500" i="5"/>
  <c r="N231" i="5"/>
  <c r="S396" i="5"/>
  <c r="L355" i="5"/>
  <c r="N355" i="5" s="1"/>
  <c r="L431" i="5"/>
  <c r="N431" i="5" s="1"/>
  <c r="L473" i="5"/>
  <c r="N473" i="5" s="1"/>
  <c r="L398" i="5"/>
  <c r="N398" i="5" s="1"/>
  <c r="L324" i="5"/>
  <c r="N324" i="5" s="1"/>
  <c r="N9" i="5"/>
  <c r="M6" i="5"/>
  <c r="M162" i="5"/>
  <c r="M97" i="5"/>
  <c r="M118" i="5"/>
  <c r="M487" i="5"/>
  <c r="S218" i="5"/>
  <c r="S431" i="5"/>
  <c r="M398" i="5"/>
  <c r="M263" i="5"/>
  <c r="L367" i="5"/>
  <c r="N367" i="5" s="1"/>
  <c r="M231" i="5"/>
  <c r="L162" i="5"/>
  <c r="N162" i="5" s="1"/>
  <c r="N97" i="5"/>
  <c r="S231" i="5"/>
  <c r="L302" i="5"/>
  <c r="N302" i="5" s="1"/>
  <c r="N187" i="5"/>
  <c r="L270" i="5"/>
  <c r="N270" i="5" s="1"/>
  <c r="M302" i="5"/>
  <c r="L396" i="5"/>
  <c r="N396" i="5" s="1"/>
  <c r="M290" i="5"/>
  <c r="M500" i="5"/>
  <c r="M396" i="5"/>
  <c r="L6" i="5"/>
  <c r="N6" i="5" s="1"/>
  <c r="L126" i="5"/>
  <c r="N126" i="5" s="1"/>
  <c r="L377" i="5"/>
  <c r="N377" i="5"/>
  <c r="L78" i="5"/>
  <c r="N78" i="5" s="1"/>
  <c r="M78" i="5"/>
  <c r="M270" i="5"/>
  <c r="M137" i="5"/>
  <c r="M120" i="5"/>
  <c r="M65" i="5"/>
  <c r="S227" i="5"/>
  <c r="L227" i="5"/>
  <c r="N227" i="5" s="1"/>
  <c r="S30" i="5"/>
  <c r="M18" i="5"/>
  <c r="L18" i="5"/>
  <c r="N18" i="5" s="1"/>
  <c r="M30" i="5"/>
  <c r="L42" i="5"/>
  <c r="N42" i="5" s="1"/>
  <c r="M42" i="5"/>
  <c r="L14" i="5"/>
  <c r="N14" i="5" s="1"/>
  <c r="S14" i="5"/>
  <c r="M14" i="5"/>
  <c r="L365" i="5"/>
  <c r="S365" i="5"/>
  <c r="N365" i="5"/>
  <c r="M365" i="5"/>
  <c r="L65" i="5"/>
  <c r="N65" i="5" s="1"/>
  <c r="S78" i="5"/>
  <c r="S126" i="5"/>
  <c r="L5" i="5"/>
  <c r="N5" i="5" s="1"/>
  <c r="S5" i="5"/>
  <c r="L171" i="5"/>
  <c r="S42" i="5"/>
  <c r="M377" i="5"/>
  <c r="M179" i="5"/>
  <c r="S469" i="5"/>
  <c r="M469" i="5"/>
  <c r="L469" i="5"/>
  <c r="N469" i="5" s="1"/>
  <c r="S377" i="5"/>
  <c r="M142" i="5"/>
  <c r="L438" i="5"/>
  <c r="N438" i="5" s="1"/>
  <c r="M101" i="5"/>
  <c r="M331" i="5"/>
  <c r="M438" i="5"/>
  <c r="L437" i="5"/>
  <c r="N437" i="5" s="1"/>
  <c r="S437" i="5"/>
  <c r="L175" i="5"/>
  <c r="N175" i="5" s="1"/>
  <c r="S175" i="5"/>
  <c r="M175" i="5"/>
  <c r="L113" i="5"/>
  <c r="N113" i="5" s="1"/>
  <c r="S113" i="5"/>
  <c r="N171" i="5"/>
  <c r="L142" i="5"/>
  <c r="N142" i="5" s="1"/>
  <c r="S142" i="5"/>
  <c r="L62" i="5"/>
  <c r="N62" i="5" s="1"/>
  <c r="S62" i="5"/>
  <c r="M62" i="5"/>
  <c r="S171" i="5"/>
  <c r="L235" i="5"/>
  <c r="N235" i="5" s="1"/>
  <c r="L10" i="5"/>
  <c r="N10" i="5" s="1"/>
  <c r="S10" i="5"/>
  <c r="S393" i="5"/>
  <c r="M393" i="5"/>
  <c r="L393" i="5"/>
  <c r="N393" i="5" s="1"/>
  <c r="M481" i="5"/>
  <c r="L102" i="5"/>
  <c r="N102" i="5" s="1"/>
  <c r="S102" i="5"/>
  <c r="L476" i="5"/>
  <c r="S476" i="5"/>
  <c r="N476" i="5"/>
  <c r="M476" i="5"/>
  <c r="L481" i="5"/>
  <c r="N481" i="5" s="1"/>
  <c r="M102" i="5"/>
  <c r="L179" i="5"/>
  <c r="S179" i="5"/>
  <c r="N179" i="5"/>
  <c r="L114" i="5"/>
  <c r="N114" i="5" s="1"/>
  <c r="S114" i="5"/>
  <c r="L491" i="5"/>
  <c r="N491" i="5" s="1"/>
  <c r="S491" i="5"/>
  <c r="S402" i="5"/>
  <c r="M402" i="5"/>
  <c r="L134" i="5"/>
  <c r="N134" i="5" s="1"/>
  <c r="S134" i="5"/>
  <c r="L387" i="5"/>
  <c r="N387" i="5" s="1"/>
  <c r="S387" i="5"/>
  <c r="M341" i="5"/>
  <c r="L341" i="5"/>
  <c r="N341" i="5" s="1"/>
  <c r="M218" i="5"/>
  <c r="L70" i="5"/>
  <c r="N70" i="5" s="1"/>
  <c r="S70" i="5"/>
  <c r="L74" i="5"/>
  <c r="N74" i="5" s="1"/>
  <c r="S74" i="5"/>
  <c r="M121" i="5"/>
  <c r="L122" i="5"/>
  <c r="N122" i="5" s="1"/>
  <c r="S122" i="5"/>
  <c r="L66" i="5"/>
  <c r="N66" i="5" s="1"/>
  <c r="S66" i="5"/>
  <c r="M186" i="5"/>
  <c r="L186" i="5"/>
  <c r="N186" i="5" s="1"/>
  <c r="S28" i="5"/>
  <c r="L28" i="5"/>
  <c r="N28" i="5" s="1"/>
  <c r="L118" i="5"/>
  <c r="S118" i="5"/>
  <c r="N118" i="5"/>
  <c r="N121" i="5"/>
  <c r="S328" i="5"/>
  <c r="L328" i="5"/>
  <c r="N328" i="5" s="1"/>
  <c r="L138" i="5"/>
  <c r="N138" i="5" s="1"/>
  <c r="M138" i="5"/>
  <c r="S138" i="5"/>
  <c r="L58" i="5"/>
  <c r="N58" i="5" s="1"/>
  <c r="S58" i="5"/>
  <c r="M58" i="5"/>
  <c r="L314" i="5"/>
  <c r="N314" i="5" s="1"/>
  <c r="S314" i="5"/>
  <c r="M314" i="5"/>
  <c r="M22" i="5"/>
  <c r="S22" i="5"/>
  <c r="L22" i="5"/>
  <c r="N22" i="5" s="1"/>
  <c r="M202" i="5"/>
  <c r="L202" i="5"/>
  <c r="N202" i="5" s="1"/>
  <c r="L448" i="5"/>
  <c r="N448" i="5" s="1"/>
  <c r="L247" i="5"/>
  <c r="N247" i="5" s="1"/>
  <c r="L38" i="5"/>
  <c r="N38" i="5" s="1"/>
  <c r="S38" i="5"/>
  <c r="M448" i="5"/>
  <c r="M113" i="5"/>
  <c r="M328" i="5"/>
  <c r="M122" i="5"/>
  <c r="L272" i="5"/>
  <c r="N272" i="5" s="1"/>
  <c r="S272" i="5"/>
  <c r="M272" i="5"/>
  <c r="S26" i="5"/>
  <c r="M26" i="5"/>
  <c r="L26" i="5"/>
  <c r="N26" i="5" s="1"/>
  <c r="S44" i="5"/>
  <c r="L44" i="5"/>
  <c r="N44" i="5" s="1"/>
  <c r="L46" i="5"/>
  <c r="N46" i="5" s="1"/>
  <c r="M46" i="5"/>
  <c r="S46" i="5"/>
  <c r="L106" i="5"/>
  <c r="N106" i="5" s="1"/>
  <c r="S106" i="5"/>
  <c r="I7" i="7"/>
  <c r="E15" i="10" s="1"/>
  <c r="S376" i="5"/>
  <c r="M376" i="5"/>
  <c r="L376" i="5"/>
  <c r="N376" i="5" s="1"/>
  <c r="O4" i="7"/>
  <c r="E31" i="10" s="1"/>
  <c r="S435" i="5"/>
  <c r="M435" i="5"/>
  <c r="L435" i="5"/>
  <c r="N435" i="5"/>
  <c r="S430" i="5"/>
  <c r="M430" i="5"/>
  <c r="L430" i="5"/>
  <c r="N430" i="5" s="1"/>
  <c r="S349" i="5"/>
  <c r="M349" i="5"/>
  <c r="L349" i="5"/>
  <c r="N349" i="5" s="1"/>
  <c r="S484" i="5"/>
  <c r="M484" i="5"/>
  <c r="L484" i="5"/>
  <c r="N484" i="5" s="1"/>
  <c r="S332" i="5"/>
  <c r="M332" i="5"/>
  <c r="L332" i="5"/>
  <c r="N332" i="5" s="1"/>
  <c r="S156" i="5"/>
  <c r="M156" i="5"/>
  <c r="L156" i="5"/>
  <c r="N156" i="5" s="1"/>
  <c r="S208" i="5"/>
  <c r="M208" i="5"/>
  <c r="L208" i="5"/>
  <c r="N208" i="5" s="1"/>
  <c r="S181" i="5"/>
  <c r="L181" i="5"/>
  <c r="N181" i="5" s="1"/>
  <c r="M181" i="5"/>
  <c r="L167" i="5"/>
  <c r="N167" i="5" s="1"/>
  <c r="S167" i="5"/>
  <c r="M167" i="5"/>
  <c r="L149" i="5"/>
  <c r="N149" i="5" s="1"/>
  <c r="S149" i="5"/>
  <c r="M149" i="5"/>
  <c r="S216" i="5"/>
  <c r="M216" i="5"/>
  <c r="L216" i="5"/>
  <c r="N216" i="5" s="1"/>
  <c r="S337" i="5"/>
  <c r="M337" i="5"/>
  <c r="L337" i="5"/>
  <c r="N337" i="5" s="1"/>
  <c r="S488" i="5"/>
  <c r="M488" i="5"/>
  <c r="L488" i="5"/>
  <c r="N488" i="5" s="1"/>
  <c r="L414" i="5"/>
  <c r="N414" i="5" s="1"/>
  <c r="S414" i="5"/>
  <c r="M414" i="5"/>
  <c r="S152" i="5"/>
  <c r="M152" i="5"/>
  <c r="L152" i="5"/>
  <c r="N152" i="5" s="1"/>
  <c r="L342" i="5"/>
  <c r="N342" i="5" s="1"/>
  <c r="S342" i="5"/>
  <c r="M342" i="5"/>
  <c r="L153" i="5"/>
  <c r="N153" i="5" s="1"/>
  <c r="S153" i="5"/>
  <c r="M153" i="5"/>
  <c r="S172" i="5"/>
  <c r="M172" i="5"/>
  <c r="L172" i="5"/>
  <c r="N172" i="5"/>
  <c r="L400" i="5"/>
  <c r="N400" i="5" s="1"/>
  <c r="S400" i="5"/>
  <c r="M400" i="5"/>
  <c r="S160" i="5"/>
  <c r="M160" i="5"/>
  <c r="L160" i="5"/>
  <c r="N160" i="5" s="1"/>
  <c r="S176" i="5"/>
  <c r="M176" i="5"/>
  <c r="L176" i="5"/>
  <c r="N176" i="5" s="1"/>
  <c r="S423" i="5"/>
  <c r="M423" i="5"/>
  <c r="L423" i="5"/>
  <c r="N423" i="5" s="1"/>
  <c r="S421" i="5"/>
  <c r="M421" i="5"/>
  <c r="L421" i="5"/>
  <c r="N421" i="5" s="1"/>
  <c r="S364" i="5"/>
  <c r="M364" i="5"/>
  <c r="L364" i="5"/>
  <c r="N364" i="5" s="1"/>
  <c r="S180" i="5"/>
  <c r="M180" i="5"/>
  <c r="L180" i="5"/>
  <c r="N180" i="5"/>
  <c r="B12" i="7"/>
  <c r="C7" i="10" s="1"/>
  <c r="F6" i="7"/>
  <c r="B14" i="10" s="1"/>
  <c r="L147" i="5"/>
  <c r="N147" i="5" s="1"/>
  <c r="S147" i="5"/>
  <c r="M147" i="5"/>
  <c r="S168" i="5"/>
  <c r="M168" i="5"/>
  <c r="L168" i="5"/>
  <c r="N168" i="5" s="1"/>
  <c r="M391" i="5"/>
  <c r="S391" i="5"/>
  <c r="L391" i="5"/>
  <c r="N391" i="5" s="1"/>
  <c r="M461" i="5"/>
  <c r="S461" i="5"/>
  <c r="L461" i="5"/>
  <c r="N461" i="5" s="1"/>
  <c r="S390" i="5"/>
  <c r="M390" i="5"/>
  <c r="L390" i="5"/>
  <c r="N390" i="5" s="1"/>
  <c r="L477" i="5"/>
  <c r="N477" i="5" s="1"/>
  <c r="S477" i="5"/>
  <c r="M477" i="5"/>
  <c r="S351" i="5"/>
  <c r="L351" i="5"/>
  <c r="N351" i="5" s="1"/>
  <c r="M351" i="5"/>
  <c r="S407" i="5"/>
  <c r="M407" i="5"/>
  <c r="L407" i="5"/>
  <c r="N407" i="5" s="1"/>
  <c r="L455" i="5"/>
  <c r="N455" i="5" s="1"/>
  <c r="S455" i="5"/>
  <c r="M455" i="5"/>
  <c r="S357" i="5"/>
  <c r="M357" i="5"/>
  <c r="L357" i="5"/>
  <c r="N357" i="5" s="1"/>
  <c r="S412" i="5"/>
  <c r="M412" i="5"/>
  <c r="L412" i="5"/>
  <c r="N412" i="5" s="1"/>
  <c r="M372" i="5"/>
  <c r="L372" i="5"/>
  <c r="N372" i="5" s="1"/>
  <c r="S372" i="5"/>
  <c r="F4" i="7"/>
  <c r="B12" i="10" s="1"/>
  <c r="O5" i="7"/>
  <c r="E32" i="10" s="1"/>
  <c r="S378" i="5"/>
  <c r="M378" i="5"/>
  <c r="L378" i="5"/>
  <c r="N378" i="5" s="1"/>
  <c r="S196" i="5"/>
  <c r="M196" i="5"/>
  <c r="L196" i="5"/>
  <c r="N196" i="5" s="1"/>
  <c r="L183" i="5"/>
  <c r="N183" i="5" s="1"/>
  <c r="M183" i="5"/>
  <c r="S183" i="5"/>
  <c r="O7" i="7"/>
  <c r="E34" i="10" s="1"/>
  <c r="O6" i="7"/>
  <c r="E33" i="10" s="1"/>
  <c r="M492" i="5"/>
  <c r="L492" i="5"/>
  <c r="S492" i="5"/>
  <c r="N492" i="5"/>
  <c r="S451" i="5"/>
  <c r="M451" i="5"/>
  <c r="L451" i="5"/>
  <c r="N451" i="5" s="1"/>
  <c r="M475" i="5"/>
  <c r="S475" i="5"/>
  <c r="L475" i="5"/>
  <c r="N475" i="5" s="1"/>
  <c r="M472" i="5"/>
  <c r="L472" i="5"/>
  <c r="S472" i="5"/>
  <c r="N472" i="5"/>
  <c r="S404" i="5"/>
  <c r="M404" i="5"/>
  <c r="L404" i="5"/>
  <c r="N404" i="5" s="1"/>
  <c r="M406" i="5"/>
  <c r="L406" i="5"/>
  <c r="N406" i="5" s="1"/>
  <c r="S406" i="5"/>
  <c r="L354" i="5"/>
  <c r="S354" i="5"/>
  <c r="N354" i="5"/>
  <c r="M354" i="5"/>
  <c r="S192" i="5"/>
  <c r="M192" i="5"/>
  <c r="L192" i="5"/>
  <c r="N192" i="5" s="1"/>
  <c r="S184" i="5"/>
  <c r="M184" i="5"/>
  <c r="L184" i="5"/>
  <c r="N184" i="5" s="1"/>
  <c r="F5" i="7"/>
  <c r="B13" i="10" s="1"/>
  <c r="S213" i="5"/>
  <c r="M213" i="5"/>
  <c r="L213" i="5"/>
  <c r="N213" i="5" s="1"/>
  <c r="M382" i="5"/>
  <c r="S382" i="5"/>
  <c r="L382" i="5"/>
  <c r="N382" i="5" s="1"/>
  <c r="L443" i="5"/>
  <c r="N443" i="5" s="1"/>
  <c r="M443" i="5"/>
  <c r="S443" i="5"/>
  <c r="L317" i="5"/>
  <c r="N317" i="5" s="1"/>
  <c r="S317" i="5"/>
  <c r="M317" i="5"/>
  <c r="S439" i="5"/>
  <c r="M439" i="5"/>
  <c r="L439" i="5"/>
  <c r="N439" i="5" s="1"/>
  <c r="S315" i="5"/>
  <c r="M315" i="5"/>
  <c r="L315" i="5"/>
  <c r="N315" i="5" s="1"/>
  <c r="I8" i="7"/>
  <c r="E16" i="10" s="1"/>
  <c r="I6" i="7"/>
  <c r="E14" i="10" s="1"/>
  <c r="M444" i="5"/>
  <c r="S444" i="5"/>
  <c r="L444" i="5"/>
  <c r="N444" i="5" s="1"/>
  <c r="L410" i="5"/>
  <c r="N410" i="5" s="1"/>
  <c r="S410" i="5"/>
  <c r="M410" i="5"/>
  <c r="S388" i="5"/>
  <c r="M388" i="5"/>
  <c r="L388" i="5"/>
  <c r="N388" i="5" s="1"/>
  <c r="S370" i="5"/>
  <c r="M370" i="5"/>
  <c r="L370" i="5"/>
  <c r="N370" i="5" s="1"/>
  <c r="S188" i="5"/>
  <c r="M188" i="5"/>
  <c r="L188" i="5"/>
  <c r="N188" i="5" s="1"/>
  <c r="B8" i="7"/>
  <c r="C4" i="10" s="1"/>
  <c r="L157" i="5"/>
  <c r="N157" i="5" s="1"/>
  <c r="S157" i="5"/>
  <c r="M157" i="5"/>
  <c r="I5" i="7"/>
  <c r="E13" i="10" s="1"/>
  <c r="M308" i="5"/>
  <c r="L308" i="5"/>
  <c r="N308" i="5" s="1"/>
  <c r="S308" i="5"/>
  <c r="L459" i="5"/>
  <c r="N459" i="5" s="1"/>
  <c r="S459" i="5"/>
  <c r="M459" i="5"/>
  <c r="S321" i="5"/>
  <c r="M321" i="5"/>
  <c r="L321" i="5"/>
  <c r="N321" i="5" s="1"/>
  <c r="S446" i="5"/>
  <c r="M446" i="5"/>
  <c r="L446" i="5"/>
  <c r="N446" i="5" s="1"/>
  <c r="S485" i="5"/>
  <c r="L485" i="5"/>
  <c r="N485" i="5"/>
  <c r="M485" i="5"/>
  <c r="S465" i="5"/>
  <c r="M465" i="5"/>
  <c r="L465" i="5"/>
  <c r="N465" i="5" s="1"/>
  <c r="M462" i="5"/>
  <c r="L462" i="5"/>
  <c r="N462" i="5" s="1"/>
  <c r="S462" i="5"/>
  <c r="S339" i="5"/>
  <c r="L339" i="5"/>
  <c r="N339" i="5" s="1"/>
  <c r="M339" i="5"/>
  <c r="B6" i="7"/>
  <c r="B9" i="7" s="1"/>
  <c r="A4" i="10" s="1"/>
  <c r="S457" i="5"/>
  <c r="M457" i="5"/>
  <c r="L457" i="5"/>
  <c r="N457" i="5" s="1"/>
  <c r="S394" i="5"/>
  <c r="M394" i="5"/>
  <c r="L394" i="5"/>
  <c r="N394" i="5" s="1"/>
  <c r="S329" i="5"/>
  <c r="M329" i="5"/>
  <c r="L329" i="5"/>
  <c r="N329" i="5" s="1"/>
  <c r="S309" i="5"/>
  <c r="M309" i="5"/>
  <c r="L309" i="5"/>
  <c r="N309" i="5" s="1"/>
  <c r="S496" i="5"/>
  <c r="M496" i="5"/>
  <c r="L496" i="5"/>
  <c r="N496" i="5" s="1"/>
  <c r="L501" i="5"/>
  <c r="N501" i="5" s="1"/>
  <c r="M501" i="5"/>
  <c r="S501" i="5"/>
  <c r="M489" i="5"/>
  <c r="L489" i="5"/>
  <c r="N489" i="5" s="1"/>
  <c r="S489" i="5"/>
  <c r="L427" i="5"/>
  <c r="N427" i="5" s="1"/>
  <c r="S427" i="5"/>
  <c r="M427" i="5"/>
  <c r="S480" i="5"/>
  <c r="M480" i="5"/>
  <c r="L480" i="5"/>
  <c r="N480" i="5" s="1"/>
  <c r="M428" i="5"/>
  <c r="S428" i="5"/>
  <c r="L428" i="5"/>
  <c r="N428" i="5" s="1"/>
  <c r="S335" i="5"/>
  <c r="M335" i="5"/>
  <c r="L335" i="5"/>
  <c r="N335" i="5" s="1"/>
  <c r="M403" i="5"/>
  <c r="L403" i="5"/>
  <c r="N403" i="5" s="1"/>
  <c r="S403" i="5"/>
  <c r="S164" i="5"/>
  <c r="M164" i="5"/>
  <c r="L164" i="5"/>
  <c r="N164" i="5"/>
  <c r="B7" i="7"/>
  <c r="S345" i="5"/>
  <c r="M345" i="5"/>
  <c r="L345" i="5"/>
  <c r="N345" i="5" s="1"/>
  <c r="L161" i="5"/>
  <c r="N161" i="5" s="1"/>
  <c r="S161" i="5"/>
  <c r="M161" i="5"/>
  <c r="S411" i="5"/>
  <c r="M411" i="5"/>
  <c r="L411" i="5"/>
  <c r="N411" i="5" s="1"/>
  <c r="S204" i="5"/>
  <c r="M204" i="5"/>
  <c r="L204" i="5"/>
  <c r="N204" i="5" s="1"/>
  <c r="S212" i="5"/>
  <c r="M212" i="5"/>
  <c r="L212" i="5"/>
  <c r="N212" i="5" s="1"/>
  <c r="S200" i="5"/>
  <c r="M200" i="5"/>
  <c r="L200" i="5"/>
  <c r="N200" i="5" s="1"/>
</calcChain>
</file>

<file path=xl/sharedStrings.xml><?xml version="1.0" encoding="utf-8"?>
<sst xmlns="http://schemas.openxmlformats.org/spreadsheetml/2006/main" count="11831" uniqueCount="2109">
  <si>
    <t>Month-End Close Reconciliation &amp; AP/AR Risk Dashboard</t>
  </si>
  <si>
    <t>Section</t>
  </si>
  <si>
    <t>Simple explanation</t>
  </si>
  <si>
    <t>Why it matters</t>
  </si>
  <si>
    <t>Project goal</t>
  </si>
  <si>
    <t>This Excel file helps a finance team check month-end data. It compares ERP transactions with bank transactions. It also shows unpaid invoices.</t>
  </si>
  <si>
    <t>Companies need this work every month. It saves time and finds errors.</t>
  </si>
  <si>
    <t>Business problem</t>
  </si>
  <si>
    <t>Many companies have many AP, AR, and bank records. Some records do not match. Some invoices are old. This can make month-end close slow.</t>
  </si>
  <si>
    <t>A manager wants clean data, clear exceptions, and fast reports.</t>
  </si>
  <si>
    <t>What this workbook does</t>
  </si>
  <si>
    <t>It imports sample ERP data, sample bank data, and sample invoice data. It checks matches, amount differences, date differences, and invoice risk.</t>
  </si>
  <si>
    <t>It shows practical Excel and finance skills.</t>
  </si>
  <si>
    <t>How to use it</t>
  </si>
  <si>
    <t>Start with the Dashboard sheet. Then check Reconciliation for transaction problems. Check Open_Invoices for AP and AR risk.</t>
  </si>
  <si>
    <t>This is how a real accounting team would use the file.</t>
  </si>
  <si>
    <t>Main result</t>
  </si>
  <si>
    <t>The dashboard shows matched transactions, unmatched ERP items, bank-only items, old invoices, and high-risk items.</t>
  </si>
  <si>
    <t>This helps the team know what to fix first.</t>
  </si>
  <si>
    <t>Sheet: Mapping_Rules</t>
  </si>
  <si>
    <t>This sheet has the rules. For example, how much amount difference is allowed and how many days difference is okay.</t>
  </si>
  <si>
    <t>Rules make the file easy to change.</t>
  </si>
  <si>
    <t>Sheet: ERP_Transactions</t>
  </si>
  <si>
    <t>This sheet has sample ERP transactions from AP, AR, GL, Payroll, and bank fees.</t>
  </si>
  <si>
    <t>This is the main accounting system data.</t>
  </si>
  <si>
    <t>Sheet: Bank_Statement</t>
  </si>
  <si>
    <t>This sheet has sample bank records. Some records match ERP. Some records do not match.</t>
  </si>
  <si>
    <t>This helps test bank reconciliation.</t>
  </si>
  <si>
    <t>Sheet: Reconciliation</t>
  </si>
  <si>
    <t>This sheet compares ERP with bank data by reference number. It shows matched items and review items.</t>
  </si>
  <si>
    <t>This is a key month-end close task.</t>
  </si>
  <si>
    <t>Sheet: Open_Invoices</t>
  </si>
  <si>
    <t>This sheet shows unpaid AP and AR invoices. It calculates open amount, days overdue, aging bucket, and risk level.</t>
  </si>
  <si>
    <t>This helps cash collection and vendor payment planning.</t>
  </si>
  <si>
    <t>Sheet: Analysis_Model</t>
  </si>
  <si>
    <t>This sheet has summary formulas. It works like a simple data model.</t>
  </si>
  <si>
    <t>It supports the dashboard.</t>
  </si>
  <si>
    <t>Sheet: Exception_Log</t>
  </si>
  <si>
    <t>This sheet lists the most important problems from the reconciliation and invoice data.</t>
  </si>
  <si>
    <t>Managers can see what needs action.</t>
  </si>
  <si>
    <t>Sheet: Power_Query_Blueprint</t>
  </si>
  <si>
    <t>This sheet explains how Power Query can be used to load, clean, and combine the data.</t>
  </si>
  <si>
    <t>This shows data automation thinking.</t>
  </si>
  <si>
    <t>Excel skills shown</t>
  </si>
  <si>
    <t>Tables, formulas, XLOOKUP, COUNTIF, SUMIF, date formulas, charts, dashboard design, and clean reporting.</t>
  </si>
  <si>
    <t>These skills are useful for accounting and finance jobs.</t>
  </si>
  <si>
    <t>Employer value</t>
  </si>
  <si>
    <t>The file shows that I can clean data, find errors, build reports, and explain results in simple English.</t>
  </si>
  <si>
    <t>This is useful for Vancouver accounting and finance teams.</t>
  </si>
  <si>
    <t>Interview answer</t>
  </si>
  <si>
    <t>I built a month-end close workbook. It compares ERP data with bank data and checks AP/AR invoices. The dashboard shows the biggest risks first.</t>
  </si>
  <si>
    <t>This is a clear way to explain the project.</t>
  </si>
  <si>
    <t>Resume bullet</t>
  </si>
  <si>
    <t>Built an Excel month-end close dashboard using reconciliation formulas, AP/AR aging, exception tracking, and management KPIs.</t>
  </si>
  <si>
    <t>This is ready to use on a resume.</t>
  </si>
  <si>
    <t>GitHub note</t>
  </si>
  <si>
    <t>Upload the workbook with screenshots. Add a short README. Explain the business problem, the Excel skills, and the result.</t>
  </si>
  <si>
    <t>This makes the portfolio easy to understand.</t>
  </si>
  <si>
    <t>Mapping Rules and Control Inputs</t>
  </si>
  <si>
    <t>Control</t>
  </si>
  <si>
    <t>Value</t>
  </si>
  <si>
    <t>Explanation</t>
  </si>
  <si>
    <t>Modules</t>
  </si>
  <si>
    <t>Invoice Type</t>
  </si>
  <si>
    <t>Status</t>
  </si>
  <si>
    <t>Priority</t>
  </si>
  <si>
    <t>Exception Type</t>
  </si>
  <si>
    <t>Aging Bucket</t>
  </si>
  <si>
    <t>Owners</t>
  </si>
  <si>
    <t>Risk Level</t>
  </si>
  <si>
    <t>Amount tolerance</t>
  </si>
  <si>
    <t>Amount difference allowed for automatic match</t>
  </si>
  <si>
    <t>AP</t>
  </si>
  <si>
    <t>Open</t>
  </si>
  <si>
    <t>High</t>
  </si>
  <si>
    <t>Missing from bank</t>
  </si>
  <si>
    <t>Current</t>
  </si>
  <si>
    <t>AP Clerk</t>
  </si>
  <si>
    <t>Normal</t>
  </si>
  <si>
    <t>Date tolerance days</t>
  </si>
  <si>
    <t>Date difference allowed for automatic match</t>
  </si>
  <si>
    <t>AR</t>
  </si>
  <si>
    <t>Part Paid</t>
  </si>
  <si>
    <t>Medium</t>
  </si>
  <si>
    <t>Amount variance</t>
  </si>
  <si>
    <t>1-30</t>
  </si>
  <si>
    <t>AR Clerk</t>
  </si>
  <si>
    <t>Monitor</t>
  </si>
  <si>
    <t>Close date</t>
  </si>
  <si>
    <t>Month-end close date</t>
  </si>
  <si>
    <t>GL</t>
  </si>
  <si>
    <t>Disputed</t>
  </si>
  <si>
    <t>Low</t>
  </si>
  <si>
    <t>Date variance</t>
  </si>
  <si>
    <t>31-60</t>
  </si>
  <si>
    <t>Accounting Technician</t>
  </si>
  <si>
    <t>High Risk</t>
  </si>
  <si>
    <t>High risk amount</t>
  </si>
  <si>
    <t>Invoice amount above this value is high risk</t>
  </si>
  <si>
    <t>Payroll</t>
  </si>
  <si>
    <t>Promise to Pay</t>
  </si>
  <si>
    <t>Bank-only item</t>
  </si>
  <si>
    <t>61-90</t>
  </si>
  <si>
    <t>Finance Analyst</t>
  </si>
  <si>
    <t>Closed</t>
  </si>
  <si>
    <t>High risk days</t>
  </si>
  <si>
    <t>Invoice days overdue above this value is high risk</t>
  </si>
  <si>
    <t>Bank Fees</t>
  </si>
  <si>
    <t>Invoice risk</t>
  </si>
  <si>
    <t>90+</t>
  </si>
  <si>
    <t>ERP Transactions - Sample Data</t>
  </si>
  <si>
    <t>Txn_ID</t>
  </si>
  <si>
    <t>Txn_Date</t>
  </si>
  <si>
    <t>Period</t>
  </si>
  <si>
    <t>Module</t>
  </si>
  <si>
    <t>Vendor_Customer</t>
  </si>
  <si>
    <t>Description</t>
  </si>
  <si>
    <t>Reference_No</t>
  </si>
  <si>
    <t>Debit</t>
  </si>
  <si>
    <t>Credit</t>
  </si>
  <si>
    <t>Net_Amount</t>
  </si>
  <si>
    <t>Payment_Method</t>
  </si>
  <si>
    <t>Cost_Center</t>
  </si>
  <si>
    <t>GL_Account</t>
  </si>
  <si>
    <t>ERP-00001</t>
  </si>
  <si>
    <t>2026-01</t>
  </si>
  <si>
    <t>Staples Canada</t>
  </si>
  <si>
    <t>Vendor payment - Staples Canada</t>
  </si>
  <si>
    <t>REF-100001</t>
  </si>
  <si>
    <t>Cheque</t>
  </si>
  <si>
    <t>200-Sales</t>
  </si>
  <si>
    <t>2000 AP</t>
  </si>
  <si>
    <t>ERP-00002</t>
  </si>
  <si>
    <t>North Shore Telecom</t>
  </si>
  <si>
    <t>Vendor payment - North Shore Telecom</t>
  </si>
  <si>
    <t>REF-100002</t>
  </si>
  <si>
    <t>PAD</t>
  </si>
  <si>
    <t>100-Admin</t>
  </si>
  <si>
    <t>ERP-00003</t>
  </si>
  <si>
    <t>Vancouver Courier</t>
  </si>
  <si>
    <t>Vendor payment - Vancouver Courier</t>
  </si>
  <si>
    <t>REF-100003</t>
  </si>
  <si>
    <t>400-Finance</t>
  </si>
  <si>
    <t>ERP-00004</t>
  </si>
  <si>
    <t>Pacific Office Supplies</t>
  </si>
  <si>
    <t>Vendor payment - Pacific Office Supplies</t>
  </si>
  <si>
    <t>REF-100004</t>
  </si>
  <si>
    <t>Credit Card</t>
  </si>
  <si>
    <t>300-Ops</t>
  </si>
  <si>
    <t>ERP-00005</t>
  </si>
  <si>
    <t>BC Hydro</t>
  </si>
  <si>
    <t>Vendor payment - BC Hydro</t>
  </si>
  <si>
    <t>REF-100005</t>
  </si>
  <si>
    <t>500-IT</t>
  </si>
  <si>
    <t>ERP-00006</t>
  </si>
  <si>
    <t>Harbour Design Co.</t>
  </si>
  <si>
    <t>Customer payment - Harbour Design Co.</t>
  </si>
  <si>
    <t>REF-100006</t>
  </si>
  <si>
    <t>1200 AR</t>
  </si>
  <si>
    <t>ERP-00007</t>
  </si>
  <si>
    <t>REF-100007</t>
  </si>
  <si>
    <t>Wire</t>
  </si>
  <si>
    <t>ERP-00008</t>
  </si>
  <si>
    <t>Granville Medical</t>
  </si>
  <si>
    <t>Manual GL entry</t>
  </si>
  <si>
    <t>REF-100008</t>
  </si>
  <si>
    <t>ERP-00009</t>
  </si>
  <si>
    <t>West Van Fitness</t>
  </si>
  <si>
    <t>Customer payment - West Van Fitness</t>
  </si>
  <si>
    <t>REF-100009</t>
  </si>
  <si>
    <t>ERP-00010</t>
  </si>
  <si>
    <t>REF-100010</t>
  </si>
  <si>
    <t>ERP-00011</t>
  </si>
  <si>
    <t>Coastline Foods</t>
  </si>
  <si>
    <t>Customer payment - Coastline Foods</t>
  </si>
  <si>
    <t>REF-100011</t>
  </si>
  <si>
    <t>ERP-00012</t>
  </si>
  <si>
    <t>REF-100012</t>
  </si>
  <si>
    <t>EFT</t>
  </si>
  <si>
    <t>ERP-00013</t>
  </si>
  <si>
    <t>REF-100013</t>
  </si>
  <si>
    <t>ERP-00014</t>
  </si>
  <si>
    <t>Payroll Batch</t>
  </si>
  <si>
    <t>Payroll payment</t>
  </si>
  <si>
    <t>REF-100014</t>
  </si>
  <si>
    <t>5300 Payroll</t>
  </si>
  <si>
    <t>ERP-00015</t>
  </si>
  <si>
    <t>REF-100015</t>
  </si>
  <si>
    <t>ERP-00016</t>
  </si>
  <si>
    <t>REF-100016</t>
  </si>
  <si>
    <t>ERP-00017</t>
  </si>
  <si>
    <t>Bank</t>
  </si>
  <si>
    <t>Monthly bank service charge</t>
  </si>
  <si>
    <t>REF-100017</t>
  </si>
  <si>
    <t>6100 Bank Fees</t>
  </si>
  <si>
    <t>ERP-00018</t>
  </si>
  <si>
    <t>REF-100018</t>
  </si>
  <si>
    <t>ERP-00019</t>
  </si>
  <si>
    <t>REF-100019</t>
  </si>
  <si>
    <t>ERP-00020</t>
  </si>
  <si>
    <t>REF-100020</t>
  </si>
  <si>
    <t>ERP-00021</t>
  </si>
  <si>
    <t>REF-100021</t>
  </si>
  <si>
    <t>ERP-00022</t>
  </si>
  <si>
    <t>Amazon Business</t>
  </si>
  <si>
    <t>Vendor payment - Amazon Business</t>
  </si>
  <si>
    <t>REF-100022</t>
  </si>
  <si>
    <t>ERP-00023</t>
  </si>
  <si>
    <t>Metro Cleaning Ltd.</t>
  </si>
  <si>
    <t>Vendor payment - Metro Cleaning Ltd.</t>
  </si>
  <si>
    <t>REF-100023</t>
  </si>
  <si>
    <t>ERP-00024</t>
  </si>
  <si>
    <t>REF-100024</t>
  </si>
  <si>
    <t>ERP-00025</t>
  </si>
  <si>
    <t>Raincity Tech</t>
  </si>
  <si>
    <t>Customer payment - Raincity Tech</t>
  </si>
  <si>
    <t>REF-100025</t>
  </si>
  <si>
    <t>ERP-00026</t>
  </si>
  <si>
    <t>REF-100026</t>
  </si>
  <si>
    <t>ERP-00027</t>
  </si>
  <si>
    <t>Maple Retail Group</t>
  </si>
  <si>
    <t>Customer payment - Maple Retail Group</t>
  </si>
  <si>
    <t>REF-100027</t>
  </si>
  <si>
    <t>ERP-00028</t>
  </si>
  <si>
    <t>REF-100028</t>
  </si>
  <si>
    <t>5000 Office Expense</t>
  </si>
  <si>
    <t>ERP-00029</t>
  </si>
  <si>
    <t>REF-100029</t>
  </si>
  <si>
    <t>ERP-00030</t>
  </si>
  <si>
    <t>REF-100030</t>
  </si>
  <si>
    <t>ERP-00031</t>
  </si>
  <si>
    <t>REF-100031</t>
  </si>
  <si>
    <t>ERP-00032</t>
  </si>
  <si>
    <t>REF-100032</t>
  </si>
  <si>
    <t>ERP-00033</t>
  </si>
  <si>
    <t>REF-100033</t>
  </si>
  <si>
    <t>ERP-00034</t>
  </si>
  <si>
    <t>REF-100034</t>
  </si>
  <si>
    <t>ERP-00035</t>
  </si>
  <si>
    <t>REF-100035</t>
  </si>
  <si>
    <t>ERP-00036</t>
  </si>
  <si>
    <t>REF-100036</t>
  </si>
  <si>
    <t>1010 Cash</t>
  </si>
  <si>
    <t>ERP-00037</t>
  </si>
  <si>
    <t>REF-100037</t>
  </si>
  <si>
    <t>ERP-00038</t>
  </si>
  <si>
    <t>REF-100038</t>
  </si>
  <si>
    <t>ERP-00039</t>
  </si>
  <si>
    <t>REF-100039</t>
  </si>
  <si>
    <t>ERP-00040</t>
  </si>
  <si>
    <t>Customer payment - Granville Medical</t>
  </si>
  <si>
    <t>REF-100040</t>
  </si>
  <si>
    <t>ERP-00041</t>
  </si>
  <si>
    <t>REF-100041</t>
  </si>
  <si>
    <t>ERP-00042</t>
  </si>
  <si>
    <t>REF-100042</t>
  </si>
  <si>
    <t>ERP-00043</t>
  </si>
  <si>
    <t>REF-100043</t>
  </si>
  <si>
    <t>ERP-00044</t>
  </si>
  <si>
    <t>REF-100044</t>
  </si>
  <si>
    <t>ERP-00045</t>
  </si>
  <si>
    <t>REF-100045</t>
  </si>
  <si>
    <t>ERP-00046</t>
  </si>
  <si>
    <t>REF-100046</t>
  </si>
  <si>
    <t>ERP-00047</t>
  </si>
  <si>
    <t>REF-100047</t>
  </si>
  <si>
    <t>ERP-00048</t>
  </si>
  <si>
    <t>REF-100048</t>
  </si>
  <si>
    <t>ERP-00049</t>
  </si>
  <si>
    <t>REF-100049</t>
  </si>
  <si>
    <t>ERP-00050</t>
  </si>
  <si>
    <t>REF-100050</t>
  </si>
  <si>
    <t>ERP-00051</t>
  </si>
  <si>
    <t>REF-100051</t>
  </si>
  <si>
    <t>ERP-00052</t>
  </si>
  <si>
    <t>REF-100052</t>
  </si>
  <si>
    <t>ERP-00053</t>
  </si>
  <si>
    <t>REF-100053</t>
  </si>
  <si>
    <t>ERP-00054</t>
  </si>
  <si>
    <t>REF-100054</t>
  </si>
  <si>
    <t>ERP-00055</t>
  </si>
  <si>
    <t>REF-100055</t>
  </si>
  <si>
    <t>ERP-00056</t>
  </si>
  <si>
    <t>REF-100056</t>
  </si>
  <si>
    <t>ERP-00057</t>
  </si>
  <si>
    <t>REF-100057</t>
  </si>
  <si>
    <t>ERP-00058</t>
  </si>
  <si>
    <t>REF-100058</t>
  </si>
  <si>
    <t>ERP-00059</t>
  </si>
  <si>
    <t>REF-100059</t>
  </si>
  <si>
    <t>ERP-00060</t>
  </si>
  <si>
    <t>REF-100060</t>
  </si>
  <si>
    <t>ERP-00061</t>
  </si>
  <si>
    <t>REF-100061</t>
  </si>
  <si>
    <t>ERP-00062</t>
  </si>
  <si>
    <t>REF-100062</t>
  </si>
  <si>
    <t>ERP-00063</t>
  </si>
  <si>
    <t>REF-100063</t>
  </si>
  <si>
    <t>ERP-00064</t>
  </si>
  <si>
    <t>REF-100064</t>
  </si>
  <si>
    <t>ERP-00065</t>
  </si>
  <si>
    <t>REF-100065</t>
  </si>
  <si>
    <t>ERP-00066</t>
  </si>
  <si>
    <t>REF-100066</t>
  </si>
  <si>
    <t>ERP-00067</t>
  </si>
  <si>
    <t>REF-100067</t>
  </si>
  <si>
    <t>ERP-00068</t>
  </si>
  <si>
    <t>REF-100068</t>
  </si>
  <si>
    <t>ERP-00069</t>
  </si>
  <si>
    <t>REF-100069</t>
  </si>
  <si>
    <t>ERP-00070</t>
  </si>
  <si>
    <t>REF-100070</t>
  </si>
  <si>
    <t>ERP-00071</t>
  </si>
  <si>
    <t>REF-100071</t>
  </si>
  <si>
    <t>ERP-00072</t>
  </si>
  <si>
    <t>REF-100072</t>
  </si>
  <si>
    <t>ERP-00073</t>
  </si>
  <si>
    <t>REF-100073</t>
  </si>
  <si>
    <t>ERP-00074</t>
  </si>
  <si>
    <t>REF-100074</t>
  </si>
  <si>
    <t>ERP-00075</t>
  </si>
  <si>
    <t>REF-100075</t>
  </si>
  <si>
    <t>ERP-00076</t>
  </si>
  <si>
    <t>REF-100076</t>
  </si>
  <si>
    <t>ERP-00077</t>
  </si>
  <si>
    <t>REF-100077</t>
  </si>
  <si>
    <t>ERP-00078</t>
  </si>
  <si>
    <t>REF-100078</t>
  </si>
  <si>
    <t>ERP-00079</t>
  </si>
  <si>
    <t>REF-100079</t>
  </si>
  <si>
    <t>ERP-00080</t>
  </si>
  <si>
    <t>REF-100080</t>
  </si>
  <si>
    <t>ERP-00081</t>
  </si>
  <si>
    <t>REF-100081</t>
  </si>
  <si>
    <t>ERP-00082</t>
  </si>
  <si>
    <t>REF-100082</t>
  </si>
  <si>
    <t>ERP-00083</t>
  </si>
  <si>
    <t>REF-100083</t>
  </si>
  <si>
    <t>ERP-00084</t>
  </si>
  <si>
    <t>REF-100084</t>
  </si>
  <si>
    <t>ERP-00085</t>
  </si>
  <si>
    <t>REF-100085</t>
  </si>
  <si>
    <t>ERP-00086</t>
  </si>
  <si>
    <t>REF-100086</t>
  </si>
  <si>
    <t>ERP-00087</t>
  </si>
  <si>
    <t>REF-100087</t>
  </si>
  <si>
    <t>ERP-00088</t>
  </si>
  <si>
    <t>REF-100088</t>
  </si>
  <si>
    <t>ERP-00089</t>
  </si>
  <si>
    <t>REF-100089</t>
  </si>
  <si>
    <t>ERP-00090</t>
  </si>
  <si>
    <t>REF-100090</t>
  </si>
  <si>
    <t>ERP-00091</t>
  </si>
  <si>
    <t>REF-100091</t>
  </si>
  <si>
    <t>ERP-00092</t>
  </si>
  <si>
    <t>REF-100092</t>
  </si>
  <si>
    <t>ERP-00093</t>
  </si>
  <si>
    <t>REF-100093</t>
  </si>
  <si>
    <t>ERP-00094</t>
  </si>
  <si>
    <t>REF-100094</t>
  </si>
  <si>
    <t>ERP-00095</t>
  </si>
  <si>
    <t>REF-100095</t>
  </si>
  <si>
    <t>ERP-00096</t>
  </si>
  <si>
    <t>REF-100096</t>
  </si>
  <si>
    <t>ERP-00097</t>
  </si>
  <si>
    <t>REF-100097</t>
  </si>
  <si>
    <t>ERP-00098</t>
  </si>
  <si>
    <t>REF-100098</t>
  </si>
  <si>
    <t>ERP-00099</t>
  </si>
  <si>
    <t>REF-100099</t>
  </si>
  <si>
    <t>ERP-00100</t>
  </si>
  <si>
    <t>REF-100100</t>
  </si>
  <si>
    <t>ERP-00101</t>
  </si>
  <si>
    <t>REF-100101</t>
  </si>
  <si>
    <t>ERP-00102</t>
  </si>
  <si>
    <t>REF-100102</t>
  </si>
  <si>
    <t>ERP-00103</t>
  </si>
  <si>
    <t>REF-100103</t>
  </si>
  <si>
    <t>ERP-00104</t>
  </si>
  <si>
    <t>REF-100104</t>
  </si>
  <si>
    <t>ERP-00105</t>
  </si>
  <si>
    <t>REF-100105</t>
  </si>
  <si>
    <t>ERP-00106</t>
  </si>
  <si>
    <t>REF-100106</t>
  </si>
  <si>
    <t>ERP-00107</t>
  </si>
  <si>
    <t>REF-100107</t>
  </si>
  <si>
    <t>ERP-00108</t>
  </si>
  <si>
    <t>REF-100108</t>
  </si>
  <si>
    <t>ERP-00109</t>
  </si>
  <si>
    <t>REF-100109</t>
  </si>
  <si>
    <t>ERP-00110</t>
  </si>
  <si>
    <t>REF-100110</t>
  </si>
  <si>
    <t>ERP-00111</t>
  </si>
  <si>
    <t>REF-100111</t>
  </si>
  <si>
    <t>ERP-00112</t>
  </si>
  <si>
    <t>REF-100112</t>
  </si>
  <si>
    <t>ERP-00113</t>
  </si>
  <si>
    <t>REF-100113</t>
  </si>
  <si>
    <t>ERP-00114</t>
  </si>
  <si>
    <t>REF-100114</t>
  </si>
  <si>
    <t>ERP-00115</t>
  </si>
  <si>
    <t>REF-100115</t>
  </si>
  <si>
    <t>ERP-00116</t>
  </si>
  <si>
    <t>REF-100116</t>
  </si>
  <si>
    <t>ERP-00117</t>
  </si>
  <si>
    <t>REF-100117</t>
  </si>
  <si>
    <t>ERP-00118</t>
  </si>
  <si>
    <t>REF-100118</t>
  </si>
  <si>
    <t>ERP-00119</t>
  </si>
  <si>
    <t>REF-100119</t>
  </si>
  <si>
    <t>ERP-00120</t>
  </si>
  <si>
    <t>REF-100120</t>
  </si>
  <si>
    <t>ERP-00121</t>
  </si>
  <si>
    <t>REF-100121</t>
  </si>
  <si>
    <t>ERP-00122</t>
  </si>
  <si>
    <t>REF-100122</t>
  </si>
  <si>
    <t>ERP-00123</t>
  </si>
  <si>
    <t>REF-100123</t>
  </si>
  <si>
    <t>ERP-00124</t>
  </si>
  <si>
    <t>REF-100124</t>
  </si>
  <si>
    <t>ERP-00125</t>
  </si>
  <si>
    <t>REF-100125</t>
  </si>
  <si>
    <t>ERP-00126</t>
  </si>
  <si>
    <t>REF-100126</t>
  </si>
  <si>
    <t>ERP-00127</t>
  </si>
  <si>
    <t>REF-100127</t>
  </si>
  <si>
    <t>5200 Software</t>
  </si>
  <si>
    <t>ERP-00128</t>
  </si>
  <si>
    <t>REF-100128</t>
  </si>
  <si>
    <t>ERP-00129</t>
  </si>
  <si>
    <t>REF-100129</t>
  </si>
  <si>
    <t>ERP-00130</t>
  </si>
  <si>
    <t>REF-100130</t>
  </si>
  <si>
    <t>ERP-00131</t>
  </si>
  <si>
    <t>REF-100131</t>
  </si>
  <si>
    <t>ERP-00132</t>
  </si>
  <si>
    <t>REF-100132</t>
  </si>
  <si>
    <t>ERP-00133</t>
  </si>
  <si>
    <t>REF-100133</t>
  </si>
  <si>
    <t>ERP-00134</t>
  </si>
  <si>
    <t>REF-100134</t>
  </si>
  <si>
    <t>ERP-00135</t>
  </si>
  <si>
    <t>REF-100135</t>
  </si>
  <si>
    <t>ERP-00136</t>
  </si>
  <si>
    <t>REF-100136</t>
  </si>
  <si>
    <t>ERP-00137</t>
  </si>
  <si>
    <t>REF-100137</t>
  </si>
  <si>
    <t>ERP-00138</t>
  </si>
  <si>
    <t>REF-100138</t>
  </si>
  <si>
    <t>ERP-00139</t>
  </si>
  <si>
    <t>REF-100139</t>
  </si>
  <si>
    <t>ERP-00140</t>
  </si>
  <si>
    <t>REF-100140</t>
  </si>
  <si>
    <t>ERP-00141</t>
  </si>
  <si>
    <t>REF-100141</t>
  </si>
  <si>
    <t>ERP-00142</t>
  </si>
  <si>
    <t>REF-100142</t>
  </si>
  <si>
    <t>ERP-00143</t>
  </si>
  <si>
    <t>REF-100143</t>
  </si>
  <si>
    <t>ERP-00144</t>
  </si>
  <si>
    <t>REF-100144</t>
  </si>
  <si>
    <t>ERP-00145</t>
  </si>
  <si>
    <t>REF-100145</t>
  </si>
  <si>
    <t>ERP-00146</t>
  </si>
  <si>
    <t>REF-100146</t>
  </si>
  <si>
    <t>ERP-00147</t>
  </si>
  <si>
    <t>REF-100147</t>
  </si>
  <si>
    <t>ERP-00148</t>
  </si>
  <si>
    <t>REF-100148</t>
  </si>
  <si>
    <t>ERP-00149</t>
  </si>
  <si>
    <t>REF-100149</t>
  </si>
  <si>
    <t>ERP-00150</t>
  </si>
  <si>
    <t>REF-100150</t>
  </si>
  <si>
    <t>ERP-00151</t>
  </si>
  <si>
    <t>REF-100151</t>
  </si>
  <si>
    <t>ERP-00152</t>
  </si>
  <si>
    <t>REF-100152</t>
  </si>
  <si>
    <t>ERP-00153</t>
  </si>
  <si>
    <t>REF-100153</t>
  </si>
  <si>
    <t>ERP-00154</t>
  </si>
  <si>
    <t>REF-100154</t>
  </si>
  <si>
    <t>ERP-00155</t>
  </si>
  <si>
    <t>REF-100155</t>
  </si>
  <si>
    <t>ERP-00156</t>
  </si>
  <si>
    <t>REF-100156</t>
  </si>
  <si>
    <t>ERP-00157</t>
  </si>
  <si>
    <t>REF-100157</t>
  </si>
  <si>
    <t>ERP-00158</t>
  </si>
  <si>
    <t>REF-100158</t>
  </si>
  <si>
    <t>ERP-00159</t>
  </si>
  <si>
    <t>REF-100159</t>
  </si>
  <si>
    <t>ERP-00160</t>
  </si>
  <si>
    <t>REF-100160</t>
  </si>
  <si>
    <t>ERP-00161</t>
  </si>
  <si>
    <t>REF-100161</t>
  </si>
  <si>
    <t>ERP-00162</t>
  </si>
  <si>
    <t>REF-100162</t>
  </si>
  <si>
    <t>ERP-00163</t>
  </si>
  <si>
    <t>REF-100163</t>
  </si>
  <si>
    <t>ERP-00164</t>
  </si>
  <si>
    <t>REF-100164</t>
  </si>
  <si>
    <t>ERP-00165</t>
  </si>
  <si>
    <t>REF-100165</t>
  </si>
  <si>
    <t>ERP-00166</t>
  </si>
  <si>
    <t>REF-100166</t>
  </si>
  <si>
    <t>ERP-00167</t>
  </si>
  <si>
    <t>REF-100167</t>
  </si>
  <si>
    <t>ERP-00168</t>
  </si>
  <si>
    <t>REF-100168</t>
  </si>
  <si>
    <t>ERP-00169</t>
  </si>
  <si>
    <t>REF-100169</t>
  </si>
  <si>
    <t>ERP-00170</t>
  </si>
  <si>
    <t>REF-100170</t>
  </si>
  <si>
    <t>ERP-00171</t>
  </si>
  <si>
    <t>REF-100171</t>
  </si>
  <si>
    <t>ERP-00172</t>
  </si>
  <si>
    <t>REF-100172</t>
  </si>
  <si>
    <t>ERP-00173</t>
  </si>
  <si>
    <t>REF-100173</t>
  </si>
  <si>
    <t>ERP-00174</t>
  </si>
  <si>
    <t>REF-100174</t>
  </si>
  <si>
    <t>ERP-00175</t>
  </si>
  <si>
    <t>REF-100175</t>
  </si>
  <si>
    <t>ERP-00176</t>
  </si>
  <si>
    <t>REF-100176</t>
  </si>
  <si>
    <t>ERP-00177</t>
  </si>
  <si>
    <t>REF-100177</t>
  </si>
  <si>
    <t>ERP-00178</t>
  </si>
  <si>
    <t>REF-100178</t>
  </si>
  <si>
    <t>ERP-00179</t>
  </si>
  <si>
    <t>REF-100179</t>
  </si>
  <si>
    <t>ERP-00180</t>
  </si>
  <si>
    <t>REF-100180</t>
  </si>
  <si>
    <t>ERP-00181</t>
  </si>
  <si>
    <t>REF-100181</t>
  </si>
  <si>
    <t>ERP-00182</t>
  </si>
  <si>
    <t>REF-100182</t>
  </si>
  <si>
    <t>ERP-00183</t>
  </si>
  <si>
    <t>REF-100183</t>
  </si>
  <si>
    <t>ERP-00184</t>
  </si>
  <si>
    <t>REF-100184</t>
  </si>
  <si>
    <t>ERP-00185</t>
  </si>
  <si>
    <t>REF-100185</t>
  </si>
  <si>
    <t>ERP-00186</t>
  </si>
  <si>
    <t>REF-100186</t>
  </si>
  <si>
    <t>ERP-00187</t>
  </si>
  <si>
    <t>REF-100187</t>
  </si>
  <si>
    <t>ERP-00188</t>
  </si>
  <si>
    <t>REF-100188</t>
  </si>
  <si>
    <t>ERP-00189</t>
  </si>
  <si>
    <t>REF-100189</t>
  </si>
  <si>
    <t>ERP-00190</t>
  </si>
  <si>
    <t>REF-100190</t>
  </si>
  <si>
    <t>ERP-00191</t>
  </si>
  <si>
    <t>REF-100191</t>
  </si>
  <si>
    <t>ERP-00192</t>
  </si>
  <si>
    <t>REF-100192</t>
  </si>
  <si>
    <t>ERP-00193</t>
  </si>
  <si>
    <t>REF-100193</t>
  </si>
  <si>
    <t>ERP-00194</t>
  </si>
  <si>
    <t>REF-100194</t>
  </si>
  <si>
    <t>ERP-00195</t>
  </si>
  <si>
    <t>REF-100195</t>
  </si>
  <si>
    <t>ERP-00196</t>
  </si>
  <si>
    <t>REF-100196</t>
  </si>
  <si>
    <t>ERP-00197</t>
  </si>
  <si>
    <t>REF-100197</t>
  </si>
  <si>
    <t>ERP-00198</t>
  </si>
  <si>
    <t>REF-100198</t>
  </si>
  <si>
    <t>ERP-00199</t>
  </si>
  <si>
    <t>REF-100199</t>
  </si>
  <si>
    <t>ERP-00200</t>
  </si>
  <si>
    <t>REF-100200</t>
  </si>
  <si>
    <t>ERP-00201</t>
  </si>
  <si>
    <t>REF-100201</t>
  </si>
  <si>
    <t>ERP-00202</t>
  </si>
  <si>
    <t>REF-100202</t>
  </si>
  <si>
    <t>ERP-00203</t>
  </si>
  <si>
    <t>REF-100203</t>
  </si>
  <si>
    <t>ERP-00204</t>
  </si>
  <si>
    <t>REF-100204</t>
  </si>
  <si>
    <t>ERP-00205</t>
  </si>
  <si>
    <t>REF-100205</t>
  </si>
  <si>
    <t>ERP-00206</t>
  </si>
  <si>
    <t>REF-100206</t>
  </si>
  <si>
    <t>ERP-00207</t>
  </si>
  <si>
    <t>REF-100207</t>
  </si>
  <si>
    <t>ERP-00208</t>
  </si>
  <si>
    <t>REF-100208</t>
  </si>
  <si>
    <t>ERP-00209</t>
  </si>
  <si>
    <t>REF-100209</t>
  </si>
  <si>
    <t>ERP-00210</t>
  </si>
  <si>
    <t>REF-100210</t>
  </si>
  <si>
    <t>ERP-00211</t>
  </si>
  <si>
    <t>REF-100211</t>
  </si>
  <si>
    <t>ERP-00212</t>
  </si>
  <si>
    <t>REF-100212</t>
  </si>
  <si>
    <t>ERP-00213</t>
  </si>
  <si>
    <t>REF-100213</t>
  </si>
  <si>
    <t>ERP-00214</t>
  </si>
  <si>
    <t>REF-100214</t>
  </si>
  <si>
    <t>ERP-00215</t>
  </si>
  <si>
    <t>REF-100215</t>
  </si>
  <si>
    <t>ERP-00216</t>
  </si>
  <si>
    <t>REF-100216</t>
  </si>
  <si>
    <t>ERP-00217</t>
  </si>
  <si>
    <t>REF-100217</t>
  </si>
  <si>
    <t>ERP-00218</t>
  </si>
  <si>
    <t>REF-100218</t>
  </si>
  <si>
    <t>ERP-00219</t>
  </si>
  <si>
    <t>REF-100219</t>
  </si>
  <si>
    <t>ERP-00220</t>
  </si>
  <si>
    <t>REF-100220</t>
  </si>
  <si>
    <t>ERP-00221</t>
  </si>
  <si>
    <t>REF-100221</t>
  </si>
  <si>
    <t>ERP-00222</t>
  </si>
  <si>
    <t>REF-100222</t>
  </si>
  <si>
    <t>ERP-00223</t>
  </si>
  <si>
    <t>REF-100223</t>
  </si>
  <si>
    <t>ERP-00224</t>
  </si>
  <si>
    <t>REF-100224</t>
  </si>
  <si>
    <t>ERP-00225</t>
  </si>
  <si>
    <t>REF-100225</t>
  </si>
  <si>
    <t>ERP-00226</t>
  </si>
  <si>
    <t>REF-100226</t>
  </si>
  <si>
    <t>ERP-00227</t>
  </si>
  <si>
    <t>REF-100227</t>
  </si>
  <si>
    <t>ERP-00228</t>
  </si>
  <si>
    <t>REF-100228</t>
  </si>
  <si>
    <t>ERP-00229</t>
  </si>
  <si>
    <t>REF-100229</t>
  </si>
  <si>
    <t>ERP-00230</t>
  </si>
  <si>
    <t>REF-100230</t>
  </si>
  <si>
    <t>ERP-00231</t>
  </si>
  <si>
    <t>REF-100231</t>
  </si>
  <si>
    <t>ERP-00232</t>
  </si>
  <si>
    <t>REF-100232</t>
  </si>
  <si>
    <t>ERP-00233</t>
  </si>
  <si>
    <t>REF-100233</t>
  </si>
  <si>
    <t>ERP-00234</t>
  </si>
  <si>
    <t>REF-100234</t>
  </si>
  <si>
    <t>ERP-00235</t>
  </si>
  <si>
    <t>REF-100235</t>
  </si>
  <si>
    <t>ERP-00236</t>
  </si>
  <si>
    <t>REF-100236</t>
  </si>
  <si>
    <t>ERP-00237</t>
  </si>
  <si>
    <t>REF-100237</t>
  </si>
  <si>
    <t>ERP-00238</t>
  </si>
  <si>
    <t>REF-100238</t>
  </si>
  <si>
    <t>ERP-00239</t>
  </si>
  <si>
    <t>REF-100239</t>
  </si>
  <si>
    <t>ERP-00240</t>
  </si>
  <si>
    <t>REF-100240</t>
  </si>
  <si>
    <t>ERP-00241</t>
  </si>
  <si>
    <t>REF-100241</t>
  </si>
  <si>
    <t>ERP-00242</t>
  </si>
  <si>
    <t>REF-100242</t>
  </si>
  <si>
    <t>ERP-00243</t>
  </si>
  <si>
    <t>REF-100243</t>
  </si>
  <si>
    <t>ERP-00244</t>
  </si>
  <si>
    <t>REF-100244</t>
  </si>
  <si>
    <t>ERP-00245</t>
  </si>
  <si>
    <t>REF-100245</t>
  </si>
  <si>
    <t>ERP-00246</t>
  </si>
  <si>
    <t>REF-100246</t>
  </si>
  <si>
    <t>ERP-00247</t>
  </si>
  <si>
    <t>REF-100247</t>
  </si>
  <si>
    <t>ERP-00248</t>
  </si>
  <si>
    <t>REF-100248</t>
  </si>
  <si>
    <t>ERP-00249</t>
  </si>
  <si>
    <t>REF-100249</t>
  </si>
  <si>
    <t>ERP-00250</t>
  </si>
  <si>
    <t>REF-100250</t>
  </si>
  <si>
    <t>ERP-00251</t>
  </si>
  <si>
    <t>REF-100251</t>
  </si>
  <si>
    <t>ERP-00252</t>
  </si>
  <si>
    <t>REF-100252</t>
  </si>
  <si>
    <t>ERP-00253</t>
  </si>
  <si>
    <t>REF-100253</t>
  </si>
  <si>
    <t>ERP-00254</t>
  </si>
  <si>
    <t>REF-100254</t>
  </si>
  <si>
    <t>ERP-00255</t>
  </si>
  <si>
    <t>REF-100255</t>
  </si>
  <si>
    <t>ERP-00256</t>
  </si>
  <si>
    <t>REF-100256</t>
  </si>
  <si>
    <t>ERP-00257</t>
  </si>
  <si>
    <t>REF-100257</t>
  </si>
  <si>
    <t>ERP-00258</t>
  </si>
  <si>
    <t>REF-100258</t>
  </si>
  <si>
    <t>ERP-00259</t>
  </si>
  <si>
    <t>REF-100259</t>
  </si>
  <si>
    <t>ERP-00260</t>
  </si>
  <si>
    <t>REF-100260</t>
  </si>
  <si>
    <t>ERP-00261</t>
  </si>
  <si>
    <t>REF-100261</t>
  </si>
  <si>
    <t>ERP-00262</t>
  </si>
  <si>
    <t>REF-100262</t>
  </si>
  <si>
    <t>ERP-00263</t>
  </si>
  <si>
    <t>REF-100263</t>
  </si>
  <si>
    <t>ERP-00264</t>
  </si>
  <si>
    <t>REF-100264</t>
  </si>
  <si>
    <t>ERP-00265</t>
  </si>
  <si>
    <t>REF-100265</t>
  </si>
  <si>
    <t>ERP-00266</t>
  </si>
  <si>
    <t>REF-100266</t>
  </si>
  <si>
    <t>ERP-00267</t>
  </si>
  <si>
    <t>REF-100267</t>
  </si>
  <si>
    <t>ERP-00268</t>
  </si>
  <si>
    <t>REF-100268</t>
  </si>
  <si>
    <t>ERP-00269</t>
  </si>
  <si>
    <t>REF-100269</t>
  </si>
  <si>
    <t>ERP-00270</t>
  </si>
  <si>
    <t>REF-100270</t>
  </si>
  <si>
    <t>ERP-00271</t>
  </si>
  <si>
    <t>REF-100271</t>
  </si>
  <si>
    <t>ERP-00272</t>
  </si>
  <si>
    <t>REF-100272</t>
  </si>
  <si>
    <t>ERP-00273</t>
  </si>
  <si>
    <t>REF-100273</t>
  </si>
  <si>
    <t>ERP-00274</t>
  </si>
  <si>
    <t>REF-100274</t>
  </si>
  <si>
    <t>ERP-00275</t>
  </si>
  <si>
    <t>REF-100275</t>
  </si>
  <si>
    <t>ERP-00276</t>
  </si>
  <si>
    <t>REF-100276</t>
  </si>
  <si>
    <t>ERP-00277</t>
  </si>
  <si>
    <t>REF-100277</t>
  </si>
  <si>
    <t>ERP-00278</t>
  </si>
  <si>
    <t>REF-100278</t>
  </si>
  <si>
    <t>ERP-00279</t>
  </si>
  <si>
    <t>REF-100279</t>
  </si>
  <si>
    <t>ERP-00280</t>
  </si>
  <si>
    <t>REF-100280</t>
  </si>
  <si>
    <t>ERP-00281</t>
  </si>
  <si>
    <t>REF-100281</t>
  </si>
  <si>
    <t>ERP-00282</t>
  </si>
  <si>
    <t>REF-100282</t>
  </si>
  <si>
    <t>ERP-00283</t>
  </si>
  <si>
    <t>REF-100283</t>
  </si>
  <si>
    <t>ERP-00284</t>
  </si>
  <si>
    <t>REF-100284</t>
  </si>
  <si>
    <t>ERP-00285</t>
  </si>
  <si>
    <t>REF-100285</t>
  </si>
  <si>
    <t>ERP-00286</t>
  </si>
  <si>
    <t>REF-100286</t>
  </si>
  <si>
    <t>ERP-00287</t>
  </si>
  <si>
    <t>REF-100287</t>
  </si>
  <si>
    <t>ERP-00288</t>
  </si>
  <si>
    <t>REF-100288</t>
  </si>
  <si>
    <t>ERP-00289</t>
  </si>
  <si>
    <t>REF-100289</t>
  </si>
  <si>
    <t>ERP-00290</t>
  </si>
  <si>
    <t>REF-100290</t>
  </si>
  <si>
    <t>ERP-00291</t>
  </si>
  <si>
    <t>REF-100291</t>
  </si>
  <si>
    <t>ERP-00292</t>
  </si>
  <si>
    <t>REF-100292</t>
  </si>
  <si>
    <t>ERP-00293</t>
  </si>
  <si>
    <t>REF-100293</t>
  </si>
  <si>
    <t>ERP-00294</t>
  </si>
  <si>
    <t>REF-100294</t>
  </si>
  <si>
    <t>ERP-00295</t>
  </si>
  <si>
    <t>REF-100295</t>
  </si>
  <si>
    <t>ERP-00296</t>
  </si>
  <si>
    <t>REF-100296</t>
  </si>
  <si>
    <t>ERP-00297</t>
  </si>
  <si>
    <t>REF-100297</t>
  </si>
  <si>
    <t>ERP-00298</t>
  </si>
  <si>
    <t>REF-100298</t>
  </si>
  <si>
    <t>ERP-00299</t>
  </si>
  <si>
    <t>REF-100299</t>
  </si>
  <si>
    <t>ERP-00300</t>
  </si>
  <si>
    <t>REF-100300</t>
  </si>
  <si>
    <t>ERP-00301</t>
  </si>
  <si>
    <t>REF-100301</t>
  </si>
  <si>
    <t>ERP-00302</t>
  </si>
  <si>
    <t>REF-100302</t>
  </si>
  <si>
    <t>ERP-00303</t>
  </si>
  <si>
    <t>REF-100303</t>
  </si>
  <si>
    <t>ERP-00304</t>
  </si>
  <si>
    <t>REF-100304</t>
  </si>
  <si>
    <t>ERP-00305</t>
  </si>
  <si>
    <t>REF-100305</t>
  </si>
  <si>
    <t>ERP-00306</t>
  </si>
  <si>
    <t>REF-100306</t>
  </si>
  <si>
    <t>ERP-00307</t>
  </si>
  <si>
    <t>REF-100307</t>
  </si>
  <si>
    <t>ERP-00308</t>
  </si>
  <si>
    <t>REF-100308</t>
  </si>
  <si>
    <t>ERP-00309</t>
  </si>
  <si>
    <t>REF-100309</t>
  </si>
  <si>
    <t>ERP-00310</t>
  </si>
  <si>
    <t>REF-100310</t>
  </si>
  <si>
    <t>ERP-00311</t>
  </si>
  <si>
    <t>REF-100311</t>
  </si>
  <si>
    <t>ERP-00312</t>
  </si>
  <si>
    <t>REF-100312</t>
  </si>
  <si>
    <t>ERP-00313</t>
  </si>
  <si>
    <t>REF-100313</t>
  </si>
  <si>
    <t>ERP-00314</t>
  </si>
  <si>
    <t>REF-100314</t>
  </si>
  <si>
    <t>ERP-00315</t>
  </si>
  <si>
    <t>REF-100315</t>
  </si>
  <si>
    <t>ERP-00316</t>
  </si>
  <si>
    <t>REF-100316</t>
  </si>
  <si>
    <t>ERP-00317</t>
  </si>
  <si>
    <t>REF-100317</t>
  </si>
  <si>
    <t>ERP-00318</t>
  </si>
  <si>
    <t>REF-100318</t>
  </si>
  <si>
    <t>ERP-00319</t>
  </si>
  <si>
    <t>REF-100319</t>
  </si>
  <si>
    <t>ERP-00320</t>
  </si>
  <si>
    <t>REF-100320</t>
  </si>
  <si>
    <t>ERP-00321</t>
  </si>
  <si>
    <t>REF-100321</t>
  </si>
  <si>
    <t>ERP-00322</t>
  </si>
  <si>
    <t>REF-100322</t>
  </si>
  <si>
    <t>ERP-00323</t>
  </si>
  <si>
    <t>REF-100323</t>
  </si>
  <si>
    <t>ERP-00324</t>
  </si>
  <si>
    <t>REF-100324</t>
  </si>
  <si>
    <t>ERP-00325</t>
  </si>
  <si>
    <t>REF-100325</t>
  </si>
  <si>
    <t>ERP-00326</t>
  </si>
  <si>
    <t>REF-100326</t>
  </si>
  <si>
    <t>ERP-00327</t>
  </si>
  <si>
    <t>REF-100327</t>
  </si>
  <si>
    <t>ERP-00328</t>
  </si>
  <si>
    <t>REF-100328</t>
  </si>
  <si>
    <t>ERP-00329</t>
  </si>
  <si>
    <t>REF-100329</t>
  </si>
  <si>
    <t>ERP-00330</t>
  </si>
  <si>
    <t>REF-100330</t>
  </si>
  <si>
    <t>ERP-00331</t>
  </si>
  <si>
    <t>REF-100331</t>
  </si>
  <si>
    <t>ERP-00332</t>
  </si>
  <si>
    <t>REF-100332</t>
  </si>
  <si>
    <t>ERP-00333</t>
  </si>
  <si>
    <t>REF-100333</t>
  </si>
  <si>
    <t>ERP-00334</t>
  </si>
  <si>
    <t>REF-100334</t>
  </si>
  <si>
    <t>ERP-00335</t>
  </si>
  <si>
    <t>REF-100335</t>
  </si>
  <si>
    <t>ERP-00336</t>
  </si>
  <si>
    <t>REF-100336</t>
  </si>
  <si>
    <t>ERP-00337</t>
  </si>
  <si>
    <t>REF-100337</t>
  </si>
  <si>
    <t>ERP-00338</t>
  </si>
  <si>
    <t>REF-100338</t>
  </si>
  <si>
    <t>ERP-00339</t>
  </si>
  <si>
    <t>REF-100339</t>
  </si>
  <si>
    <t>ERP-00340</t>
  </si>
  <si>
    <t>REF-100340</t>
  </si>
  <si>
    <t>ERP-00341</t>
  </si>
  <si>
    <t>REF-100341</t>
  </si>
  <si>
    <t>ERP-00342</t>
  </si>
  <si>
    <t>REF-100342</t>
  </si>
  <si>
    <t>ERP-00343</t>
  </si>
  <si>
    <t>REF-100343</t>
  </si>
  <si>
    <t>ERP-00344</t>
  </si>
  <si>
    <t>REF-100344</t>
  </si>
  <si>
    <t>ERP-00345</t>
  </si>
  <si>
    <t>REF-100345</t>
  </si>
  <si>
    <t>ERP-00346</t>
  </si>
  <si>
    <t>REF-100346</t>
  </si>
  <si>
    <t>ERP-00347</t>
  </si>
  <si>
    <t>REF-100347</t>
  </si>
  <si>
    <t>5100 Utilities</t>
  </si>
  <si>
    <t>ERP-00348</t>
  </si>
  <si>
    <t>REF-100348</t>
  </si>
  <si>
    <t>ERP-00349</t>
  </si>
  <si>
    <t>REF-100349</t>
  </si>
  <si>
    <t>ERP-00350</t>
  </si>
  <si>
    <t>REF-100350</t>
  </si>
  <si>
    <t>ERP-00351</t>
  </si>
  <si>
    <t>REF-100351</t>
  </si>
  <si>
    <t>ERP-00352</t>
  </si>
  <si>
    <t>REF-100352</t>
  </si>
  <si>
    <t>ERP-00353</t>
  </si>
  <si>
    <t>REF-100353</t>
  </si>
  <si>
    <t>ERP-00354</t>
  </si>
  <si>
    <t>REF-100354</t>
  </si>
  <si>
    <t>ERP-00355</t>
  </si>
  <si>
    <t>REF-100355</t>
  </si>
  <si>
    <t>ERP-00356</t>
  </si>
  <si>
    <t>REF-100356</t>
  </si>
  <si>
    <t>ERP-00357</t>
  </si>
  <si>
    <t>REF-100357</t>
  </si>
  <si>
    <t>ERP-00358</t>
  </si>
  <si>
    <t>REF-100358</t>
  </si>
  <si>
    <t>ERP-00359</t>
  </si>
  <si>
    <t>REF-100359</t>
  </si>
  <si>
    <t>ERP-00360</t>
  </si>
  <si>
    <t>REF-100360</t>
  </si>
  <si>
    <t>ERP-00361</t>
  </si>
  <si>
    <t>REF-100361</t>
  </si>
  <si>
    <t>ERP-00362</t>
  </si>
  <si>
    <t>REF-100362</t>
  </si>
  <si>
    <t>ERP-00363</t>
  </si>
  <si>
    <t>REF-100363</t>
  </si>
  <si>
    <t>ERP-00364</t>
  </si>
  <si>
    <t>REF-100364</t>
  </si>
  <si>
    <t>ERP-00365</t>
  </si>
  <si>
    <t>REF-100365</t>
  </si>
  <si>
    <t>ERP-00366</t>
  </si>
  <si>
    <t>REF-100366</t>
  </si>
  <si>
    <t>ERP-00367</t>
  </si>
  <si>
    <t>REF-100367</t>
  </si>
  <si>
    <t>ERP-00368</t>
  </si>
  <si>
    <t>REF-100368</t>
  </si>
  <si>
    <t>ERP-00369</t>
  </si>
  <si>
    <t>REF-100369</t>
  </si>
  <si>
    <t>ERP-00370</t>
  </si>
  <si>
    <t>REF-100370</t>
  </si>
  <si>
    <t>ERP-00371</t>
  </si>
  <si>
    <t>REF-100371</t>
  </si>
  <si>
    <t>ERP-00372</t>
  </si>
  <si>
    <t>REF-100372</t>
  </si>
  <si>
    <t>ERP-00373</t>
  </si>
  <si>
    <t>REF-100373</t>
  </si>
  <si>
    <t>ERP-00374</t>
  </si>
  <si>
    <t>REF-100374</t>
  </si>
  <si>
    <t>ERP-00375</t>
  </si>
  <si>
    <t>REF-100375</t>
  </si>
  <si>
    <t>ERP-00376</t>
  </si>
  <si>
    <t>REF-100376</t>
  </si>
  <si>
    <t>ERP-00377</t>
  </si>
  <si>
    <t>REF-100377</t>
  </si>
  <si>
    <t>ERP-00378</t>
  </si>
  <si>
    <t>REF-100378</t>
  </si>
  <si>
    <t>ERP-00379</t>
  </si>
  <si>
    <t>REF-100379</t>
  </si>
  <si>
    <t>ERP-00380</t>
  </si>
  <si>
    <t>REF-100380</t>
  </si>
  <si>
    <t>ERP-00381</t>
  </si>
  <si>
    <t>REF-100381</t>
  </si>
  <si>
    <t>ERP-00382</t>
  </si>
  <si>
    <t>REF-100382</t>
  </si>
  <si>
    <t>ERP-00383</t>
  </si>
  <si>
    <t>REF-100383</t>
  </si>
  <si>
    <t>ERP-00384</t>
  </si>
  <si>
    <t>REF-100384</t>
  </si>
  <si>
    <t>ERP-00385</t>
  </si>
  <si>
    <t>REF-100385</t>
  </si>
  <si>
    <t>ERP-00386</t>
  </si>
  <si>
    <t>REF-100386</t>
  </si>
  <si>
    <t>ERP-00387</t>
  </si>
  <si>
    <t>REF-100387</t>
  </si>
  <si>
    <t>ERP-00388</t>
  </si>
  <si>
    <t>REF-100388</t>
  </si>
  <si>
    <t>ERP-00389</t>
  </si>
  <si>
    <t>REF-100389</t>
  </si>
  <si>
    <t>ERP-00390</t>
  </si>
  <si>
    <t>REF-100390</t>
  </si>
  <si>
    <t>ERP-00391</t>
  </si>
  <si>
    <t>REF-100391</t>
  </si>
  <si>
    <t>ERP-00392</t>
  </si>
  <si>
    <t>REF-100392</t>
  </si>
  <si>
    <t>ERP-00393</t>
  </si>
  <si>
    <t>REF-100393</t>
  </si>
  <si>
    <t>ERP-00394</t>
  </si>
  <si>
    <t>REF-100394</t>
  </si>
  <si>
    <t>ERP-00395</t>
  </si>
  <si>
    <t>REF-100395</t>
  </si>
  <si>
    <t>ERP-00396</t>
  </si>
  <si>
    <t>REF-100396</t>
  </si>
  <si>
    <t>ERP-00397</t>
  </si>
  <si>
    <t>REF-100397</t>
  </si>
  <si>
    <t>ERP-00398</t>
  </si>
  <si>
    <t>REF-100398</t>
  </si>
  <si>
    <t>ERP-00399</t>
  </si>
  <si>
    <t>REF-100399</t>
  </si>
  <si>
    <t>ERP-00400</t>
  </si>
  <si>
    <t>REF-100400</t>
  </si>
  <si>
    <t>ERP-00401</t>
  </si>
  <si>
    <t>REF-100401</t>
  </si>
  <si>
    <t>ERP-00402</t>
  </si>
  <si>
    <t>REF-100402</t>
  </si>
  <si>
    <t>ERP-00403</t>
  </si>
  <si>
    <t>REF-100403</t>
  </si>
  <si>
    <t>ERP-00404</t>
  </si>
  <si>
    <t>REF-100404</t>
  </si>
  <si>
    <t>ERP-00405</t>
  </si>
  <si>
    <t>REF-100405</t>
  </si>
  <si>
    <t>ERP-00406</t>
  </si>
  <si>
    <t>REF-100406</t>
  </si>
  <si>
    <t>ERP-00407</t>
  </si>
  <si>
    <t>REF-100407</t>
  </si>
  <si>
    <t>ERP-00408</t>
  </si>
  <si>
    <t>REF-100408</t>
  </si>
  <si>
    <t>ERP-00409</t>
  </si>
  <si>
    <t>REF-100409</t>
  </si>
  <si>
    <t>ERP-00410</t>
  </si>
  <si>
    <t>REF-100410</t>
  </si>
  <si>
    <t>ERP-00411</t>
  </si>
  <si>
    <t>REF-100411</t>
  </si>
  <si>
    <t>ERP-00412</t>
  </si>
  <si>
    <t>REF-100412</t>
  </si>
  <si>
    <t>ERP-00413</t>
  </si>
  <si>
    <t>REF-100413</t>
  </si>
  <si>
    <t>ERP-00414</t>
  </si>
  <si>
    <t>REF-100414</t>
  </si>
  <si>
    <t>ERP-00415</t>
  </si>
  <si>
    <t>REF-100415</t>
  </si>
  <si>
    <t>ERP-00416</t>
  </si>
  <si>
    <t>REF-100416</t>
  </si>
  <si>
    <t>ERP-00417</t>
  </si>
  <si>
    <t>REF-100417</t>
  </si>
  <si>
    <t>ERP-00418</t>
  </si>
  <si>
    <t>REF-100418</t>
  </si>
  <si>
    <t>ERP-00419</t>
  </si>
  <si>
    <t>REF-100419</t>
  </si>
  <si>
    <t>ERP-00420</t>
  </si>
  <si>
    <t>REF-100420</t>
  </si>
  <si>
    <t>ERP-00421</t>
  </si>
  <si>
    <t>REF-100421</t>
  </si>
  <si>
    <t>ERP-00422</t>
  </si>
  <si>
    <t>REF-100422</t>
  </si>
  <si>
    <t>ERP-00423</t>
  </si>
  <si>
    <t>REF-100423</t>
  </si>
  <si>
    <t>ERP-00424</t>
  </si>
  <si>
    <t>REF-100424</t>
  </si>
  <si>
    <t>ERP-00425</t>
  </si>
  <si>
    <t>REF-100425</t>
  </si>
  <si>
    <t>ERP-00426</t>
  </si>
  <si>
    <t>REF-100426</t>
  </si>
  <si>
    <t>ERP-00427</t>
  </si>
  <si>
    <t>REF-100427</t>
  </si>
  <si>
    <t>ERP-00428</t>
  </si>
  <si>
    <t>REF-100428</t>
  </si>
  <si>
    <t>ERP-00429</t>
  </si>
  <si>
    <t>REF-100429</t>
  </si>
  <si>
    <t>ERP-00430</t>
  </si>
  <si>
    <t>REF-100430</t>
  </si>
  <si>
    <t>ERP-00431</t>
  </si>
  <si>
    <t>REF-100431</t>
  </si>
  <si>
    <t>ERP-00432</t>
  </si>
  <si>
    <t>REF-100432</t>
  </si>
  <si>
    <t>ERP-00433</t>
  </si>
  <si>
    <t>REF-100433</t>
  </si>
  <si>
    <t>ERP-00434</t>
  </si>
  <si>
    <t>REF-100434</t>
  </si>
  <si>
    <t>ERP-00435</t>
  </si>
  <si>
    <t>REF-100435</t>
  </si>
  <si>
    <t>ERP-00436</t>
  </si>
  <si>
    <t>REF-100436</t>
  </si>
  <si>
    <t>ERP-00437</t>
  </si>
  <si>
    <t>REF-100437</t>
  </si>
  <si>
    <t>ERP-00438</t>
  </si>
  <si>
    <t>REF-100438</t>
  </si>
  <si>
    <t>ERP-00439</t>
  </si>
  <si>
    <t>REF-100439</t>
  </si>
  <si>
    <t>ERP-00440</t>
  </si>
  <si>
    <t>REF-100440</t>
  </si>
  <si>
    <t>ERP-00441</t>
  </si>
  <si>
    <t>REF-100441</t>
  </si>
  <si>
    <t>ERP-00442</t>
  </si>
  <si>
    <t>REF-100442</t>
  </si>
  <si>
    <t>ERP-00443</t>
  </si>
  <si>
    <t>REF-100443</t>
  </si>
  <si>
    <t>ERP-00444</t>
  </si>
  <si>
    <t>REF-100444</t>
  </si>
  <si>
    <t>ERP-00445</t>
  </si>
  <si>
    <t>REF-100445</t>
  </si>
  <si>
    <t>ERP-00446</t>
  </si>
  <si>
    <t>REF-100446</t>
  </si>
  <si>
    <t>ERP-00447</t>
  </si>
  <si>
    <t>REF-100447</t>
  </si>
  <si>
    <t>ERP-00448</t>
  </si>
  <si>
    <t>REF-100448</t>
  </si>
  <si>
    <t>ERP-00449</t>
  </si>
  <si>
    <t>REF-100449</t>
  </si>
  <si>
    <t>ERP-00450</t>
  </si>
  <si>
    <t>REF-100450</t>
  </si>
  <si>
    <t>ERP-00451</t>
  </si>
  <si>
    <t>REF-100451</t>
  </si>
  <si>
    <t>ERP-00452</t>
  </si>
  <si>
    <t>REF-100452</t>
  </si>
  <si>
    <t>ERP-00453</t>
  </si>
  <si>
    <t>REF-100453</t>
  </si>
  <si>
    <t>ERP-00454</t>
  </si>
  <si>
    <t>REF-100454</t>
  </si>
  <si>
    <t>ERP-00455</t>
  </si>
  <si>
    <t>REF-100455</t>
  </si>
  <si>
    <t>ERP-00456</t>
  </si>
  <si>
    <t>REF-100456</t>
  </si>
  <si>
    <t>ERP-00457</t>
  </si>
  <si>
    <t>REF-100457</t>
  </si>
  <si>
    <t>ERP-00458</t>
  </si>
  <si>
    <t>REF-100458</t>
  </si>
  <si>
    <t>ERP-00459</t>
  </si>
  <si>
    <t>REF-100459</t>
  </si>
  <si>
    <t>ERP-00460</t>
  </si>
  <si>
    <t>REF-100460</t>
  </si>
  <si>
    <t>ERP-00461</t>
  </si>
  <si>
    <t>REF-100461</t>
  </si>
  <si>
    <t>ERP-00462</t>
  </si>
  <si>
    <t>REF-100462</t>
  </si>
  <si>
    <t>ERP-00463</t>
  </si>
  <si>
    <t>REF-100463</t>
  </si>
  <si>
    <t>ERP-00464</t>
  </si>
  <si>
    <t>REF-100464</t>
  </si>
  <si>
    <t>ERP-00465</t>
  </si>
  <si>
    <t>REF-100465</t>
  </si>
  <si>
    <t>ERP-00466</t>
  </si>
  <si>
    <t>REF-100466</t>
  </si>
  <si>
    <t>ERP-00467</t>
  </si>
  <si>
    <t>REF-100467</t>
  </si>
  <si>
    <t>ERP-00468</t>
  </si>
  <si>
    <t>REF-100468</t>
  </si>
  <si>
    <t>ERP-00469</t>
  </si>
  <si>
    <t>REF-100469</t>
  </si>
  <si>
    <t>ERP-00470</t>
  </si>
  <si>
    <t>REF-100470</t>
  </si>
  <si>
    <t>ERP-00471</t>
  </si>
  <si>
    <t>REF-100471</t>
  </si>
  <si>
    <t>ERP-00472</t>
  </si>
  <si>
    <t>REF-100472</t>
  </si>
  <si>
    <t>ERP-00473</t>
  </si>
  <si>
    <t>REF-100473</t>
  </si>
  <si>
    <t>ERP-00474</t>
  </si>
  <si>
    <t>REF-100474</t>
  </si>
  <si>
    <t>ERP-00475</t>
  </si>
  <si>
    <t>REF-100475</t>
  </si>
  <si>
    <t>ERP-00476</t>
  </si>
  <si>
    <t>REF-100476</t>
  </si>
  <si>
    <t>ERP-00477</t>
  </si>
  <si>
    <t>REF-100477</t>
  </si>
  <si>
    <t>ERP-00478</t>
  </si>
  <si>
    <t>REF-100478</t>
  </si>
  <si>
    <t>ERP-00479</t>
  </si>
  <si>
    <t>REF-100479</t>
  </si>
  <si>
    <t>ERP-00480</t>
  </si>
  <si>
    <t>REF-100480</t>
  </si>
  <si>
    <t>ERP-00481</t>
  </si>
  <si>
    <t>REF-100481</t>
  </si>
  <si>
    <t>ERP-00482</t>
  </si>
  <si>
    <t>REF-100482</t>
  </si>
  <si>
    <t>ERP-00483</t>
  </si>
  <si>
    <t>REF-100483</t>
  </si>
  <si>
    <t>ERP-00484</t>
  </si>
  <si>
    <t>REF-100484</t>
  </si>
  <si>
    <t>ERP-00485</t>
  </si>
  <si>
    <t>REF-100485</t>
  </si>
  <si>
    <t>ERP-00486</t>
  </si>
  <si>
    <t>REF-100486</t>
  </si>
  <si>
    <t>ERP-00487</t>
  </si>
  <si>
    <t>REF-100487</t>
  </si>
  <si>
    <t>ERP-00488</t>
  </si>
  <si>
    <t>REF-100488</t>
  </si>
  <si>
    <t>ERP-00489</t>
  </si>
  <si>
    <t>REF-100489</t>
  </si>
  <si>
    <t>ERP-00490</t>
  </si>
  <si>
    <t>REF-100490</t>
  </si>
  <si>
    <t>ERP-00491</t>
  </si>
  <si>
    <t>REF-100491</t>
  </si>
  <si>
    <t>ERP-00492</t>
  </si>
  <si>
    <t>REF-100492</t>
  </si>
  <si>
    <t>ERP-00493</t>
  </si>
  <si>
    <t>REF-100493</t>
  </si>
  <si>
    <t>ERP-00494</t>
  </si>
  <si>
    <t>REF-100494</t>
  </si>
  <si>
    <t>ERP-00495</t>
  </si>
  <si>
    <t>REF-100495</t>
  </si>
  <si>
    <t>ERP-00496</t>
  </si>
  <si>
    <t>REF-100496</t>
  </si>
  <si>
    <t>ERP-00497</t>
  </si>
  <si>
    <t>REF-100497</t>
  </si>
  <si>
    <t>ERP-00498</t>
  </si>
  <si>
    <t>REF-100498</t>
  </si>
  <si>
    <t>ERP-00499</t>
  </si>
  <si>
    <t>REF-100499</t>
  </si>
  <si>
    <t>ERP-00500</t>
  </si>
  <si>
    <t>REF-100500</t>
  </si>
  <si>
    <t>Bank Statement - Sample Data</t>
  </si>
  <si>
    <t>Bank_ID</t>
  </si>
  <si>
    <t>Bank_Date</t>
  </si>
  <si>
    <t>Bank_Description</t>
  </si>
  <si>
    <t>Deposit</t>
  </si>
  <si>
    <t>Withdrawal</t>
  </si>
  <si>
    <t>Bank_Net</t>
  </si>
  <si>
    <t>Bank_Status</t>
  </si>
  <si>
    <t>BANK-1301</t>
  </si>
  <si>
    <t>Payment to Metro Cleaning Ltd.</t>
  </si>
  <si>
    <t>Imported</t>
  </si>
  <si>
    <t>BANK-1002</t>
  </si>
  <si>
    <t>Payment to North Shore Telecom</t>
  </si>
  <si>
    <t>BANK-1098</t>
  </si>
  <si>
    <t>Payment to Pacific Office Supplies</t>
  </si>
  <si>
    <t>BANK-1132</t>
  </si>
  <si>
    <t>Deposit from Granville Medical</t>
  </si>
  <si>
    <t>BANK-1140</t>
  </si>
  <si>
    <t>Deposit from Raincity Tech</t>
  </si>
  <si>
    <t>BANK-1231</t>
  </si>
  <si>
    <t>Payment to Amazon Business</t>
  </si>
  <si>
    <t>BANK-1289</t>
  </si>
  <si>
    <t>BANK-1115</t>
  </si>
  <si>
    <t>BANK-1147</t>
  </si>
  <si>
    <t>Deposit from Coastline Foods</t>
  </si>
  <si>
    <t>BANK-1243</t>
  </si>
  <si>
    <t>Payment to BC Hydro</t>
  </si>
  <si>
    <t>BANK-1328</t>
  </si>
  <si>
    <t>Deposit from Maple Retail Group</t>
  </si>
  <si>
    <t>BANK-1341</t>
  </si>
  <si>
    <t>BANK-1390</t>
  </si>
  <si>
    <t>BANK-1397</t>
  </si>
  <si>
    <t>BANK-1076</t>
  </si>
  <si>
    <t>BANK-1102</t>
  </si>
  <si>
    <t>BANK-1196</t>
  </si>
  <si>
    <t>BANK-1250</t>
  </si>
  <si>
    <t>BANK-1318</t>
  </si>
  <si>
    <t>BANK-1029</t>
  </si>
  <si>
    <t>BANK-1040</t>
  </si>
  <si>
    <t>BANK-1089</t>
  </si>
  <si>
    <t>Payment to Vancouver Courier</t>
  </si>
  <si>
    <t>BANK-1112</t>
  </si>
  <si>
    <t>BANK-1168</t>
  </si>
  <si>
    <t>BANK-1175</t>
  </si>
  <si>
    <t>BANK-1198</t>
  </si>
  <si>
    <t>BANK-1221</t>
  </si>
  <si>
    <t>BANK-1226</t>
  </si>
  <si>
    <t>BANK-1240</t>
  </si>
  <si>
    <t>BANK-1246</t>
  </si>
  <si>
    <t>BANK-1267</t>
  </si>
  <si>
    <t>BANK-1276</t>
  </si>
  <si>
    <t>BANK-1303</t>
  </si>
  <si>
    <t>Deposit from West Van Fitness</t>
  </si>
  <si>
    <t>BANK-1337</t>
  </si>
  <si>
    <t>BANK-1354</t>
  </si>
  <si>
    <t>BANK-1408</t>
  </si>
  <si>
    <t>BANK-1022</t>
  </si>
  <si>
    <t>BANK-1033</t>
  </si>
  <si>
    <t>BANK-1257</t>
  </si>
  <si>
    <t>BANK-1270</t>
  </si>
  <si>
    <t>BANK-1364</t>
  </si>
  <si>
    <t>BANK-1370</t>
  </si>
  <si>
    <t>BANK-1374</t>
  </si>
  <si>
    <t>BANK-1380</t>
  </si>
  <si>
    <t>BANK-1389</t>
  </si>
  <si>
    <t>BANK-1416</t>
  </si>
  <si>
    <t>Bank item not posted in ERP</t>
  </si>
  <si>
    <t>BANKONLY-0005</t>
  </si>
  <si>
    <t>Needs ERP Review</t>
  </si>
  <si>
    <t>BANK-1065</t>
  </si>
  <si>
    <t>BANK-1111</t>
  </si>
  <si>
    <t>BANK-1131</t>
  </si>
  <si>
    <t>BANK-1154</t>
  </si>
  <si>
    <t>BANK-1174</t>
  </si>
  <si>
    <t>BANK-1181</t>
  </si>
  <si>
    <t>BANK-1204</t>
  </si>
  <si>
    <t>BANK-1212</t>
  </si>
  <si>
    <t>BANK-1244</t>
  </si>
  <si>
    <t>BANK-1285</t>
  </si>
  <si>
    <t>BANK-1307</t>
  </si>
  <si>
    <t>Payment to Staples Canada</t>
  </si>
  <si>
    <t>BANK-1077</t>
  </si>
  <si>
    <t>BANK-1087</t>
  </si>
  <si>
    <t>BANK-1166</t>
  </si>
  <si>
    <t>BANK-1234</t>
  </si>
  <si>
    <t>BANK-1320</t>
  </si>
  <si>
    <t>BANK-1375</t>
  </si>
  <si>
    <t>BANK-1420</t>
  </si>
  <si>
    <t>BANKONLY-0009</t>
  </si>
  <si>
    <t>BANK-1006</t>
  </si>
  <si>
    <t>BANK-1017</t>
  </si>
  <si>
    <t>BANK-1032</t>
  </si>
  <si>
    <t>BANK-1079</t>
  </si>
  <si>
    <t>BANK-1120</t>
  </si>
  <si>
    <t>BANK-1150</t>
  </si>
  <si>
    <t>Deposit from Harbour Design Co.</t>
  </si>
  <si>
    <t>BANK-1169</t>
  </si>
  <si>
    <t>BANK-1233</t>
  </si>
  <si>
    <t>BANK-1291</t>
  </si>
  <si>
    <t>BANK-1298</t>
  </si>
  <si>
    <t>BANK-1321</t>
  </si>
  <si>
    <t>BANK-1332</t>
  </si>
  <si>
    <t>BANK-1361</t>
  </si>
  <si>
    <t>BANK-1362</t>
  </si>
  <si>
    <t>BANK-1369</t>
  </si>
  <si>
    <t>BANK-1377</t>
  </si>
  <si>
    <t>BANK-1383</t>
  </si>
  <si>
    <t>BANK-1391</t>
  </si>
  <si>
    <t>BANK-1419</t>
  </si>
  <si>
    <t>BANKONLY-0008</t>
  </si>
  <si>
    <t>BANK-1421</t>
  </si>
  <si>
    <t>BANKONLY-0010</t>
  </si>
  <si>
    <t>BANK-1425</t>
  </si>
  <si>
    <t>BANKONLY-0014</t>
  </si>
  <si>
    <t>BANK-1101</t>
  </si>
  <si>
    <t>BANK-1104</t>
  </si>
  <si>
    <t>BANK-1108</t>
  </si>
  <si>
    <t>BANK-1113</t>
  </si>
  <si>
    <t>BANK-1263</t>
  </si>
  <si>
    <t>BANK-1275</t>
  </si>
  <si>
    <t>BANK-1311</t>
  </si>
  <si>
    <t>BANK-1367</t>
  </si>
  <si>
    <t>BANK-1024</t>
  </si>
  <si>
    <t>BANK-1054</t>
  </si>
  <si>
    <t>BANK-1153</t>
  </si>
  <si>
    <t>BANK-1164</t>
  </si>
  <si>
    <t>BANK-1165</t>
  </si>
  <si>
    <t>BANK-1295</t>
  </si>
  <si>
    <t>BANK-1305</t>
  </si>
  <si>
    <t>BANK-1346</t>
  </si>
  <si>
    <t>BANK-1371</t>
  </si>
  <si>
    <t>BANK-1378</t>
  </si>
  <si>
    <t>BANK-1435</t>
  </si>
  <si>
    <t>BANKONLY-0024</t>
  </si>
  <si>
    <t>BANK-1441</t>
  </si>
  <si>
    <t>BANKONLY-0030</t>
  </si>
  <si>
    <t>BANK-1010</t>
  </si>
  <si>
    <t>BANK-1013</t>
  </si>
  <si>
    <t>BANK-1027</t>
  </si>
  <si>
    <t>BANK-1071</t>
  </si>
  <si>
    <t>BANK-1074</t>
  </si>
  <si>
    <t>BANK-1095</t>
  </si>
  <si>
    <t>BANK-1137</t>
  </si>
  <si>
    <t>BANK-1145</t>
  </si>
  <si>
    <t>BANK-1157</t>
  </si>
  <si>
    <t>BANK-1162</t>
  </si>
  <si>
    <t>BANK-1203</t>
  </si>
  <si>
    <t>BANK-1214</t>
  </si>
  <si>
    <t>BANK-1230</t>
  </si>
  <si>
    <t>BANK-1238</t>
  </si>
  <si>
    <t>BANK-1268</t>
  </si>
  <si>
    <t>BANK-1287</t>
  </si>
  <si>
    <t>BANK-1306</t>
  </si>
  <si>
    <t>BANK-1356</t>
  </si>
  <si>
    <t>BANK-1411</t>
  </si>
  <si>
    <t>BANK-1418</t>
  </si>
  <si>
    <t>BANKONLY-0007</t>
  </si>
  <si>
    <t>BANK-1428</t>
  </si>
  <si>
    <t>BANKONLY-0017</t>
  </si>
  <si>
    <t>BANK-1019</t>
  </si>
  <si>
    <t>BANK-1146</t>
  </si>
  <si>
    <t>BANK-1167</t>
  </si>
  <si>
    <t>BANK-1273</t>
  </si>
  <si>
    <t>BANK-1280</t>
  </si>
  <si>
    <t>BANK-1284</t>
  </si>
  <si>
    <t>BANK-1323</t>
  </si>
  <si>
    <t>BANK-1330</t>
  </si>
  <si>
    <t>BANK-1336</t>
  </si>
  <si>
    <t>BANK-1400</t>
  </si>
  <si>
    <t>BANK-1429</t>
  </si>
  <si>
    <t>BANKONLY-0018</t>
  </si>
  <si>
    <t>BANK-1433</t>
  </si>
  <si>
    <t>BANKONLY-0022</t>
  </si>
  <si>
    <t>BANK-1037</t>
  </si>
  <si>
    <t>BANK-1069</t>
  </si>
  <si>
    <t>BANK-1126</t>
  </si>
  <si>
    <t>BANK-1129</t>
  </si>
  <si>
    <t>BANK-1135</t>
  </si>
  <si>
    <t>BANK-1148</t>
  </si>
  <si>
    <t>BANK-1159</t>
  </si>
  <si>
    <t>BANK-1184</t>
  </si>
  <si>
    <t>BANK-1191</t>
  </si>
  <si>
    <t>BANK-1194</t>
  </si>
  <si>
    <t>BANK-1217</t>
  </si>
  <si>
    <t>BANK-1219</t>
  </si>
  <si>
    <t>BANK-1225</t>
  </si>
  <si>
    <t>BANK-1258</t>
  </si>
  <si>
    <t>BANK-1265</t>
  </si>
  <si>
    <t>BANK-1286</t>
  </si>
  <si>
    <t>BANK-1296</t>
  </si>
  <si>
    <t>BANK-1327</t>
  </si>
  <si>
    <t>BANK-1334</t>
  </si>
  <si>
    <t>BANK-1353</t>
  </si>
  <si>
    <t>BANK-1372</t>
  </si>
  <si>
    <t>BANK-1035</t>
  </si>
  <si>
    <t>BANK-1051</t>
  </si>
  <si>
    <t>BANK-1055</t>
  </si>
  <si>
    <t>BANK-1080</t>
  </si>
  <si>
    <t>BANK-1083</t>
  </si>
  <si>
    <t>BANK-1096</t>
  </si>
  <si>
    <t>BANK-1151</t>
  </si>
  <si>
    <t>BANK-1178</t>
  </si>
  <si>
    <t>BANK-1205</t>
  </si>
  <si>
    <t>BANK-1254</t>
  </si>
  <si>
    <t>BANK-1264</t>
  </si>
  <si>
    <t>BANK-1282</t>
  </si>
  <si>
    <t>BANK-1290</t>
  </si>
  <si>
    <t>BANK-1348</t>
  </si>
  <si>
    <t>BANK-1012</t>
  </si>
  <si>
    <t>BANK-1018</t>
  </si>
  <si>
    <t>BANK-1026</t>
  </si>
  <si>
    <t>BANK-1039</t>
  </si>
  <si>
    <t>BANK-1116</t>
  </si>
  <si>
    <t>BANK-1142</t>
  </si>
  <si>
    <t>BANK-1152</t>
  </si>
  <si>
    <t>BANK-1209</t>
  </si>
  <si>
    <t>BANK-1279</t>
  </si>
  <si>
    <t>BANK-1292</t>
  </si>
  <si>
    <t>BANK-1312</t>
  </si>
  <si>
    <t>BANK-1314</t>
  </si>
  <si>
    <t>BANK-1340</t>
  </si>
  <si>
    <t>BANK-1343</t>
  </si>
  <si>
    <t>BANK-1351</t>
  </si>
  <si>
    <t>BANK-1352</t>
  </si>
  <si>
    <t>BANK-1407</t>
  </si>
  <si>
    <t>BANK-1409</t>
  </si>
  <si>
    <t>BANK-1043</t>
  </si>
  <si>
    <t>BANK-1060</t>
  </si>
  <si>
    <t>BANK-1062</t>
  </si>
  <si>
    <t>BANK-1078</t>
  </si>
  <si>
    <t>BANK-1109</t>
  </si>
  <si>
    <t>BANK-1123</t>
  </si>
  <si>
    <t>BANK-1141</t>
  </si>
  <si>
    <t>BANK-1200</t>
  </si>
  <si>
    <t>BANK-1202</t>
  </si>
  <si>
    <t>BANK-1210</t>
  </si>
  <si>
    <t>BANK-1239</t>
  </si>
  <si>
    <t>BANK-1247</t>
  </si>
  <si>
    <t>BANK-1253</t>
  </si>
  <si>
    <t>BANK-1255</t>
  </si>
  <si>
    <t>BANK-1384</t>
  </si>
  <si>
    <t>BANK-1437</t>
  </si>
  <si>
    <t>BANKONLY-0026</t>
  </si>
  <si>
    <t>BANK-1073</t>
  </si>
  <si>
    <t>BANK-1081</t>
  </si>
  <si>
    <t>BANK-1088</t>
  </si>
  <si>
    <t>BANK-1121</t>
  </si>
  <si>
    <t>BANK-1173</t>
  </si>
  <si>
    <t>BANK-1183</t>
  </si>
  <si>
    <t>BANK-1211</t>
  </si>
  <si>
    <t>BANK-1222</t>
  </si>
  <si>
    <t>BANK-1245</t>
  </si>
  <si>
    <t>BANK-1338</t>
  </si>
  <si>
    <t>BANK-1438</t>
  </si>
  <si>
    <t>BANKONLY-0027</t>
  </si>
  <si>
    <t>BANK-1028</t>
  </si>
  <si>
    <t>BANK-1030</t>
  </si>
  <si>
    <t>BANK-1093</t>
  </si>
  <si>
    <t>BANK-1100</t>
  </si>
  <si>
    <t>BANK-1158</t>
  </si>
  <si>
    <t>BANK-1163</t>
  </si>
  <si>
    <t>BANK-1249</t>
  </si>
  <si>
    <t>BANK-1256</t>
  </si>
  <si>
    <t>BANK-1310</t>
  </si>
  <si>
    <t>BANK-1324</t>
  </si>
  <si>
    <t>BANK-1363</t>
  </si>
  <si>
    <t>BANK-1393</t>
  </si>
  <si>
    <t>BANK-1403</t>
  </si>
  <si>
    <t>BANK-1008</t>
  </si>
  <si>
    <t>BANK-1063</t>
  </si>
  <si>
    <t>BANK-1064</t>
  </si>
  <si>
    <t>BANK-1103</t>
  </si>
  <si>
    <t>BANK-1128</t>
  </si>
  <si>
    <t>BANK-1180</t>
  </si>
  <si>
    <t>BANK-1251</t>
  </si>
  <si>
    <t>BANK-1406</t>
  </si>
  <si>
    <t>BANK-1417</t>
  </si>
  <si>
    <t>BANKONLY-0006</t>
  </si>
  <si>
    <t>BANK-1003</t>
  </si>
  <si>
    <t>BANK-1114</t>
  </si>
  <si>
    <t>BANK-1117</t>
  </si>
  <si>
    <t>BANK-1127</t>
  </si>
  <si>
    <t>BANK-1133</t>
  </si>
  <si>
    <t>BANK-1193</t>
  </si>
  <si>
    <t>BANK-1207</t>
  </si>
  <si>
    <t>BANK-1288</t>
  </si>
  <si>
    <t>BANK-1316</t>
  </si>
  <si>
    <t>BANK-1360</t>
  </si>
  <si>
    <t>BANK-1431</t>
  </si>
  <si>
    <t>BANKONLY-0020</t>
  </si>
  <si>
    <t>BANK-1011</t>
  </si>
  <si>
    <t>BANK-1034</t>
  </si>
  <si>
    <t>BANK-1041</t>
  </si>
  <si>
    <t>BANK-1058</t>
  </si>
  <si>
    <t>BANK-1059</t>
  </si>
  <si>
    <t>BANK-1149</t>
  </si>
  <si>
    <t>BANK-1177</t>
  </si>
  <si>
    <t>BANK-1188</t>
  </si>
  <si>
    <t>BANK-1190</t>
  </si>
  <si>
    <t>BANK-1236</t>
  </si>
  <si>
    <t>BANK-1242</t>
  </si>
  <si>
    <t>BANK-1297</t>
  </si>
  <si>
    <t>BANK-1410</t>
  </si>
  <si>
    <t>BANK-1430</t>
  </si>
  <si>
    <t>BANKONLY-0019</t>
  </si>
  <si>
    <t>BANK-1001</t>
  </si>
  <si>
    <t>BANK-1016</t>
  </si>
  <si>
    <t>BANK-1031</t>
  </si>
  <si>
    <t>BANK-1036</t>
  </si>
  <si>
    <t>BANK-1085</t>
  </si>
  <si>
    <t>BANK-1110</t>
  </si>
  <si>
    <t>BANK-1125</t>
  </si>
  <si>
    <t>BANK-1228</t>
  </si>
  <si>
    <t>BANK-1272</t>
  </si>
  <si>
    <t>BANK-1379</t>
  </si>
  <si>
    <t>BANK-1385</t>
  </si>
  <si>
    <t>BANK-1388</t>
  </si>
  <si>
    <t>BANK-1405</t>
  </si>
  <si>
    <t>BANK-1423</t>
  </si>
  <si>
    <t>BANKONLY-0012</t>
  </si>
  <si>
    <t>BANK-1439</t>
  </si>
  <si>
    <t>BANKONLY-0028</t>
  </si>
  <si>
    <t>BANK-1021</t>
  </si>
  <si>
    <t>BANK-1046</t>
  </si>
  <si>
    <t>BANK-1156</t>
  </si>
  <si>
    <t>BANK-1216</t>
  </si>
  <si>
    <t>BANK-1223</t>
  </si>
  <si>
    <t>BANK-1235</t>
  </si>
  <si>
    <t>BANK-1344</t>
  </si>
  <si>
    <t>BANK-1355</t>
  </si>
  <si>
    <t>BANK-1414</t>
  </si>
  <si>
    <t>BANKONLY-0003</t>
  </si>
  <si>
    <t>BANK-1424</t>
  </si>
  <si>
    <t>BANKONLY-0013</t>
  </si>
  <si>
    <t>BANK-1427</t>
  </si>
  <si>
    <t>BANKONLY-0016</t>
  </si>
  <si>
    <t>BANK-1436</t>
  </si>
  <si>
    <t>BANKONLY-0025</t>
  </si>
  <si>
    <t>BANK-1044</t>
  </si>
  <si>
    <t>BANK-1050</t>
  </si>
  <si>
    <t>BANK-1056</t>
  </si>
  <si>
    <t>BANK-1090</t>
  </si>
  <si>
    <t>BANK-1097</t>
  </si>
  <si>
    <t>BANK-1130</t>
  </si>
  <si>
    <t>BANK-1143</t>
  </si>
  <si>
    <t>BANK-1189</t>
  </si>
  <si>
    <t>BANK-1220</t>
  </si>
  <si>
    <t>BANK-1224</t>
  </si>
  <si>
    <t>BANK-1274</t>
  </si>
  <si>
    <t>BANK-1308</t>
  </si>
  <si>
    <t>BANK-1333</t>
  </si>
  <si>
    <t>BANK-1347</t>
  </si>
  <si>
    <t>BANK-1357</t>
  </si>
  <si>
    <t>BANK-1381</t>
  </si>
  <si>
    <t>BANK-1396</t>
  </si>
  <si>
    <t>BANK-1402</t>
  </si>
  <si>
    <t>BANK-1434</t>
  </si>
  <si>
    <t>BANKONLY-0023</t>
  </si>
  <si>
    <t>BANK-1023</t>
  </si>
  <si>
    <t>BANK-1048</t>
  </si>
  <si>
    <t>BANK-1068</t>
  </si>
  <si>
    <t>BANK-1070</t>
  </si>
  <si>
    <t>BANK-1072</t>
  </si>
  <si>
    <t>BANK-1075</t>
  </si>
  <si>
    <t>BANK-1084</t>
  </si>
  <si>
    <t>BANK-1106</t>
  </si>
  <si>
    <t>BANK-1107</t>
  </si>
  <si>
    <t>BANK-1118</t>
  </si>
  <si>
    <t>BANK-1144</t>
  </si>
  <si>
    <t>BANK-1155</t>
  </si>
  <si>
    <t>BANK-1160</t>
  </si>
  <si>
    <t>BANK-1192</t>
  </si>
  <si>
    <t>BANK-1195</t>
  </si>
  <si>
    <t>BANK-1227</t>
  </si>
  <si>
    <t>BANK-1278</t>
  </si>
  <si>
    <t>BANK-1299</t>
  </si>
  <si>
    <t>BANK-1302</t>
  </si>
  <si>
    <t>BANK-1342</t>
  </si>
  <si>
    <t>BANK-1399</t>
  </si>
  <si>
    <t>BANK-1442</t>
  </si>
  <si>
    <t>BANKONLY-0031</t>
  </si>
  <si>
    <t>BANK-1004</t>
  </si>
  <si>
    <t>BANK-1014</t>
  </si>
  <si>
    <t>BANK-1052</t>
  </si>
  <si>
    <t>BANK-1061</t>
  </si>
  <si>
    <t>BANK-1122</t>
  </si>
  <si>
    <t>BANK-1161</t>
  </si>
  <si>
    <t>BANK-1186</t>
  </si>
  <si>
    <t>BANK-1259</t>
  </si>
  <si>
    <t>BANK-1260</t>
  </si>
  <si>
    <t>BANK-1277</t>
  </si>
  <si>
    <t>BANK-1281</t>
  </si>
  <si>
    <t>BANK-1283</t>
  </si>
  <si>
    <t>BANK-1294</t>
  </si>
  <si>
    <t>BANK-1339</t>
  </si>
  <si>
    <t>BANK-1445</t>
  </si>
  <si>
    <t>BANKONLY-0034</t>
  </si>
  <si>
    <t>BANK-1042</t>
  </si>
  <si>
    <t>BANK-1119</t>
  </si>
  <si>
    <t>BANK-1124</t>
  </si>
  <si>
    <t>BANK-1139</t>
  </si>
  <si>
    <t>BANK-1179</t>
  </si>
  <si>
    <t>BANK-1213</t>
  </si>
  <si>
    <t>BANK-1293</t>
  </si>
  <si>
    <t>BANK-1300</t>
  </si>
  <si>
    <t>BANK-1317</t>
  </si>
  <si>
    <t>BANK-1325</t>
  </si>
  <si>
    <t>BANK-1329</t>
  </si>
  <si>
    <t>BANK-1335</t>
  </si>
  <si>
    <t>BANK-1349</t>
  </si>
  <si>
    <t>BANK-1412</t>
  </si>
  <si>
    <t>BANKONLY-0001</t>
  </si>
  <si>
    <t>BANK-1232</t>
  </si>
  <si>
    <t>BANK-1248</t>
  </si>
  <si>
    <t>BANK-1269</t>
  </si>
  <si>
    <t>BANK-1271</t>
  </si>
  <si>
    <t>BANK-1331</t>
  </si>
  <si>
    <t>BANK-1382</t>
  </si>
  <si>
    <t>BANK-1401</t>
  </si>
  <si>
    <t>BANK-1444</t>
  </si>
  <si>
    <t>BANKONLY-0033</t>
  </si>
  <si>
    <t>BANK-1009</t>
  </si>
  <si>
    <t>BANK-1038</t>
  </si>
  <si>
    <t>BANK-1045</t>
  </si>
  <si>
    <t>BANK-1086</t>
  </si>
  <si>
    <t>BANK-1091</t>
  </si>
  <si>
    <t>BANK-1094</t>
  </si>
  <si>
    <t>BANK-1170</t>
  </si>
  <si>
    <t>BANK-1171</t>
  </si>
  <si>
    <t>BANK-1187</t>
  </si>
  <si>
    <t>BANK-1206</t>
  </si>
  <si>
    <t>BANK-1229</t>
  </si>
  <si>
    <t>BANK-1252</t>
  </si>
  <si>
    <t>BANK-1261</t>
  </si>
  <si>
    <t>BANK-1262</t>
  </si>
  <si>
    <t>BANK-1309</t>
  </si>
  <si>
    <t>BANK-1322</t>
  </si>
  <si>
    <t>BANK-1350</t>
  </si>
  <si>
    <t>BANK-1394</t>
  </si>
  <si>
    <t>BANK-1422</t>
  </si>
  <si>
    <t>BANKONLY-0011</t>
  </si>
  <si>
    <t>BANK-1440</t>
  </si>
  <si>
    <t>BANKONLY-0029</t>
  </si>
  <si>
    <t>BANK-1443</t>
  </si>
  <si>
    <t>BANKONLY-0032</t>
  </si>
  <si>
    <t>BANK-1015</t>
  </si>
  <si>
    <t>BANK-1053</t>
  </si>
  <si>
    <t>BANK-1057</t>
  </si>
  <si>
    <t>BANK-1082</t>
  </si>
  <si>
    <t>BANK-1105</t>
  </si>
  <si>
    <t>BANK-1138</t>
  </si>
  <si>
    <t>BANK-1201</t>
  </si>
  <si>
    <t>BANK-1218</t>
  </si>
  <si>
    <t>BANK-1241</t>
  </si>
  <si>
    <t>BANK-1319</t>
  </si>
  <si>
    <t>BANK-1358</t>
  </si>
  <si>
    <t>BANK-1366</t>
  </si>
  <si>
    <t>BANK-1387</t>
  </si>
  <si>
    <t>BANK-1395</t>
  </si>
  <si>
    <t>BANK-1398</t>
  </si>
  <si>
    <t>BANK-1005</t>
  </si>
  <si>
    <t>BANK-1007</t>
  </si>
  <si>
    <t>BANK-1020</t>
  </si>
  <si>
    <t>BANK-1025</t>
  </si>
  <si>
    <t>BANK-1134</t>
  </si>
  <si>
    <t>BANK-1176</t>
  </si>
  <si>
    <t>BANK-1185</t>
  </si>
  <si>
    <t>BANK-1197</t>
  </si>
  <si>
    <t>BANK-1215</t>
  </si>
  <si>
    <t>BANK-1237</t>
  </si>
  <si>
    <t>BANK-1365</t>
  </si>
  <si>
    <t>BANK-1368</t>
  </si>
  <si>
    <t>BANK-1373</t>
  </si>
  <si>
    <t>BANK-1376</t>
  </si>
  <si>
    <t>BANK-1386</t>
  </si>
  <si>
    <t>BANK-1392</t>
  </si>
  <si>
    <t>BANK-1404</t>
  </si>
  <si>
    <t>BANK-1092</t>
  </si>
  <si>
    <t>BANK-1099</t>
  </si>
  <si>
    <t>BANK-1172</t>
  </si>
  <si>
    <t>BANK-1199</t>
  </si>
  <si>
    <t>BANK-1313</t>
  </si>
  <si>
    <t>BANK-1326</t>
  </si>
  <si>
    <t>BANK-1359</t>
  </si>
  <si>
    <t>BANK-1413</t>
  </si>
  <si>
    <t>BANKONLY-0002</t>
  </si>
  <si>
    <t>BANK-1415</t>
  </si>
  <si>
    <t>BANKONLY-0004</t>
  </si>
  <si>
    <t>BANK-1426</t>
  </si>
  <si>
    <t>BANKONLY-0015</t>
  </si>
  <si>
    <t>BANK-1432</t>
  </si>
  <si>
    <t>BANKONLY-0021</t>
  </si>
  <si>
    <t>BANK-1047</t>
  </si>
  <si>
    <t>BANK-1066</t>
  </si>
  <si>
    <t>BANK-1067</t>
  </si>
  <si>
    <t>BANK-1136</t>
  </si>
  <si>
    <t>BANK-1345</t>
  </si>
  <si>
    <t>BANK-1208</t>
  </si>
  <si>
    <t>BANK-1304</t>
  </si>
  <si>
    <t>BANK-1182</t>
  </si>
  <si>
    <t>BANK-1315</t>
  </si>
  <si>
    <t>BANK-1049</t>
  </si>
  <si>
    <t>BANK-1266</t>
  </si>
  <si>
    <t>Reconciliation - ERP vs Bank</t>
  </si>
  <si>
    <t>ERP_Amount</t>
  </si>
  <si>
    <t>Bank_Amount</t>
  </si>
  <si>
    <t>Amount_Difference</t>
  </si>
  <si>
    <t>Date_Difference</t>
  </si>
  <si>
    <t>Reconciliation_Status</t>
  </si>
  <si>
    <t>Exception_Type</t>
  </si>
  <si>
    <t>Suggested_Action</t>
  </si>
  <si>
    <t>Owner</t>
  </si>
  <si>
    <t>Reviewed?</t>
  </si>
  <si>
    <t>Review_Notes</t>
  </si>
  <si>
    <t>Days_To_Close</t>
  </si>
  <si>
    <t>No</t>
  </si>
  <si>
    <t>Open AP/AR Invoices and Aging</t>
  </si>
  <si>
    <t>Invoice_ID</t>
  </si>
  <si>
    <t>Type</t>
  </si>
  <si>
    <t>Customer_Vendor</t>
  </si>
  <si>
    <t>Invoice_Date</t>
  </si>
  <si>
    <t>Due_Date</t>
  </si>
  <si>
    <t>Original_Amount</t>
  </si>
  <si>
    <t>Paid_Amount</t>
  </si>
  <si>
    <t>Open_Amount</t>
  </si>
  <si>
    <t>Days_Overdue</t>
  </si>
  <si>
    <t>Aging_Bucket</t>
  </si>
  <si>
    <t>Risk_Level</t>
  </si>
  <si>
    <t>Next_Action</t>
  </si>
  <si>
    <t>INV-00001</t>
  </si>
  <si>
    <t>INV-00002</t>
  </si>
  <si>
    <t>INV-00003</t>
  </si>
  <si>
    <t>INV-00004</t>
  </si>
  <si>
    <t>INV-00005</t>
  </si>
  <si>
    <t>INV-00006</t>
  </si>
  <si>
    <t>INV-00007</t>
  </si>
  <si>
    <t>INV-00008</t>
  </si>
  <si>
    <t>INV-00009</t>
  </si>
  <si>
    <t>INV-00010</t>
  </si>
  <si>
    <t>INV-00011</t>
  </si>
  <si>
    <t>INV-00012</t>
  </si>
  <si>
    <t>INV-00013</t>
  </si>
  <si>
    <t>INV-00014</t>
  </si>
  <si>
    <t>INV-00015</t>
  </si>
  <si>
    <t>INV-00016</t>
  </si>
  <si>
    <t>INV-00017</t>
  </si>
  <si>
    <t>INV-00018</t>
  </si>
  <si>
    <t>INV-00019</t>
  </si>
  <si>
    <t>INV-00020</t>
  </si>
  <si>
    <t>INV-00021</t>
  </si>
  <si>
    <t>INV-00022</t>
  </si>
  <si>
    <t>INV-00023</t>
  </si>
  <si>
    <t>INV-00024</t>
  </si>
  <si>
    <t>INV-00025</t>
  </si>
  <si>
    <t>INV-00026</t>
  </si>
  <si>
    <t>INV-00027</t>
  </si>
  <si>
    <t>INV-00028</t>
  </si>
  <si>
    <t>INV-00029</t>
  </si>
  <si>
    <t>INV-00030</t>
  </si>
  <si>
    <t>INV-00031</t>
  </si>
  <si>
    <t>INV-00032</t>
  </si>
  <si>
    <t>INV-00033</t>
  </si>
  <si>
    <t>INV-00034</t>
  </si>
  <si>
    <t>INV-00035</t>
  </si>
  <si>
    <t>INV-00036</t>
  </si>
  <si>
    <t>INV-00037</t>
  </si>
  <si>
    <t>INV-00038</t>
  </si>
  <si>
    <t>INV-00039</t>
  </si>
  <si>
    <t>INV-00040</t>
  </si>
  <si>
    <t>INV-00041</t>
  </si>
  <si>
    <t>INV-00042</t>
  </si>
  <si>
    <t>INV-00043</t>
  </si>
  <si>
    <t>INV-00044</t>
  </si>
  <si>
    <t>INV-00045</t>
  </si>
  <si>
    <t>INV-00046</t>
  </si>
  <si>
    <t>INV-00047</t>
  </si>
  <si>
    <t>INV-00048</t>
  </si>
  <si>
    <t>INV-00049</t>
  </si>
  <si>
    <t>INV-00050</t>
  </si>
  <si>
    <t>INV-00051</t>
  </si>
  <si>
    <t>INV-00052</t>
  </si>
  <si>
    <t>INV-00053</t>
  </si>
  <si>
    <t>INV-00054</t>
  </si>
  <si>
    <t>INV-00055</t>
  </si>
  <si>
    <t>INV-00056</t>
  </si>
  <si>
    <t>INV-00057</t>
  </si>
  <si>
    <t>INV-00058</t>
  </si>
  <si>
    <t>INV-00059</t>
  </si>
  <si>
    <t>INV-00060</t>
  </si>
  <si>
    <t>INV-00061</t>
  </si>
  <si>
    <t>INV-00062</t>
  </si>
  <si>
    <t>INV-00063</t>
  </si>
  <si>
    <t>INV-00064</t>
  </si>
  <si>
    <t>INV-00065</t>
  </si>
  <si>
    <t>INV-00066</t>
  </si>
  <si>
    <t>INV-00067</t>
  </si>
  <si>
    <t>INV-00068</t>
  </si>
  <si>
    <t>INV-00069</t>
  </si>
  <si>
    <t>INV-00070</t>
  </si>
  <si>
    <t>INV-00071</t>
  </si>
  <si>
    <t>INV-00072</t>
  </si>
  <si>
    <t>INV-00073</t>
  </si>
  <si>
    <t>INV-00074</t>
  </si>
  <si>
    <t>INV-00075</t>
  </si>
  <si>
    <t>INV-00076</t>
  </si>
  <si>
    <t>INV-00077</t>
  </si>
  <si>
    <t>INV-00078</t>
  </si>
  <si>
    <t>INV-00079</t>
  </si>
  <si>
    <t>INV-00080</t>
  </si>
  <si>
    <t>INV-00081</t>
  </si>
  <si>
    <t>INV-00082</t>
  </si>
  <si>
    <t>INV-00083</t>
  </si>
  <si>
    <t>INV-00084</t>
  </si>
  <si>
    <t>INV-00085</t>
  </si>
  <si>
    <t>INV-00086</t>
  </si>
  <si>
    <t>INV-00087</t>
  </si>
  <si>
    <t>INV-00088</t>
  </si>
  <si>
    <t>INV-00089</t>
  </si>
  <si>
    <t>INV-00090</t>
  </si>
  <si>
    <t>INV-00091</t>
  </si>
  <si>
    <t>INV-00092</t>
  </si>
  <si>
    <t>INV-00093</t>
  </si>
  <si>
    <t>INV-00094</t>
  </si>
  <si>
    <t>INV-00095</t>
  </si>
  <si>
    <t>INV-00096</t>
  </si>
  <si>
    <t>INV-00097</t>
  </si>
  <si>
    <t>INV-00098</t>
  </si>
  <si>
    <t>INV-00099</t>
  </si>
  <si>
    <t>INV-00100</t>
  </si>
  <si>
    <t>INV-00101</t>
  </si>
  <si>
    <t>INV-00102</t>
  </si>
  <si>
    <t>INV-00103</t>
  </si>
  <si>
    <t>INV-00104</t>
  </si>
  <si>
    <t>INV-00105</t>
  </si>
  <si>
    <t>INV-00106</t>
  </si>
  <si>
    <t>INV-00107</t>
  </si>
  <si>
    <t>INV-00108</t>
  </si>
  <si>
    <t>INV-00109</t>
  </si>
  <si>
    <t>INV-00110</t>
  </si>
  <si>
    <t>INV-00111</t>
  </si>
  <si>
    <t>INV-00112</t>
  </si>
  <si>
    <t>INV-00113</t>
  </si>
  <si>
    <t>INV-00114</t>
  </si>
  <si>
    <t>INV-00115</t>
  </si>
  <si>
    <t>INV-00116</t>
  </si>
  <si>
    <t>INV-00117</t>
  </si>
  <si>
    <t>INV-00118</t>
  </si>
  <si>
    <t>INV-00119</t>
  </si>
  <si>
    <t>INV-00120</t>
  </si>
  <si>
    <t>INV-00121</t>
  </si>
  <si>
    <t>INV-00122</t>
  </si>
  <si>
    <t>INV-00123</t>
  </si>
  <si>
    <t>INV-00124</t>
  </si>
  <si>
    <t>INV-00125</t>
  </si>
  <si>
    <t>INV-00126</t>
  </si>
  <si>
    <t>INV-00127</t>
  </si>
  <si>
    <t>INV-00128</t>
  </si>
  <si>
    <t>INV-00129</t>
  </si>
  <si>
    <t>INV-00130</t>
  </si>
  <si>
    <t>INV-00131</t>
  </si>
  <si>
    <t>INV-00132</t>
  </si>
  <si>
    <t>INV-00133</t>
  </si>
  <si>
    <t>INV-00134</t>
  </si>
  <si>
    <t>INV-00135</t>
  </si>
  <si>
    <t>INV-00136</t>
  </si>
  <si>
    <t>INV-00137</t>
  </si>
  <si>
    <t>INV-00138</t>
  </si>
  <si>
    <t>INV-00139</t>
  </si>
  <si>
    <t>INV-00140</t>
  </si>
  <si>
    <t>INV-00141</t>
  </si>
  <si>
    <t>INV-00142</t>
  </si>
  <si>
    <t>INV-00143</t>
  </si>
  <si>
    <t>INV-00144</t>
  </si>
  <si>
    <t>INV-00145</t>
  </si>
  <si>
    <t>INV-00146</t>
  </si>
  <si>
    <t>INV-00147</t>
  </si>
  <si>
    <t>INV-00148</t>
  </si>
  <si>
    <t>INV-00149</t>
  </si>
  <si>
    <t>INV-00150</t>
  </si>
  <si>
    <t>INV-00151</t>
  </si>
  <si>
    <t>INV-00152</t>
  </si>
  <si>
    <t>INV-00153</t>
  </si>
  <si>
    <t>INV-00154</t>
  </si>
  <si>
    <t>INV-00155</t>
  </si>
  <si>
    <t>INV-00156</t>
  </si>
  <si>
    <t>INV-00157</t>
  </si>
  <si>
    <t>INV-00158</t>
  </si>
  <si>
    <t>INV-00159</t>
  </si>
  <si>
    <t>INV-00160</t>
  </si>
  <si>
    <t>INV-00161</t>
  </si>
  <si>
    <t>INV-00162</t>
  </si>
  <si>
    <t>INV-00163</t>
  </si>
  <si>
    <t>INV-00164</t>
  </si>
  <si>
    <t>INV-00165</t>
  </si>
  <si>
    <t>INV-00166</t>
  </si>
  <si>
    <t>INV-00167</t>
  </si>
  <si>
    <t>INV-00168</t>
  </si>
  <si>
    <t>INV-00169</t>
  </si>
  <si>
    <t>INV-00170</t>
  </si>
  <si>
    <t>INV-00171</t>
  </si>
  <si>
    <t>INV-00172</t>
  </si>
  <si>
    <t>INV-00173</t>
  </si>
  <si>
    <t>INV-00174</t>
  </si>
  <si>
    <t>INV-00175</t>
  </si>
  <si>
    <t>INV-00176</t>
  </si>
  <si>
    <t>INV-00177</t>
  </si>
  <si>
    <t>INV-00178</t>
  </si>
  <si>
    <t>INV-00179</t>
  </si>
  <si>
    <t>INV-00180</t>
  </si>
  <si>
    <t>INV-00181</t>
  </si>
  <si>
    <t>INV-00182</t>
  </si>
  <si>
    <t>INV-00183</t>
  </si>
  <si>
    <t>INV-00184</t>
  </si>
  <si>
    <t>INV-00185</t>
  </si>
  <si>
    <t>INV-00186</t>
  </si>
  <si>
    <t>INV-00187</t>
  </si>
  <si>
    <t>INV-00188</t>
  </si>
  <si>
    <t>INV-00189</t>
  </si>
  <si>
    <t>INV-00190</t>
  </si>
  <si>
    <t>INV-00191</t>
  </si>
  <si>
    <t>INV-00192</t>
  </si>
  <si>
    <t>INV-00193</t>
  </si>
  <si>
    <t>INV-00194</t>
  </si>
  <si>
    <t>INV-00195</t>
  </si>
  <si>
    <t>INV-00196</t>
  </si>
  <si>
    <t>INV-00197</t>
  </si>
  <si>
    <t>INV-00198</t>
  </si>
  <si>
    <t>INV-00199</t>
  </si>
  <si>
    <t>INV-00200</t>
  </si>
  <si>
    <t>INV-00201</t>
  </si>
  <si>
    <t>INV-00202</t>
  </si>
  <si>
    <t>INV-00203</t>
  </si>
  <si>
    <t>INV-00204</t>
  </si>
  <si>
    <t>INV-00205</t>
  </si>
  <si>
    <t>INV-00206</t>
  </si>
  <si>
    <t>INV-00207</t>
  </si>
  <si>
    <t>INV-00208</t>
  </si>
  <si>
    <t>INV-00209</t>
  </si>
  <si>
    <t>INV-00210</t>
  </si>
  <si>
    <t>INV-00211</t>
  </si>
  <si>
    <t>INV-00212</t>
  </si>
  <si>
    <t>INV-00213</t>
  </si>
  <si>
    <t>INV-00214</t>
  </si>
  <si>
    <t>INV-00215</t>
  </si>
  <si>
    <t>INV-00216</t>
  </si>
  <si>
    <t>INV-00217</t>
  </si>
  <si>
    <t>INV-00218</t>
  </si>
  <si>
    <t>INV-00219</t>
  </si>
  <si>
    <t>INV-00220</t>
  </si>
  <si>
    <t>Analysis Model - Formula Summary</t>
  </si>
  <si>
    <t>Metric</t>
  </si>
  <si>
    <t>Formula meaning</t>
  </si>
  <si>
    <t>Reconciliation Status</t>
  </si>
  <si>
    <t>Count</t>
  </si>
  <si>
    <t>Open Amount</t>
  </si>
  <si>
    <t>Absolute Amount</t>
  </si>
  <si>
    <t>Total ERP transactions</t>
  </si>
  <si>
    <t>Count all ERP transaction rows</t>
  </si>
  <si>
    <t>Matched</t>
  </si>
  <si>
    <t>Total bank transactions</t>
  </si>
  <si>
    <t>Count all bank statement rows</t>
  </si>
  <si>
    <t>Review</t>
  </si>
  <si>
    <t>Matched transactions</t>
  </si>
  <si>
    <t>Count status = Matched</t>
  </si>
  <si>
    <t>Unmatched ERP</t>
  </si>
  <si>
    <t>Review transactions</t>
  </si>
  <si>
    <t>Count status = Review</t>
  </si>
  <si>
    <t>Unmatched ERP transactions</t>
  </si>
  <si>
    <t>Count status = Unmatched ERP</t>
  </si>
  <si>
    <t>Match rate</t>
  </si>
  <si>
    <t>Matched / Total ERP transactions</t>
  </si>
  <si>
    <t>Bank-only items</t>
  </si>
  <si>
    <t>Bank rows not found in ERP</t>
  </si>
  <si>
    <t>Open invoice amount</t>
  </si>
  <si>
    <t>Sum open invoice balance</t>
  </si>
  <si>
    <t>High-risk invoices</t>
  </si>
  <si>
    <t>Count high-risk invoices</t>
  </si>
  <si>
    <t>Total exceptions</t>
  </si>
  <si>
    <t>Count exception log rows</t>
  </si>
  <si>
    <t>Optional Power Pivot / DAX measures for portfolio explanation</t>
  </si>
  <si>
    <t>Measure Name</t>
  </si>
  <si>
    <t>DAX Formula</t>
  </si>
  <si>
    <t>Simple meaning</t>
  </si>
  <si>
    <t>Total Open Amount</t>
  </si>
  <si>
    <t>Total Open Amount := SUM(Open_Invoices[Open_Amount])</t>
  </si>
  <si>
    <t>Total money still open</t>
  </si>
  <si>
    <t>Matched Count</t>
  </si>
  <si>
    <t>Matched Count := CALCULATE(COUNTROWS(Reconciliation), Reconciliation[Reconciliation_Status] = "Matched")</t>
  </si>
  <si>
    <t>How many items matched</t>
  </si>
  <si>
    <t>Match Rate</t>
  </si>
  <si>
    <t>Match Rate := DIVIDE([Matched Count], COUNTROWS(Reconciliation))</t>
  </si>
  <si>
    <t>Percent of ERP items matched</t>
  </si>
  <si>
    <t>High Risk Invoice Count</t>
  </si>
  <si>
    <t>High Risk Invoice Count := CALCULATE(COUNTROWS(Open_Invoices), Open_Invoices[Risk_Level] = "High Risk")</t>
  </si>
  <si>
    <t>How many invoices need quick action</t>
  </si>
  <si>
    <t>Exception Log - Items That Need Review</t>
  </si>
  <si>
    <t>Exception_ID</t>
  </si>
  <si>
    <t>Source</t>
  </si>
  <si>
    <t>Date</t>
  </si>
  <si>
    <t>Name</t>
  </si>
  <si>
    <t>Amount</t>
  </si>
  <si>
    <t>EX-0215</t>
  </si>
  <si>
    <t>Open Invoice</t>
  </si>
  <si>
    <t>Escalate and follow up</t>
  </si>
  <si>
    <t>EX-0285</t>
  </si>
  <si>
    <t>EX-0232</t>
  </si>
  <si>
    <t>EX-0243</t>
  </si>
  <si>
    <t>EX-0295</t>
  </si>
  <si>
    <t>EX-0254</t>
  </si>
  <si>
    <t>EX-0297</t>
  </si>
  <si>
    <t>EX-0270</t>
  </si>
  <si>
    <t>EX-0195</t>
  </si>
  <si>
    <t>EX-0220</t>
  </si>
  <si>
    <t>EX-0280</t>
  </si>
  <si>
    <t>EX-0244</t>
  </si>
  <si>
    <t>EX-0251</t>
  </si>
  <si>
    <t>EX-0201</t>
  </si>
  <si>
    <t>EX-0258</t>
  </si>
  <si>
    <t>EX-0231</t>
  </si>
  <si>
    <t>EX-0257</t>
  </si>
  <si>
    <t>EX-0246</t>
  </si>
  <si>
    <t>EX-0236</t>
  </si>
  <si>
    <t>EX-0278</t>
  </si>
  <si>
    <t>EX-0288</t>
  </si>
  <si>
    <t>EX-0196</t>
  </si>
  <si>
    <t>EX-0214</t>
  </si>
  <si>
    <t>EX-0197</t>
  </si>
  <si>
    <t>EX-0217</t>
  </si>
  <si>
    <t>EX-0255</t>
  </si>
  <si>
    <t>EX-0262</t>
  </si>
  <si>
    <t>EX-0273</t>
  </si>
  <si>
    <t>EX-0271</t>
  </si>
  <si>
    <t>EX-0204</t>
  </si>
  <si>
    <t>EX-0213</t>
  </si>
  <si>
    <t>EX-0269</t>
  </si>
  <si>
    <t>EX-0301</t>
  </si>
  <si>
    <t>EX-0116</t>
  </si>
  <si>
    <t>Reconciliation</t>
  </si>
  <si>
    <t>Check bank statement or payment date</t>
  </si>
  <si>
    <t>EX-0268</t>
  </si>
  <si>
    <t>EX-0292</t>
  </si>
  <si>
    <t>EX-0087</t>
  </si>
  <si>
    <t>EX-0211</t>
  </si>
  <si>
    <t>EX-0242</t>
  </si>
  <si>
    <t>EX-0019</t>
  </si>
  <si>
    <t>EX-0287</t>
  </si>
  <si>
    <t>EX-0290</t>
  </si>
  <si>
    <t>EX-0048</t>
  </si>
  <si>
    <t>EX-0307</t>
  </si>
  <si>
    <t>EX-0029</t>
  </si>
  <si>
    <t>EX-0041</t>
  </si>
  <si>
    <t>EX-0224</t>
  </si>
  <si>
    <t>EX-0240</t>
  </si>
  <si>
    <t>EX-0298</t>
  </si>
  <si>
    <t>EX-0276</t>
  </si>
  <si>
    <t>EX-0238</t>
  </si>
  <si>
    <t>EX-0277</t>
  </si>
  <si>
    <t>EX-0299</t>
  </si>
  <si>
    <t>EX-0064</t>
  </si>
  <si>
    <t>EX-0226</t>
  </si>
  <si>
    <t>EX-0233</t>
  </si>
  <si>
    <t>EX-0247</t>
  </si>
  <si>
    <t>EX-0227</t>
  </si>
  <si>
    <t>EX-0239</t>
  </si>
  <si>
    <t>EX-0127</t>
  </si>
  <si>
    <t>EX-0053</t>
  </si>
  <si>
    <t>EX-0096</t>
  </si>
  <si>
    <t>EX-0304</t>
  </si>
  <si>
    <t>EX-0134</t>
  </si>
  <si>
    <t>EX-0142</t>
  </si>
  <si>
    <t>EX-0198</t>
  </si>
  <si>
    <t>EX-0294</t>
  </si>
  <si>
    <t>EX-0283</t>
  </si>
  <si>
    <t>EX-0036</t>
  </si>
  <si>
    <t>EX-0282</t>
  </si>
  <si>
    <t>EX-0154</t>
  </si>
  <si>
    <t>EX-0248</t>
  </si>
  <si>
    <t>EX-0305</t>
  </si>
  <si>
    <t>EX-0034</t>
  </si>
  <si>
    <t>EX-0112</t>
  </si>
  <si>
    <t>EX-0205</t>
  </si>
  <si>
    <t>EX-0219</t>
  </si>
  <si>
    <t>EX-0260</t>
  </si>
  <si>
    <t>EX-0286</t>
  </si>
  <si>
    <t>EX-0010</t>
  </si>
  <si>
    <t>Power Query Blueprint - How to Automate This Project</t>
  </si>
  <si>
    <t>Step</t>
  </si>
  <si>
    <t>Query Name</t>
  </si>
  <si>
    <t>Action</t>
  </si>
  <si>
    <t>Output</t>
  </si>
  <si>
    <t>Load_ERP_Transactions</t>
  </si>
  <si>
    <t>ERP export CSV</t>
  </si>
  <si>
    <t>Change data types, trim text, remove blank rows</t>
  </si>
  <si>
    <t>ERP_Transactions</t>
  </si>
  <si>
    <t>Clean ERP data before analysis</t>
  </si>
  <si>
    <t>Load_Bank_Statement</t>
  </si>
  <si>
    <t>Bank CSV</t>
  </si>
  <si>
    <t>Change date and amount types, clean reference number</t>
  </si>
  <si>
    <t>Bank_Statement</t>
  </si>
  <si>
    <t>Prepare bank data for matching</t>
  </si>
  <si>
    <t>Merge_ERP_to_Bank</t>
  </si>
  <si>
    <t>ERP + Bank</t>
  </si>
  <si>
    <t>Left join by Reference_No</t>
  </si>
  <si>
    <t>Find bank match for each ERP item</t>
  </si>
  <si>
    <t>Find_Bank_Only</t>
  </si>
  <si>
    <t>Bank + ERP</t>
  </si>
  <si>
    <t>Anti join where bank reference is not in ERP</t>
  </si>
  <si>
    <t>Exception_Log</t>
  </si>
  <si>
    <t>Find bank items missing in ERP</t>
  </si>
  <si>
    <t>Load_Open_Invoices</t>
  </si>
  <si>
    <t>AP/AR aging export</t>
  </si>
  <si>
    <t>Calculate open amount and aging bucket</t>
  </si>
  <si>
    <t>Open_Invoices</t>
  </si>
  <si>
    <t>Find old or high-risk invoices</t>
  </si>
  <si>
    <t>Build_Model</t>
  </si>
  <si>
    <t>All clean tables</t>
  </si>
  <si>
    <t>Load to Power Pivot data model</t>
  </si>
  <si>
    <t>Analysis_Model</t>
  </si>
  <si>
    <t>Create reusable reporting model</t>
  </si>
  <si>
    <t>Refresh_Dashboard</t>
  </si>
  <si>
    <t>Data model</t>
  </si>
  <si>
    <t>Refresh all queries and formulas</t>
  </si>
  <si>
    <t>Dashboard</t>
  </si>
  <si>
    <t>Update KPIs for month-end close</t>
  </si>
  <si>
    <t>Month-End Close Dashboard</t>
  </si>
  <si>
    <t>Purpose: Show key month-end close risks in one simple view. Start here, then go to Reconciliation or Open_Invoices to fix details.</t>
  </si>
  <si>
    <t>How to read this dashboard</t>
  </si>
  <si>
    <t>1</t>
  </si>
  <si>
    <t>If match rate is low, check the Reconciliation sheet.</t>
  </si>
  <si>
    <t>2</t>
  </si>
  <si>
    <t>If there are bank-only items, check if ERP entries are missing.</t>
  </si>
  <si>
    <t>3</t>
  </si>
  <si>
    <t>If high-risk invoices are high, review Open_Invoices and contact the owner.</t>
  </si>
  <si>
    <t>4</t>
  </si>
  <si>
    <t>Use Exception_Log to see the most urgent items first.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</si>
</sst>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\$#,##0.00;[Red]\-\$#,##0.00"/>
    <numFmt numFmtId="166" formatCode="0.0%"/>
  </numFmts>
  <fonts count="8">
    <font>
      <sz val="11"/>
      <name val="Carlito"/>
    </font>
    <font>
      <b/>
      <sz val="11"/>
      <color rgb="FFFFFFFF"/>
      <name val="Carlito"/>
    </font>
    <font>
      <b/>
      <sz val="11"/>
      <color rgb="FF1F1F1F"/>
      <name val="Carlito"/>
    </font>
    <font>
      <b/>
      <sz val="14"/>
      <color rgb="FFFFFFFF"/>
      <name val="Carlito"/>
    </font>
    <font>
      <b/>
      <sz val="11"/>
      <color rgb="FFFFFFFF"/>
      <name val="Carlito"/>
    </font>
    <font>
      <b/>
      <sz val="11"/>
      <color rgb="FF1F1F1F"/>
      <name val="Carlito"/>
    </font>
    <font>
      <i/>
      <sz val="11"/>
      <color rgb="FF1F1F1F"/>
      <name val="Carlito"/>
    </font>
    <font>
      <b/>
      <sz val="12"/>
      <color rgb="FF1F1F1F"/>
      <name val="Carlito"/>
    </font>
  </fonts>
  <fills count="28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305496"/>
      </patternFill>
    </fill>
    <fill>
      <patternFill patternType="solid">
        <fgColor rgb="FFD9EAF7"/>
      </patternFill>
    </fill>
    <fill>
      <patternFill patternType="solid">
        <fgColor rgb="FF2E8B57"/>
      </patternFill>
    </fill>
    <fill>
      <patternFill patternType="solid">
        <fgColor rgb="FFEAF6EF"/>
      </patternFill>
    </fill>
    <fill>
      <patternFill patternType="solid">
        <fgColor rgb="FFF7FCF9"/>
      </patternFill>
    </fill>
    <fill>
      <patternFill patternType="solid">
        <fgColor rgb="FFEDF7F1"/>
      </patternFill>
    </fill>
    <fill>
      <patternFill patternType="solid">
        <fgColor rgb="FFE67E22"/>
      </patternFill>
    </fill>
    <fill>
      <patternFill patternType="solid">
        <fgColor rgb="FFFDEBD0"/>
      </patternFill>
    </fill>
    <fill>
      <patternFill patternType="solid">
        <fgColor rgb="FFFAFAFA"/>
      </patternFill>
    </fill>
    <fill>
      <patternFill patternType="solid">
        <fgColor rgb="FF2980B9"/>
      </patternFill>
    </fill>
    <fill>
      <patternFill patternType="solid">
        <fgColor rgb="FFEAF2F8"/>
      </patternFill>
    </fill>
    <fill>
      <patternFill patternType="solid">
        <fgColor rgb="FFFFFFFF"/>
      </patternFill>
    </fill>
    <fill>
      <patternFill patternType="solid">
        <fgColor rgb="FF16A085"/>
      </patternFill>
    </fill>
    <fill>
      <patternFill patternType="solid">
        <fgColor rgb="FFE8F8F5"/>
      </patternFill>
    </fill>
    <fill>
      <patternFill patternType="solid">
        <fgColor rgb="FF8E44AD"/>
      </patternFill>
    </fill>
    <fill>
      <patternFill patternType="solid">
        <fgColor rgb="FFF5EEF8"/>
      </patternFill>
    </fill>
    <fill>
      <patternFill patternType="solid">
        <fgColor rgb="FFD4AC0D"/>
      </patternFill>
    </fill>
    <fill>
      <patternFill patternType="solid">
        <fgColor rgb="FFFCF3CF"/>
      </patternFill>
    </fill>
    <fill>
      <patternFill patternType="solid">
        <fgColor rgb="FF34495E"/>
      </patternFill>
    </fill>
    <fill>
      <patternFill patternType="solid">
        <fgColor rgb="FFEBEDEF"/>
      </patternFill>
    </fill>
    <fill>
      <patternFill patternType="solid">
        <fgColor rgb="FFC0392B"/>
      </patternFill>
    </fill>
    <fill>
      <patternFill patternType="solid">
        <fgColor rgb="FFFDEDEC"/>
      </patternFill>
    </fill>
    <fill>
      <patternFill patternType="solid">
        <fgColor rgb="FF5D6D7E"/>
      </patternFill>
    </fill>
    <fill>
      <patternFill patternType="solid">
        <fgColor rgb="FFF2F4F4"/>
      </patternFill>
    </fill>
    <fill>
      <patternFill patternType="solid">
        <fgColor rgb="FFDCE6F1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1F4E78"/>
      </left>
      <right style="medium">
        <color rgb="FF1F4E78"/>
      </right>
      <top style="medium">
        <color rgb="FF1F4E78"/>
      </top>
      <bottom style="medium">
        <color rgb="FF1F4E78"/>
      </bottom>
      <diagonal/>
    </border>
  </borders>
  <cellStyleXfs count="1">
    <xf numFmtId="0" fontId="0" fillId="0" borderId="1"/>
  </cellStyleXfs>
  <cellXfs count="120">
    <xf numFmtId="0" fontId="0" fillId="0" borderId="0" xfId="0" applyBorder="1"/>
    <xf numFmtId="0" fontId="0" fillId="0" borderId="0" xfId="0" applyBorder="1" applyAlignment="1">
      <alignment vertical="center"/>
    </xf>
    <xf numFmtId="0" fontId="0" fillId="6" borderId="2" xfId="0" applyFill="1" applyBorder="1"/>
    <xf numFmtId="0" fontId="4" fillId="5" borderId="2" xfId="0" applyFont="1" applyFill="1" applyBorder="1" applyAlignment="1">
      <alignment horizontal="center" vertical="center"/>
    </xf>
    <xf numFmtId="0" fontId="0" fillId="7" borderId="2" xfId="0" applyFill="1" applyBorder="1" applyAlignment="1">
      <alignment horizontal="left" vertical="center" wrapText="1"/>
    </xf>
    <xf numFmtId="0" fontId="0" fillId="8" borderId="2" xfId="0" applyFill="1" applyBorder="1" applyAlignment="1">
      <alignment horizontal="left" vertical="center" wrapText="1"/>
    </xf>
    <xf numFmtId="0" fontId="0" fillId="7" borderId="0" xfId="0" applyFill="1" applyBorder="1" applyAlignment="1">
      <alignment horizontal="left" vertical="center" wrapText="1"/>
    </xf>
    <xf numFmtId="0" fontId="0" fillId="10" borderId="2" xfId="0" applyFill="1" applyBorder="1"/>
    <xf numFmtId="0" fontId="4" fillId="9" borderId="2" xfId="0" applyFont="1" applyFill="1" applyBorder="1" applyAlignment="1">
      <alignment horizontal="center" vertical="center"/>
    </xf>
    <xf numFmtId="0" fontId="5" fillId="11" borderId="2" xfId="0" applyFont="1" applyFill="1" applyBorder="1" applyAlignment="1">
      <alignment horizontal="left" vertical="center"/>
    </xf>
    <xf numFmtId="1" fontId="0" fillId="11" borderId="2" xfId="0" applyNumberFormat="1" applyFill="1" applyBorder="1"/>
    <xf numFmtId="0" fontId="0" fillId="11" borderId="2" xfId="0" applyFill="1" applyBorder="1" applyAlignment="1">
      <alignment horizontal="left" vertical="center" wrapText="1"/>
    </xf>
    <xf numFmtId="0" fontId="0" fillId="11" borderId="0" xfId="0" applyFill="1" applyBorder="1"/>
    <xf numFmtId="0" fontId="0" fillId="11" borderId="2" xfId="0" applyFill="1" applyBorder="1" applyAlignment="1">
      <alignment horizontal="left" vertical="center"/>
    </xf>
    <xf numFmtId="0" fontId="5" fillId="10" borderId="2" xfId="0" applyFont="1" applyFill="1" applyBorder="1" applyAlignment="1">
      <alignment horizontal="left" vertical="center"/>
    </xf>
    <xf numFmtId="1" fontId="0" fillId="10" borderId="2" xfId="0" applyNumberFormat="1" applyFill="1" applyBorder="1"/>
    <xf numFmtId="0" fontId="0" fillId="10" borderId="2" xfId="0" applyFill="1" applyBorder="1" applyAlignment="1">
      <alignment horizontal="left" vertical="center" wrapText="1"/>
    </xf>
    <xf numFmtId="0" fontId="0" fillId="10" borderId="0" xfId="0" applyFill="1" applyBorder="1"/>
    <xf numFmtId="0" fontId="0" fillId="10" borderId="2" xfId="0" applyFill="1" applyBorder="1" applyAlignment="1">
      <alignment horizontal="left" vertical="center"/>
    </xf>
    <xf numFmtId="164" fontId="0" fillId="11" borderId="2" xfId="0" applyNumberFormat="1" applyFill="1" applyBorder="1"/>
    <xf numFmtId="165" fontId="0" fillId="10" borderId="2" xfId="0" applyNumberFormat="1" applyFill="1" applyBorder="1"/>
    <xf numFmtId="0" fontId="0" fillId="13" borderId="2" xfId="0" applyFill="1" applyBorder="1"/>
    <xf numFmtId="0" fontId="4" fillId="12" borderId="2" xfId="0" applyFont="1" applyFill="1" applyBorder="1" applyAlignment="1">
      <alignment horizontal="center" vertical="center"/>
    </xf>
    <xf numFmtId="0" fontId="0" fillId="14" borderId="2" xfId="0" applyFill="1" applyBorder="1" applyAlignment="1">
      <alignment horizontal="left" vertical="center"/>
    </xf>
    <xf numFmtId="164" fontId="0" fillId="14" borderId="2" xfId="0" applyNumberFormat="1" applyFill="1" applyBorder="1" applyAlignment="1">
      <alignment vertical="top"/>
    </xf>
    <xf numFmtId="165" fontId="0" fillId="14" borderId="2" xfId="0" applyNumberFormat="1" applyFill="1" applyBorder="1" applyAlignment="1">
      <alignment vertical="top"/>
    </xf>
    <xf numFmtId="0" fontId="0" fillId="13" borderId="2" xfId="0" applyFill="1" applyBorder="1" applyAlignment="1">
      <alignment horizontal="left" vertical="center"/>
    </xf>
    <xf numFmtId="164" fontId="0" fillId="13" borderId="2" xfId="0" applyNumberFormat="1" applyFill="1" applyBorder="1" applyAlignment="1">
      <alignment vertical="top"/>
    </xf>
    <xf numFmtId="165" fontId="0" fillId="13" borderId="2" xfId="0" applyNumberFormat="1" applyFill="1" applyBorder="1" applyAlignment="1">
      <alignment vertical="top"/>
    </xf>
    <xf numFmtId="0" fontId="0" fillId="16" borderId="2" xfId="0" applyFill="1" applyBorder="1"/>
    <xf numFmtId="0" fontId="4" fillId="15" borderId="2" xfId="0" applyFont="1" applyFill="1" applyBorder="1" applyAlignment="1">
      <alignment horizontal="center" vertical="center"/>
    </xf>
    <xf numFmtId="164" fontId="0" fillId="14" borderId="2" xfId="0" applyNumberFormat="1" applyFill="1" applyBorder="1"/>
    <xf numFmtId="165" fontId="0" fillId="14" borderId="2" xfId="0" applyNumberFormat="1" applyFill="1" applyBorder="1"/>
    <xf numFmtId="0" fontId="0" fillId="16" borderId="2" xfId="0" applyFill="1" applyBorder="1" applyAlignment="1">
      <alignment horizontal="left" vertical="center"/>
    </xf>
    <xf numFmtId="164" fontId="0" fillId="16" borderId="2" xfId="0" applyNumberFormat="1" applyFill="1" applyBorder="1"/>
    <xf numFmtId="165" fontId="0" fillId="16" borderId="2" xfId="0" applyNumberFormat="1" applyFill="1" applyBorder="1"/>
    <xf numFmtId="0" fontId="0" fillId="18" borderId="2" xfId="0" applyFill="1" applyBorder="1"/>
    <xf numFmtId="0" fontId="4" fillId="17" borderId="2" xfId="0" applyFont="1" applyFill="1" applyBorder="1" applyAlignment="1">
      <alignment horizontal="center" vertical="center"/>
    </xf>
    <xf numFmtId="165" fontId="0" fillId="14" borderId="2" xfId="0" applyNumberFormat="1" applyFill="1" applyBorder="1" applyAlignment="1">
      <alignment horizontal="left" vertical="center" wrapText="1"/>
    </xf>
    <xf numFmtId="164" fontId="0" fillId="14" borderId="2" xfId="0" applyNumberFormat="1" applyFill="1" applyBorder="1" applyAlignment="1">
      <alignment horizontal="left" vertical="center" wrapText="1"/>
    </xf>
    <xf numFmtId="1" fontId="0" fillId="14" borderId="2" xfId="0" applyNumberFormat="1" applyFill="1" applyBorder="1"/>
    <xf numFmtId="0" fontId="0" fillId="14" borderId="2" xfId="0" applyFill="1" applyBorder="1" applyAlignment="1">
      <alignment horizontal="left" vertical="center" wrapText="1"/>
    </xf>
    <xf numFmtId="0" fontId="0" fillId="14" borderId="0" xfId="0" applyFill="1" applyBorder="1"/>
    <xf numFmtId="1" fontId="0" fillId="14" borderId="2" xfId="0" applyNumberFormat="1" applyFill="1" applyBorder="1" applyAlignment="1">
      <alignment horizontal="left" vertical="center" wrapText="1"/>
    </xf>
    <xf numFmtId="0" fontId="0" fillId="18" borderId="2" xfId="0" applyFill="1" applyBorder="1" applyAlignment="1">
      <alignment horizontal="left" vertical="center"/>
    </xf>
    <xf numFmtId="164" fontId="0" fillId="18" borderId="2" xfId="0" applyNumberFormat="1" applyFill="1" applyBorder="1"/>
    <xf numFmtId="165" fontId="0" fillId="18" borderId="2" xfId="0" applyNumberFormat="1" applyFill="1" applyBorder="1"/>
    <xf numFmtId="165" fontId="0" fillId="18" borderId="2" xfId="0" applyNumberFormat="1" applyFill="1" applyBorder="1" applyAlignment="1">
      <alignment horizontal="left" vertical="center" wrapText="1"/>
    </xf>
    <xf numFmtId="164" fontId="0" fillId="18" borderId="2" xfId="0" applyNumberFormat="1" applyFill="1" applyBorder="1" applyAlignment="1">
      <alignment horizontal="left" vertical="center" wrapText="1"/>
    </xf>
    <xf numFmtId="1" fontId="0" fillId="18" borderId="2" xfId="0" applyNumberFormat="1" applyFill="1" applyBorder="1"/>
    <xf numFmtId="0" fontId="0" fillId="18" borderId="2" xfId="0" applyFill="1" applyBorder="1" applyAlignment="1">
      <alignment horizontal="left" vertical="center" wrapText="1"/>
    </xf>
    <xf numFmtId="0" fontId="0" fillId="18" borderId="0" xfId="0" applyFill="1" applyBorder="1"/>
    <xf numFmtId="1" fontId="0" fillId="18" borderId="2" xfId="0" applyNumberFormat="1" applyFill="1" applyBorder="1" applyAlignment="1">
      <alignment horizontal="left" vertical="center" wrapText="1"/>
    </xf>
    <xf numFmtId="0" fontId="0" fillId="20" borderId="2" xfId="0" applyFill="1" applyBorder="1"/>
    <xf numFmtId="0" fontId="4" fillId="1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 vertical="center"/>
    </xf>
    <xf numFmtId="164" fontId="0" fillId="20" borderId="2" xfId="0" applyNumberFormat="1" applyFill="1" applyBorder="1"/>
    <xf numFmtId="165" fontId="0" fillId="20" borderId="2" xfId="0" applyNumberFormat="1" applyFill="1" applyBorder="1"/>
    <xf numFmtId="1" fontId="0" fillId="20" borderId="2" xfId="0" applyNumberFormat="1" applyFill="1" applyBorder="1"/>
    <xf numFmtId="0" fontId="0" fillId="20" borderId="2" xfId="0" applyFill="1" applyBorder="1" applyAlignment="1">
      <alignment horizontal="left" vertical="center" wrapText="1"/>
    </xf>
    <xf numFmtId="0" fontId="0" fillId="22" borderId="2" xfId="0" applyFill="1" applyBorder="1"/>
    <xf numFmtId="0" fontId="4" fillId="21" borderId="2" xfId="0" applyFont="1" applyFill="1" applyBorder="1" applyAlignment="1">
      <alignment horizontal="center" vertical="center"/>
    </xf>
    <xf numFmtId="3" fontId="0" fillId="11" borderId="2" xfId="0" applyNumberFormat="1" applyFill="1" applyBorder="1"/>
    <xf numFmtId="0" fontId="0" fillId="11" borderId="2" xfId="0" applyFill="1" applyBorder="1"/>
    <xf numFmtId="165" fontId="0" fillId="11" borderId="2" xfId="0" applyNumberFormat="1" applyFill="1" applyBorder="1" applyAlignment="1">
      <alignment horizontal="left" vertical="center" wrapText="1"/>
    </xf>
    <xf numFmtId="0" fontId="5" fillId="22" borderId="2" xfId="0" applyFont="1" applyFill="1" applyBorder="1" applyAlignment="1">
      <alignment horizontal="left" vertical="center"/>
    </xf>
    <xf numFmtId="3" fontId="0" fillId="22" borderId="2" xfId="0" applyNumberFormat="1" applyFill="1" applyBorder="1"/>
    <xf numFmtId="0" fontId="0" fillId="22" borderId="2" xfId="0" applyFill="1" applyBorder="1" applyAlignment="1">
      <alignment horizontal="left" vertical="center"/>
    </xf>
    <xf numFmtId="0" fontId="0" fillId="22" borderId="0" xfId="0" applyFill="1" applyBorder="1"/>
    <xf numFmtId="165" fontId="0" fillId="22" borderId="2" xfId="0" applyNumberFormat="1" applyFill="1" applyBorder="1" applyAlignment="1">
      <alignment horizontal="left" vertical="center" wrapText="1"/>
    </xf>
    <xf numFmtId="3" fontId="0" fillId="11" borderId="2" xfId="0" applyNumberFormat="1" applyFill="1" applyBorder="1" applyAlignment="1">
      <alignment horizontal="left" vertical="center" wrapText="1"/>
    </xf>
    <xf numFmtId="3" fontId="0" fillId="22" borderId="2" xfId="0" applyNumberFormat="1" applyFill="1" applyBorder="1" applyAlignment="1">
      <alignment horizontal="left" vertical="center" wrapText="1"/>
    </xf>
    <xf numFmtId="166" fontId="0" fillId="22" borderId="2" xfId="0" applyNumberFormat="1" applyFill="1" applyBorder="1"/>
    <xf numFmtId="165" fontId="0" fillId="22" borderId="2" xfId="0" applyNumberFormat="1" applyFill="1" applyBorder="1"/>
    <xf numFmtId="0" fontId="1" fillId="22" borderId="2" xfId="0" applyFont="1" applyFill="1" applyBorder="1" applyAlignment="1">
      <alignment horizontal="left" vertical="center"/>
    </xf>
    <xf numFmtId="0" fontId="0" fillId="22" borderId="2" xfId="0" applyFill="1" applyBorder="1" applyAlignment="1">
      <alignment horizontal="left" vertical="center" wrapText="1"/>
    </xf>
    <xf numFmtId="0" fontId="0" fillId="24" borderId="2" xfId="0" applyFill="1" applyBorder="1"/>
    <xf numFmtId="0" fontId="4" fillId="23" borderId="2" xfId="0" applyFont="1" applyFill="1" applyBorder="1" applyAlignment="1">
      <alignment horizontal="center" vertical="center"/>
    </xf>
    <xf numFmtId="0" fontId="0" fillId="24" borderId="2" xfId="0" applyFill="1" applyBorder="1" applyAlignment="1">
      <alignment horizontal="left" vertical="center"/>
    </xf>
    <xf numFmtId="164" fontId="0" fillId="24" borderId="2" xfId="0" applyNumberFormat="1" applyFill="1" applyBorder="1"/>
    <xf numFmtId="165" fontId="0" fillId="24" borderId="2" xfId="0" applyNumberFormat="1" applyFill="1" applyBorder="1"/>
    <xf numFmtId="0" fontId="0" fillId="26" borderId="2" xfId="0" applyFill="1" applyBorder="1"/>
    <xf numFmtId="0" fontId="4" fillId="25" borderId="2" xfId="0" applyFont="1" applyFill="1" applyBorder="1" applyAlignment="1">
      <alignment horizontal="center" vertical="center"/>
    </xf>
    <xf numFmtId="0" fontId="5" fillId="11" borderId="2" xfId="0" applyFont="1" applyFill="1" applyBorder="1" applyAlignment="1">
      <alignment wrapText="1"/>
    </xf>
    <xf numFmtId="0" fontId="5" fillId="26" borderId="2" xfId="0" applyFont="1" applyFill="1" applyBorder="1" applyAlignment="1">
      <alignment wrapText="1"/>
    </xf>
    <xf numFmtId="0" fontId="0" fillId="26" borderId="2" xfId="0" applyFill="1" applyBorder="1" applyAlignment="1">
      <alignment horizontal="left" vertical="center"/>
    </xf>
    <xf numFmtId="0" fontId="0" fillId="26" borderId="2" xfId="0" applyFill="1" applyBorder="1" applyAlignment="1">
      <alignment horizontal="left" vertical="center" wrapText="1"/>
    </xf>
    <xf numFmtId="0" fontId="4" fillId="2" borderId="2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2" xfId="0" applyBorder="1" applyAlignment="1">
      <alignment vertical="center"/>
    </xf>
    <xf numFmtId="165" fontId="0" fillId="0" borderId="2" xfId="0" applyNumberFormat="1" applyBorder="1" applyAlignment="1">
      <alignment vertical="center"/>
    </xf>
    <xf numFmtId="0" fontId="0" fillId="0" borderId="2" xfId="0" applyBorder="1" applyAlignment="1">
      <alignment horizontal="left" vertical="center" wrapText="1"/>
    </xf>
    <xf numFmtId="0" fontId="3" fillId="23" borderId="2" xfId="0" applyFont="1" applyFill="1" applyBorder="1" applyAlignment="1">
      <alignment horizontal="left" vertical="center" wrapText="1"/>
    </xf>
    <xf numFmtId="0" fontId="4" fillId="23" borderId="2" xfId="0" applyFont="1" applyFill="1" applyBorder="1"/>
    <xf numFmtId="0" fontId="3" fillId="5" borderId="2" xfId="0" applyFont="1" applyFill="1" applyBorder="1" applyAlignment="1">
      <alignment horizontal="left" vertical="center" wrapText="1"/>
    </xf>
    <xf numFmtId="0" fontId="4" fillId="5" borderId="2" xfId="0" applyFont="1" applyFill="1" applyBorder="1"/>
    <xf numFmtId="0" fontId="3" fillId="9" borderId="2" xfId="0" applyFont="1" applyFill="1" applyBorder="1" applyAlignment="1">
      <alignment horizontal="left" vertical="center" wrapText="1"/>
    </xf>
    <xf numFmtId="0" fontId="4" fillId="9" borderId="2" xfId="0" applyFont="1" applyFill="1" applyBorder="1"/>
    <xf numFmtId="0" fontId="3" fillId="12" borderId="2" xfId="0" applyFont="1" applyFill="1" applyBorder="1" applyAlignment="1">
      <alignment horizontal="left" vertical="center" wrapText="1"/>
    </xf>
    <xf numFmtId="0" fontId="4" fillId="12" borderId="2" xfId="0" applyFont="1" applyFill="1" applyBorder="1"/>
    <xf numFmtId="0" fontId="3" fillId="15" borderId="2" xfId="0" applyFont="1" applyFill="1" applyBorder="1" applyAlignment="1">
      <alignment horizontal="left" vertical="center" wrapText="1"/>
    </xf>
    <xf numFmtId="0" fontId="4" fillId="15" borderId="2" xfId="0" applyFont="1" applyFill="1" applyBorder="1"/>
    <xf numFmtId="0" fontId="3" fillId="17" borderId="2" xfId="0" applyFont="1" applyFill="1" applyBorder="1" applyAlignment="1">
      <alignment horizontal="left" vertical="center" wrapText="1"/>
    </xf>
    <xf numFmtId="0" fontId="4" fillId="17" borderId="2" xfId="0" applyFont="1" applyFill="1" applyBorder="1"/>
    <xf numFmtId="0" fontId="3" fillId="19" borderId="2" xfId="0" applyFont="1" applyFill="1" applyBorder="1" applyAlignment="1">
      <alignment horizontal="left" vertical="center" wrapText="1"/>
    </xf>
    <xf numFmtId="0" fontId="4" fillId="19" borderId="2" xfId="0" applyFont="1" applyFill="1" applyBorder="1"/>
    <xf numFmtId="0" fontId="5" fillId="11" borderId="2" xfId="0" applyFont="1" applyFill="1" applyBorder="1" applyAlignment="1">
      <alignment horizontal="left" vertical="center" wrapText="1"/>
    </xf>
    <xf numFmtId="0" fontId="0" fillId="11" borderId="1" xfId="0" applyFill="1"/>
    <xf numFmtId="0" fontId="3" fillId="21" borderId="2" xfId="0" applyFont="1" applyFill="1" applyBorder="1" applyAlignment="1">
      <alignment horizontal="left" vertical="center" wrapText="1"/>
    </xf>
    <xf numFmtId="0" fontId="4" fillId="21" borderId="2" xfId="0" applyFont="1" applyFill="1" applyBorder="1"/>
    <xf numFmtId="0" fontId="3" fillId="25" borderId="2" xfId="0" applyFont="1" applyFill="1" applyBorder="1" applyAlignment="1">
      <alignment horizontal="left" vertical="center" wrapText="1"/>
    </xf>
    <xf numFmtId="0" fontId="4" fillId="25" borderId="2" xfId="0" applyFont="1" applyFill="1" applyBorder="1"/>
    <xf numFmtId="0" fontId="7" fillId="27" borderId="3" xfId="0" applyFont="1" applyFill="1" applyBorder="1" applyAlignment="1">
      <alignment horizontal="center" vertical="center"/>
    </xf>
    <xf numFmtId="0" fontId="0" fillId="0" borderId="1" xfId="0"/>
    <xf numFmtId="0" fontId="3" fillId="2" borderId="2" xfId="0" applyFont="1" applyFill="1" applyBorder="1" applyAlignment="1">
      <alignment horizontal="left" vertical="center" wrapText="1"/>
    </xf>
    <xf numFmtId="0" fontId="4" fillId="2" borderId="2" xfId="0" applyFont="1" applyFill="1" applyBorder="1"/>
    <xf numFmtId="0" fontId="2" fillId="4" borderId="2" xfId="0" applyFont="1" applyFill="1" applyBorder="1" applyAlignment="1">
      <alignment horizontal="left" vertical="center"/>
    </xf>
    <xf numFmtId="0" fontId="6" fillId="27" borderId="2" xfId="0" applyFont="1" applyFill="1" applyBorder="1" applyAlignment="1">
      <alignment horizontal="left" vertical="center" wrapText="1"/>
    </xf>
    <xf numFmtId="0" fontId="0" fillId="27" borderId="2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Count</c:v>
          </c:tx>
          <c:spPr>
            <a:ln>
              <a:prstDash val="solid"/>
            </a:ln>
          </c:spPr>
          <c:invertIfNegative val="1"/>
          <c:cat>
            <c:strRef>
              <c:f>Dashboard!$A$12:$A$14</c:f>
              <c:strCache>
                <c:ptCount val="3"/>
                <c:pt idx="0">
                  <c:v>Matched</c:v>
                </c:pt>
                <c:pt idx="1">
                  <c:v>Review</c:v>
                </c:pt>
                <c:pt idx="2">
                  <c:v>Unmatched ERP</c:v>
                </c:pt>
              </c:strCache>
            </c:strRef>
          </c:cat>
          <c:val>
            <c:numRef>
              <c:f>Dashboard!$B$12:$B$14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2C3-4982-A378-C57C369053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Open Amount</c:v>
          </c:tx>
          <c:spPr>
            <a:ln>
              <a:prstDash val="solid"/>
            </a:ln>
          </c:spPr>
          <c:invertIfNegative val="1"/>
          <c:cat>
            <c:strRef>
              <c:f>Dashboard!$D$12:$D$16</c:f>
              <c:strCache>
                <c:ptCount val="5"/>
                <c:pt idx="0">
                  <c:v>Current</c:v>
                </c:pt>
                <c:pt idx="1">
                  <c:v>1-30</c:v>
                </c:pt>
                <c:pt idx="2">
                  <c:v>31-60</c:v>
                </c:pt>
                <c:pt idx="3">
                  <c:v>61-90</c:v>
                </c:pt>
                <c:pt idx="4">
                  <c:v>90+</c:v>
                </c:pt>
              </c:strCache>
            </c:strRef>
          </c:cat>
          <c:val>
            <c:numRef>
              <c:f>Dashboard!$E$12:$E$16</c:f>
              <c:numCache>
                <c:formatCode>\$#,##0.00;[Red]\-\$#,##0.00</c:formatCode>
                <c:ptCount val="5"/>
                <c:pt idx="0">
                  <c:v>618175.07999999984</c:v>
                </c:pt>
                <c:pt idx="1">
                  <c:v>364527.08000000007</c:v>
                </c:pt>
                <c:pt idx="2">
                  <c:v>237433.66000000003</c:v>
                </c:pt>
                <c:pt idx="3">
                  <c:v>77430.94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2D-4C18-989D-03AE936B22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;;" sourceLinked="0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;;" sourceLinked="0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/>
      <c:pieChart>
        <c:varyColors val="1"/>
        <c:ser>
          <c:idx val="0"/>
          <c:order val="0"/>
          <c:tx>
            <c:v>Risk Count</c:v>
          </c:tx>
          <c:spPr>
            <a:ln>
              <a:prstDash val="solid"/>
            </a:ln>
          </c:spPr>
          <c:cat>
            <c:strRef>
              <c:f>Dashboard!$D$31:$D$34</c:f>
              <c:strCache>
                <c:ptCount val="4"/>
                <c:pt idx="0">
                  <c:v>Closed</c:v>
                </c:pt>
                <c:pt idx="1">
                  <c:v>High Risk</c:v>
                </c:pt>
                <c:pt idx="2">
                  <c:v>Monitor</c:v>
                </c:pt>
                <c:pt idx="3">
                  <c:v>Normal</c:v>
                </c:pt>
              </c:strCache>
            </c:strRef>
          </c:cat>
          <c:val>
            <c:numRef>
              <c:f>Dashboard!$E$31:$E$34</c:f>
              <c:numCache>
                <c:formatCode>General</c:formatCode>
                <c:ptCount val="4"/>
                <c:pt idx="0">
                  <c:v>25</c:v>
                </c:pt>
                <c:pt idx="1">
                  <c:v>118</c:v>
                </c:pt>
                <c:pt idx="2">
                  <c:v>15</c:v>
                </c:pt>
                <c:pt idx="3">
                  <c:v>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4FB-4D4C-906B-942086453A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</c:plotArea>
    <c:legend>
      <c:legendPos val="b"/>
      <c:overlay val="0"/>
    </c:legend>
    <c:plotVisOnly val="1"/>
    <c:dispBlanksAs val="gap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22</xdr:row>
      <xdr:rowOff>0</xdr:rowOff>
    </xdr:from>
    <xdr:to>
      <xdr:col>3</xdr:col>
      <xdr:colOff>0</xdr:colOff>
      <xdr:row>29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16</xdr:row>
      <xdr:rowOff>0</xdr:rowOff>
    </xdr:from>
    <xdr:to>
      <xdr:col>7</xdr:col>
      <xdr:colOff>0</xdr:colOff>
      <xdr:row>29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0</xdr:colOff>
      <xdr:row>3</xdr:row>
      <xdr:rowOff>0</xdr:rowOff>
    </xdr:from>
    <xdr:to>
      <xdr:col>7</xdr:col>
      <xdr:colOff>0</xdr:colOff>
      <xdr:row>10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ReadmeTable" displayName="ReadmeTable" ref="A3:C22">
  <tableColumns count="3">
    <tableColumn id="1" xr3:uid="{00000000-0010-0000-0000-000001000000}" name="Section"/>
    <tableColumn id="2" xr3:uid="{00000000-0010-0000-0000-000002000000}" name="Simple explanation"/>
    <tableColumn id="3" xr3:uid="{00000000-0010-0000-0000-000003000000}" name="Why it matter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ERPTransactionsTable" displayName="ERPTransactionsTable" ref="A3:M503">
  <tableColumns count="13">
    <tableColumn id="1" xr3:uid="{00000000-0010-0000-0100-000001000000}" name="Txn_ID"/>
    <tableColumn id="2" xr3:uid="{00000000-0010-0000-0100-000002000000}" name="Txn_Date"/>
    <tableColumn id="3" xr3:uid="{00000000-0010-0000-0100-000003000000}" name="Period"/>
    <tableColumn id="4" xr3:uid="{00000000-0010-0000-0100-000004000000}" name="Module"/>
    <tableColumn id="5" xr3:uid="{00000000-0010-0000-0100-000005000000}" name="Vendor_Customer"/>
    <tableColumn id="6" xr3:uid="{00000000-0010-0000-0100-000006000000}" name="Description"/>
    <tableColumn id="7" xr3:uid="{00000000-0010-0000-0100-000007000000}" name="Reference_No"/>
    <tableColumn id="8" xr3:uid="{00000000-0010-0000-0100-000008000000}" name="Debit"/>
    <tableColumn id="9" xr3:uid="{00000000-0010-0000-0100-000009000000}" name="Credit"/>
    <tableColumn id="10" xr3:uid="{00000000-0010-0000-0100-00000A000000}" name="Net_Amount"/>
    <tableColumn id="11" xr3:uid="{00000000-0010-0000-0100-00000B000000}" name="Payment_Method"/>
    <tableColumn id="12" xr3:uid="{00000000-0010-0000-0100-00000C000000}" name="Cost_Center"/>
    <tableColumn id="13" xr3:uid="{00000000-0010-0000-0100-00000D000000}" name="GL_Accoun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BankStatementTable" displayName="BankStatementTable" ref="A3:H448">
  <tableColumns count="8">
    <tableColumn id="1" xr3:uid="{00000000-0010-0000-0200-000001000000}" name="Bank_ID"/>
    <tableColumn id="2" xr3:uid="{00000000-0010-0000-0200-000002000000}" name="Bank_Date"/>
    <tableColumn id="3" xr3:uid="{00000000-0010-0000-0200-000003000000}" name="Bank_Description"/>
    <tableColumn id="4" xr3:uid="{00000000-0010-0000-0200-000004000000}" name="Reference_No"/>
    <tableColumn id="5" xr3:uid="{00000000-0010-0000-0200-000005000000}" name="Deposit"/>
    <tableColumn id="6" xr3:uid="{00000000-0010-0000-0200-000006000000}" name="Withdrawal"/>
    <tableColumn id="7" xr3:uid="{00000000-0010-0000-0200-000007000000}" name="Bank_Net"/>
    <tableColumn id="8" xr3:uid="{00000000-0010-0000-0200-000008000000}" name="Bank_Statu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ReconciliationTable" displayName="ReconciliationTable" ref="A3:S503">
  <tableColumns count="19">
    <tableColumn id="1" xr3:uid="{00000000-0010-0000-0300-000001000000}" name="Txn_ID"/>
    <tableColumn id="2" xr3:uid="{00000000-0010-0000-0300-000002000000}" name="Txn_Date"/>
    <tableColumn id="3" xr3:uid="{00000000-0010-0000-0300-000003000000}" name="Module"/>
    <tableColumn id="4" xr3:uid="{00000000-0010-0000-0300-000004000000}" name="Vendor_Customer"/>
    <tableColumn id="5" xr3:uid="{00000000-0010-0000-0300-000005000000}" name="Reference_No"/>
    <tableColumn id="6" xr3:uid="{00000000-0010-0000-0300-000006000000}" name="ERP_Amount"/>
    <tableColumn id="7" xr3:uid="{00000000-0010-0000-0300-000007000000}" name="Bank_Amount"/>
    <tableColumn id="8" xr3:uid="{00000000-0010-0000-0300-000008000000}" name="Amount_Difference"/>
    <tableColumn id="9" xr3:uid="{00000000-0010-0000-0300-000009000000}" name="Bank_Date"/>
    <tableColumn id="10" xr3:uid="{00000000-0010-0000-0300-00000A000000}" name="Date_Difference"/>
    <tableColumn id="11" xr3:uid="{00000000-0010-0000-0300-00000B000000}" name="Reconciliation_Status"/>
    <tableColumn id="12" xr3:uid="{00000000-0010-0000-0300-00000C000000}" name="Exception_Type"/>
    <tableColumn id="13" xr3:uid="{00000000-0010-0000-0300-00000D000000}" name="Priority"/>
    <tableColumn id="14" xr3:uid="{00000000-0010-0000-0300-00000E000000}" name="Suggested_Action"/>
    <tableColumn id="15" xr3:uid="{00000000-0010-0000-0300-00000F000000}" name="GL_Account"/>
    <tableColumn id="16" xr3:uid="{00000000-0010-0000-0300-000010000000}" name="Owner"/>
    <tableColumn id="17" xr3:uid="{00000000-0010-0000-0300-000011000000}" name="Reviewed?"/>
    <tableColumn id="18" xr3:uid="{00000000-0010-0000-0300-000012000000}" name="Review_Notes"/>
    <tableColumn id="19" xr3:uid="{00000000-0010-0000-0300-000013000000}" name="Days_To_Clos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OpenInvoicesTable" displayName="OpenInvoicesTable" ref="A3:N223">
  <tableColumns count="14">
    <tableColumn id="1" xr3:uid="{00000000-0010-0000-0400-000001000000}" name="Invoice_ID"/>
    <tableColumn id="2" xr3:uid="{00000000-0010-0000-0400-000002000000}" name="Type"/>
    <tableColumn id="3" xr3:uid="{00000000-0010-0000-0400-000003000000}" name="Customer_Vendor"/>
    <tableColumn id="4" xr3:uid="{00000000-0010-0000-0400-000004000000}" name="Invoice_Date"/>
    <tableColumn id="5" xr3:uid="{00000000-0010-0000-0400-000005000000}" name="Due_Date"/>
    <tableColumn id="6" xr3:uid="{00000000-0010-0000-0400-000006000000}" name="Original_Amount"/>
    <tableColumn id="7" xr3:uid="{00000000-0010-0000-0400-000007000000}" name="Paid_Amount"/>
    <tableColumn id="8" xr3:uid="{00000000-0010-0000-0400-000008000000}" name="Open_Amount"/>
    <tableColumn id="9" xr3:uid="{00000000-0010-0000-0400-000009000000}" name="Days_Overdue"/>
    <tableColumn id="10" xr3:uid="{00000000-0010-0000-0400-00000A000000}" name="Aging_Bucket"/>
    <tableColumn id="11" xr3:uid="{00000000-0010-0000-0400-00000B000000}" name="Owner"/>
    <tableColumn id="12" xr3:uid="{00000000-0010-0000-0400-00000C000000}" name="Status"/>
    <tableColumn id="13" xr3:uid="{00000000-0010-0000-0400-00000D000000}" name="Risk_Level"/>
    <tableColumn id="14" xr3:uid="{00000000-0010-0000-0400-00000E000000}" name="Next_Action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ExceptionLogTable" displayName="ExceptionLogTable" ref="A3:J83">
  <tableColumns count="10">
    <tableColumn id="1" xr3:uid="{00000000-0010-0000-0500-000001000000}" name="Exception_ID"/>
    <tableColumn id="2" xr3:uid="{00000000-0010-0000-0500-000002000000}" name="Source"/>
    <tableColumn id="3" xr3:uid="{00000000-0010-0000-0500-000003000000}" name="Reference_No"/>
    <tableColumn id="4" xr3:uid="{00000000-0010-0000-0500-000004000000}" name="Date"/>
    <tableColumn id="5" xr3:uid="{00000000-0010-0000-0500-000005000000}" name="Name"/>
    <tableColumn id="6" xr3:uid="{00000000-0010-0000-0500-000006000000}" name="Amount"/>
    <tableColumn id="7" xr3:uid="{00000000-0010-0000-0500-000007000000}" name="Exception_Type"/>
    <tableColumn id="8" xr3:uid="{00000000-0010-0000-0500-000008000000}" name="Priority"/>
    <tableColumn id="9" xr3:uid="{00000000-0010-0000-0500-000009000000}" name="Owner"/>
    <tableColumn id="10" xr3:uid="{00000000-0010-0000-0500-00000A000000}" name="Suggested_Act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PowerQueryBlueprintTable" displayName="PowerQueryBlueprintTable" ref="A3:F10">
  <tableColumns count="6">
    <tableColumn id="1" xr3:uid="{00000000-0010-0000-0600-000001000000}" name="Step"/>
    <tableColumn id="2" xr3:uid="{00000000-0010-0000-0600-000002000000}" name="Query Name"/>
    <tableColumn id="3" xr3:uid="{00000000-0010-0000-0600-000003000000}" name="Source"/>
    <tableColumn id="4" xr3:uid="{00000000-0010-0000-0600-000004000000}" name="Action"/>
    <tableColumn id="5" xr3:uid="{00000000-0010-0000-0600-000005000000}" name="Output"/>
    <tableColumn id="6" xr3:uid="{00000000-0010-0000-0600-000006000000}" name="Simple explana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E8B57"/>
  </sheetPr>
  <dimension ref="A1:C22"/>
  <sheetViews>
    <sheetView workbookViewId="0">
      <pane ySplit="3" topLeftCell="A4" activePane="bottomLeft" state="frozen"/>
      <selection pane="bottomLeft" sqref="A1:C1"/>
    </sheetView>
  </sheetViews>
  <sheetFormatPr defaultRowHeight="13.8"/>
  <cols>
    <col min="1" max="3" width="28" customWidth="1"/>
  </cols>
  <sheetData>
    <row r="1" spans="1:3" ht="24" customHeight="1">
      <c r="A1" s="95" t="s">
        <v>0</v>
      </c>
      <c r="B1" s="96"/>
      <c r="C1" s="96"/>
    </row>
    <row r="2" spans="1:3" ht="22.05" customHeight="1">
      <c r="A2" s="2"/>
      <c r="B2" s="2"/>
      <c r="C2" s="2"/>
    </row>
    <row r="3" spans="1:3" ht="22.05" customHeight="1">
      <c r="A3" s="3" t="s">
        <v>1</v>
      </c>
      <c r="B3" s="3" t="s">
        <v>2</v>
      </c>
      <c r="C3" s="3" t="s">
        <v>3</v>
      </c>
    </row>
    <row r="4" spans="1:3" ht="69">
      <c r="A4" s="4" t="s">
        <v>4</v>
      </c>
      <c r="B4" s="4" t="s">
        <v>5</v>
      </c>
      <c r="C4" s="4" t="s">
        <v>6</v>
      </c>
    </row>
    <row r="5" spans="1:3" ht="69">
      <c r="A5" s="5" t="s">
        <v>7</v>
      </c>
      <c r="B5" s="5" t="s">
        <v>8</v>
      </c>
      <c r="C5" s="5" t="s">
        <v>9</v>
      </c>
    </row>
    <row r="6" spans="1:3" ht="69">
      <c r="A6" s="4" t="s">
        <v>10</v>
      </c>
      <c r="B6" s="4" t="s">
        <v>11</v>
      </c>
      <c r="C6" s="4" t="s">
        <v>12</v>
      </c>
    </row>
    <row r="7" spans="1:3" ht="69">
      <c r="A7" s="5" t="s">
        <v>13</v>
      </c>
      <c r="B7" s="5" t="s">
        <v>14</v>
      </c>
      <c r="C7" s="5" t="s">
        <v>15</v>
      </c>
    </row>
    <row r="8" spans="1:3" ht="55.2">
      <c r="A8" s="4" t="s">
        <v>16</v>
      </c>
      <c r="B8" s="4" t="s">
        <v>17</v>
      </c>
      <c r="C8" s="4" t="s">
        <v>18</v>
      </c>
    </row>
    <row r="9" spans="1:3" ht="55.2">
      <c r="A9" s="5" t="s">
        <v>19</v>
      </c>
      <c r="B9" s="5" t="s">
        <v>20</v>
      </c>
      <c r="C9" s="5" t="s">
        <v>21</v>
      </c>
    </row>
    <row r="10" spans="1:3" ht="41.4">
      <c r="A10" s="4" t="s">
        <v>22</v>
      </c>
      <c r="B10" s="4" t="s">
        <v>23</v>
      </c>
      <c r="C10" s="4" t="s">
        <v>24</v>
      </c>
    </row>
    <row r="11" spans="1:3" ht="55.2">
      <c r="A11" s="5" t="s">
        <v>25</v>
      </c>
      <c r="B11" s="5" t="s">
        <v>26</v>
      </c>
      <c r="C11" s="5" t="s">
        <v>27</v>
      </c>
    </row>
    <row r="12" spans="1:3" ht="55.2">
      <c r="A12" s="4" t="s">
        <v>28</v>
      </c>
      <c r="B12" s="4" t="s">
        <v>29</v>
      </c>
      <c r="C12" s="4" t="s">
        <v>30</v>
      </c>
    </row>
    <row r="13" spans="1:3" ht="55.2">
      <c r="A13" s="5" t="s">
        <v>31</v>
      </c>
      <c r="B13" s="5" t="s">
        <v>32</v>
      </c>
      <c r="C13" s="5" t="s">
        <v>33</v>
      </c>
    </row>
    <row r="14" spans="1:3" ht="41.4">
      <c r="A14" s="4" t="s">
        <v>34</v>
      </c>
      <c r="B14" s="4" t="s">
        <v>35</v>
      </c>
      <c r="C14" s="4" t="s">
        <v>36</v>
      </c>
    </row>
    <row r="15" spans="1:3" ht="41.4">
      <c r="A15" s="5" t="s">
        <v>37</v>
      </c>
      <c r="B15" s="5" t="s">
        <v>38</v>
      </c>
      <c r="C15" s="5" t="s">
        <v>39</v>
      </c>
    </row>
    <row r="16" spans="1:3" ht="41.4">
      <c r="A16" s="4" t="s">
        <v>40</v>
      </c>
      <c r="B16" s="4" t="s">
        <v>41</v>
      </c>
      <c r="C16" s="4" t="s">
        <v>42</v>
      </c>
    </row>
    <row r="17" spans="1:3" ht="55.2">
      <c r="A17" s="5" t="s">
        <v>43</v>
      </c>
      <c r="B17" s="5" t="s">
        <v>44</v>
      </c>
      <c r="C17" s="5" t="s">
        <v>45</v>
      </c>
    </row>
    <row r="18" spans="1:3" ht="55.2">
      <c r="A18" s="4" t="s">
        <v>46</v>
      </c>
      <c r="B18" s="4" t="s">
        <v>47</v>
      </c>
      <c r="C18" s="4" t="s">
        <v>48</v>
      </c>
    </row>
    <row r="19" spans="1:3" ht="69">
      <c r="A19" s="5" t="s">
        <v>49</v>
      </c>
      <c r="B19" s="5" t="s">
        <v>50</v>
      </c>
      <c r="C19" s="5" t="s">
        <v>51</v>
      </c>
    </row>
    <row r="20" spans="1:3" ht="55.2">
      <c r="A20" s="4" t="s">
        <v>52</v>
      </c>
      <c r="B20" s="4" t="s">
        <v>53</v>
      </c>
      <c r="C20" s="4" t="s">
        <v>54</v>
      </c>
    </row>
    <row r="21" spans="1:3" ht="69">
      <c r="A21" s="5" t="s">
        <v>55</v>
      </c>
      <c r="B21" s="5" t="s">
        <v>56</v>
      </c>
      <c r="C21" s="5" t="s">
        <v>57</v>
      </c>
    </row>
    <row r="22" spans="1:3">
      <c r="A22" s="6"/>
      <c r="B22" s="6"/>
      <c r="C22" s="6"/>
    </row>
  </sheetData>
  <mergeCells count="1">
    <mergeCell ref="A1:C1"/>
  </mergeCell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67E22"/>
  </sheetPr>
  <dimension ref="A1:L8"/>
  <sheetViews>
    <sheetView workbookViewId="0">
      <pane ySplit="3" topLeftCell="A4" activePane="bottomLeft" state="frozen"/>
      <selection pane="bottomLeft" sqref="A1:L1"/>
    </sheetView>
  </sheetViews>
  <sheetFormatPr defaultRowHeight="13.8"/>
  <cols>
    <col min="1" max="1" width="28" customWidth="1"/>
    <col min="2" max="2" width="21" customWidth="1"/>
    <col min="3" max="3" width="28" customWidth="1"/>
    <col min="4" max="4" width="18" customWidth="1"/>
    <col min="5" max="5" width="11" customWidth="1"/>
    <col min="6" max="6" width="14" customWidth="1"/>
    <col min="7" max="7" width="16" customWidth="1"/>
    <col min="8" max="8" width="10" customWidth="1"/>
    <col min="9" max="9" width="19" customWidth="1"/>
    <col min="10" max="10" width="14" customWidth="1"/>
    <col min="11" max="11" width="23" customWidth="1"/>
    <col min="12" max="12" width="12" customWidth="1"/>
  </cols>
  <sheetData>
    <row r="1" spans="1:12" ht="24" customHeight="1">
      <c r="A1" s="97" t="s">
        <v>58</v>
      </c>
      <c r="B1" s="98"/>
      <c r="C1" s="98"/>
      <c r="D1" s="98"/>
      <c r="E1" s="98"/>
      <c r="F1" s="98"/>
      <c r="G1" s="98"/>
      <c r="H1" s="98"/>
      <c r="I1" s="98"/>
      <c r="J1" s="98"/>
      <c r="K1" s="98"/>
      <c r="L1" s="98"/>
    </row>
    <row r="2" spans="1:12" ht="22.05" customHeight="1">
      <c r="A2" s="7"/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3" spans="1:12" ht="22.05" customHeight="1">
      <c r="A3" s="8" t="s">
        <v>59</v>
      </c>
      <c r="B3" s="8" t="s">
        <v>60</v>
      </c>
      <c r="C3" s="8" t="s">
        <v>61</v>
      </c>
      <c r="D3" s="8"/>
      <c r="E3" s="8" t="s">
        <v>62</v>
      </c>
      <c r="F3" s="8" t="s">
        <v>63</v>
      </c>
      <c r="G3" s="8" t="s">
        <v>64</v>
      </c>
      <c r="H3" s="8" t="s">
        <v>65</v>
      </c>
      <c r="I3" s="8" t="s">
        <v>66</v>
      </c>
      <c r="J3" s="8" t="s">
        <v>67</v>
      </c>
      <c r="K3" s="8" t="s">
        <v>68</v>
      </c>
      <c r="L3" s="8" t="s">
        <v>69</v>
      </c>
    </row>
    <row r="4" spans="1:12" ht="27.6">
      <c r="A4" s="9" t="s">
        <v>70</v>
      </c>
      <c r="B4" s="10">
        <v>10</v>
      </c>
      <c r="C4" s="11" t="s">
        <v>71</v>
      </c>
      <c r="D4" s="12"/>
      <c r="E4" s="13" t="s">
        <v>72</v>
      </c>
      <c r="F4" s="13" t="s">
        <v>72</v>
      </c>
      <c r="G4" s="13" t="s">
        <v>73</v>
      </c>
      <c r="H4" s="13" t="s">
        <v>74</v>
      </c>
      <c r="I4" s="13" t="s">
        <v>75</v>
      </c>
      <c r="J4" s="13" t="s">
        <v>76</v>
      </c>
      <c r="K4" s="13" t="s">
        <v>77</v>
      </c>
      <c r="L4" s="13" t="s">
        <v>78</v>
      </c>
    </row>
    <row r="5" spans="1:12" ht="27.6">
      <c r="A5" s="14" t="s">
        <v>79</v>
      </c>
      <c r="B5" s="15">
        <v>3</v>
      </c>
      <c r="C5" s="16" t="s">
        <v>80</v>
      </c>
      <c r="D5" s="17"/>
      <c r="E5" s="18" t="s">
        <v>81</v>
      </c>
      <c r="F5" s="18" t="s">
        <v>81</v>
      </c>
      <c r="G5" s="18" t="s">
        <v>82</v>
      </c>
      <c r="H5" s="18" t="s">
        <v>83</v>
      </c>
      <c r="I5" s="18" t="s">
        <v>84</v>
      </c>
      <c r="J5" s="18" t="s">
        <v>85</v>
      </c>
      <c r="K5" s="18" t="s">
        <v>86</v>
      </c>
      <c r="L5" s="18" t="s">
        <v>87</v>
      </c>
    </row>
    <row r="6" spans="1:12">
      <c r="A6" s="9" t="s">
        <v>88</v>
      </c>
      <c r="B6" s="19">
        <v>46053</v>
      </c>
      <c r="C6" s="13" t="s">
        <v>89</v>
      </c>
      <c r="D6" s="12"/>
      <c r="E6" s="13" t="s">
        <v>90</v>
      </c>
      <c r="F6" s="12"/>
      <c r="G6" s="13" t="s">
        <v>91</v>
      </c>
      <c r="H6" s="13" t="s">
        <v>92</v>
      </c>
      <c r="I6" s="13" t="s">
        <v>93</v>
      </c>
      <c r="J6" s="13" t="s">
        <v>94</v>
      </c>
      <c r="K6" s="13" t="s">
        <v>95</v>
      </c>
      <c r="L6" s="13" t="s">
        <v>96</v>
      </c>
    </row>
    <row r="7" spans="1:12" ht="27.6">
      <c r="A7" s="14" t="s">
        <v>97</v>
      </c>
      <c r="B7" s="20">
        <v>5000</v>
      </c>
      <c r="C7" s="16" t="s">
        <v>98</v>
      </c>
      <c r="D7" s="17"/>
      <c r="E7" s="18" t="s">
        <v>99</v>
      </c>
      <c r="F7" s="17"/>
      <c r="G7" s="18" t="s">
        <v>100</v>
      </c>
      <c r="H7" s="17"/>
      <c r="I7" s="18" t="s">
        <v>101</v>
      </c>
      <c r="J7" s="18" t="s">
        <v>102</v>
      </c>
      <c r="K7" s="18" t="s">
        <v>103</v>
      </c>
      <c r="L7" s="18" t="s">
        <v>104</v>
      </c>
    </row>
    <row r="8" spans="1:12" ht="27.6">
      <c r="A8" s="9" t="s">
        <v>105</v>
      </c>
      <c r="B8" s="10">
        <v>60</v>
      </c>
      <c r="C8" s="11" t="s">
        <v>106</v>
      </c>
      <c r="D8" s="12"/>
      <c r="E8" s="13" t="s">
        <v>107</v>
      </c>
      <c r="F8" s="12"/>
      <c r="G8" s="13" t="s">
        <v>104</v>
      </c>
      <c r="H8" s="12"/>
      <c r="I8" s="13" t="s">
        <v>108</v>
      </c>
      <c r="J8" s="13" t="s">
        <v>109</v>
      </c>
      <c r="K8" s="12"/>
      <c r="L8" s="12"/>
    </row>
  </sheetData>
  <mergeCells count="1">
    <mergeCell ref="A1:L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980B9"/>
  </sheetPr>
  <dimension ref="A1:M503"/>
  <sheetViews>
    <sheetView workbookViewId="0">
      <pane ySplit="3" topLeftCell="A4" activePane="bottomLeft" state="frozen"/>
      <selection pane="bottomLeft" sqref="A1:M1"/>
    </sheetView>
  </sheetViews>
  <sheetFormatPr defaultRowHeight="13.8"/>
  <cols>
    <col min="1" max="1" width="28" customWidth="1"/>
    <col min="2" max="2" width="21" customWidth="1"/>
    <col min="3" max="3" width="9" customWidth="1"/>
    <col min="4" max="4" width="11" customWidth="1"/>
    <col min="5" max="5" width="25" customWidth="1"/>
    <col min="6" max="6" width="28" customWidth="1"/>
    <col min="7" max="7" width="14" customWidth="1"/>
    <col min="8" max="8" width="9" customWidth="1"/>
    <col min="9" max="9" width="10" customWidth="1"/>
    <col min="10" max="10" width="12" customWidth="1"/>
    <col min="11" max="11" width="16" customWidth="1"/>
    <col min="12" max="12" width="13" customWidth="1"/>
    <col min="13" max="13" width="21" customWidth="1"/>
  </cols>
  <sheetData>
    <row r="1" spans="1:13" ht="24" customHeight="1">
      <c r="A1" s="99" t="s">
        <v>110</v>
      </c>
      <c r="B1" s="100"/>
      <c r="C1" s="100"/>
      <c r="D1" s="100"/>
      <c r="E1" s="100"/>
      <c r="F1" s="100"/>
      <c r="G1" s="100"/>
      <c r="H1" s="100"/>
      <c r="I1" s="100"/>
      <c r="J1" s="100"/>
      <c r="K1" s="100"/>
      <c r="L1" s="100"/>
      <c r="M1" s="100"/>
    </row>
    <row r="2" spans="1:13" ht="22.05" customHeight="1">
      <c r="A2" s="21"/>
      <c r="B2" s="21"/>
      <c r="C2" s="21"/>
      <c r="D2" s="21"/>
      <c r="E2" s="21"/>
      <c r="F2" s="21"/>
      <c r="G2" s="21"/>
      <c r="H2" s="21"/>
      <c r="I2" s="21"/>
      <c r="J2" s="21"/>
      <c r="K2" s="21"/>
      <c r="L2" s="21"/>
      <c r="M2" s="21"/>
    </row>
    <row r="3" spans="1:13" ht="22.05" customHeight="1">
      <c r="A3" s="22" t="s">
        <v>111</v>
      </c>
      <c r="B3" s="22" t="s">
        <v>112</v>
      </c>
      <c r="C3" s="22" t="s">
        <v>113</v>
      </c>
      <c r="D3" s="22" t="s">
        <v>114</v>
      </c>
      <c r="E3" s="22" t="s">
        <v>115</v>
      </c>
      <c r="F3" s="22" t="s">
        <v>116</v>
      </c>
      <c r="G3" s="22" t="s">
        <v>117</v>
      </c>
      <c r="H3" s="22" t="s">
        <v>118</v>
      </c>
      <c r="I3" s="22" t="s">
        <v>119</v>
      </c>
      <c r="J3" s="22" t="s">
        <v>120</v>
      </c>
      <c r="K3" s="22" t="s">
        <v>121</v>
      </c>
      <c r="L3" s="22" t="s">
        <v>122</v>
      </c>
      <c r="M3" s="22" t="s">
        <v>123</v>
      </c>
    </row>
    <row r="4" spans="1:13">
      <c r="A4" s="23" t="s">
        <v>124</v>
      </c>
      <c r="B4" s="24">
        <v>46043</v>
      </c>
      <c r="C4" s="23" t="s">
        <v>125</v>
      </c>
      <c r="D4" s="23" t="s">
        <v>72</v>
      </c>
      <c r="E4" s="23" t="s">
        <v>126</v>
      </c>
      <c r="F4" s="23" t="s">
        <v>127</v>
      </c>
      <c r="G4" s="23" t="s">
        <v>128</v>
      </c>
      <c r="H4" s="25">
        <v>0</v>
      </c>
      <c r="I4" s="25">
        <v>1763.18</v>
      </c>
      <c r="J4" s="25">
        <v>-1763.18</v>
      </c>
      <c r="K4" s="23" t="s">
        <v>129</v>
      </c>
      <c r="L4" s="23" t="s">
        <v>130</v>
      </c>
      <c r="M4" s="23" t="s">
        <v>131</v>
      </c>
    </row>
    <row r="5" spans="1:13">
      <c r="A5" s="26" t="s">
        <v>132</v>
      </c>
      <c r="B5" s="27">
        <v>46024</v>
      </c>
      <c r="C5" s="26" t="s">
        <v>125</v>
      </c>
      <c r="D5" s="26" t="s">
        <v>72</v>
      </c>
      <c r="E5" s="26" t="s">
        <v>133</v>
      </c>
      <c r="F5" s="26" t="s">
        <v>134</v>
      </c>
      <c r="G5" s="26" t="s">
        <v>135</v>
      </c>
      <c r="H5" s="28">
        <v>0</v>
      </c>
      <c r="I5" s="28">
        <v>1503.88</v>
      </c>
      <c r="J5" s="28">
        <v>-1503.88</v>
      </c>
      <c r="K5" s="26" t="s">
        <v>136</v>
      </c>
      <c r="L5" s="26" t="s">
        <v>137</v>
      </c>
      <c r="M5" s="26" t="s">
        <v>131</v>
      </c>
    </row>
    <row r="6" spans="1:13">
      <c r="A6" s="23" t="s">
        <v>138</v>
      </c>
      <c r="B6" s="24">
        <v>46041</v>
      </c>
      <c r="C6" s="23" t="s">
        <v>125</v>
      </c>
      <c r="D6" s="23" t="s">
        <v>72</v>
      </c>
      <c r="E6" s="23" t="s">
        <v>139</v>
      </c>
      <c r="F6" s="23" t="s">
        <v>140</v>
      </c>
      <c r="G6" s="23" t="s">
        <v>141</v>
      </c>
      <c r="H6" s="25">
        <v>0</v>
      </c>
      <c r="I6" s="25">
        <v>119.77</v>
      </c>
      <c r="J6" s="25">
        <v>-119.77</v>
      </c>
      <c r="K6" s="23" t="s">
        <v>129</v>
      </c>
      <c r="L6" s="23" t="s">
        <v>142</v>
      </c>
      <c r="M6" s="23" t="s">
        <v>131</v>
      </c>
    </row>
    <row r="7" spans="1:13">
      <c r="A7" s="26" t="s">
        <v>143</v>
      </c>
      <c r="B7" s="27">
        <v>46047</v>
      </c>
      <c r="C7" s="26" t="s">
        <v>125</v>
      </c>
      <c r="D7" s="26" t="s">
        <v>72</v>
      </c>
      <c r="E7" s="26" t="s">
        <v>144</v>
      </c>
      <c r="F7" s="26" t="s">
        <v>145</v>
      </c>
      <c r="G7" s="26" t="s">
        <v>146</v>
      </c>
      <c r="H7" s="28">
        <v>0</v>
      </c>
      <c r="I7" s="28">
        <v>2405.16</v>
      </c>
      <c r="J7" s="28">
        <v>-2405.16</v>
      </c>
      <c r="K7" s="26" t="s">
        <v>147</v>
      </c>
      <c r="L7" s="26" t="s">
        <v>148</v>
      </c>
      <c r="M7" s="26" t="s">
        <v>131</v>
      </c>
    </row>
    <row r="8" spans="1:13">
      <c r="A8" s="23" t="s">
        <v>149</v>
      </c>
      <c r="B8" s="24">
        <v>46040</v>
      </c>
      <c r="C8" s="23" t="s">
        <v>125</v>
      </c>
      <c r="D8" s="23" t="s">
        <v>72</v>
      </c>
      <c r="E8" s="23" t="s">
        <v>150</v>
      </c>
      <c r="F8" s="23" t="s">
        <v>151</v>
      </c>
      <c r="G8" s="23" t="s">
        <v>152</v>
      </c>
      <c r="H8" s="25">
        <v>0</v>
      </c>
      <c r="I8" s="25">
        <v>562.26</v>
      </c>
      <c r="J8" s="25">
        <v>-562.26</v>
      </c>
      <c r="K8" s="23" t="s">
        <v>147</v>
      </c>
      <c r="L8" s="23" t="s">
        <v>153</v>
      </c>
      <c r="M8" s="23" t="s">
        <v>131</v>
      </c>
    </row>
    <row r="9" spans="1:13">
      <c r="A9" s="26" t="s">
        <v>154</v>
      </c>
      <c r="B9" s="27">
        <v>46034</v>
      </c>
      <c r="C9" s="26" t="s">
        <v>125</v>
      </c>
      <c r="D9" s="26" t="s">
        <v>81</v>
      </c>
      <c r="E9" s="26" t="s">
        <v>155</v>
      </c>
      <c r="F9" s="26" t="s">
        <v>156</v>
      </c>
      <c r="G9" s="26" t="s">
        <v>157</v>
      </c>
      <c r="H9" s="28">
        <v>730.79</v>
      </c>
      <c r="I9" s="28">
        <v>0</v>
      </c>
      <c r="J9" s="28">
        <v>730.79</v>
      </c>
      <c r="K9" s="26" t="s">
        <v>129</v>
      </c>
      <c r="L9" s="26" t="s">
        <v>148</v>
      </c>
      <c r="M9" s="26" t="s">
        <v>158</v>
      </c>
    </row>
    <row r="10" spans="1:13">
      <c r="A10" s="23" t="s">
        <v>159</v>
      </c>
      <c r="B10" s="24">
        <v>46050</v>
      </c>
      <c r="C10" s="23" t="s">
        <v>125</v>
      </c>
      <c r="D10" s="23" t="s">
        <v>72</v>
      </c>
      <c r="E10" s="23" t="s">
        <v>144</v>
      </c>
      <c r="F10" s="23" t="s">
        <v>145</v>
      </c>
      <c r="G10" s="23" t="s">
        <v>160</v>
      </c>
      <c r="H10" s="25">
        <v>0</v>
      </c>
      <c r="I10" s="25">
        <v>2406.37</v>
      </c>
      <c r="J10" s="25">
        <v>-2406.37</v>
      </c>
      <c r="K10" s="23" t="s">
        <v>161</v>
      </c>
      <c r="L10" s="23" t="s">
        <v>148</v>
      </c>
      <c r="M10" s="23" t="s">
        <v>131</v>
      </c>
    </row>
    <row r="11" spans="1:13">
      <c r="A11" s="26" t="s">
        <v>162</v>
      </c>
      <c r="B11" s="27">
        <v>46031</v>
      </c>
      <c r="C11" s="26" t="s">
        <v>125</v>
      </c>
      <c r="D11" s="26" t="s">
        <v>90</v>
      </c>
      <c r="E11" s="26" t="s">
        <v>163</v>
      </c>
      <c r="F11" s="26" t="s">
        <v>164</v>
      </c>
      <c r="G11" s="26" t="s">
        <v>165</v>
      </c>
      <c r="H11" s="28">
        <v>0</v>
      </c>
      <c r="I11" s="28">
        <v>3257.78</v>
      </c>
      <c r="J11" s="28">
        <v>-3257.78</v>
      </c>
      <c r="K11" s="26" t="s">
        <v>136</v>
      </c>
      <c r="L11" s="26" t="s">
        <v>130</v>
      </c>
      <c r="M11" s="26" t="s">
        <v>131</v>
      </c>
    </row>
    <row r="12" spans="1:13">
      <c r="A12" s="23" t="s">
        <v>166</v>
      </c>
      <c r="B12" s="24">
        <v>46052</v>
      </c>
      <c r="C12" s="23" t="s">
        <v>125</v>
      </c>
      <c r="D12" s="23" t="s">
        <v>81</v>
      </c>
      <c r="E12" s="23" t="s">
        <v>167</v>
      </c>
      <c r="F12" s="23" t="s">
        <v>168</v>
      </c>
      <c r="G12" s="23" t="s">
        <v>169</v>
      </c>
      <c r="H12" s="25">
        <v>1983.79</v>
      </c>
      <c r="I12" s="25">
        <v>0</v>
      </c>
      <c r="J12" s="25">
        <v>1983.79</v>
      </c>
      <c r="K12" s="23" t="s">
        <v>147</v>
      </c>
      <c r="L12" s="23" t="s">
        <v>137</v>
      </c>
      <c r="M12" s="23" t="s">
        <v>158</v>
      </c>
    </row>
    <row r="13" spans="1:13">
      <c r="A13" s="26" t="s">
        <v>170</v>
      </c>
      <c r="B13" s="27">
        <v>46035</v>
      </c>
      <c r="C13" s="26" t="s">
        <v>125</v>
      </c>
      <c r="D13" s="26" t="s">
        <v>72</v>
      </c>
      <c r="E13" s="26" t="s">
        <v>133</v>
      </c>
      <c r="F13" s="26" t="s">
        <v>134</v>
      </c>
      <c r="G13" s="26" t="s">
        <v>171</v>
      </c>
      <c r="H13" s="28">
        <v>0</v>
      </c>
      <c r="I13" s="28">
        <v>5668.39</v>
      </c>
      <c r="J13" s="28">
        <v>-5668.39</v>
      </c>
      <c r="K13" s="26" t="s">
        <v>136</v>
      </c>
      <c r="L13" s="26" t="s">
        <v>148</v>
      </c>
      <c r="M13" s="26" t="s">
        <v>131</v>
      </c>
    </row>
    <row r="14" spans="1:13">
      <c r="A14" s="23" t="s">
        <v>172</v>
      </c>
      <c r="B14" s="24">
        <v>46052</v>
      </c>
      <c r="C14" s="23" t="s">
        <v>125</v>
      </c>
      <c r="D14" s="23" t="s">
        <v>81</v>
      </c>
      <c r="E14" s="23" t="s">
        <v>173</v>
      </c>
      <c r="F14" s="23" t="s">
        <v>174</v>
      </c>
      <c r="G14" s="23" t="s">
        <v>175</v>
      </c>
      <c r="H14" s="25">
        <v>2361.75</v>
      </c>
      <c r="I14" s="25">
        <v>0</v>
      </c>
      <c r="J14" s="25">
        <v>2361.75</v>
      </c>
      <c r="K14" s="23" t="s">
        <v>129</v>
      </c>
      <c r="L14" s="23" t="s">
        <v>153</v>
      </c>
      <c r="M14" s="23" t="s">
        <v>158</v>
      </c>
    </row>
    <row r="15" spans="1:13">
      <c r="A15" s="26" t="s">
        <v>176</v>
      </c>
      <c r="B15" s="27">
        <v>46035</v>
      </c>
      <c r="C15" s="26" t="s">
        <v>125</v>
      </c>
      <c r="D15" s="26" t="s">
        <v>81</v>
      </c>
      <c r="E15" s="26" t="s">
        <v>173</v>
      </c>
      <c r="F15" s="26" t="s">
        <v>174</v>
      </c>
      <c r="G15" s="26" t="s">
        <v>177</v>
      </c>
      <c r="H15" s="28">
        <v>4404.54</v>
      </c>
      <c r="I15" s="28">
        <v>0</v>
      </c>
      <c r="J15" s="28">
        <v>4404.54</v>
      </c>
      <c r="K15" s="26" t="s">
        <v>178</v>
      </c>
      <c r="L15" s="26" t="s">
        <v>137</v>
      </c>
      <c r="M15" s="26" t="s">
        <v>158</v>
      </c>
    </row>
    <row r="16" spans="1:13">
      <c r="A16" s="23" t="s">
        <v>179</v>
      </c>
      <c r="B16" s="24">
        <v>46027</v>
      </c>
      <c r="C16" s="23" t="s">
        <v>125</v>
      </c>
      <c r="D16" s="23" t="s">
        <v>81</v>
      </c>
      <c r="E16" s="23" t="s">
        <v>155</v>
      </c>
      <c r="F16" s="23" t="s">
        <v>156</v>
      </c>
      <c r="G16" s="23" t="s">
        <v>180</v>
      </c>
      <c r="H16" s="25">
        <v>3675.04</v>
      </c>
      <c r="I16" s="25">
        <v>0</v>
      </c>
      <c r="J16" s="25">
        <v>3675.04</v>
      </c>
      <c r="K16" s="23" t="s">
        <v>178</v>
      </c>
      <c r="L16" s="23" t="s">
        <v>142</v>
      </c>
      <c r="M16" s="23" t="s">
        <v>158</v>
      </c>
    </row>
    <row r="17" spans="1:13">
      <c r="A17" s="26" t="s">
        <v>181</v>
      </c>
      <c r="B17" s="27">
        <v>46040</v>
      </c>
      <c r="C17" s="26" t="s">
        <v>125</v>
      </c>
      <c r="D17" s="26" t="s">
        <v>99</v>
      </c>
      <c r="E17" s="26" t="s">
        <v>182</v>
      </c>
      <c r="F17" s="26" t="s">
        <v>183</v>
      </c>
      <c r="G17" s="26" t="s">
        <v>184</v>
      </c>
      <c r="H17" s="28">
        <v>0</v>
      </c>
      <c r="I17" s="28">
        <v>2666.47</v>
      </c>
      <c r="J17" s="28">
        <v>-2666.47</v>
      </c>
      <c r="K17" s="26" t="s">
        <v>178</v>
      </c>
      <c r="L17" s="26" t="s">
        <v>153</v>
      </c>
      <c r="M17" s="26" t="s">
        <v>185</v>
      </c>
    </row>
    <row r="18" spans="1:13">
      <c r="A18" s="23" t="s">
        <v>186</v>
      </c>
      <c r="B18" s="24">
        <v>46036</v>
      </c>
      <c r="C18" s="23" t="s">
        <v>125</v>
      </c>
      <c r="D18" s="23" t="s">
        <v>72</v>
      </c>
      <c r="E18" s="23" t="s">
        <v>144</v>
      </c>
      <c r="F18" s="23" t="s">
        <v>145</v>
      </c>
      <c r="G18" s="23" t="s">
        <v>187</v>
      </c>
      <c r="H18" s="25">
        <v>0</v>
      </c>
      <c r="I18" s="25">
        <v>5917.35</v>
      </c>
      <c r="J18" s="25">
        <v>-5917.35</v>
      </c>
      <c r="K18" s="23" t="s">
        <v>147</v>
      </c>
      <c r="L18" s="23" t="s">
        <v>153</v>
      </c>
      <c r="M18" s="23" t="s">
        <v>131</v>
      </c>
    </row>
    <row r="19" spans="1:13">
      <c r="A19" s="26" t="s">
        <v>188</v>
      </c>
      <c r="B19" s="27">
        <v>46032</v>
      </c>
      <c r="C19" s="26" t="s">
        <v>125</v>
      </c>
      <c r="D19" s="26" t="s">
        <v>99</v>
      </c>
      <c r="E19" s="26" t="s">
        <v>182</v>
      </c>
      <c r="F19" s="26" t="s">
        <v>183</v>
      </c>
      <c r="G19" s="26" t="s">
        <v>189</v>
      </c>
      <c r="H19" s="28">
        <v>0</v>
      </c>
      <c r="I19" s="28">
        <v>9861.11</v>
      </c>
      <c r="J19" s="28">
        <v>-9861.11</v>
      </c>
      <c r="K19" s="26" t="s">
        <v>129</v>
      </c>
      <c r="L19" s="26" t="s">
        <v>130</v>
      </c>
      <c r="M19" s="26" t="s">
        <v>185</v>
      </c>
    </row>
    <row r="20" spans="1:13">
      <c r="A20" s="23" t="s">
        <v>190</v>
      </c>
      <c r="B20" s="24">
        <v>46047</v>
      </c>
      <c r="C20" s="23" t="s">
        <v>125</v>
      </c>
      <c r="D20" s="23" t="s">
        <v>107</v>
      </c>
      <c r="E20" s="23" t="s">
        <v>191</v>
      </c>
      <c r="F20" s="23" t="s">
        <v>192</v>
      </c>
      <c r="G20" s="23" t="s">
        <v>193</v>
      </c>
      <c r="H20" s="25">
        <v>0</v>
      </c>
      <c r="I20" s="25">
        <v>110.63</v>
      </c>
      <c r="J20" s="25">
        <v>-110.63</v>
      </c>
      <c r="K20" s="23" t="s">
        <v>136</v>
      </c>
      <c r="L20" s="23" t="s">
        <v>148</v>
      </c>
      <c r="M20" s="23" t="s">
        <v>194</v>
      </c>
    </row>
    <row r="21" spans="1:13">
      <c r="A21" s="26" t="s">
        <v>195</v>
      </c>
      <c r="B21" s="27">
        <v>46051</v>
      </c>
      <c r="C21" s="26" t="s">
        <v>125</v>
      </c>
      <c r="D21" s="26" t="s">
        <v>107</v>
      </c>
      <c r="E21" s="26" t="s">
        <v>191</v>
      </c>
      <c r="F21" s="26" t="s">
        <v>192</v>
      </c>
      <c r="G21" s="26" t="s">
        <v>196</v>
      </c>
      <c r="H21" s="28">
        <v>0</v>
      </c>
      <c r="I21" s="28">
        <v>97.78</v>
      </c>
      <c r="J21" s="28">
        <v>-97.78</v>
      </c>
      <c r="K21" s="26" t="s">
        <v>129</v>
      </c>
      <c r="L21" s="26" t="s">
        <v>137</v>
      </c>
      <c r="M21" s="26" t="s">
        <v>194</v>
      </c>
    </row>
    <row r="22" spans="1:13">
      <c r="A22" s="23" t="s">
        <v>197</v>
      </c>
      <c r="B22" s="24">
        <v>46038</v>
      </c>
      <c r="C22" s="23" t="s">
        <v>125</v>
      </c>
      <c r="D22" s="23" t="s">
        <v>99</v>
      </c>
      <c r="E22" s="23" t="s">
        <v>182</v>
      </c>
      <c r="F22" s="23" t="s">
        <v>183</v>
      </c>
      <c r="G22" s="23" t="s">
        <v>198</v>
      </c>
      <c r="H22" s="25">
        <v>0</v>
      </c>
      <c r="I22" s="25">
        <v>16680.78</v>
      </c>
      <c r="J22" s="25">
        <v>-16680.78</v>
      </c>
      <c r="K22" s="23" t="s">
        <v>136</v>
      </c>
      <c r="L22" s="23" t="s">
        <v>130</v>
      </c>
      <c r="M22" s="23" t="s">
        <v>185</v>
      </c>
    </row>
    <row r="23" spans="1:13">
      <c r="A23" s="26" t="s">
        <v>199</v>
      </c>
      <c r="B23" s="27">
        <v>46028</v>
      </c>
      <c r="C23" s="26" t="s">
        <v>125</v>
      </c>
      <c r="D23" s="26" t="s">
        <v>72</v>
      </c>
      <c r="E23" s="26" t="s">
        <v>139</v>
      </c>
      <c r="F23" s="26" t="s">
        <v>140</v>
      </c>
      <c r="G23" s="26" t="s">
        <v>200</v>
      </c>
      <c r="H23" s="28">
        <v>0</v>
      </c>
      <c r="I23" s="28">
        <v>3792.35</v>
      </c>
      <c r="J23" s="28">
        <v>-3792.35</v>
      </c>
      <c r="K23" s="26" t="s">
        <v>129</v>
      </c>
      <c r="L23" s="26" t="s">
        <v>153</v>
      </c>
      <c r="M23" s="26" t="s">
        <v>131</v>
      </c>
    </row>
    <row r="24" spans="1:13">
      <c r="A24" s="23" t="s">
        <v>201</v>
      </c>
      <c r="B24" s="24">
        <v>46035</v>
      </c>
      <c r="C24" s="23" t="s">
        <v>125</v>
      </c>
      <c r="D24" s="23" t="s">
        <v>107</v>
      </c>
      <c r="E24" s="23" t="s">
        <v>191</v>
      </c>
      <c r="F24" s="23" t="s">
        <v>192</v>
      </c>
      <c r="G24" s="23" t="s">
        <v>202</v>
      </c>
      <c r="H24" s="25">
        <v>0</v>
      </c>
      <c r="I24" s="25">
        <v>79.739999999999995</v>
      </c>
      <c r="J24" s="25">
        <v>-79.739999999999995</v>
      </c>
      <c r="K24" s="23" t="s">
        <v>161</v>
      </c>
      <c r="L24" s="23" t="s">
        <v>153</v>
      </c>
      <c r="M24" s="23" t="s">
        <v>194</v>
      </c>
    </row>
    <row r="25" spans="1:13">
      <c r="A25" s="26" t="s">
        <v>203</v>
      </c>
      <c r="B25" s="27">
        <v>46033</v>
      </c>
      <c r="C25" s="26" t="s">
        <v>125</v>
      </c>
      <c r="D25" s="26" t="s">
        <v>72</v>
      </c>
      <c r="E25" s="26" t="s">
        <v>204</v>
      </c>
      <c r="F25" s="26" t="s">
        <v>205</v>
      </c>
      <c r="G25" s="26" t="s">
        <v>206</v>
      </c>
      <c r="H25" s="28">
        <v>0</v>
      </c>
      <c r="I25" s="28">
        <v>1488.3</v>
      </c>
      <c r="J25" s="28">
        <v>-1488.3</v>
      </c>
      <c r="K25" s="26" t="s">
        <v>129</v>
      </c>
      <c r="L25" s="26" t="s">
        <v>137</v>
      </c>
      <c r="M25" s="26" t="s">
        <v>131</v>
      </c>
    </row>
    <row r="26" spans="1:13">
      <c r="A26" s="23" t="s">
        <v>207</v>
      </c>
      <c r="B26" s="24">
        <v>46051</v>
      </c>
      <c r="C26" s="23" t="s">
        <v>125</v>
      </c>
      <c r="D26" s="23" t="s">
        <v>72</v>
      </c>
      <c r="E26" s="23" t="s">
        <v>208</v>
      </c>
      <c r="F26" s="23" t="s">
        <v>209</v>
      </c>
      <c r="G26" s="23" t="s">
        <v>210</v>
      </c>
      <c r="H26" s="25">
        <v>0</v>
      </c>
      <c r="I26" s="25">
        <v>513.65</v>
      </c>
      <c r="J26" s="25">
        <v>-513.65</v>
      </c>
      <c r="K26" s="23" t="s">
        <v>129</v>
      </c>
      <c r="L26" s="23" t="s">
        <v>148</v>
      </c>
      <c r="M26" s="23" t="s">
        <v>131</v>
      </c>
    </row>
    <row r="27" spans="1:13">
      <c r="A27" s="26" t="s">
        <v>211</v>
      </c>
      <c r="B27" s="27">
        <v>46046</v>
      </c>
      <c r="C27" s="26" t="s">
        <v>125</v>
      </c>
      <c r="D27" s="26" t="s">
        <v>107</v>
      </c>
      <c r="E27" s="26" t="s">
        <v>191</v>
      </c>
      <c r="F27" s="26" t="s">
        <v>192</v>
      </c>
      <c r="G27" s="26" t="s">
        <v>212</v>
      </c>
      <c r="H27" s="28">
        <v>0</v>
      </c>
      <c r="I27" s="28">
        <v>70.67</v>
      </c>
      <c r="J27" s="28">
        <v>-70.67</v>
      </c>
      <c r="K27" s="26" t="s">
        <v>161</v>
      </c>
      <c r="L27" s="26" t="s">
        <v>130</v>
      </c>
      <c r="M27" s="26" t="s">
        <v>194</v>
      </c>
    </row>
    <row r="28" spans="1:13">
      <c r="A28" s="23" t="s">
        <v>213</v>
      </c>
      <c r="B28" s="24">
        <v>46026</v>
      </c>
      <c r="C28" s="23" t="s">
        <v>125</v>
      </c>
      <c r="D28" s="23" t="s">
        <v>81</v>
      </c>
      <c r="E28" s="23" t="s">
        <v>214</v>
      </c>
      <c r="F28" s="23" t="s">
        <v>215</v>
      </c>
      <c r="G28" s="23" t="s">
        <v>216</v>
      </c>
      <c r="H28" s="25">
        <v>3686.88</v>
      </c>
      <c r="I28" s="25">
        <v>0</v>
      </c>
      <c r="J28" s="25">
        <v>3686.88</v>
      </c>
      <c r="K28" s="23" t="s">
        <v>161</v>
      </c>
      <c r="L28" s="23" t="s">
        <v>137</v>
      </c>
      <c r="M28" s="23" t="s">
        <v>158</v>
      </c>
    </row>
    <row r="29" spans="1:13">
      <c r="A29" s="26" t="s">
        <v>217</v>
      </c>
      <c r="B29" s="27">
        <v>46046</v>
      </c>
      <c r="C29" s="26" t="s">
        <v>125</v>
      </c>
      <c r="D29" s="26" t="s">
        <v>72</v>
      </c>
      <c r="E29" s="26" t="s">
        <v>139</v>
      </c>
      <c r="F29" s="26" t="s">
        <v>140</v>
      </c>
      <c r="G29" s="26" t="s">
        <v>218</v>
      </c>
      <c r="H29" s="28">
        <v>0</v>
      </c>
      <c r="I29" s="28">
        <v>748.73</v>
      </c>
      <c r="J29" s="28">
        <v>-748.73</v>
      </c>
      <c r="K29" s="26" t="s">
        <v>129</v>
      </c>
      <c r="L29" s="26" t="s">
        <v>130</v>
      </c>
      <c r="M29" s="26" t="s">
        <v>131</v>
      </c>
    </row>
    <row r="30" spans="1:13">
      <c r="A30" s="23" t="s">
        <v>219</v>
      </c>
      <c r="B30" s="24">
        <v>46031</v>
      </c>
      <c r="C30" s="23" t="s">
        <v>125</v>
      </c>
      <c r="D30" s="23" t="s">
        <v>81</v>
      </c>
      <c r="E30" s="23" t="s">
        <v>220</v>
      </c>
      <c r="F30" s="23" t="s">
        <v>221</v>
      </c>
      <c r="G30" s="23" t="s">
        <v>222</v>
      </c>
      <c r="H30" s="25">
        <v>3850.14</v>
      </c>
      <c r="I30" s="25">
        <v>0</v>
      </c>
      <c r="J30" s="25">
        <v>3850.14</v>
      </c>
      <c r="K30" s="23" t="s">
        <v>136</v>
      </c>
      <c r="L30" s="23" t="s">
        <v>137</v>
      </c>
      <c r="M30" s="23" t="s">
        <v>158</v>
      </c>
    </row>
    <row r="31" spans="1:13">
      <c r="A31" s="26" t="s">
        <v>223</v>
      </c>
      <c r="B31" s="27">
        <v>46052</v>
      </c>
      <c r="C31" s="26" t="s">
        <v>125</v>
      </c>
      <c r="D31" s="26" t="s">
        <v>90</v>
      </c>
      <c r="E31" s="26" t="s">
        <v>150</v>
      </c>
      <c r="F31" s="26" t="s">
        <v>164</v>
      </c>
      <c r="G31" s="26" t="s">
        <v>224</v>
      </c>
      <c r="H31" s="28">
        <v>873.24</v>
      </c>
      <c r="I31" s="28">
        <v>0</v>
      </c>
      <c r="J31" s="28">
        <v>873.24</v>
      </c>
      <c r="K31" s="26" t="s">
        <v>161</v>
      </c>
      <c r="L31" s="26" t="s">
        <v>137</v>
      </c>
      <c r="M31" s="26" t="s">
        <v>225</v>
      </c>
    </row>
    <row r="32" spans="1:13">
      <c r="A32" s="23" t="s">
        <v>226</v>
      </c>
      <c r="B32" s="24">
        <v>46031</v>
      </c>
      <c r="C32" s="23" t="s">
        <v>125</v>
      </c>
      <c r="D32" s="23" t="s">
        <v>107</v>
      </c>
      <c r="E32" s="23" t="s">
        <v>191</v>
      </c>
      <c r="F32" s="23" t="s">
        <v>192</v>
      </c>
      <c r="G32" s="23" t="s">
        <v>227</v>
      </c>
      <c r="H32" s="25">
        <v>0</v>
      </c>
      <c r="I32" s="25">
        <v>95.29</v>
      </c>
      <c r="J32" s="25">
        <v>-95.29</v>
      </c>
      <c r="K32" s="23" t="s">
        <v>147</v>
      </c>
      <c r="L32" s="23" t="s">
        <v>142</v>
      </c>
      <c r="M32" s="23" t="s">
        <v>194</v>
      </c>
    </row>
    <row r="33" spans="1:13">
      <c r="A33" s="26" t="s">
        <v>228</v>
      </c>
      <c r="B33" s="27">
        <v>46032</v>
      </c>
      <c r="C33" s="26" t="s">
        <v>125</v>
      </c>
      <c r="D33" s="26" t="s">
        <v>72</v>
      </c>
      <c r="E33" s="26" t="s">
        <v>144</v>
      </c>
      <c r="F33" s="26" t="s">
        <v>145</v>
      </c>
      <c r="G33" s="26" t="s">
        <v>229</v>
      </c>
      <c r="H33" s="28">
        <v>0</v>
      </c>
      <c r="I33" s="28">
        <v>3624.58</v>
      </c>
      <c r="J33" s="28">
        <v>-3624.58</v>
      </c>
      <c r="K33" s="26" t="s">
        <v>136</v>
      </c>
      <c r="L33" s="26" t="s">
        <v>137</v>
      </c>
      <c r="M33" s="26" t="s">
        <v>131</v>
      </c>
    </row>
    <row r="34" spans="1:13">
      <c r="A34" s="23" t="s">
        <v>230</v>
      </c>
      <c r="B34" s="24">
        <v>46039</v>
      </c>
      <c r="C34" s="23" t="s">
        <v>125</v>
      </c>
      <c r="D34" s="23" t="s">
        <v>99</v>
      </c>
      <c r="E34" s="23" t="s">
        <v>182</v>
      </c>
      <c r="F34" s="23" t="s">
        <v>183</v>
      </c>
      <c r="G34" s="23" t="s">
        <v>231</v>
      </c>
      <c r="H34" s="25">
        <v>0</v>
      </c>
      <c r="I34" s="25">
        <v>10201.33</v>
      </c>
      <c r="J34" s="25">
        <v>-10201.33</v>
      </c>
      <c r="K34" s="23" t="s">
        <v>178</v>
      </c>
      <c r="L34" s="23" t="s">
        <v>153</v>
      </c>
      <c r="M34" s="23" t="s">
        <v>185</v>
      </c>
    </row>
    <row r="35" spans="1:13">
      <c r="A35" s="26" t="s">
        <v>232</v>
      </c>
      <c r="B35" s="27">
        <v>46025</v>
      </c>
      <c r="C35" s="26" t="s">
        <v>125</v>
      </c>
      <c r="D35" s="26" t="s">
        <v>90</v>
      </c>
      <c r="E35" s="26" t="s">
        <v>150</v>
      </c>
      <c r="F35" s="26" t="s">
        <v>164</v>
      </c>
      <c r="G35" s="26" t="s">
        <v>233</v>
      </c>
      <c r="H35" s="28">
        <v>0</v>
      </c>
      <c r="I35" s="28">
        <v>2048.69</v>
      </c>
      <c r="J35" s="28">
        <v>-2048.69</v>
      </c>
      <c r="K35" s="26" t="s">
        <v>136</v>
      </c>
      <c r="L35" s="26" t="s">
        <v>153</v>
      </c>
      <c r="M35" s="26" t="s">
        <v>225</v>
      </c>
    </row>
    <row r="36" spans="1:13">
      <c r="A36" s="23" t="s">
        <v>234</v>
      </c>
      <c r="B36" s="24">
        <v>46041</v>
      </c>
      <c r="C36" s="23" t="s">
        <v>125</v>
      </c>
      <c r="D36" s="23" t="s">
        <v>81</v>
      </c>
      <c r="E36" s="23" t="s">
        <v>214</v>
      </c>
      <c r="F36" s="23" t="s">
        <v>215</v>
      </c>
      <c r="G36" s="23" t="s">
        <v>235</v>
      </c>
      <c r="H36" s="25">
        <v>7954.8</v>
      </c>
      <c r="I36" s="25">
        <v>0</v>
      </c>
      <c r="J36" s="25">
        <v>7954.8</v>
      </c>
      <c r="K36" s="23" t="s">
        <v>129</v>
      </c>
      <c r="L36" s="23" t="s">
        <v>148</v>
      </c>
      <c r="M36" s="23" t="s">
        <v>158</v>
      </c>
    </row>
    <row r="37" spans="1:13">
      <c r="A37" s="26" t="s">
        <v>236</v>
      </c>
      <c r="B37" s="27">
        <v>46043</v>
      </c>
      <c r="C37" s="26" t="s">
        <v>125</v>
      </c>
      <c r="D37" s="26" t="s">
        <v>72</v>
      </c>
      <c r="E37" s="26" t="s">
        <v>208</v>
      </c>
      <c r="F37" s="26" t="s">
        <v>209</v>
      </c>
      <c r="G37" s="26" t="s">
        <v>237</v>
      </c>
      <c r="H37" s="28">
        <v>0</v>
      </c>
      <c r="I37" s="28">
        <v>5765.59</v>
      </c>
      <c r="J37" s="28">
        <v>-5765.59</v>
      </c>
      <c r="K37" s="26" t="s">
        <v>178</v>
      </c>
      <c r="L37" s="26" t="s">
        <v>137</v>
      </c>
      <c r="M37" s="26" t="s">
        <v>131</v>
      </c>
    </row>
    <row r="38" spans="1:13">
      <c r="A38" s="23" t="s">
        <v>238</v>
      </c>
      <c r="B38" s="24">
        <v>46029</v>
      </c>
      <c r="C38" s="23" t="s">
        <v>125</v>
      </c>
      <c r="D38" s="23" t="s">
        <v>81</v>
      </c>
      <c r="E38" s="23" t="s">
        <v>173</v>
      </c>
      <c r="F38" s="23" t="s">
        <v>174</v>
      </c>
      <c r="G38" s="23" t="s">
        <v>239</v>
      </c>
      <c r="H38" s="25">
        <v>7942.72</v>
      </c>
      <c r="I38" s="25">
        <v>0</v>
      </c>
      <c r="J38" s="25">
        <v>7942.72</v>
      </c>
      <c r="K38" s="23" t="s">
        <v>178</v>
      </c>
      <c r="L38" s="23" t="s">
        <v>130</v>
      </c>
      <c r="M38" s="23" t="s">
        <v>158</v>
      </c>
    </row>
    <row r="39" spans="1:13">
      <c r="A39" s="26" t="s">
        <v>240</v>
      </c>
      <c r="B39" s="27">
        <v>46040</v>
      </c>
      <c r="C39" s="26" t="s">
        <v>125</v>
      </c>
      <c r="D39" s="26" t="s">
        <v>90</v>
      </c>
      <c r="E39" s="26" t="s">
        <v>214</v>
      </c>
      <c r="F39" s="26" t="s">
        <v>164</v>
      </c>
      <c r="G39" s="26" t="s">
        <v>241</v>
      </c>
      <c r="H39" s="28">
        <v>0</v>
      </c>
      <c r="I39" s="28">
        <v>4920.07</v>
      </c>
      <c r="J39" s="28">
        <v>-4920.07</v>
      </c>
      <c r="K39" s="26" t="s">
        <v>136</v>
      </c>
      <c r="L39" s="26" t="s">
        <v>148</v>
      </c>
      <c r="M39" s="26" t="s">
        <v>242</v>
      </c>
    </row>
    <row r="40" spans="1:13">
      <c r="A40" s="23" t="s">
        <v>243</v>
      </c>
      <c r="B40" s="24">
        <v>46026</v>
      </c>
      <c r="C40" s="23" t="s">
        <v>125</v>
      </c>
      <c r="D40" s="23" t="s">
        <v>107</v>
      </c>
      <c r="E40" s="23" t="s">
        <v>191</v>
      </c>
      <c r="F40" s="23" t="s">
        <v>192</v>
      </c>
      <c r="G40" s="23" t="s">
        <v>244</v>
      </c>
      <c r="H40" s="25">
        <v>0</v>
      </c>
      <c r="I40" s="25">
        <v>20.440000000000001</v>
      </c>
      <c r="J40" s="25">
        <v>-20.440000000000001</v>
      </c>
      <c r="K40" s="23" t="s">
        <v>178</v>
      </c>
      <c r="L40" s="23" t="s">
        <v>137</v>
      </c>
      <c r="M40" s="23" t="s">
        <v>194</v>
      </c>
    </row>
    <row r="41" spans="1:13">
      <c r="A41" s="26" t="s">
        <v>245</v>
      </c>
      <c r="B41" s="27">
        <v>46042</v>
      </c>
      <c r="C41" s="26" t="s">
        <v>125</v>
      </c>
      <c r="D41" s="26" t="s">
        <v>72</v>
      </c>
      <c r="E41" s="26" t="s">
        <v>208</v>
      </c>
      <c r="F41" s="26" t="s">
        <v>209</v>
      </c>
      <c r="G41" s="26" t="s">
        <v>246</v>
      </c>
      <c r="H41" s="28">
        <v>0</v>
      </c>
      <c r="I41" s="28">
        <v>1326.02</v>
      </c>
      <c r="J41" s="28">
        <v>-1326.02</v>
      </c>
      <c r="K41" s="26" t="s">
        <v>147</v>
      </c>
      <c r="L41" s="26" t="s">
        <v>153</v>
      </c>
      <c r="M41" s="26" t="s">
        <v>131</v>
      </c>
    </row>
    <row r="42" spans="1:13">
      <c r="A42" s="23" t="s">
        <v>247</v>
      </c>
      <c r="B42" s="24">
        <v>46036</v>
      </c>
      <c r="C42" s="23" t="s">
        <v>125</v>
      </c>
      <c r="D42" s="23" t="s">
        <v>99</v>
      </c>
      <c r="E42" s="23" t="s">
        <v>182</v>
      </c>
      <c r="F42" s="23" t="s">
        <v>183</v>
      </c>
      <c r="G42" s="23" t="s">
        <v>248</v>
      </c>
      <c r="H42" s="25">
        <v>0</v>
      </c>
      <c r="I42" s="25">
        <v>3139.26</v>
      </c>
      <c r="J42" s="25">
        <v>-3139.26</v>
      </c>
      <c r="K42" s="23" t="s">
        <v>147</v>
      </c>
      <c r="L42" s="23" t="s">
        <v>130</v>
      </c>
      <c r="M42" s="23" t="s">
        <v>185</v>
      </c>
    </row>
    <row r="43" spans="1:13">
      <c r="A43" s="26" t="s">
        <v>249</v>
      </c>
      <c r="B43" s="27">
        <v>46037</v>
      </c>
      <c r="C43" s="26" t="s">
        <v>125</v>
      </c>
      <c r="D43" s="26" t="s">
        <v>81</v>
      </c>
      <c r="E43" s="26" t="s">
        <v>163</v>
      </c>
      <c r="F43" s="26" t="s">
        <v>250</v>
      </c>
      <c r="G43" s="26" t="s">
        <v>251</v>
      </c>
      <c r="H43" s="28">
        <v>4833.57</v>
      </c>
      <c r="I43" s="28">
        <v>0</v>
      </c>
      <c r="J43" s="28">
        <v>4833.57</v>
      </c>
      <c r="K43" s="26" t="s">
        <v>178</v>
      </c>
      <c r="L43" s="26" t="s">
        <v>137</v>
      </c>
      <c r="M43" s="26" t="s">
        <v>158</v>
      </c>
    </row>
    <row r="44" spans="1:13">
      <c r="A44" s="23" t="s">
        <v>252</v>
      </c>
      <c r="B44" s="24">
        <v>46045</v>
      </c>
      <c r="C44" s="23" t="s">
        <v>125</v>
      </c>
      <c r="D44" s="23" t="s">
        <v>99</v>
      </c>
      <c r="E44" s="23" t="s">
        <v>182</v>
      </c>
      <c r="F44" s="23" t="s">
        <v>183</v>
      </c>
      <c r="G44" s="23" t="s">
        <v>253</v>
      </c>
      <c r="H44" s="25">
        <v>0</v>
      </c>
      <c r="I44" s="25">
        <v>10411.06</v>
      </c>
      <c r="J44" s="25">
        <v>-10411.06</v>
      </c>
      <c r="K44" s="23" t="s">
        <v>147</v>
      </c>
      <c r="L44" s="23" t="s">
        <v>153</v>
      </c>
      <c r="M44" s="23" t="s">
        <v>185</v>
      </c>
    </row>
    <row r="45" spans="1:13">
      <c r="A45" s="26" t="s">
        <v>254</v>
      </c>
      <c r="B45" s="27">
        <v>46032</v>
      </c>
      <c r="C45" s="26" t="s">
        <v>125</v>
      </c>
      <c r="D45" s="26" t="s">
        <v>81</v>
      </c>
      <c r="E45" s="26" t="s">
        <v>220</v>
      </c>
      <c r="F45" s="26" t="s">
        <v>221</v>
      </c>
      <c r="G45" s="26" t="s">
        <v>255</v>
      </c>
      <c r="H45" s="28">
        <v>7656.02</v>
      </c>
      <c r="I45" s="28">
        <v>0</v>
      </c>
      <c r="J45" s="28">
        <v>7656.02</v>
      </c>
      <c r="K45" s="26" t="s">
        <v>129</v>
      </c>
      <c r="L45" s="26" t="s">
        <v>130</v>
      </c>
      <c r="M45" s="26" t="s">
        <v>158</v>
      </c>
    </row>
    <row r="46" spans="1:13">
      <c r="A46" s="23" t="s">
        <v>256</v>
      </c>
      <c r="B46" s="24">
        <v>46051</v>
      </c>
      <c r="C46" s="23" t="s">
        <v>125</v>
      </c>
      <c r="D46" s="23" t="s">
        <v>99</v>
      </c>
      <c r="E46" s="23" t="s">
        <v>182</v>
      </c>
      <c r="F46" s="23" t="s">
        <v>183</v>
      </c>
      <c r="G46" s="23" t="s">
        <v>257</v>
      </c>
      <c r="H46" s="25">
        <v>0</v>
      </c>
      <c r="I46" s="25">
        <v>16620.64</v>
      </c>
      <c r="J46" s="25">
        <v>-16620.64</v>
      </c>
      <c r="K46" s="23" t="s">
        <v>129</v>
      </c>
      <c r="L46" s="23" t="s">
        <v>130</v>
      </c>
      <c r="M46" s="23" t="s">
        <v>185</v>
      </c>
    </row>
    <row r="47" spans="1:13">
      <c r="A47" s="26" t="s">
        <v>258</v>
      </c>
      <c r="B47" s="27">
        <v>46048</v>
      </c>
      <c r="C47" s="26" t="s">
        <v>125</v>
      </c>
      <c r="D47" s="26" t="s">
        <v>99</v>
      </c>
      <c r="E47" s="26" t="s">
        <v>182</v>
      </c>
      <c r="F47" s="26" t="s">
        <v>183</v>
      </c>
      <c r="G47" s="26" t="s">
        <v>259</v>
      </c>
      <c r="H47" s="28">
        <v>0</v>
      </c>
      <c r="I47" s="28">
        <v>15280.53</v>
      </c>
      <c r="J47" s="28">
        <v>-15280.53</v>
      </c>
      <c r="K47" s="26" t="s">
        <v>178</v>
      </c>
      <c r="L47" s="26" t="s">
        <v>130</v>
      </c>
      <c r="M47" s="26" t="s">
        <v>185</v>
      </c>
    </row>
    <row r="48" spans="1:13">
      <c r="A48" s="23" t="s">
        <v>260</v>
      </c>
      <c r="B48" s="24">
        <v>46036</v>
      </c>
      <c r="C48" s="23" t="s">
        <v>125</v>
      </c>
      <c r="D48" s="23" t="s">
        <v>99</v>
      </c>
      <c r="E48" s="23" t="s">
        <v>182</v>
      </c>
      <c r="F48" s="23" t="s">
        <v>183</v>
      </c>
      <c r="G48" s="23" t="s">
        <v>261</v>
      </c>
      <c r="H48" s="25">
        <v>0</v>
      </c>
      <c r="I48" s="25">
        <v>15028.93</v>
      </c>
      <c r="J48" s="25">
        <v>-15028.93</v>
      </c>
      <c r="K48" s="23" t="s">
        <v>129</v>
      </c>
      <c r="L48" s="23" t="s">
        <v>148</v>
      </c>
      <c r="M48" s="23" t="s">
        <v>185</v>
      </c>
    </row>
    <row r="49" spans="1:13">
      <c r="A49" s="26" t="s">
        <v>262</v>
      </c>
      <c r="B49" s="27">
        <v>46024</v>
      </c>
      <c r="C49" s="26" t="s">
        <v>125</v>
      </c>
      <c r="D49" s="26" t="s">
        <v>99</v>
      </c>
      <c r="E49" s="26" t="s">
        <v>182</v>
      </c>
      <c r="F49" s="26" t="s">
        <v>183</v>
      </c>
      <c r="G49" s="26" t="s">
        <v>263</v>
      </c>
      <c r="H49" s="28">
        <v>0</v>
      </c>
      <c r="I49" s="28">
        <v>5725.29</v>
      </c>
      <c r="J49" s="28">
        <v>-5725.29</v>
      </c>
      <c r="K49" s="26" t="s">
        <v>161</v>
      </c>
      <c r="L49" s="26" t="s">
        <v>148</v>
      </c>
      <c r="M49" s="26" t="s">
        <v>185</v>
      </c>
    </row>
    <row r="50" spans="1:13">
      <c r="A50" s="23" t="s">
        <v>264</v>
      </c>
      <c r="B50" s="24">
        <v>46044</v>
      </c>
      <c r="C50" s="23" t="s">
        <v>125</v>
      </c>
      <c r="D50" s="23" t="s">
        <v>72</v>
      </c>
      <c r="E50" s="23" t="s">
        <v>208</v>
      </c>
      <c r="F50" s="23" t="s">
        <v>209</v>
      </c>
      <c r="G50" s="23" t="s">
        <v>265</v>
      </c>
      <c r="H50" s="25">
        <v>0</v>
      </c>
      <c r="I50" s="25">
        <v>1785.05</v>
      </c>
      <c r="J50" s="25">
        <v>-1785.05</v>
      </c>
      <c r="K50" s="23" t="s">
        <v>178</v>
      </c>
      <c r="L50" s="23" t="s">
        <v>148</v>
      </c>
      <c r="M50" s="23" t="s">
        <v>131</v>
      </c>
    </row>
    <row r="51" spans="1:13">
      <c r="A51" s="26" t="s">
        <v>266</v>
      </c>
      <c r="B51" s="27">
        <v>46049</v>
      </c>
      <c r="C51" s="26" t="s">
        <v>125</v>
      </c>
      <c r="D51" s="26" t="s">
        <v>81</v>
      </c>
      <c r="E51" s="26" t="s">
        <v>220</v>
      </c>
      <c r="F51" s="26" t="s">
        <v>221</v>
      </c>
      <c r="G51" s="26" t="s">
        <v>267</v>
      </c>
      <c r="H51" s="28">
        <v>1113.0999999999999</v>
      </c>
      <c r="I51" s="28">
        <v>0</v>
      </c>
      <c r="J51" s="28">
        <v>1113.0999999999999</v>
      </c>
      <c r="K51" s="26" t="s">
        <v>147</v>
      </c>
      <c r="L51" s="26" t="s">
        <v>130</v>
      </c>
      <c r="M51" s="26" t="s">
        <v>158</v>
      </c>
    </row>
    <row r="52" spans="1:13">
      <c r="A52" s="23" t="s">
        <v>268</v>
      </c>
      <c r="B52" s="24">
        <v>46036</v>
      </c>
      <c r="C52" s="23" t="s">
        <v>125</v>
      </c>
      <c r="D52" s="23" t="s">
        <v>72</v>
      </c>
      <c r="E52" s="23" t="s">
        <v>139</v>
      </c>
      <c r="F52" s="23" t="s">
        <v>140</v>
      </c>
      <c r="G52" s="23" t="s">
        <v>269</v>
      </c>
      <c r="H52" s="25">
        <v>0</v>
      </c>
      <c r="I52" s="25">
        <v>1999.71</v>
      </c>
      <c r="J52" s="25">
        <v>-1999.71</v>
      </c>
      <c r="K52" s="23" t="s">
        <v>136</v>
      </c>
      <c r="L52" s="23" t="s">
        <v>153</v>
      </c>
      <c r="M52" s="23" t="s">
        <v>131</v>
      </c>
    </row>
    <row r="53" spans="1:13">
      <c r="A53" s="26" t="s">
        <v>270</v>
      </c>
      <c r="B53" s="27">
        <v>46045</v>
      </c>
      <c r="C53" s="26" t="s">
        <v>125</v>
      </c>
      <c r="D53" s="26" t="s">
        <v>81</v>
      </c>
      <c r="E53" s="26" t="s">
        <v>167</v>
      </c>
      <c r="F53" s="26" t="s">
        <v>168</v>
      </c>
      <c r="G53" s="26" t="s">
        <v>271</v>
      </c>
      <c r="H53" s="28">
        <v>7878.55</v>
      </c>
      <c r="I53" s="28">
        <v>0</v>
      </c>
      <c r="J53" s="28">
        <v>7878.55</v>
      </c>
      <c r="K53" s="26" t="s">
        <v>136</v>
      </c>
      <c r="L53" s="26" t="s">
        <v>130</v>
      </c>
      <c r="M53" s="26" t="s">
        <v>158</v>
      </c>
    </row>
    <row r="54" spans="1:13">
      <c r="A54" s="23" t="s">
        <v>272</v>
      </c>
      <c r="B54" s="24">
        <v>46052</v>
      </c>
      <c r="C54" s="23" t="s">
        <v>125</v>
      </c>
      <c r="D54" s="23" t="s">
        <v>72</v>
      </c>
      <c r="E54" s="23" t="s">
        <v>208</v>
      </c>
      <c r="F54" s="23" t="s">
        <v>209</v>
      </c>
      <c r="G54" s="23" t="s">
        <v>273</v>
      </c>
      <c r="H54" s="25">
        <v>0</v>
      </c>
      <c r="I54" s="25">
        <v>4139.93</v>
      </c>
      <c r="J54" s="25">
        <v>-4139.93</v>
      </c>
      <c r="K54" s="23" t="s">
        <v>178</v>
      </c>
      <c r="L54" s="23" t="s">
        <v>148</v>
      </c>
      <c r="M54" s="23" t="s">
        <v>131</v>
      </c>
    </row>
    <row r="55" spans="1:13">
      <c r="A55" s="26" t="s">
        <v>274</v>
      </c>
      <c r="B55" s="27">
        <v>46045</v>
      </c>
      <c r="C55" s="26" t="s">
        <v>125</v>
      </c>
      <c r="D55" s="26" t="s">
        <v>72</v>
      </c>
      <c r="E55" s="26" t="s">
        <v>133</v>
      </c>
      <c r="F55" s="26" t="s">
        <v>134</v>
      </c>
      <c r="G55" s="26" t="s">
        <v>275</v>
      </c>
      <c r="H55" s="28">
        <v>0</v>
      </c>
      <c r="I55" s="28">
        <v>1254.06</v>
      </c>
      <c r="J55" s="28">
        <v>-1254.06</v>
      </c>
      <c r="K55" s="26" t="s">
        <v>161</v>
      </c>
      <c r="L55" s="26" t="s">
        <v>130</v>
      </c>
      <c r="M55" s="26" t="s">
        <v>131</v>
      </c>
    </row>
    <row r="56" spans="1:13">
      <c r="A56" s="23" t="s">
        <v>276</v>
      </c>
      <c r="B56" s="24">
        <v>46049</v>
      </c>
      <c r="C56" s="23" t="s">
        <v>125</v>
      </c>
      <c r="D56" s="23" t="s">
        <v>72</v>
      </c>
      <c r="E56" s="23" t="s">
        <v>208</v>
      </c>
      <c r="F56" s="23" t="s">
        <v>209</v>
      </c>
      <c r="G56" s="23" t="s">
        <v>277</v>
      </c>
      <c r="H56" s="25">
        <v>0</v>
      </c>
      <c r="I56" s="25">
        <v>1366.32</v>
      </c>
      <c r="J56" s="25">
        <v>-1366.32</v>
      </c>
      <c r="K56" s="23" t="s">
        <v>136</v>
      </c>
      <c r="L56" s="23" t="s">
        <v>153</v>
      </c>
      <c r="M56" s="23" t="s">
        <v>131</v>
      </c>
    </row>
    <row r="57" spans="1:13">
      <c r="A57" s="26" t="s">
        <v>278</v>
      </c>
      <c r="B57" s="27">
        <v>46044</v>
      </c>
      <c r="C57" s="26" t="s">
        <v>125</v>
      </c>
      <c r="D57" s="26" t="s">
        <v>72</v>
      </c>
      <c r="E57" s="26" t="s">
        <v>150</v>
      </c>
      <c r="F57" s="26" t="s">
        <v>151</v>
      </c>
      <c r="G57" s="26" t="s">
        <v>279</v>
      </c>
      <c r="H57" s="28">
        <v>0</v>
      </c>
      <c r="I57" s="28">
        <v>4937.66</v>
      </c>
      <c r="J57" s="28">
        <v>-4937.66</v>
      </c>
      <c r="K57" s="26" t="s">
        <v>129</v>
      </c>
      <c r="L57" s="26" t="s">
        <v>137</v>
      </c>
      <c r="M57" s="26" t="s">
        <v>131</v>
      </c>
    </row>
    <row r="58" spans="1:13">
      <c r="A58" s="23" t="s">
        <v>280</v>
      </c>
      <c r="B58" s="24">
        <v>46053</v>
      </c>
      <c r="C58" s="23" t="s">
        <v>125</v>
      </c>
      <c r="D58" s="23" t="s">
        <v>90</v>
      </c>
      <c r="E58" s="23" t="s">
        <v>163</v>
      </c>
      <c r="F58" s="23" t="s">
        <v>164</v>
      </c>
      <c r="G58" s="23" t="s">
        <v>281</v>
      </c>
      <c r="H58" s="25">
        <v>0</v>
      </c>
      <c r="I58" s="25">
        <v>1586.58</v>
      </c>
      <c r="J58" s="25">
        <v>-1586.58</v>
      </c>
      <c r="K58" s="23" t="s">
        <v>178</v>
      </c>
      <c r="L58" s="23" t="s">
        <v>137</v>
      </c>
      <c r="M58" s="23" t="s">
        <v>131</v>
      </c>
    </row>
    <row r="59" spans="1:13">
      <c r="A59" s="26" t="s">
        <v>282</v>
      </c>
      <c r="B59" s="27">
        <v>46047</v>
      </c>
      <c r="C59" s="26" t="s">
        <v>125</v>
      </c>
      <c r="D59" s="26" t="s">
        <v>72</v>
      </c>
      <c r="E59" s="26" t="s">
        <v>150</v>
      </c>
      <c r="F59" s="26" t="s">
        <v>151</v>
      </c>
      <c r="G59" s="26" t="s">
        <v>283</v>
      </c>
      <c r="H59" s="28">
        <v>0</v>
      </c>
      <c r="I59" s="28">
        <v>5503.16</v>
      </c>
      <c r="J59" s="28">
        <v>-5503.16</v>
      </c>
      <c r="K59" s="26" t="s">
        <v>136</v>
      </c>
      <c r="L59" s="26" t="s">
        <v>130</v>
      </c>
      <c r="M59" s="26" t="s">
        <v>131</v>
      </c>
    </row>
    <row r="60" spans="1:13">
      <c r="A60" s="23" t="s">
        <v>284</v>
      </c>
      <c r="B60" s="24">
        <v>46030</v>
      </c>
      <c r="C60" s="23" t="s">
        <v>125</v>
      </c>
      <c r="D60" s="23" t="s">
        <v>72</v>
      </c>
      <c r="E60" s="23" t="s">
        <v>126</v>
      </c>
      <c r="F60" s="23" t="s">
        <v>127</v>
      </c>
      <c r="G60" s="23" t="s">
        <v>285</v>
      </c>
      <c r="H60" s="25">
        <v>0</v>
      </c>
      <c r="I60" s="25">
        <v>113.93</v>
      </c>
      <c r="J60" s="25">
        <v>-113.93</v>
      </c>
      <c r="K60" s="23" t="s">
        <v>178</v>
      </c>
      <c r="L60" s="23" t="s">
        <v>142</v>
      </c>
      <c r="M60" s="23" t="s">
        <v>131</v>
      </c>
    </row>
    <row r="61" spans="1:13">
      <c r="A61" s="26" t="s">
        <v>286</v>
      </c>
      <c r="B61" s="27">
        <v>46052</v>
      </c>
      <c r="C61" s="26" t="s">
        <v>125</v>
      </c>
      <c r="D61" s="26" t="s">
        <v>99</v>
      </c>
      <c r="E61" s="26" t="s">
        <v>182</v>
      </c>
      <c r="F61" s="26" t="s">
        <v>183</v>
      </c>
      <c r="G61" s="26" t="s">
        <v>287</v>
      </c>
      <c r="H61" s="28">
        <v>0</v>
      </c>
      <c r="I61" s="28">
        <v>9118.7000000000007</v>
      </c>
      <c r="J61" s="28">
        <v>-9118.7000000000007</v>
      </c>
      <c r="K61" s="26" t="s">
        <v>161</v>
      </c>
      <c r="L61" s="26" t="s">
        <v>153</v>
      </c>
      <c r="M61" s="26" t="s">
        <v>185</v>
      </c>
    </row>
    <row r="62" spans="1:13">
      <c r="A62" s="23" t="s">
        <v>288</v>
      </c>
      <c r="B62" s="24">
        <v>46042</v>
      </c>
      <c r="C62" s="23" t="s">
        <v>125</v>
      </c>
      <c r="D62" s="23" t="s">
        <v>72</v>
      </c>
      <c r="E62" s="23" t="s">
        <v>139</v>
      </c>
      <c r="F62" s="23" t="s">
        <v>140</v>
      </c>
      <c r="G62" s="23" t="s">
        <v>289</v>
      </c>
      <c r="H62" s="25">
        <v>0</v>
      </c>
      <c r="I62" s="25">
        <v>5535.53</v>
      </c>
      <c r="J62" s="25">
        <v>-5535.53</v>
      </c>
      <c r="K62" s="23" t="s">
        <v>136</v>
      </c>
      <c r="L62" s="23" t="s">
        <v>153</v>
      </c>
      <c r="M62" s="23" t="s">
        <v>131</v>
      </c>
    </row>
    <row r="63" spans="1:13">
      <c r="A63" s="26" t="s">
        <v>290</v>
      </c>
      <c r="B63" s="27">
        <v>46046</v>
      </c>
      <c r="C63" s="26" t="s">
        <v>125</v>
      </c>
      <c r="D63" s="26" t="s">
        <v>99</v>
      </c>
      <c r="E63" s="26" t="s">
        <v>182</v>
      </c>
      <c r="F63" s="26" t="s">
        <v>183</v>
      </c>
      <c r="G63" s="26" t="s">
        <v>291</v>
      </c>
      <c r="H63" s="28">
        <v>0</v>
      </c>
      <c r="I63" s="28">
        <v>9026.01</v>
      </c>
      <c r="J63" s="28">
        <v>-9026.01</v>
      </c>
      <c r="K63" s="26" t="s">
        <v>129</v>
      </c>
      <c r="L63" s="26" t="s">
        <v>148</v>
      </c>
      <c r="M63" s="26" t="s">
        <v>185</v>
      </c>
    </row>
    <row r="64" spans="1:13">
      <c r="A64" s="23" t="s">
        <v>292</v>
      </c>
      <c r="B64" s="24">
        <v>46031</v>
      </c>
      <c r="C64" s="23" t="s">
        <v>125</v>
      </c>
      <c r="D64" s="23" t="s">
        <v>81</v>
      </c>
      <c r="E64" s="23" t="s">
        <v>155</v>
      </c>
      <c r="F64" s="23" t="s">
        <v>156</v>
      </c>
      <c r="G64" s="23" t="s">
        <v>293</v>
      </c>
      <c r="H64" s="25">
        <v>2535.83</v>
      </c>
      <c r="I64" s="25">
        <v>0</v>
      </c>
      <c r="J64" s="25">
        <v>2535.83</v>
      </c>
      <c r="K64" s="23" t="s">
        <v>147</v>
      </c>
      <c r="L64" s="23" t="s">
        <v>148</v>
      </c>
      <c r="M64" s="23" t="s">
        <v>158</v>
      </c>
    </row>
    <row r="65" spans="1:13">
      <c r="A65" s="26" t="s">
        <v>294</v>
      </c>
      <c r="B65" s="27">
        <v>46030</v>
      </c>
      <c r="C65" s="26" t="s">
        <v>125</v>
      </c>
      <c r="D65" s="26" t="s">
        <v>81</v>
      </c>
      <c r="E65" s="26" t="s">
        <v>173</v>
      </c>
      <c r="F65" s="26" t="s">
        <v>174</v>
      </c>
      <c r="G65" s="26" t="s">
        <v>295</v>
      </c>
      <c r="H65" s="28">
        <v>6048.6</v>
      </c>
      <c r="I65" s="28">
        <v>0</v>
      </c>
      <c r="J65" s="28">
        <v>6048.6</v>
      </c>
      <c r="K65" s="26" t="s">
        <v>178</v>
      </c>
      <c r="L65" s="26" t="s">
        <v>142</v>
      </c>
      <c r="M65" s="26" t="s">
        <v>158</v>
      </c>
    </row>
    <row r="66" spans="1:13">
      <c r="A66" s="23" t="s">
        <v>296</v>
      </c>
      <c r="B66" s="24">
        <v>46029</v>
      </c>
      <c r="C66" s="23" t="s">
        <v>125</v>
      </c>
      <c r="D66" s="23" t="s">
        <v>99</v>
      </c>
      <c r="E66" s="23" t="s">
        <v>182</v>
      </c>
      <c r="F66" s="23" t="s">
        <v>183</v>
      </c>
      <c r="G66" s="23" t="s">
        <v>297</v>
      </c>
      <c r="H66" s="25">
        <v>0</v>
      </c>
      <c r="I66" s="25">
        <v>8147.41</v>
      </c>
      <c r="J66" s="25">
        <v>-8147.41</v>
      </c>
      <c r="K66" s="23" t="s">
        <v>136</v>
      </c>
      <c r="L66" s="23" t="s">
        <v>137</v>
      </c>
      <c r="M66" s="23" t="s">
        <v>185</v>
      </c>
    </row>
    <row r="67" spans="1:13">
      <c r="A67" s="26" t="s">
        <v>298</v>
      </c>
      <c r="B67" s="27">
        <v>46047</v>
      </c>
      <c r="C67" s="26" t="s">
        <v>125</v>
      </c>
      <c r="D67" s="26" t="s">
        <v>81</v>
      </c>
      <c r="E67" s="26" t="s">
        <v>163</v>
      </c>
      <c r="F67" s="26" t="s">
        <v>250</v>
      </c>
      <c r="G67" s="26" t="s">
        <v>299</v>
      </c>
      <c r="H67" s="28">
        <v>199.23</v>
      </c>
      <c r="I67" s="28">
        <v>0</v>
      </c>
      <c r="J67" s="28">
        <v>199.23</v>
      </c>
      <c r="K67" s="26" t="s">
        <v>147</v>
      </c>
      <c r="L67" s="26" t="s">
        <v>148</v>
      </c>
      <c r="M67" s="26" t="s">
        <v>158</v>
      </c>
    </row>
    <row r="68" spans="1:13">
      <c r="A68" s="23" t="s">
        <v>300</v>
      </c>
      <c r="B68" s="24">
        <v>46046</v>
      </c>
      <c r="C68" s="23" t="s">
        <v>125</v>
      </c>
      <c r="D68" s="23" t="s">
        <v>81</v>
      </c>
      <c r="E68" s="23" t="s">
        <v>167</v>
      </c>
      <c r="F68" s="23" t="s">
        <v>168</v>
      </c>
      <c r="G68" s="23" t="s">
        <v>301</v>
      </c>
      <c r="H68" s="25">
        <v>7646.72</v>
      </c>
      <c r="I68" s="25">
        <v>0</v>
      </c>
      <c r="J68" s="25">
        <v>7646.72</v>
      </c>
      <c r="K68" s="23" t="s">
        <v>161</v>
      </c>
      <c r="L68" s="23" t="s">
        <v>130</v>
      </c>
      <c r="M68" s="23" t="s">
        <v>158</v>
      </c>
    </row>
    <row r="69" spans="1:13">
      <c r="A69" s="26" t="s">
        <v>302</v>
      </c>
      <c r="B69" s="27">
        <v>46044</v>
      </c>
      <c r="C69" s="26" t="s">
        <v>125</v>
      </c>
      <c r="D69" s="26" t="s">
        <v>90</v>
      </c>
      <c r="E69" s="26" t="s">
        <v>139</v>
      </c>
      <c r="F69" s="26" t="s">
        <v>164</v>
      </c>
      <c r="G69" s="26" t="s">
        <v>303</v>
      </c>
      <c r="H69" s="28">
        <v>0</v>
      </c>
      <c r="I69" s="28">
        <v>3634.7</v>
      </c>
      <c r="J69" s="28">
        <v>-3634.7</v>
      </c>
      <c r="K69" s="26" t="s">
        <v>136</v>
      </c>
      <c r="L69" s="26" t="s">
        <v>153</v>
      </c>
      <c r="M69" s="26" t="s">
        <v>131</v>
      </c>
    </row>
    <row r="70" spans="1:13">
      <c r="A70" s="23" t="s">
        <v>304</v>
      </c>
      <c r="B70" s="24">
        <v>46044</v>
      </c>
      <c r="C70" s="23" t="s">
        <v>125</v>
      </c>
      <c r="D70" s="23" t="s">
        <v>72</v>
      </c>
      <c r="E70" s="23" t="s">
        <v>126</v>
      </c>
      <c r="F70" s="23" t="s">
        <v>127</v>
      </c>
      <c r="G70" s="23" t="s">
        <v>305</v>
      </c>
      <c r="H70" s="25">
        <v>0</v>
      </c>
      <c r="I70" s="25">
        <v>2703.11</v>
      </c>
      <c r="J70" s="25">
        <v>-2703.11</v>
      </c>
      <c r="K70" s="23" t="s">
        <v>161</v>
      </c>
      <c r="L70" s="23" t="s">
        <v>130</v>
      </c>
      <c r="M70" s="23" t="s">
        <v>131</v>
      </c>
    </row>
    <row r="71" spans="1:13">
      <c r="A71" s="26" t="s">
        <v>306</v>
      </c>
      <c r="B71" s="27">
        <v>46037</v>
      </c>
      <c r="C71" s="26" t="s">
        <v>125</v>
      </c>
      <c r="D71" s="26" t="s">
        <v>72</v>
      </c>
      <c r="E71" s="26" t="s">
        <v>139</v>
      </c>
      <c r="F71" s="26" t="s">
        <v>140</v>
      </c>
      <c r="G71" s="26" t="s">
        <v>307</v>
      </c>
      <c r="H71" s="28">
        <v>0</v>
      </c>
      <c r="I71" s="28">
        <v>5463.4</v>
      </c>
      <c r="J71" s="28">
        <v>-5463.4</v>
      </c>
      <c r="K71" s="26" t="s">
        <v>147</v>
      </c>
      <c r="L71" s="26" t="s">
        <v>142</v>
      </c>
      <c r="M71" s="26" t="s">
        <v>131</v>
      </c>
    </row>
    <row r="72" spans="1:13">
      <c r="A72" s="23" t="s">
        <v>308</v>
      </c>
      <c r="B72" s="24">
        <v>46046</v>
      </c>
      <c r="C72" s="23" t="s">
        <v>125</v>
      </c>
      <c r="D72" s="23" t="s">
        <v>81</v>
      </c>
      <c r="E72" s="23" t="s">
        <v>214</v>
      </c>
      <c r="F72" s="23" t="s">
        <v>215</v>
      </c>
      <c r="G72" s="23" t="s">
        <v>309</v>
      </c>
      <c r="H72" s="25">
        <v>2022.26</v>
      </c>
      <c r="I72" s="25">
        <v>0</v>
      </c>
      <c r="J72" s="25">
        <v>2022.26</v>
      </c>
      <c r="K72" s="23" t="s">
        <v>178</v>
      </c>
      <c r="L72" s="23" t="s">
        <v>137</v>
      </c>
      <c r="M72" s="23" t="s">
        <v>158</v>
      </c>
    </row>
    <row r="73" spans="1:13">
      <c r="A73" s="26" t="s">
        <v>310</v>
      </c>
      <c r="B73" s="27">
        <v>46023</v>
      </c>
      <c r="C73" s="26" t="s">
        <v>125</v>
      </c>
      <c r="D73" s="26" t="s">
        <v>81</v>
      </c>
      <c r="E73" s="26" t="s">
        <v>173</v>
      </c>
      <c r="F73" s="26" t="s">
        <v>174</v>
      </c>
      <c r="G73" s="26" t="s">
        <v>311</v>
      </c>
      <c r="H73" s="28">
        <v>1203.95</v>
      </c>
      <c r="I73" s="28">
        <v>0</v>
      </c>
      <c r="J73" s="28">
        <v>1203.95</v>
      </c>
      <c r="K73" s="26" t="s">
        <v>178</v>
      </c>
      <c r="L73" s="26" t="s">
        <v>153</v>
      </c>
      <c r="M73" s="26" t="s">
        <v>158</v>
      </c>
    </row>
    <row r="74" spans="1:13">
      <c r="A74" s="23" t="s">
        <v>312</v>
      </c>
      <c r="B74" s="24">
        <v>46037</v>
      </c>
      <c r="C74" s="23" t="s">
        <v>125</v>
      </c>
      <c r="D74" s="23" t="s">
        <v>90</v>
      </c>
      <c r="E74" s="23" t="s">
        <v>155</v>
      </c>
      <c r="F74" s="23" t="s">
        <v>164</v>
      </c>
      <c r="G74" s="23" t="s">
        <v>313</v>
      </c>
      <c r="H74" s="25">
        <v>0</v>
      </c>
      <c r="I74" s="25">
        <v>1876.03</v>
      </c>
      <c r="J74" s="25">
        <v>-1876.03</v>
      </c>
      <c r="K74" s="23" t="s">
        <v>129</v>
      </c>
      <c r="L74" s="23" t="s">
        <v>148</v>
      </c>
      <c r="M74" s="23" t="s">
        <v>158</v>
      </c>
    </row>
    <row r="75" spans="1:13">
      <c r="A75" s="26" t="s">
        <v>314</v>
      </c>
      <c r="B75" s="27">
        <v>46041</v>
      </c>
      <c r="C75" s="26" t="s">
        <v>125</v>
      </c>
      <c r="D75" s="26" t="s">
        <v>90</v>
      </c>
      <c r="E75" s="26" t="s">
        <v>139</v>
      </c>
      <c r="F75" s="26" t="s">
        <v>164</v>
      </c>
      <c r="G75" s="26" t="s">
        <v>315</v>
      </c>
      <c r="H75" s="28">
        <v>0</v>
      </c>
      <c r="I75" s="28">
        <v>2013.44</v>
      </c>
      <c r="J75" s="28">
        <v>-2013.44</v>
      </c>
      <c r="K75" s="26" t="s">
        <v>136</v>
      </c>
      <c r="L75" s="26" t="s">
        <v>130</v>
      </c>
      <c r="M75" s="26" t="s">
        <v>158</v>
      </c>
    </row>
    <row r="76" spans="1:13">
      <c r="A76" s="23" t="s">
        <v>316</v>
      </c>
      <c r="B76" s="24">
        <v>46042</v>
      </c>
      <c r="C76" s="23" t="s">
        <v>125</v>
      </c>
      <c r="D76" s="23" t="s">
        <v>99</v>
      </c>
      <c r="E76" s="23" t="s">
        <v>182</v>
      </c>
      <c r="F76" s="23" t="s">
        <v>183</v>
      </c>
      <c r="G76" s="23" t="s">
        <v>317</v>
      </c>
      <c r="H76" s="25">
        <v>0</v>
      </c>
      <c r="I76" s="25">
        <v>14045.29</v>
      </c>
      <c r="J76" s="25">
        <v>-14045.29</v>
      </c>
      <c r="K76" s="23" t="s">
        <v>136</v>
      </c>
      <c r="L76" s="23" t="s">
        <v>137</v>
      </c>
      <c r="M76" s="23" t="s">
        <v>185</v>
      </c>
    </row>
    <row r="77" spans="1:13">
      <c r="A77" s="26" t="s">
        <v>318</v>
      </c>
      <c r="B77" s="27">
        <v>46025</v>
      </c>
      <c r="C77" s="26" t="s">
        <v>125</v>
      </c>
      <c r="D77" s="26" t="s">
        <v>81</v>
      </c>
      <c r="E77" s="26" t="s">
        <v>214</v>
      </c>
      <c r="F77" s="26" t="s">
        <v>215</v>
      </c>
      <c r="G77" s="26" t="s">
        <v>319</v>
      </c>
      <c r="H77" s="28">
        <v>255.65</v>
      </c>
      <c r="I77" s="28">
        <v>0</v>
      </c>
      <c r="J77" s="28">
        <v>255.65</v>
      </c>
      <c r="K77" s="26" t="s">
        <v>161</v>
      </c>
      <c r="L77" s="26" t="s">
        <v>142</v>
      </c>
      <c r="M77" s="26" t="s">
        <v>158</v>
      </c>
    </row>
    <row r="78" spans="1:13">
      <c r="A78" s="23" t="s">
        <v>320</v>
      </c>
      <c r="B78" s="24">
        <v>46049</v>
      </c>
      <c r="C78" s="23" t="s">
        <v>125</v>
      </c>
      <c r="D78" s="23" t="s">
        <v>81</v>
      </c>
      <c r="E78" s="23" t="s">
        <v>173</v>
      </c>
      <c r="F78" s="23" t="s">
        <v>174</v>
      </c>
      <c r="G78" s="23" t="s">
        <v>321</v>
      </c>
      <c r="H78" s="25">
        <v>3786.32</v>
      </c>
      <c r="I78" s="25">
        <v>0</v>
      </c>
      <c r="J78" s="25">
        <v>3786.32</v>
      </c>
      <c r="K78" s="23" t="s">
        <v>136</v>
      </c>
      <c r="L78" s="23" t="s">
        <v>148</v>
      </c>
      <c r="M78" s="23" t="s">
        <v>158</v>
      </c>
    </row>
    <row r="79" spans="1:13">
      <c r="A79" s="26" t="s">
        <v>322</v>
      </c>
      <c r="B79" s="27">
        <v>46049</v>
      </c>
      <c r="C79" s="26" t="s">
        <v>125</v>
      </c>
      <c r="D79" s="26" t="s">
        <v>90</v>
      </c>
      <c r="E79" s="26" t="s">
        <v>204</v>
      </c>
      <c r="F79" s="26" t="s">
        <v>164</v>
      </c>
      <c r="G79" s="26" t="s">
        <v>323</v>
      </c>
      <c r="H79" s="28">
        <v>1645.41</v>
      </c>
      <c r="I79" s="28">
        <v>0</v>
      </c>
      <c r="J79" s="28">
        <v>1645.41</v>
      </c>
      <c r="K79" s="26" t="s">
        <v>147</v>
      </c>
      <c r="L79" s="26" t="s">
        <v>142</v>
      </c>
      <c r="M79" s="26" t="s">
        <v>158</v>
      </c>
    </row>
    <row r="80" spans="1:13">
      <c r="A80" s="23" t="s">
        <v>324</v>
      </c>
      <c r="B80" s="24">
        <v>46044</v>
      </c>
      <c r="C80" s="23" t="s">
        <v>125</v>
      </c>
      <c r="D80" s="23" t="s">
        <v>81</v>
      </c>
      <c r="E80" s="23" t="s">
        <v>220</v>
      </c>
      <c r="F80" s="23" t="s">
        <v>221</v>
      </c>
      <c r="G80" s="23" t="s">
        <v>325</v>
      </c>
      <c r="H80" s="25">
        <v>4277.46</v>
      </c>
      <c r="I80" s="25">
        <v>0</v>
      </c>
      <c r="J80" s="25">
        <v>4277.46</v>
      </c>
      <c r="K80" s="23" t="s">
        <v>147</v>
      </c>
      <c r="L80" s="23" t="s">
        <v>130</v>
      </c>
      <c r="M80" s="23" t="s">
        <v>158</v>
      </c>
    </row>
    <row r="81" spans="1:13">
      <c r="A81" s="26" t="s">
        <v>326</v>
      </c>
      <c r="B81" s="27">
        <v>46033</v>
      </c>
      <c r="C81" s="26" t="s">
        <v>125</v>
      </c>
      <c r="D81" s="26" t="s">
        <v>72</v>
      </c>
      <c r="E81" s="26" t="s">
        <v>204</v>
      </c>
      <c r="F81" s="26" t="s">
        <v>205</v>
      </c>
      <c r="G81" s="26" t="s">
        <v>327</v>
      </c>
      <c r="H81" s="28">
        <v>0</v>
      </c>
      <c r="I81" s="28">
        <v>4371.24</v>
      </c>
      <c r="J81" s="28">
        <v>-4371.24</v>
      </c>
      <c r="K81" s="26" t="s">
        <v>147</v>
      </c>
      <c r="L81" s="26" t="s">
        <v>153</v>
      </c>
      <c r="M81" s="26" t="s">
        <v>131</v>
      </c>
    </row>
    <row r="82" spans="1:13">
      <c r="A82" s="23" t="s">
        <v>328</v>
      </c>
      <c r="B82" s="24">
        <v>46046</v>
      </c>
      <c r="C82" s="23" t="s">
        <v>125</v>
      </c>
      <c r="D82" s="23" t="s">
        <v>81</v>
      </c>
      <c r="E82" s="23" t="s">
        <v>167</v>
      </c>
      <c r="F82" s="23" t="s">
        <v>168</v>
      </c>
      <c r="G82" s="23" t="s">
        <v>329</v>
      </c>
      <c r="H82" s="25">
        <v>6480.67</v>
      </c>
      <c r="I82" s="25">
        <v>0</v>
      </c>
      <c r="J82" s="25">
        <v>6480.67</v>
      </c>
      <c r="K82" s="23" t="s">
        <v>161</v>
      </c>
      <c r="L82" s="23" t="s">
        <v>142</v>
      </c>
      <c r="M82" s="23" t="s">
        <v>158</v>
      </c>
    </row>
    <row r="83" spans="1:13">
      <c r="A83" s="26" t="s">
        <v>330</v>
      </c>
      <c r="B83" s="27">
        <v>46030</v>
      </c>
      <c r="C83" s="26" t="s">
        <v>125</v>
      </c>
      <c r="D83" s="26" t="s">
        <v>81</v>
      </c>
      <c r="E83" s="26" t="s">
        <v>173</v>
      </c>
      <c r="F83" s="26" t="s">
        <v>174</v>
      </c>
      <c r="G83" s="26" t="s">
        <v>331</v>
      </c>
      <c r="H83" s="28">
        <v>2706.82</v>
      </c>
      <c r="I83" s="28">
        <v>0</v>
      </c>
      <c r="J83" s="28">
        <v>2706.82</v>
      </c>
      <c r="K83" s="26" t="s">
        <v>136</v>
      </c>
      <c r="L83" s="26" t="s">
        <v>148</v>
      </c>
      <c r="M83" s="26" t="s">
        <v>158</v>
      </c>
    </row>
    <row r="84" spans="1:13">
      <c r="A84" s="23" t="s">
        <v>332</v>
      </c>
      <c r="B84" s="24">
        <v>46046</v>
      </c>
      <c r="C84" s="23" t="s">
        <v>125</v>
      </c>
      <c r="D84" s="23" t="s">
        <v>81</v>
      </c>
      <c r="E84" s="23" t="s">
        <v>214</v>
      </c>
      <c r="F84" s="23" t="s">
        <v>215</v>
      </c>
      <c r="G84" s="23" t="s">
        <v>333</v>
      </c>
      <c r="H84" s="25">
        <v>6018.84</v>
      </c>
      <c r="I84" s="25">
        <v>0</v>
      </c>
      <c r="J84" s="25">
        <v>6018.84</v>
      </c>
      <c r="K84" s="23" t="s">
        <v>147</v>
      </c>
      <c r="L84" s="23" t="s">
        <v>148</v>
      </c>
      <c r="M84" s="23" t="s">
        <v>158</v>
      </c>
    </row>
    <row r="85" spans="1:13">
      <c r="A85" s="26" t="s">
        <v>334</v>
      </c>
      <c r="B85" s="27">
        <v>46033</v>
      </c>
      <c r="C85" s="26" t="s">
        <v>125</v>
      </c>
      <c r="D85" s="26" t="s">
        <v>72</v>
      </c>
      <c r="E85" s="26" t="s">
        <v>204</v>
      </c>
      <c r="F85" s="26" t="s">
        <v>205</v>
      </c>
      <c r="G85" s="26" t="s">
        <v>335</v>
      </c>
      <c r="H85" s="28">
        <v>0</v>
      </c>
      <c r="I85" s="28">
        <v>5899.37</v>
      </c>
      <c r="J85" s="28">
        <v>-5899.37</v>
      </c>
      <c r="K85" s="26" t="s">
        <v>129</v>
      </c>
      <c r="L85" s="26" t="s">
        <v>130</v>
      </c>
      <c r="M85" s="26" t="s">
        <v>131</v>
      </c>
    </row>
    <row r="86" spans="1:13">
      <c r="A86" s="23" t="s">
        <v>336</v>
      </c>
      <c r="B86" s="24">
        <v>46041</v>
      </c>
      <c r="C86" s="23" t="s">
        <v>125</v>
      </c>
      <c r="D86" s="23" t="s">
        <v>107</v>
      </c>
      <c r="E86" s="23" t="s">
        <v>191</v>
      </c>
      <c r="F86" s="23" t="s">
        <v>192</v>
      </c>
      <c r="G86" s="23" t="s">
        <v>337</v>
      </c>
      <c r="H86" s="25">
        <v>0</v>
      </c>
      <c r="I86" s="25">
        <v>65.33</v>
      </c>
      <c r="J86" s="25">
        <v>-65.33</v>
      </c>
      <c r="K86" s="23" t="s">
        <v>147</v>
      </c>
      <c r="L86" s="23" t="s">
        <v>137</v>
      </c>
      <c r="M86" s="23" t="s">
        <v>194</v>
      </c>
    </row>
    <row r="87" spans="1:13">
      <c r="A87" s="26" t="s">
        <v>338</v>
      </c>
      <c r="B87" s="27">
        <v>46032</v>
      </c>
      <c r="C87" s="26" t="s">
        <v>125</v>
      </c>
      <c r="D87" s="26" t="s">
        <v>72</v>
      </c>
      <c r="E87" s="26" t="s">
        <v>133</v>
      </c>
      <c r="F87" s="26" t="s">
        <v>134</v>
      </c>
      <c r="G87" s="26" t="s">
        <v>339</v>
      </c>
      <c r="H87" s="28">
        <v>0</v>
      </c>
      <c r="I87" s="28">
        <v>1929.88</v>
      </c>
      <c r="J87" s="28">
        <v>-1929.88</v>
      </c>
      <c r="K87" s="26" t="s">
        <v>136</v>
      </c>
      <c r="L87" s="26" t="s">
        <v>130</v>
      </c>
      <c r="M87" s="26" t="s">
        <v>131</v>
      </c>
    </row>
    <row r="88" spans="1:13">
      <c r="A88" s="23" t="s">
        <v>340</v>
      </c>
      <c r="B88" s="24">
        <v>46045</v>
      </c>
      <c r="C88" s="23" t="s">
        <v>125</v>
      </c>
      <c r="D88" s="23" t="s">
        <v>107</v>
      </c>
      <c r="E88" s="23" t="s">
        <v>191</v>
      </c>
      <c r="F88" s="23" t="s">
        <v>192</v>
      </c>
      <c r="G88" s="23" t="s">
        <v>341</v>
      </c>
      <c r="H88" s="25">
        <v>0</v>
      </c>
      <c r="I88" s="25">
        <v>78.36</v>
      </c>
      <c r="J88" s="25">
        <v>-78.36</v>
      </c>
      <c r="K88" s="23" t="s">
        <v>161</v>
      </c>
      <c r="L88" s="23" t="s">
        <v>137</v>
      </c>
      <c r="M88" s="23" t="s">
        <v>194</v>
      </c>
    </row>
    <row r="89" spans="1:13">
      <c r="A89" s="26" t="s">
        <v>342</v>
      </c>
      <c r="B89" s="27">
        <v>46041</v>
      </c>
      <c r="C89" s="26" t="s">
        <v>125</v>
      </c>
      <c r="D89" s="26" t="s">
        <v>72</v>
      </c>
      <c r="E89" s="26" t="s">
        <v>150</v>
      </c>
      <c r="F89" s="26" t="s">
        <v>151</v>
      </c>
      <c r="G89" s="26" t="s">
        <v>343</v>
      </c>
      <c r="H89" s="28">
        <v>0</v>
      </c>
      <c r="I89" s="28">
        <v>2775.67</v>
      </c>
      <c r="J89" s="28">
        <v>-2775.67</v>
      </c>
      <c r="K89" s="26" t="s">
        <v>129</v>
      </c>
      <c r="L89" s="26" t="s">
        <v>137</v>
      </c>
      <c r="M89" s="26" t="s">
        <v>131</v>
      </c>
    </row>
    <row r="90" spans="1:13">
      <c r="A90" s="23" t="s">
        <v>344</v>
      </c>
      <c r="B90" s="24">
        <v>46025</v>
      </c>
      <c r="C90" s="23" t="s">
        <v>125</v>
      </c>
      <c r="D90" s="23" t="s">
        <v>81</v>
      </c>
      <c r="E90" s="23" t="s">
        <v>220</v>
      </c>
      <c r="F90" s="23" t="s">
        <v>221</v>
      </c>
      <c r="G90" s="23" t="s">
        <v>345</v>
      </c>
      <c r="H90" s="25">
        <v>4968.13</v>
      </c>
      <c r="I90" s="25">
        <v>0</v>
      </c>
      <c r="J90" s="25">
        <v>4968.13</v>
      </c>
      <c r="K90" s="23" t="s">
        <v>178</v>
      </c>
      <c r="L90" s="23" t="s">
        <v>130</v>
      </c>
      <c r="M90" s="23" t="s">
        <v>158</v>
      </c>
    </row>
    <row r="91" spans="1:13">
      <c r="A91" s="26" t="s">
        <v>346</v>
      </c>
      <c r="B91" s="27">
        <v>46030</v>
      </c>
      <c r="C91" s="26" t="s">
        <v>125</v>
      </c>
      <c r="D91" s="26" t="s">
        <v>72</v>
      </c>
      <c r="E91" s="26" t="s">
        <v>139</v>
      </c>
      <c r="F91" s="26" t="s">
        <v>140</v>
      </c>
      <c r="G91" s="26" t="s">
        <v>347</v>
      </c>
      <c r="H91" s="28">
        <v>0</v>
      </c>
      <c r="I91" s="28">
        <v>2626.99</v>
      </c>
      <c r="J91" s="28">
        <v>-2626.99</v>
      </c>
      <c r="K91" s="26" t="s">
        <v>136</v>
      </c>
      <c r="L91" s="26" t="s">
        <v>153</v>
      </c>
      <c r="M91" s="26" t="s">
        <v>131</v>
      </c>
    </row>
    <row r="92" spans="1:13">
      <c r="A92" s="23" t="s">
        <v>348</v>
      </c>
      <c r="B92" s="24">
        <v>46037</v>
      </c>
      <c r="C92" s="23" t="s">
        <v>125</v>
      </c>
      <c r="D92" s="23" t="s">
        <v>72</v>
      </c>
      <c r="E92" s="23" t="s">
        <v>204</v>
      </c>
      <c r="F92" s="23" t="s">
        <v>205</v>
      </c>
      <c r="G92" s="23" t="s">
        <v>349</v>
      </c>
      <c r="H92" s="25">
        <v>0</v>
      </c>
      <c r="I92" s="25">
        <v>6138.99</v>
      </c>
      <c r="J92" s="25">
        <v>-6138.99</v>
      </c>
      <c r="K92" s="23" t="s">
        <v>147</v>
      </c>
      <c r="L92" s="23" t="s">
        <v>153</v>
      </c>
      <c r="M92" s="23" t="s">
        <v>131</v>
      </c>
    </row>
    <row r="93" spans="1:13">
      <c r="A93" s="26" t="s">
        <v>350</v>
      </c>
      <c r="B93" s="27">
        <v>46029</v>
      </c>
      <c r="C93" s="26" t="s">
        <v>125</v>
      </c>
      <c r="D93" s="26" t="s">
        <v>81</v>
      </c>
      <c r="E93" s="26" t="s">
        <v>214</v>
      </c>
      <c r="F93" s="26" t="s">
        <v>215</v>
      </c>
      <c r="G93" s="26" t="s">
        <v>351</v>
      </c>
      <c r="H93" s="28">
        <v>5664.57</v>
      </c>
      <c r="I93" s="28">
        <v>0</v>
      </c>
      <c r="J93" s="28">
        <v>5664.57</v>
      </c>
      <c r="K93" s="26" t="s">
        <v>129</v>
      </c>
      <c r="L93" s="26" t="s">
        <v>130</v>
      </c>
      <c r="M93" s="26" t="s">
        <v>158</v>
      </c>
    </row>
    <row r="94" spans="1:13">
      <c r="A94" s="23" t="s">
        <v>352</v>
      </c>
      <c r="B94" s="24">
        <v>46036</v>
      </c>
      <c r="C94" s="23" t="s">
        <v>125</v>
      </c>
      <c r="D94" s="23" t="s">
        <v>81</v>
      </c>
      <c r="E94" s="23" t="s">
        <v>167</v>
      </c>
      <c r="F94" s="23" t="s">
        <v>168</v>
      </c>
      <c r="G94" s="23" t="s">
        <v>353</v>
      </c>
      <c r="H94" s="25">
        <v>4073.77</v>
      </c>
      <c r="I94" s="25">
        <v>0</v>
      </c>
      <c r="J94" s="25">
        <v>4073.77</v>
      </c>
      <c r="K94" s="23" t="s">
        <v>178</v>
      </c>
      <c r="L94" s="23" t="s">
        <v>130</v>
      </c>
      <c r="M94" s="23" t="s">
        <v>158</v>
      </c>
    </row>
    <row r="95" spans="1:13">
      <c r="A95" s="26" t="s">
        <v>354</v>
      </c>
      <c r="B95" s="27">
        <v>46037</v>
      </c>
      <c r="C95" s="26" t="s">
        <v>125</v>
      </c>
      <c r="D95" s="26" t="s">
        <v>72</v>
      </c>
      <c r="E95" s="26" t="s">
        <v>133</v>
      </c>
      <c r="F95" s="26" t="s">
        <v>134</v>
      </c>
      <c r="G95" s="26" t="s">
        <v>355</v>
      </c>
      <c r="H95" s="28">
        <v>0</v>
      </c>
      <c r="I95" s="28">
        <v>5734.34</v>
      </c>
      <c r="J95" s="28">
        <v>-5734.34</v>
      </c>
      <c r="K95" s="26" t="s">
        <v>136</v>
      </c>
      <c r="L95" s="26" t="s">
        <v>130</v>
      </c>
      <c r="M95" s="26" t="s">
        <v>131</v>
      </c>
    </row>
    <row r="96" spans="1:13">
      <c r="A96" s="23" t="s">
        <v>356</v>
      </c>
      <c r="B96" s="24">
        <v>46052</v>
      </c>
      <c r="C96" s="23" t="s">
        <v>125</v>
      </c>
      <c r="D96" s="23" t="s">
        <v>72</v>
      </c>
      <c r="E96" s="23" t="s">
        <v>133</v>
      </c>
      <c r="F96" s="23" t="s">
        <v>134</v>
      </c>
      <c r="G96" s="23" t="s">
        <v>357</v>
      </c>
      <c r="H96" s="25">
        <v>0</v>
      </c>
      <c r="I96" s="25">
        <v>517.03</v>
      </c>
      <c r="J96" s="25">
        <v>-517.03</v>
      </c>
      <c r="K96" s="23" t="s">
        <v>129</v>
      </c>
      <c r="L96" s="23" t="s">
        <v>148</v>
      </c>
      <c r="M96" s="23" t="s">
        <v>131</v>
      </c>
    </row>
    <row r="97" spans="1:13">
      <c r="A97" s="26" t="s">
        <v>358</v>
      </c>
      <c r="B97" s="27">
        <v>46037</v>
      </c>
      <c r="C97" s="26" t="s">
        <v>125</v>
      </c>
      <c r="D97" s="26" t="s">
        <v>90</v>
      </c>
      <c r="E97" s="26" t="s">
        <v>167</v>
      </c>
      <c r="F97" s="26" t="s">
        <v>164</v>
      </c>
      <c r="G97" s="26" t="s">
        <v>359</v>
      </c>
      <c r="H97" s="28">
        <v>2042.42</v>
      </c>
      <c r="I97" s="28">
        <v>0</v>
      </c>
      <c r="J97" s="28">
        <v>2042.42</v>
      </c>
      <c r="K97" s="26" t="s">
        <v>161</v>
      </c>
      <c r="L97" s="26" t="s">
        <v>137</v>
      </c>
      <c r="M97" s="26" t="s">
        <v>194</v>
      </c>
    </row>
    <row r="98" spans="1:13">
      <c r="A98" s="23" t="s">
        <v>360</v>
      </c>
      <c r="B98" s="24">
        <v>46042</v>
      </c>
      <c r="C98" s="23" t="s">
        <v>125</v>
      </c>
      <c r="D98" s="23" t="s">
        <v>72</v>
      </c>
      <c r="E98" s="23" t="s">
        <v>144</v>
      </c>
      <c r="F98" s="23" t="s">
        <v>145</v>
      </c>
      <c r="G98" s="23" t="s">
        <v>361</v>
      </c>
      <c r="H98" s="25">
        <v>0</v>
      </c>
      <c r="I98" s="25">
        <v>1481.02</v>
      </c>
      <c r="J98" s="25">
        <v>-1481.02</v>
      </c>
      <c r="K98" s="23" t="s">
        <v>136</v>
      </c>
      <c r="L98" s="23" t="s">
        <v>153</v>
      </c>
      <c r="M98" s="23" t="s">
        <v>131</v>
      </c>
    </row>
    <row r="99" spans="1:13">
      <c r="A99" s="26" t="s">
        <v>362</v>
      </c>
      <c r="B99" s="27">
        <v>46047</v>
      </c>
      <c r="C99" s="26" t="s">
        <v>125</v>
      </c>
      <c r="D99" s="26" t="s">
        <v>90</v>
      </c>
      <c r="E99" s="26" t="s">
        <v>204</v>
      </c>
      <c r="F99" s="26" t="s">
        <v>164</v>
      </c>
      <c r="G99" s="26" t="s">
        <v>363</v>
      </c>
      <c r="H99" s="28">
        <v>0</v>
      </c>
      <c r="I99" s="28">
        <v>2902.42</v>
      </c>
      <c r="J99" s="28">
        <v>-2902.42</v>
      </c>
      <c r="K99" s="26" t="s">
        <v>161</v>
      </c>
      <c r="L99" s="26" t="s">
        <v>153</v>
      </c>
      <c r="M99" s="26" t="s">
        <v>131</v>
      </c>
    </row>
    <row r="100" spans="1:13">
      <c r="A100" s="23" t="s">
        <v>364</v>
      </c>
      <c r="B100" s="24">
        <v>46041</v>
      </c>
      <c r="C100" s="23" t="s">
        <v>125</v>
      </c>
      <c r="D100" s="23" t="s">
        <v>81</v>
      </c>
      <c r="E100" s="23" t="s">
        <v>163</v>
      </c>
      <c r="F100" s="23" t="s">
        <v>250</v>
      </c>
      <c r="G100" s="23" t="s">
        <v>365</v>
      </c>
      <c r="H100" s="25">
        <v>8241.61</v>
      </c>
      <c r="I100" s="25">
        <v>0</v>
      </c>
      <c r="J100" s="25">
        <v>8241.61</v>
      </c>
      <c r="K100" s="23" t="s">
        <v>161</v>
      </c>
      <c r="L100" s="23" t="s">
        <v>148</v>
      </c>
      <c r="M100" s="23" t="s">
        <v>158</v>
      </c>
    </row>
    <row r="101" spans="1:13">
      <c r="A101" s="26" t="s">
        <v>366</v>
      </c>
      <c r="B101" s="27">
        <v>46050</v>
      </c>
      <c r="C101" s="26" t="s">
        <v>125</v>
      </c>
      <c r="D101" s="26" t="s">
        <v>72</v>
      </c>
      <c r="E101" s="26" t="s">
        <v>150</v>
      </c>
      <c r="F101" s="26" t="s">
        <v>151</v>
      </c>
      <c r="G101" s="26" t="s">
        <v>367</v>
      </c>
      <c r="H101" s="28">
        <v>0</v>
      </c>
      <c r="I101" s="28">
        <v>4325.28</v>
      </c>
      <c r="J101" s="28">
        <v>-4325.28</v>
      </c>
      <c r="K101" s="26" t="s">
        <v>147</v>
      </c>
      <c r="L101" s="26" t="s">
        <v>142</v>
      </c>
      <c r="M101" s="26" t="s">
        <v>131</v>
      </c>
    </row>
    <row r="102" spans="1:13">
      <c r="A102" s="23" t="s">
        <v>368</v>
      </c>
      <c r="B102" s="24">
        <v>46033</v>
      </c>
      <c r="C102" s="23" t="s">
        <v>125</v>
      </c>
      <c r="D102" s="23" t="s">
        <v>72</v>
      </c>
      <c r="E102" s="23" t="s">
        <v>144</v>
      </c>
      <c r="F102" s="23" t="s">
        <v>145</v>
      </c>
      <c r="G102" s="23" t="s">
        <v>369</v>
      </c>
      <c r="H102" s="25">
        <v>0</v>
      </c>
      <c r="I102" s="25">
        <v>6017.53</v>
      </c>
      <c r="J102" s="25">
        <v>-6017.53</v>
      </c>
      <c r="K102" s="23" t="s">
        <v>161</v>
      </c>
      <c r="L102" s="23" t="s">
        <v>153</v>
      </c>
      <c r="M102" s="23" t="s">
        <v>131</v>
      </c>
    </row>
    <row r="103" spans="1:13">
      <c r="A103" s="26" t="s">
        <v>370</v>
      </c>
      <c r="B103" s="27">
        <v>46023</v>
      </c>
      <c r="C103" s="26" t="s">
        <v>125</v>
      </c>
      <c r="D103" s="26" t="s">
        <v>81</v>
      </c>
      <c r="E103" s="26" t="s">
        <v>167</v>
      </c>
      <c r="F103" s="26" t="s">
        <v>168</v>
      </c>
      <c r="G103" s="26" t="s">
        <v>371</v>
      </c>
      <c r="H103" s="28">
        <v>4007.5</v>
      </c>
      <c r="I103" s="28">
        <v>0</v>
      </c>
      <c r="J103" s="28">
        <v>4007.5</v>
      </c>
      <c r="K103" s="26" t="s">
        <v>178</v>
      </c>
      <c r="L103" s="26" t="s">
        <v>130</v>
      </c>
      <c r="M103" s="26" t="s">
        <v>158</v>
      </c>
    </row>
    <row r="104" spans="1:13">
      <c r="A104" s="23" t="s">
        <v>372</v>
      </c>
      <c r="B104" s="24">
        <v>46047</v>
      </c>
      <c r="C104" s="23" t="s">
        <v>125</v>
      </c>
      <c r="D104" s="23" t="s">
        <v>72</v>
      </c>
      <c r="E104" s="23" t="s">
        <v>208</v>
      </c>
      <c r="F104" s="23" t="s">
        <v>209</v>
      </c>
      <c r="G104" s="23" t="s">
        <v>373</v>
      </c>
      <c r="H104" s="25">
        <v>0</v>
      </c>
      <c r="I104" s="25">
        <v>3441.22</v>
      </c>
      <c r="J104" s="25">
        <v>-3441.22</v>
      </c>
      <c r="K104" s="23" t="s">
        <v>147</v>
      </c>
      <c r="L104" s="23" t="s">
        <v>142</v>
      </c>
      <c r="M104" s="23" t="s">
        <v>131</v>
      </c>
    </row>
    <row r="105" spans="1:13">
      <c r="A105" s="26" t="s">
        <v>374</v>
      </c>
      <c r="B105" s="27">
        <v>46038</v>
      </c>
      <c r="C105" s="26" t="s">
        <v>125</v>
      </c>
      <c r="D105" s="26" t="s">
        <v>72</v>
      </c>
      <c r="E105" s="26" t="s">
        <v>126</v>
      </c>
      <c r="F105" s="26" t="s">
        <v>127</v>
      </c>
      <c r="G105" s="26" t="s">
        <v>375</v>
      </c>
      <c r="H105" s="28">
        <v>0</v>
      </c>
      <c r="I105" s="28">
        <v>3806.29</v>
      </c>
      <c r="J105" s="28">
        <v>-3806.29</v>
      </c>
      <c r="K105" s="26" t="s">
        <v>129</v>
      </c>
      <c r="L105" s="26" t="s">
        <v>130</v>
      </c>
      <c r="M105" s="26" t="s">
        <v>131</v>
      </c>
    </row>
    <row r="106" spans="1:13">
      <c r="A106" s="23" t="s">
        <v>376</v>
      </c>
      <c r="B106" s="24">
        <v>46025</v>
      </c>
      <c r="C106" s="23" t="s">
        <v>125</v>
      </c>
      <c r="D106" s="23" t="s">
        <v>72</v>
      </c>
      <c r="E106" s="23" t="s">
        <v>139</v>
      </c>
      <c r="F106" s="23" t="s">
        <v>140</v>
      </c>
      <c r="G106" s="23" t="s">
        <v>377</v>
      </c>
      <c r="H106" s="25">
        <v>0</v>
      </c>
      <c r="I106" s="25">
        <v>5667.13</v>
      </c>
      <c r="J106" s="25">
        <v>-5667.13</v>
      </c>
      <c r="K106" s="23" t="s">
        <v>161</v>
      </c>
      <c r="L106" s="23" t="s">
        <v>137</v>
      </c>
      <c r="M106" s="23" t="s">
        <v>131</v>
      </c>
    </row>
    <row r="107" spans="1:13">
      <c r="A107" s="26" t="s">
        <v>378</v>
      </c>
      <c r="B107" s="27">
        <v>46045</v>
      </c>
      <c r="C107" s="26" t="s">
        <v>125</v>
      </c>
      <c r="D107" s="26" t="s">
        <v>72</v>
      </c>
      <c r="E107" s="26" t="s">
        <v>126</v>
      </c>
      <c r="F107" s="26" t="s">
        <v>127</v>
      </c>
      <c r="G107" s="26" t="s">
        <v>379</v>
      </c>
      <c r="H107" s="28">
        <v>0</v>
      </c>
      <c r="I107" s="28">
        <v>1753.36</v>
      </c>
      <c r="J107" s="28">
        <v>-1753.36</v>
      </c>
      <c r="K107" s="26" t="s">
        <v>161</v>
      </c>
      <c r="L107" s="26" t="s">
        <v>142</v>
      </c>
      <c r="M107" s="26" t="s">
        <v>131</v>
      </c>
    </row>
    <row r="108" spans="1:13">
      <c r="A108" s="23" t="s">
        <v>380</v>
      </c>
      <c r="B108" s="24">
        <v>46052</v>
      </c>
      <c r="C108" s="23" t="s">
        <v>125</v>
      </c>
      <c r="D108" s="23" t="s">
        <v>81</v>
      </c>
      <c r="E108" s="23" t="s">
        <v>155</v>
      </c>
      <c r="F108" s="23" t="s">
        <v>156</v>
      </c>
      <c r="G108" s="23" t="s">
        <v>381</v>
      </c>
      <c r="H108" s="25">
        <v>7492.37</v>
      </c>
      <c r="I108" s="25">
        <v>0</v>
      </c>
      <c r="J108" s="25">
        <v>7492.37</v>
      </c>
      <c r="K108" s="23" t="s">
        <v>178</v>
      </c>
      <c r="L108" s="23" t="s">
        <v>148</v>
      </c>
      <c r="M108" s="23" t="s">
        <v>158</v>
      </c>
    </row>
    <row r="109" spans="1:13">
      <c r="A109" s="26" t="s">
        <v>382</v>
      </c>
      <c r="B109" s="27">
        <v>46048</v>
      </c>
      <c r="C109" s="26" t="s">
        <v>125</v>
      </c>
      <c r="D109" s="26" t="s">
        <v>81</v>
      </c>
      <c r="E109" s="26" t="s">
        <v>220</v>
      </c>
      <c r="F109" s="26" t="s">
        <v>221</v>
      </c>
      <c r="G109" s="26" t="s">
        <v>383</v>
      </c>
      <c r="H109" s="28">
        <v>2511.71</v>
      </c>
      <c r="I109" s="28">
        <v>0</v>
      </c>
      <c r="J109" s="28">
        <v>2511.71</v>
      </c>
      <c r="K109" s="26" t="s">
        <v>147</v>
      </c>
      <c r="L109" s="26" t="s">
        <v>153</v>
      </c>
      <c r="M109" s="26" t="s">
        <v>158</v>
      </c>
    </row>
    <row r="110" spans="1:13">
      <c r="A110" s="23" t="s">
        <v>384</v>
      </c>
      <c r="B110" s="24">
        <v>46037</v>
      </c>
      <c r="C110" s="23" t="s">
        <v>125</v>
      </c>
      <c r="D110" s="23" t="s">
        <v>81</v>
      </c>
      <c r="E110" s="23" t="s">
        <v>214</v>
      </c>
      <c r="F110" s="23" t="s">
        <v>215</v>
      </c>
      <c r="G110" s="23" t="s">
        <v>385</v>
      </c>
      <c r="H110" s="25">
        <v>2925.87</v>
      </c>
      <c r="I110" s="25">
        <v>0</v>
      </c>
      <c r="J110" s="25">
        <v>2925.87</v>
      </c>
      <c r="K110" s="23" t="s">
        <v>136</v>
      </c>
      <c r="L110" s="23" t="s">
        <v>142</v>
      </c>
      <c r="M110" s="23" t="s">
        <v>158</v>
      </c>
    </row>
    <row r="111" spans="1:13">
      <c r="A111" s="26" t="s">
        <v>386</v>
      </c>
      <c r="B111" s="27">
        <v>46045</v>
      </c>
      <c r="C111" s="26" t="s">
        <v>125</v>
      </c>
      <c r="D111" s="26" t="s">
        <v>72</v>
      </c>
      <c r="E111" s="26" t="s">
        <v>150</v>
      </c>
      <c r="F111" s="26" t="s">
        <v>151</v>
      </c>
      <c r="G111" s="26" t="s">
        <v>387</v>
      </c>
      <c r="H111" s="28">
        <v>0</v>
      </c>
      <c r="I111" s="28">
        <v>1509.4</v>
      </c>
      <c r="J111" s="28">
        <v>-1509.4</v>
      </c>
      <c r="K111" s="26" t="s">
        <v>161</v>
      </c>
      <c r="L111" s="26" t="s">
        <v>137</v>
      </c>
      <c r="M111" s="26" t="s">
        <v>131</v>
      </c>
    </row>
    <row r="112" spans="1:13">
      <c r="A112" s="23" t="s">
        <v>388</v>
      </c>
      <c r="B112" s="24">
        <v>46048</v>
      </c>
      <c r="C112" s="23" t="s">
        <v>125</v>
      </c>
      <c r="D112" s="23" t="s">
        <v>81</v>
      </c>
      <c r="E112" s="23" t="s">
        <v>155</v>
      </c>
      <c r="F112" s="23" t="s">
        <v>156</v>
      </c>
      <c r="G112" s="23" t="s">
        <v>389</v>
      </c>
      <c r="H112" s="25">
        <v>6766.49</v>
      </c>
      <c r="I112" s="25">
        <v>0</v>
      </c>
      <c r="J112" s="25">
        <v>6766.49</v>
      </c>
      <c r="K112" s="23" t="s">
        <v>129</v>
      </c>
      <c r="L112" s="23" t="s">
        <v>142</v>
      </c>
      <c r="M112" s="23" t="s">
        <v>158</v>
      </c>
    </row>
    <row r="113" spans="1:13">
      <c r="A113" s="26" t="s">
        <v>390</v>
      </c>
      <c r="B113" s="27">
        <v>46027</v>
      </c>
      <c r="C113" s="26" t="s">
        <v>125</v>
      </c>
      <c r="D113" s="26" t="s">
        <v>81</v>
      </c>
      <c r="E113" s="26" t="s">
        <v>167</v>
      </c>
      <c r="F113" s="26" t="s">
        <v>168</v>
      </c>
      <c r="G113" s="26" t="s">
        <v>391</v>
      </c>
      <c r="H113" s="28">
        <v>2922.16</v>
      </c>
      <c r="I113" s="28">
        <v>0</v>
      </c>
      <c r="J113" s="28">
        <v>2922.16</v>
      </c>
      <c r="K113" s="26" t="s">
        <v>178</v>
      </c>
      <c r="L113" s="26" t="s">
        <v>142</v>
      </c>
      <c r="M113" s="26" t="s">
        <v>158</v>
      </c>
    </row>
    <row r="114" spans="1:13">
      <c r="A114" s="23" t="s">
        <v>392</v>
      </c>
      <c r="B114" s="24">
        <v>46036</v>
      </c>
      <c r="C114" s="23" t="s">
        <v>125</v>
      </c>
      <c r="D114" s="23" t="s">
        <v>99</v>
      </c>
      <c r="E114" s="23" t="s">
        <v>182</v>
      </c>
      <c r="F114" s="23" t="s">
        <v>183</v>
      </c>
      <c r="G114" s="23" t="s">
        <v>393</v>
      </c>
      <c r="H114" s="25">
        <v>0</v>
      </c>
      <c r="I114" s="25">
        <v>16564.37</v>
      </c>
      <c r="J114" s="25">
        <v>-16564.37</v>
      </c>
      <c r="K114" s="23" t="s">
        <v>178</v>
      </c>
      <c r="L114" s="23" t="s">
        <v>142</v>
      </c>
      <c r="M114" s="23" t="s">
        <v>185</v>
      </c>
    </row>
    <row r="115" spans="1:13">
      <c r="A115" s="26" t="s">
        <v>394</v>
      </c>
      <c r="B115" s="27">
        <v>46045</v>
      </c>
      <c r="C115" s="26" t="s">
        <v>125</v>
      </c>
      <c r="D115" s="26" t="s">
        <v>81</v>
      </c>
      <c r="E115" s="26" t="s">
        <v>220</v>
      </c>
      <c r="F115" s="26" t="s">
        <v>221</v>
      </c>
      <c r="G115" s="26" t="s">
        <v>395</v>
      </c>
      <c r="H115" s="28">
        <v>7262.24</v>
      </c>
      <c r="I115" s="28">
        <v>0</v>
      </c>
      <c r="J115" s="28">
        <v>7262.24</v>
      </c>
      <c r="K115" s="26" t="s">
        <v>136</v>
      </c>
      <c r="L115" s="26" t="s">
        <v>142</v>
      </c>
      <c r="M115" s="26" t="s">
        <v>158</v>
      </c>
    </row>
    <row r="116" spans="1:13">
      <c r="A116" s="23" t="s">
        <v>396</v>
      </c>
      <c r="B116" s="24">
        <v>46043</v>
      </c>
      <c r="C116" s="23" t="s">
        <v>125</v>
      </c>
      <c r="D116" s="23" t="s">
        <v>90</v>
      </c>
      <c r="E116" s="23" t="s">
        <v>155</v>
      </c>
      <c r="F116" s="23" t="s">
        <v>164</v>
      </c>
      <c r="G116" s="23" t="s">
        <v>397</v>
      </c>
      <c r="H116" s="25">
        <v>0</v>
      </c>
      <c r="I116" s="25">
        <v>2465.34</v>
      </c>
      <c r="J116" s="25">
        <v>-2465.34</v>
      </c>
      <c r="K116" s="23" t="s">
        <v>129</v>
      </c>
      <c r="L116" s="23" t="s">
        <v>148</v>
      </c>
      <c r="M116" s="23" t="s">
        <v>158</v>
      </c>
    </row>
    <row r="117" spans="1:13">
      <c r="A117" s="26" t="s">
        <v>398</v>
      </c>
      <c r="B117" s="27">
        <v>46046</v>
      </c>
      <c r="C117" s="26" t="s">
        <v>125</v>
      </c>
      <c r="D117" s="26" t="s">
        <v>72</v>
      </c>
      <c r="E117" s="26" t="s">
        <v>144</v>
      </c>
      <c r="F117" s="26" t="s">
        <v>145</v>
      </c>
      <c r="G117" s="26" t="s">
        <v>399</v>
      </c>
      <c r="H117" s="28">
        <v>0</v>
      </c>
      <c r="I117" s="28">
        <v>4733.46</v>
      </c>
      <c r="J117" s="28">
        <v>-4733.46</v>
      </c>
      <c r="K117" s="26" t="s">
        <v>178</v>
      </c>
      <c r="L117" s="26" t="s">
        <v>142</v>
      </c>
      <c r="M117" s="26" t="s">
        <v>131</v>
      </c>
    </row>
    <row r="118" spans="1:13">
      <c r="A118" s="23" t="s">
        <v>400</v>
      </c>
      <c r="B118" s="24">
        <v>46024</v>
      </c>
      <c r="C118" s="23" t="s">
        <v>125</v>
      </c>
      <c r="D118" s="23" t="s">
        <v>72</v>
      </c>
      <c r="E118" s="23" t="s">
        <v>144</v>
      </c>
      <c r="F118" s="23" t="s">
        <v>145</v>
      </c>
      <c r="G118" s="23" t="s">
        <v>401</v>
      </c>
      <c r="H118" s="25">
        <v>0</v>
      </c>
      <c r="I118" s="25">
        <v>1875.41</v>
      </c>
      <c r="J118" s="25">
        <v>-1875.41</v>
      </c>
      <c r="K118" s="23" t="s">
        <v>147</v>
      </c>
      <c r="L118" s="23" t="s">
        <v>142</v>
      </c>
      <c r="M118" s="23" t="s">
        <v>131</v>
      </c>
    </row>
    <row r="119" spans="1:13">
      <c r="A119" s="26" t="s">
        <v>402</v>
      </c>
      <c r="B119" s="27">
        <v>46048</v>
      </c>
      <c r="C119" s="26" t="s">
        <v>125</v>
      </c>
      <c r="D119" s="26" t="s">
        <v>72</v>
      </c>
      <c r="E119" s="26" t="s">
        <v>133</v>
      </c>
      <c r="F119" s="26" t="s">
        <v>134</v>
      </c>
      <c r="G119" s="26" t="s">
        <v>403</v>
      </c>
      <c r="H119" s="28">
        <v>0</v>
      </c>
      <c r="I119" s="28">
        <v>563.29</v>
      </c>
      <c r="J119" s="28">
        <v>-563.29</v>
      </c>
      <c r="K119" s="26" t="s">
        <v>161</v>
      </c>
      <c r="L119" s="26" t="s">
        <v>153</v>
      </c>
      <c r="M119" s="26" t="s">
        <v>131</v>
      </c>
    </row>
    <row r="120" spans="1:13">
      <c r="A120" s="23" t="s">
        <v>404</v>
      </c>
      <c r="B120" s="24">
        <v>46027</v>
      </c>
      <c r="C120" s="23" t="s">
        <v>125</v>
      </c>
      <c r="D120" s="23" t="s">
        <v>72</v>
      </c>
      <c r="E120" s="23" t="s">
        <v>126</v>
      </c>
      <c r="F120" s="23" t="s">
        <v>127</v>
      </c>
      <c r="G120" s="23" t="s">
        <v>405</v>
      </c>
      <c r="H120" s="25">
        <v>0</v>
      </c>
      <c r="I120" s="25">
        <v>1634.34</v>
      </c>
      <c r="J120" s="25">
        <v>-1634.34</v>
      </c>
      <c r="K120" s="23" t="s">
        <v>147</v>
      </c>
      <c r="L120" s="23" t="s">
        <v>137</v>
      </c>
      <c r="M120" s="23" t="s">
        <v>131</v>
      </c>
    </row>
    <row r="121" spans="1:13">
      <c r="A121" s="26" t="s">
        <v>406</v>
      </c>
      <c r="B121" s="27">
        <v>46037</v>
      </c>
      <c r="C121" s="26" t="s">
        <v>125</v>
      </c>
      <c r="D121" s="26" t="s">
        <v>99</v>
      </c>
      <c r="E121" s="26" t="s">
        <v>182</v>
      </c>
      <c r="F121" s="26" t="s">
        <v>183</v>
      </c>
      <c r="G121" s="26" t="s">
        <v>407</v>
      </c>
      <c r="H121" s="28">
        <v>0</v>
      </c>
      <c r="I121" s="28">
        <v>12325.36</v>
      </c>
      <c r="J121" s="28">
        <v>-12325.36</v>
      </c>
      <c r="K121" s="26" t="s">
        <v>129</v>
      </c>
      <c r="L121" s="26" t="s">
        <v>137</v>
      </c>
      <c r="M121" s="26" t="s">
        <v>185</v>
      </c>
    </row>
    <row r="122" spans="1:13">
      <c r="A122" s="23" t="s">
        <v>408</v>
      </c>
      <c r="B122" s="24">
        <v>46032</v>
      </c>
      <c r="C122" s="23" t="s">
        <v>125</v>
      </c>
      <c r="D122" s="23" t="s">
        <v>81</v>
      </c>
      <c r="E122" s="23" t="s">
        <v>163</v>
      </c>
      <c r="F122" s="23" t="s">
        <v>250</v>
      </c>
      <c r="G122" s="23" t="s">
        <v>409</v>
      </c>
      <c r="H122" s="25">
        <v>5914.12</v>
      </c>
      <c r="I122" s="25">
        <v>0</v>
      </c>
      <c r="J122" s="25">
        <v>5914.12</v>
      </c>
      <c r="K122" s="23" t="s">
        <v>161</v>
      </c>
      <c r="L122" s="23" t="s">
        <v>148</v>
      </c>
      <c r="M122" s="23" t="s">
        <v>158</v>
      </c>
    </row>
    <row r="123" spans="1:13">
      <c r="A123" s="26" t="s">
        <v>410</v>
      </c>
      <c r="B123" s="27">
        <v>46026</v>
      </c>
      <c r="C123" s="26" t="s">
        <v>125</v>
      </c>
      <c r="D123" s="26" t="s">
        <v>72</v>
      </c>
      <c r="E123" s="26" t="s">
        <v>204</v>
      </c>
      <c r="F123" s="26" t="s">
        <v>205</v>
      </c>
      <c r="G123" s="26" t="s">
        <v>411</v>
      </c>
      <c r="H123" s="28">
        <v>0</v>
      </c>
      <c r="I123" s="28">
        <v>2276.83</v>
      </c>
      <c r="J123" s="28">
        <v>-2276.83</v>
      </c>
      <c r="K123" s="26" t="s">
        <v>147</v>
      </c>
      <c r="L123" s="26" t="s">
        <v>148</v>
      </c>
      <c r="M123" s="26" t="s">
        <v>131</v>
      </c>
    </row>
    <row r="124" spans="1:13">
      <c r="A124" s="23" t="s">
        <v>412</v>
      </c>
      <c r="B124" s="24">
        <v>46041</v>
      </c>
      <c r="C124" s="23" t="s">
        <v>125</v>
      </c>
      <c r="D124" s="23" t="s">
        <v>99</v>
      </c>
      <c r="E124" s="23" t="s">
        <v>182</v>
      </c>
      <c r="F124" s="23" t="s">
        <v>183</v>
      </c>
      <c r="G124" s="23" t="s">
        <v>413</v>
      </c>
      <c r="H124" s="25">
        <v>0</v>
      </c>
      <c r="I124" s="25">
        <v>13785.52</v>
      </c>
      <c r="J124" s="25">
        <v>-13785.52</v>
      </c>
      <c r="K124" s="23" t="s">
        <v>178</v>
      </c>
      <c r="L124" s="23" t="s">
        <v>153</v>
      </c>
      <c r="M124" s="23" t="s">
        <v>185</v>
      </c>
    </row>
    <row r="125" spans="1:13">
      <c r="A125" s="26" t="s">
        <v>414</v>
      </c>
      <c r="B125" s="27">
        <v>46030</v>
      </c>
      <c r="C125" s="26" t="s">
        <v>125</v>
      </c>
      <c r="D125" s="26" t="s">
        <v>81</v>
      </c>
      <c r="E125" s="26" t="s">
        <v>214</v>
      </c>
      <c r="F125" s="26" t="s">
        <v>215</v>
      </c>
      <c r="G125" s="26" t="s">
        <v>415</v>
      </c>
      <c r="H125" s="28">
        <v>1978.69</v>
      </c>
      <c r="I125" s="28">
        <v>0</v>
      </c>
      <c r="J125" s="28">
        <v>1978.69</v>
      </c>
      <c r="K125" s="26" t="s">
        <v>129</v>
      </c>
      <c r="L125" s="26" t="s">
        <v>153</v>
      </c>
      <c r="M125" s="26" t="s">
        <v>158</v>
      </c>
    </row>
    <row r="126" spans="1:13">
      <c r="A126" s="23" t="s">
        <v>416</v>
      </c>
      <c r="B126" s="24">
        <v>46051</v>
      </c>
      <c r="C126" s="23" t="s">
        <v>125</v>
      </c>
      <c r="D126" s="23" t="s">
        <v>81</v>
      </c>
      <c r="E126" s="23" t="s">
        <v>220</v>
      </c>
      <c r="F126" s="23" t="s">
        <v>221</v>
      </c>
      <c r="G126" s="23" t="s">
        <v>417</v>
      </c>
      <c r="H126" s="25">
        <v>2729.59</v>
      </c>
      <c r="I126" s="25">
        <v>0</v>
      </c>
      <c r="J126" s="25">
        <v>2729.59</v>
      </c>
      <c r="K126" s="23" t="s">
        <v>161</v>
      </c>
      <c r="L126" s="23" t="s">
        <v>137</v>
      </c>
      <c r="M126" s="23" t="s">
        <v>158</v>
      </c>
    </row>
    <row r="127" spans="1:13">
      <c r="A127" s="26" t="s">
        <v>418</v>
      </c>
      <c r="B127" s="27">
        <v>46032</v>
      </c>
      <c r="C127" s="26" t="s">
        <v>125</v>
      </c>
      <c r="D127" s="26" t="s">
        <v>72</v>
      </c>
      <c r="E127" s="26" t="s">
        <v>150</v>
      </c>
      <c r="F127" s="26" t="s">
        <v>151</v>
      </c>
      <c r="G127" s="26" t="s">
        <v>419</v>
      </c>
      <c r="H127" s="28">
        <v>0</v>
      </c>
      <c r="I127" s="28">
        <v>1154.92</v>
      </c>
      <c r="J127" s="28">
        <v>-1154.92</v>
      </c>
      <c r="K127" s="26" t="s">
        <v>129</v>
      </c>
      <c r="L127" s="26" t="s">
        <v>153</v>
      </c>
      <c r="M127" s="26" t="s">
        <v>131</v>
      </c>
    </row>
    <row r="128" spans="1:13">
      <c r="A128" s="23" t="s">
        <v>420</v>
      </c>
      <c r="B128" s="24">
        <v>46034</v>
      </c>
      <c r="C128" s="23" t="s">
        <v>125</v>
      </c>
      <c r="D128" s="23" t="s">
        <v>81</v>
      </c>
      <c r="E128" s="23" t="s">
        <v>214</v>
      </c>
      <c r="F128" s="23" t="s">
        <v>215</v>
      </c>
      <c r="G128" s="23" t="s">
        <v>421</v>
      </c>
      <c r="H128" s="25">
        <v>7084.45</v>
      </c>
      <c r="I128" s="25">
        <v>0</v>
      </c>
      <c r="J128" s="25">
        <v>7084.45</v>
      </c>
      <c r="K128" s="23" t="s">
        <v>147</v>
      </c>
      <c r="L128" s="23" t="s">
        <v>142</v>
      </c>
      <c r="M128" s="23" t="s">
        <v>158</v>
      </c>
    </row>
    <row r="129" spans="1:13">
      <c r="A129" s="26" t="s">
        <v>422</v>
      </c>
      <c r="B129" s="27">
        <v>46032</v>
      </c>
      <c r="C129" s="26" t="s">
        <v>125</v>
      </c>
      <c r="D129" s="26" t="s">
        <v>90</v>
      </c>
      <c r="E129" s="26" t="s">
        <v>126</v>
      </c>
      <c r="F129" s="26" t="s">
        <v>164</v>
      </c>
      <c r="G129" s="26" t="s">
        <v>423</v>
      </c>
      <c r="H129" s="28">
        <v>4030.95</v>
      </c>
      <c r="I129" s="28">
        <v>0</v>
      </c>
      <c r="J129" s="28">
        <v>4030.95</v>
      </c>
      <c r="K129" s="26" t="s">
        <v>129</v>
      </c>
      <c r="L129" s="26" t="s">
        <v>130</v>
      </c>
      <c r="M129" s="26" t="s">
        <v>158</v>
      </c>
    </row>
    <row r="130" spans="1:13">
      <c r="A130" s="23" t="s">
        <v>424</v>
      </c>
      <c r="B130" s="24">
        <v>46046</v>
      </c>
      <c r="C130" s="23" t="s">
        <v>125</v>
      </c>
      <c r="D130" s="23" t="s">
        <v>90</v>
      </c>
      <c r="E130" s="23" t="s">
        <v>139</v>
      </c>
      <c r="F130" s="23" t="s">
        <v>164</v>
      </c>
      <c r="G130" s="23" t="s">
        <v>425</v>
      </c>
      <c r="H130" s="25">
        <v>0</v>
      </c>
      <c r="I130" s="25">
        <v>4837.99</v>
      </c>
      <c r="J130" s="25">
        <v>-4837.99</v>
      </c>
      <c r="K130" s="23" t="s">
        <v>178</v>
      </c>
      <c r="L130" s="23" t="s">
        <v>142</v>
      </c>
      <c r="M130" s="23" t="s">
        <v>426</v>
      </c>
    </row>
    <row r="131" spans="1:13">
      <c r="A131" s="26" t="s">
        <v>427</v>
      </c>
      <c r="B131" s="27">
        <v>46044</v>
      </c>
      <c r="C131" s="26" t="s">
        <v>125</v>
      </c>
      <c r="D131" s="26" t="s">
        <v>90</v>
      </c>
      <c r="E131" s="26" t="s">
        <v>204</v>
      </c>
      <c r="F131" s="26" t="s">
        <v>164</v>
      </c>
      <c r="G131" s="26" t="s">
        <v>428</v>
      </c>
      <c r="H131" s="28">
        <v>0</v>
      </c>
      <c r="I131" s="28">
        <v>2943.57</v>
      </c>
      <c r="J131" s="28">
        <v>-2943.57</v>
      </c>
      <c r="K131" s="26" t="s">
        <v>178</v>
      </c>
      <c r="L131" s="26" t="s">
        <v>130</v>
      </c>
      <c r="M131" s="26" t="s">
        <v>426</v>
      </c>
    </row>
    <row r="132" spans="1:13">
      <c r="A132" s="23" t="s">
        <v>429</v>
      </c>
      <c r="B132" s="24">
        <v>46030</v>
      </c>
      <c r="C132" s="23" t="s">
        <v>125</v>
      </c>
      <c r="D132" s="23" t="s">
        <v>81</v>
      </c>
      <c r="E132" s="23" t="s">
        <v>155</v>
      </c>
      <c r="F132" s="23" t="s">
        <v>156</v>
      </c>
      <c r="G132" s="23" t="s">
        <v>430</v>
      </c>
      <c r="H132" s="25">
        <v>7029.19</v>
      </c>
      <c r="I132" s="25">
        <v>0</v>
      </c>
      <c r="J132" s="25">
        <v>7029.19</v>
      </c>
      <c r="K132" s="23" t="s">
        <v>147</v>
      </c>
      <c r="L132" s="23" t="s">
        <v>142</v>
      </c>
      <c r="M132" s="23" t="s">
        <v>158</v>
      </c>
    </row>
    <row r="133" spans="1:13">
      <c r="A133" s="26" t="s">
        <v>431</v>
      </c>
      <c r="B133" s="27">
        <v>46032</v>
      </c>
      <c r="C133" s="26" t="s">
        <v>125</v>
      </c>
      <c r="D133" s="26" t="s">
        <v>107</v>
      </c>
      <c r="E133" s="26" t="s">
        <v>191</v>
      </c>
      <c r="F133" s="26" t="s">
        <v>192</v>
      </c>
      <c r="G133" s="26" t="s">
        <v>432</v>
      </c>
      <c r="H133" s="28">
        <v>0</v>
      </c>
      <c r="I133" s="28">
        <v>18.350000000000001</v>
      </c>
      <c r="J133" s="28">
        <v>-18.350000000000001</v>
      </c>
      <c r="K133" s="26" t="s">
        <v>129</v>
      </c>
      <c r="L133" s="26" t="s">
        <v>153</v>
      </c>
      <c r="M133" s="26" t="s">
        <v>194</v>
      </c>
    </row>
    <row r="134" spans="1:13">
      <c r="A134" s="23" t="s">
        <v>433</v>
      </c>
      <c r="B134" s="24">
        <v>46053</v>
      </c>
      <c r="C134" s="23" t="s">
        <v>125</v>
      </c>
      <c r="D134" s="23" t="s">
        <v>90</v>
      </c>
      <c r="E134" s="23" t="s">
        <v>173</v>
      </c>
      <c r="F134" s="23" t="s">
        <v>164</v>
      </c>
      <c r="G134" s="23" t="s">
        <v>434</v>
      </c>
      <c r="H134" s="25">
        <v>0</v>
      </c>
      <c r="I134" s="25">
        <v>2124.6799999999998</v>
      </c>
      <c r="J134" s="25">
        <v>-2124.6799999999998</v>
      </c>
      <c r="K134" s="23" t="s">
        <v>161</v>
      </c>
      <c r="L134" s="23" t="s">
        <v>137</v>
      </c>
      <c r="M134" s="23" t="s">
        <v>131</v>
      </c>
    </row>
    <row r="135" spans="1:13">
      <c r="A135" s="26" t="s">
        <v>435</v>
      </c>
      <c r="B135" s="27">
        <v>46042</v>
      </c>
      <c r="C135" s="26" t="s">
        <v>125</v>
      </c>
      <c r="D135" s="26" t="s">
        <v>81</v>
      </c>
      <c r="E135" s="26" t="s">
        <v>214</v>
      </c>
      <c r="F135" s="26" t="s">
        <v>215</v>
      </c>
      <c r="G135" s="26" t="s">
        <v>436</v>
      </c>
      <c r="H135" s="28">
        <v>423.18</v>
      </c>
      <c r="I135" s="28">
        <v>0</v>
      </c>
      <c r="J135" s="28">
        <v>423.18</v>
      </c>
      <c r="K135" s="26" t="s">
        <v>147</v>
      </c>
      <c r="L135" s="26" t="s">
        <v>130</v>
      </c>
      <c r="M135" s="26" t="s">
        <v>158</v>
      </c>
    </row>
    <row r="136" spans="1:13">
      <c r="A136" s="23" t="s">
        <v>437</v>
      </c>
      <c r="B136" s="24">
        <v>46026</v>
      </c>
      <c r="C136" s="23" t="s">
        <v>125</v>
      </c>
      <c r="D136" s="23" t="s">
        <v>107</v>
      </c>
      <c r="E136" s="23" t="s">
        <v>191</v>
      </c>
      <c r="F136" s="23" t="s">
        <v>192</v>
      </c>
      <c r="G136" s="23" t="s">
        <v>438</v>
      </c>
      <c r="H136" s="25">
        <v>0</v>
      </c>
      <c r="I136" s="25">
        <v>47.24</v>
      </c>
      <c r="J136" s="25">
        <v>-47.24</v>
      </c>
      <c r="K136" s="23" t="s">
        <v>147</v>
      </c>
      <c r="L136" s="23" t="s">
        <v>137</v>
      </c>
      <c r="M136" s="23" t="s">
        <v>194</v>
      </c>
    </row>
    <row r="137" spans="1:13">
      <c r="A137" s="26" t="s">
        <v>439</v>
      </c>
      <c r="B137" s="27">
        <v>46053</v>
      </c>
      <c r="C137" s="26" t="s">
        <v>125</v>
      </c>
      <c r="D137" s="26" t="s">
        <v>99</v>
      </c>
      <c r="E137" s="26" t="s">
        <v>182</v>
      </c>
      <c r="F137" s="26" t="s">
        <v>183</v>
      </c>
      <c r="G137" s="26" t="s">
        <v>440</v>
      </c>
      <c r="H137" s="28">
        <v>0</v>
      </c>
      <c r="I137" s="28">
        <v>9093.4</v>
      </c>
      <c r="J137" s="28">
        <v>-9093.4</v>
      </c>
      <c r="K137" s="26" t="s">
        <v>129</v>
      </c>
      <c r="L137" s="26" t="s">
        <v>153</v>
      </c>
      <c r="M137" s="26" t="s">
        <v>185</v>
      </c>
    </row>
    <row r="138" spans="1:13">
      <c r="A138" s="23" t="s">
        <v>441</v>
      </c>
      <c r="B138" s="24">
        <v>46024</v>
      </c>
      <c r="C138" s="23" t="s">
        <v>125</v>
      </c>
      <c r="D138" s="23" t="s">
        <v>90</v>
      </c>
      <c r="E138" s="23" t="s">
        <v>150</v>
      </c>
      <c r="F138" s="23" t="s">
        <v>164</v>
      </c>
      <c r="G138" s="23" t="s">
        <v>442</v>
      </c>
      <c r="H138" s="25">
        <v>0</v>
      </c>
      <c r="I138" s="25">
        <v>4944.66</v>
      </c>
      <c r="J138" s="25">
        <v>-4944.66</v>
      </c>
      <c r="K138" s="23" t="s">
        <v>178</v>
      </c>
      <c r="L138" s="23" t="s">
        <v>153</v>
      </c>
      <c r="M138" s="23" t="s">
        <v>225</v>
      </c>
    </row>
    <row r="139" spans="1:13">
      <c r="A139" s="26" t="s">
        <v>443</v>
      </c>
      <c r="B139" s="27">
        <v>46030</v>
      </c>
      <c r="C139" s="26" t="s">
        <v>125</v>
      </c>
      <c r="D139" s="26" t="s">
        <v>72</v>
      </c>
      <c r="E139" s="26" t="s">
        <v>133</v>
      </c>
      <c r="F139" s="26" t="s">
        <v>134</v>
      </c>
      <c r="G139" s="26" t="s">
        <v>444</v>
      </c>
      <c r="H139" s="28">
        <v>0</v>
      </c>
      <c r="I139" s="28">
        <v>4906.5</v>
      </c>
      <c r="J139" s="28">
        <v>-4906.5</v>
      </c>
      <c r="K139" s="26" t="s">
        <v>136</v>
      </c>
      <c r="L139" s="26" t="s">
        <v>137</v>
      </c>
      <c r="M139" s="26" t="s">
        <v>131</v>
      </c>
    </row>
    <row r="140" spans="1:13">
      <c r="A140" s="23" t="s">
        <v>445</v>
      </c>
      <c r="B140" s="24">
        <v>46040</v>
      </c>
      <c r="C140" s="23" t="s">
        <v>125</v>
      </c>
      <c r="D140" s="23" t="s">
        <v>72</v>
      </c>
      <c r="E140" s="23" t="s">
        <v>133</v>
      </c>
      <c r="F140" s="23" t="s">
        <v>134</v>
      </c>
      <c r="G140" s="23" t="s">
        <v>446</v>
      </c>
      <c r="H140" s="25">
        <v>0</v>
      </c>
      <c r="I140" s="25">
        <v>752.75</v>
      </c>
      <c r="J140" s="25">
        <v>-752.75</v>
      </c>
      <c r="K140" s="23" t="s">
        <v>178</v>
      </c>
      <c r="L140" s="23" t="s">
        <v>130</v>
      </c>
      <c r="M140" s="23" t="s">
        <v>131</v>
      </c>
    </row>
    <row r="141" spans="1:13">
      <c r="A141" s="26" t="s">
        <v>447</v>
      </c>
      <c r="B141" s="27">
        <v>46023</v>
      </c>
      <c r="C141" s="26" t="s">
        <v>125</v>
      </c>
      <c r="D141" s="26" t="s">
        <v>72</v>
      </c>
      <c r="E141" s="26" t="s">
        <v>144</v>
      </c>
      <c r="F141" s="26" t="s">
        <v>145</v>
      </c>
      <c r="G141" s="26" t="s">
        <v>448</v>
      </c>
      <c r="H141" s="28">
        <v>0</v>
      </c>
      <c r="I141" s="28">
        <v>855.76</v>
      </c>
      <c r="J141" s="28">
        <v>-855.76</v>
      </c>
      <c r="K141" s="26" t="s">
        <v>161</v>
      </c>
      <c r="L141" s="26" t="s">
        <v>153</v>
      </c>
      <c r="M141" s="26" t="s">
        <v>131</v>
      </c>
    </row>
    <row r="142" spans="1:13">
      <c r="A142" s="23" t="s">
        <v>449</v>
      </c>
      <c r="B142" s="24">
        <v>46047</v>
      </c>
      <c r="C142" s="23" t="s">
        <v>125</v>
      </c>
      <c r="D142" s="23" t="s">
        <v>81</v>
      </c>
      <c r="E142" s="23" t="s">
        <v>167</v>
      </c>
      <c r="F142" s="23" t="s">
        <v>168</v>
      </c>
      <c r="G142" s="23" t="s">
        <v>450</v>
      </c>
      <c r="H142" s="25">
        <v>1060.5999999999999</v>
      </c>
      <c r="I142" s="25">
        <v>0</v>
      </c>
      <c r="J142" s="25">
        <v>1060.5999999999999</v>
      </c>
      <c r="K142" s="23" t="s">
        <v>136</v>
      </c>
      <c r="L142" s="23" t="s">
        <v>130</v>
      </c>
      <c r="M142" s="23" t="s">
        <v>158</v>
      </c>
    </row>
    <row r="143" spans="1:13">
      <c r="A143" s="26" t="s">
        <v>451</v>
      </c>
      <c r="B143" s="27">
        <v>46024</v>
      </c>
      <c r="C143" s="26" t="s">
        <v>125</v>
      </c>
      <c r="D143" s="26" t="s">
        <v>90</v>
      </c>
      <c r="E143" s="26" t="s">
        <v>163</v>
      </c>
      <c r="F143" s="26" t="s">
        <v>164</v>
      </c>
      <c r="G143" s="26" t="s">
        <v>452</v>
      </c>
      <c r="H143" s="28">
        <v>2631.18</v>
      </c>
      <c r="I143" s="28">
        <v>0</v>
      </c>
      <c r="J143" s="28">
        <v>2631.18</v>
      </c>
      <c r="K143" s="26" t="s">
        <v>178</v>
      </c>
      <c r="L143" s="26" t="s">
        <v>142</v>
      </c>
      <c r="M143" s="26" t="s">
        <v>242</v>
      </c>
    </row>
    <row r="144" spans="1:13">
      <c r="A144" s="23" t="s">
        <v>453</v>
      </c>
      <c r="B144" s="24">
        <v>46036</v>
      </c>
      <c r="C144" s="23" t="s">
        <v>125</v>
      </c>
      <c r="D144" s="23" t="s">
        <v>90</v>
      </c>
      <c r="E144" s="23" t="s">
        <v>220</v>
      </c>
      <c r="F144" s="23" t="s">
        <v>164</v>
      </c>
      <c r="G144" s="23" t="s">
        <v>454</v>
      </c>
      <c r="H144" s="25">
        <v>3576.39</v>
      </c>
      <c r="I144" s="25">
        <v>0</v>
      </c>
      <c r="J144" s="25">
        <v>3576.39</v>
      </c>
      <c r="K144" s="23" t="s">
        <v>147</v>
      </c>
      <c r="L144" s="23" t="s">
        <v>153</v>
      </c>
      <c r="M144" s="23" t="s">
        <v>158</v>
      </c>
    </row>
    <row r="145" spans="1:13">
      <c r="A145" s="26" t="s">
        <v>455</v>
      </c>
      <c r="B145" s="27">
        <v>46043</v>
      </c>
      <c r="C145" s="26" t="s">
        <v>125</v>
      </c>
      <c r="D145" s="26" t="s">
        <v>81</v>
      </c>
      <c r="E145" s="26" t="s">
        <v>155</v>
      </c>
      <c r="F145" s="26" t="s">
        <v>156</v>
      </c>
      <c r="G145" s="26" t="s">
        <v>456</v>
      </c>
      <c r="H145" s="28">
        <v>2865.3</v>
      </c>
      <c r="I145" s="28">
        <v>0</v>
      </c>
      <c r="J145" s="28">
        <v>2865.3</v>
      </c>
      <c r="K145" s="26" t="s">
        <v>136</v>
      </c>
      <c r="L145" s="26" t="s">
        <v>153</v>
      </c>
      <c r="M145" s="26" t="s">
        <v>158</v>
      </c>
    </row>
    <row r="146" spans="1:13">
      <c r="A146" s="23" t="s">
        <v>457</v>
      </c>
      <c r="B146" s="24">
        <v>46045</v>
      </c>
      <c r="C146" s="23" t="s">
        <v>125</v>
      </c>
      <c r="D146" s="23" t="s">
        <v>72</v>
      </c>
      <c r="E146" s="23" t="s">
        <v>126</v>
      </c>
      <c r="F146" s="23" t="s">
        <v>127</v>
      </c>
      <c r="G146" s="23" t="s">
        <v>458</v>
      </c>
      <c r="H146" s="25">
        <v>0</v>
      </c>
      <c r="I146" s="25">
        <v>4063.61</v>
      </c>
      <c r="J146" s="25">
        <v>-4063.61</v>
      </c>
      <c r="K146" s="23" t="s">
        <v>136</v>
      </c>
      <c r="L146" s="23" t="s">
        <v>130</v>
      </c>
      <c r="M146" s="23" t="s">
        <v>131</v>
      </c>
    </row>
    <row r="147" spans="1:13">
      <c r="A147" s="26" t="s">
        <v>459</v>
      </c>
      <c r="B147" s="27">
        <v>46049</v>
      </c>
      <c r="C147" s="26" t="s">
        <v>125</v>
      </c>
      <c r="D147" s="26" t="s">
        <v>81</v>
      </c>
      <c r="E147" s="26" t="s">
        <v>163</v>
      </c>
      <c r="F147" s="26" t="s">
        <v>250</v>
      </c>
      <c r="G147" s="26" t="s">
        <v>460</v>
      </c>
      <c r="H147" s="28">
        <v>6242.26</v>
      </c>
      <c r="I147" s="28">
        <v>0</v>
      </c>
      <c r="J147" s="28">
        <v>6242.26</v>
      </c>
      <c r="K147" s="26" t="s">
        <v>147</v>
      </c>
      <c r="L147" s="26" t="s">
        <v>142</v>
      </c>
      <c r="M147" s="26" t="s">
        <v>158</v>
      </c>
    </row>
    <row r="148" spans="1:13">
      <c r="A148" s="23" t="s">
        <v>461</v>
      </c>
      <c r="B148" s="24">
        <v>46027</v>
      </c>
      <c r="C148" s="23" t="s">
        <v>125</v>
      </c>
      <c r="D148" s="23" t="s">
        <v>90</v>
      </c>
      <c r="E148" s="23" t="s">
        <v>220</v>
      </c>
      <c r="F148" s="23" t="s">
        <v>164</v>
      </c>
      <c r="G148" s="23" t="s">
        <v>462</v>
      </c>
      <c r="H148" s="25">
        <v>0</v>
      </c>
      <c r="I148" s="25">
        <v>382.31</v>
      </c>
      <c r="J148" s="25">
        <v>-382.31</v>
      </c>
      <c r="K148" s="23" t="s">
        <v>161</v>
      </c>
      <c r="L148" s="23" t="s">
        <v>137</v>
      </c>
      <c r="M148" s="23" t="s">
        <v>158</v>
      </c>
    </row>
    <row r="149" spans="1:13">
      <c r="A149" s="26" t="s">
        <v>463</v>
      </c>
      <c r="B149" s="27">
        <v>46040</v>
      </c>
      <c r="C149" s="26" t="s">
        <v>125</v>
      </c>
      <c r="D149" s="26" t="s">
        <v>72</v>
      </c>
      <c r="E149" s="26" t="s">
        <v>204</v>
      </c>
      <c r="F149" s="26" t="s">
        <v>205</v>
      </c>
      <c r="G149" s="26" t="s">
        <v>464</v>
      </c>
      <c r="H149" s="28">
        <v>0</v>
      </c>
      <c r="I149" s="28">
        <v>3517.5</v>
      </c>
      <c r="J149" s="28">
        <v>-3517.5</v>
      </c>
      <c r="K149" s="26" t="s">
        <v>178</v>
      </c>
      <c r="L149" s="26" t="s">
        <v>142</v>
      </c>
      <c r="M149" s="26" t="s">
        <v>131</v>
      </c>
    </row>
    <row r="150" spans="1:13">
      <c r="A150" s="23" t="s">
        <v>465</v>
      </c>
      <c r="B150" s="24">
        <v>46046</v>
      </c>
      <c r="C150" s="23" t="s">
        <v>125</v>
      </c>
      <c r="D150" s="23" t="s">
        <v>72</v>
      </c>
      <c r="E150" s="23" t="s">
        <v>208</v>
      </c>
      <c r="F150" s="23" t="s">
        <v>209</v>
      </c>
      <c r="G150" s="23" t="s">
        <v>466</v>
      </c>
      <c r="H150" s="25">
        <v>0</v>
      </c>
      <c r="I150" s="25">
        <v>3754.51</v>
      </c>
      <c r="J150" s="25">
        <v>-3754.51</v>
      </c>
      <c r="K150" s="23" t="s">
        <v>147</v>
      </c>
      <c r="L150" s="23" t="s">
        <v>137</v>
      </c>
      <c r="M150" s="23" t="s">
        <v>131</v>
      </c>
    </row>
    <row r="151" spans="1:13">
      <c r="A151" s="26" t="s">
        <v>467</v>
      </c>
      <c r="B151" s="27">
        <v>46038</v>
      </c>
      <c r="C151" s="26" t="s">
        <v>125</v>
      </c>
      <c r="D151" s="26" t="s">
        <v>72</v>
      </c>
      <c r="E151" s="26" t="s">
        <v>144</v>
      </c>
      <c r="F151" s="26" t="s">
        <v>145</v>
      </c>
      <c r="G151" s="26" t="s">
        <v>468</v>
      </c>
      <c r="H151" s="28">
        <v>0</v>
      </c>
      <c r="I151" s="28">
        <v>2222.6999999999998</v>
      </c>
      <c r="J151" s="28">
        <v>-2222.6999999999998</v>
      </c>
      <c r="K151" s="26" t="s">
        <v>136</v>
      </c>
      <c r="L151" s="26" t="s">
        <v>148</v>
      </c>
      <c r="M151" s="26" t="s">
        <v>131</v>
      </c>
    </row>
    <row r="152" spans="1:13">
      <c r="A152" s="23" t="s">
        <v>469</v>
      </c>
      <c r="B152" s="24">
        <v>46048</v>
      </c>
      <c r="C152" s="23" t="s">
        <v>125</v>
      </c>
      <c r="D152" s="23" t="s">
        <v>81</v>
      </c>
      <c r="E152" s="23" t="s">
        <v>167</v>
      </c>
      <c r="F152" s="23" t="s">
        <v>168</v>
      </c>
      <c r="G152" s="23" t="s">
        <v>470</v>
      </c>
      <c r="H152" s="25">
        <v>8287.4599999999991</v>
      </c>
      <c r="I152" s="25">
        <v>0</v>
      </c>
      <c r="J152" s="25">
        <v>8287.4599999999991</v>
      </c>
      <c r="K152" s="23" t="s">
        <v>136</v>
      </c>
      <c r="L152" s="23" t="s">
        <v>153</v>
      </c>
      <c r="M152" s="23" t="s">
        <v>158</v>
      </c>
    </row>
    <row r="153" spans="1:13">
      <c r="A153" s="26" t="s">
        <v>471</v>
      </c>
      <c r="B153" s="27">
        <v>46044</v>
      </c>
      <c r="C153" s="26" t="s">
        <v>125</v>
      </c>
      <c r="D153" s="26" t="s">
        <v>99</v>
      </c>
      <c r="E153" s="26" t="s">
        <v>182</v>
      </c>
      <c r="F153" s="26" t="s">
        <v>183</v>
      </c>
      <c r="G153" s="26" t="s">
        <v>472</v>
      </c>
      <c r="H153" s="28">
        <v>0</v>
      </c>
      <c r="I153" s="28">
        <v>6377.99</v>
      </c>
      <c r="J153" s="28">
        <v>-6377.99</v>
      </c>
      <c r="K153" s="26" t="s">
        <v>129</v>
      </c>
      <c r="L153" s="26" t="s">
        <v>148</v>
      </c>
      <c r="M153" s="26" t="s">
        <v>185</v>
      </c>
    </row>
    <row r="154" spans="1:13">
      <c r="A154" s="23" t="s">
        <v>473</v>
      </c>
      <c r="B154" s="24">
        <v>46034</v>
      </c>
      <c r="C154" s="23" t="s">
        <v>125</v>
      </c>
      <c r="D154" s="23" t="s">
        <v>72</v>
      </c>
      <c r="E154" s="23" t="s">
        <v>139</v>
      </c>
      <c r="F154" s="23" t="s">
        <v>140</v>
      </c>
      <c r="G154" s="23" t="s">
        <v>474</v>
      </c>
      <c r="H154" s="25">
        <v>0</v>
      </c>
      <c r="I154" s="25">
        <v>956.7</v>
      </c>
      <c r="J154" s="25">
        <v>-956.7</v>
      </c>
      <c r="K154" s="23" t="s">
        <v>161</v>
      </c>
      <c r="L154" s="23" t="s">
        <v>137</v>
      </c>
      <c r="M154" s="23" t="s">
        <v>131</v>
      </c>
    </row>
    <row r="155" spans="1:13">
      <c r="A155" s="26" t="s">
        <v>475</v>
      </c>
      <c r="B155" s="27">
        <v>46039</v>
      </c>
      <c r="C155" s="26" t="s">
        <v>125</v>
      </c>
      <c r="D155" s="26" t="s">
        <v>72</v>
      </c>
      <c r="E155" s="26" t="s">
        <v>150</v>
      </c>
      <c r="F155" s="26" t="s">
        <v>151</v>
      </c>
      <c r="G155" s="26" t="s">
        <v>476</v>
      </c>
      <c r="H155" s="28">
        <v>0</v>
      </c>
      <c r="I155" s="28">
        <v>2856.31</v>
      </c>
      <c r="J155" s="28">
        <v>-2856.31</v>
      </c>
      <c r="K155" s="26" t="s">
        <v>129</v>
      </c>
      <c r="L155" s="26" t="s">
        <v>148</v>
      </c>
      <c r="M155" s="26" t="s">
        <v>131</v>
      </c>
    </row>
    <row r="156" spans="1:13">
      <c r="A156" s="23" t="s">
        <v>477</v>
      </c>
      <c r="B156" s="24">
        <v>46041</v>
      </c>
      <c r="C156" s="23" t="s">
        <v>125</v>
      </c>
      <c r="D156" s="23" t="s">
        <v>81</v>
      </c>
      <c r="E156" s="23" t="s">
        <v>220</v>
      </c>
      <c r="F156" s="23" t="s">
        <v>221</v>
      </c>
      <c r="G156" s="23" t="s">
        <v>478</v>
      </c>
      <c r="H156" s="25">
        <v>1449.09</v>
      </c>
      <c r="I156" s="25">
        <v>0</v>
      </c>
      <c r="J156" s="25">
        <v>1449.09</v>
      </c>
      <c r="K156" s="23" t="s">
        <v>136</v>
      </c>
      <c r="L156" s="23" t="s">
        <v>137</v>
      </c>
      <c r="M156" s="23" t="s">
        <v>158</v>
      </c>
    </row>
    <row r="157" spans="1:13">
      <c r="A157" s="26" t="s">
        <v>479</v>
      </c>
      <c r="B157" s="27">
        <v>46036</v>
      </c>
      <c r="C157" s="26" t="s">
        <v>125</v>
      </c>
      <c r="D157" s="26" t="s">
        <v>81</v>
      </c>
      <c r="E157" s="26" t="s">
        <v>163</v>
      </c>
      <c r="F157" s="26" t="s">
        <v>250</v>
      </c>
      <c r="G157" s="26" t="s">
        <v>480</v>
      </c>
      <c r="H157" s="28">
        <v>3608.43</v>
      </c>
      <c r="I157" s="28">
        <v>0</v>
      </c>
      <c r="J157" s="28">
        <v>3608.43</v>
      </c>
      <c r="K157" s="26" t="s">
        <v>129</v>
      </c>
      <c r="L157" s="26" t="s">
        <v>153</v>
      </c>
      <c r="M157" s="26" t="s">
        <v>158</v>
      </c>
    </row>
    <row r="158" spans="1:13">
      <c r="A158" s="23" t="s">
        <v>481</v>
      </c>
      <c r="B158" s="24">
        <v>46044</v>
      </c>
      <c r="C158" s="23" t="s">
        <v>125</v>
      </c>
      <c r="D158" s="23" t="s">
        <v>90</v>
      </c>
      <c r="E158" s="23" t="s">
        <v>220</v>
      </c>
      <c r="F158" s="23" t="s">
        <v>164</v>
      </c>
      <c r="G158" s="23" t="s">
        <v>482</v>
      </c>
      <c r="H158" s="25">
        <v>2658.32</v>
      </c>
      <c r="I158" s="25">
        <v>0</v>
      </c>
      <c r="J158" s="25">
        <v>2658.32</v>
      </c>
      <c r="K158" s="23" t="s">
        <v>161</v>
      </c>
      <c r="L158" s="23" t="s">
        <v>153</v>
      </c>
      <c r="M158" s="23" t="s">
        <v>225</v>
      </c>
    </row>
    <row r="159" spans="1:13">
      <c r="A159" s="26" t="s">
        <v>483</v>
      </c>
      <c r="B159" s="27">
        <v>46029</v>
      </c>
      <c r="C159" s="26" t="s">
        <v>125</v>
      </c>
      <c r="D159" s="26" t="s">
        <v>90</v>
      </c>
      <c r="E159" s="26" t="s">
        <v>155</v>
      </c>
      <c r="F159" s="26" t="s">
        <v>164</v>
      </c>
      <c r="G159" s="26" t="s">
        <v>484</v>
      </c>
      <c r="H159" s="28">
        <v>1314.82</v>
      </c>
      <c r="I159" s="28">
        <v>0</v>
      </c>
      <c r="J159" s="28">
        <v>1314.82</v>
      </c>
      <c r="K159" s="26" t="s">
        <v>161</v>
      </c>
      <c r="L159" s="26" t="s">
        <v>142</v>
      </c>
      <c r="M159" s="26" t="s">
        <v>242</v>
      </c>
    </row>
    <row r="160" spans="1:13">
      <c r="A160" s="23" t="s">
        <v>485</v>
      </c>
      <c r="B160" s="24">
        <v>46030</v>
      </c>
      <c r="C160" s="23" t="s">
        <v>125</v>
      </c>
      <c r="D160" s="23" t="s">
        <v>81</v>
      </c>
      <c r="E160" s="23" t="s">
        <v>155</v>
      </c>
      <c r="F160" s="23" t="s">
        <v>156</v>
      </c>
      <c r="G160" s="23" t="s">
        <v>486</v>
      </c>
      <c r="H160" s="25">
        <v>6881.77</v>
      </c>
      <c r="I160" s="25">
        <v>0</v>
      </c>
      <c r="J160" s="25">
        <v>6881.77</v>
      </c>
      <c r="K160" s="23" t="s">
        <v>178</v>
      </c>
      <c r="L160" s="23" t="s">
        <v>142</v>
      </c>
      <c r="M160" s="23" t="s">
        <v>158</v>
      </c>
    </row>
    <row r="161" spans="1:13">
      <c r="A161" s="26" t="s">
        <v>487</v>
      </c>
      <c r="B161" s="27">
        <v>46024</v>
      </c>
      <c r="C161" s="26" t="s">
        <v>125</v>
      </c>
      <c r="D161" s="26" t="s">
        <v>81</v>
      </c>
      <c r="E161" s="26" t="s">
        <v>163</v>
      </c>
      <c r="F161" s="26" t="s">
        <v>250</v>
      </c>
      <c r="G161" s="26" t="s">
        <v>488</v>
      </c>
      <c r="H161" s="28">
        <v>7841.71</v>
      </c>
      <c r="I161" s="28">
        <v>0</v>
      </c>
      <c r="J161" s="28">
        <v>7841.71</v>
      </c>
      <c r="K161" s="26" t="s">
        <v>147</v>
      </c>
      <c r="L161" s="26" t="s">
        <v>153</v>
      </c>
      <c r="M161" s="26" t="s">
        <v>158</v>
      </c>
    </row>
    <row r="162" spans="1:13">
      <c r="A162" s="23" t="s">
        <v>489</v>
      </c>
      <c r="B162" s="24">
        <v>46036</v>
      </c>
      <c r="C162" s="23" t="s">
        <v>125</v>
      </c>
      <c r="D162" s="23" t="s">
        <v>72</v>
      </c>
      <c r="E162" s="23" t="s">
        <v>150</v>
      </c>
      <c r="F162" s="23" t="s">
        <v>151</v>
      </c>
      <c r="G162" s="23" t="s">
        <v>490</v>
      </c>
      <c r="H162" s="25">
        <v>0</v>
      </c>
      <c r="I162" s="25">
        <v>207.64</v>
      </c>
      <c r="J162" s="25">
        <v>-207.64</v>
      </c>
      <c r="K162" s="23" t="s">
        <v>147</v>
      </c>
      <c r="L162" s="23" t="s">
        <v>130</v>
      </c>
      <c r="M162" s="23" t="s">
        <v>131</v>
      </c>
    </row>
    <row r="163" spans="1:13">
      <c r="A163" s="26" t="s">
        <v>491</v>
      </c>
      <c r="B163" s="27">
        <v>46052</v>
      </c>
      <c r="C163" s="26" t="s">
        <v>125</v>
      </c>
      <c r="D163" s="26" t="s">
        <v>81</v>
      </c>
      <c r="E163" s="26" t="s">
        <v>163</v>
      </c>
      <c r="F163" s="26" t="s">
        <v>250</v>
      </c>
      <c r="G163" s="26" t="s">
        <v>492</v>
      </c>
      <c r="H163" s="28">
        <v>7201.44</v>
      </c>
      <c r="I163" s="28">
        <v>0</v>
      </c>
      <c r="J163" s="28">
        <v>7201.44</v>
      </c>
      <c r="K163" s="26" t="s">
        <v>129</v>
      </c>
      <c r="L163" s="26" t="s">
        <v>142</v>
      </c>
      <c r="M163" s="26" t="s">
        <v>158</v>
      </c>
    </row>
    <row r="164" spans="1:13">
      <c r="A164" s="23" t="s">
        <v>493</v>
      </c>
      <c r="B164" s="24">
        <v>46032</v>
      </c>
      <c r="C164" s="23" t="s">
        <v>125</v>
      </c>
      <c r="D164" s="23" t="s">
        <v>90</v>
      </c>
      <c r="E164" s="23" t="s">
        <v>150</v>
      </c>
      <c r="F164" s="23" t="s">
        <v>164</v>
      </c>
      <c r="G164" s="23" t="s">
        <v>494</v>
      </c>
      <c r="H164" s="25">
        <v>1698.69</v>
      </c>
      <c r="I164" s="25">
        <v>0</v>
      </c>
      <c r="J164" s="25">
        <v>1698.69</v>
      </c>
      <c r="K164" s="23" t="s">
        <v>136</v>
      </c>
      <c r="L164" s="23" t="s">
        <v>153</v>
      </c>
      <c r="M164" s="23" t="s">
        <v>158</v>
      </c>
    </row>
    <row r="165" spans="1:13">
      <c r="A165" s="26" t="s">
        <v>495</v>
      </c>
      <c r="B165" s="27">
        <v>46053</v>
      </c>
      <c r="C165" s="26" t="s">
        <v>125</v>
      </c>
      <c r="D165" s="26" t="s">
        <v>99</v>
      </c>
      <c r="E165" s="26" t="s">
        <v>182</v>
      </c>
      <c r="F165" s="26" t="s">
        <v>183</v>
      </c>
      <c r="G165" s="26" t="s">
        <v>496</v>
      </c>
      <c r="H165" s="28">
        <v>0</v>
      </c>
      <c r="I165" s="28">
        <v>14318.04</v>
      </c>
      <c r="J165" s="28">
        <v>-14318.04</v>
      </c>
      <c r="K165" s="26" t="s">
        <v>129</v>
      </c>
      <c r="L165" s="26" t="s">
        <v>137</v>
      </c>
      <c r="M165" s="26" t="s">
        <v>185</v>
      </c>
    </row>
    <row r="166" spans="1:13">
      <c r="A166" s="23" t="s">
        <v>497</v>
      </c>
      <c r="B166" s="24">
        <v>46027</v>
      </c>
      <c r="C166" s="23" t="s">
        <v>125</v>
      </c>
      <c r="D166" s="23" t="s">
        <v>90</v>
      </c>
      <c r="E166" s="23" t="s">
        <v>163</v>
      </c>
      <c r="F166" s="23" t="s">
        <v>164</v>
      </c>
      <c r="G166" s="23" t="s">
        <v>498</v>
      </c>
      <c r="H166" s="25">
        <v>0</v>
      </c>
      <c r="I166" s="25">
        <v>423</v>
      </c>
      <c r="J166" s="25">
        <v>-423</v>
      </c>
      <c r="K166" s="23" t="s">
        <v>161</v>
      </c>
      <c r="L166" s="23" t="s">
        <v>153</v>
      </c>
      <c r="M166" s="23" t="s">
        <v>194</v>
      </c>
    </row>
    <row r="167" spans="1:13">
      <c r="A167" s="26" t="s">
        <v>499</v>
      </c>
      <c r="B167" s="27">
        <v>46051</v>
      </c>
      <c r="C167" s="26" t="s">
        <v>125</v>
      </c>
      <c r="D167" s="26" t="s">
        <v>81</v>
      </c>
      <c r="E167" s="26" t="s">
        <v>155</v>
      </c>
      <c r="F167" s="26" t="s">
        <v>156</v>
      </c>
      <c r="G167" s="26" t="s">
        <v>500</v>
      </c>
      <c r="H167" s="28">
        <v>8387.5400000000009</v>
      </c>
      <c r="I167" s="28">
        <v>0</v>
      </c>
      <c r="J167" s="28">
        <v>8387.5400000000009</v>
      </c>
      <c r="K167" s="26" t="s">
        <v>147</v>
      </c>
      <c r="L167" s="26" t="s">
        <v>148</v>
      </c>
      <c r="M167" s="26" t="s">
        <v>158</v>
      </c>
    </row>
    <row r="168" spans="1:13">
      <c r="A168" s="23" t="s">
        <v>501</v>
      </c>
      <c r="B168" s="24">
        <v>46043</v>
      </c>
      <c r="C168" s="23" t="s">
        <v>125</v>
      </c>
      <c r="D168" s="23" t="s">
        <v>72</v>
      </c>
      <c r="E168" s="23" t="s">
        <v>208</v>
      </c>
      <c r="F168" s="23" t="s">
        <v>209</v>
      </c>
      <c r="G168" s="23" t="s">
        <v>502</v>
      </c>
      <c r="H168" s="25">
        <v>0</v>
      </c>
      <c r="I168" s="25">
        <v>3699.49</v>
      </c>
      <c r="J168" s="25">
        <v>-3699.49</v>
      </c>
      <c r="K168" s="23" t="s">
        <v>147</v>
      </c>
      <c r="L168" s="23" t="s">
        <v>153</v>
      </c>
      <c r="M168" s="23" t="s">
        <v>131</v>
      </c>
    </row>
    <row r="169" spans="1:13">
      <c r="A169" s="26" t="s">
        <v>503</v>
      </c>
      <c r="B169" s="27">
        <v>46024</v>
      </c>
      <c r="C169" s="26" t="s">
        <v>125</v>
      </c>
      <c r="D169" s="26" t="s">
        <v>81</v>
      </c>
      <c r="E169" s="26" t="s">
        <v>214</v>
      </c>
      <c r="F169" s="26" t="s">
        <v>215</v>
      </c>
      <c r="G169" s="26" t="s">
        <v>504</v>
      </c>
      <c r="H169" s="28">
        <v>790.7</v>
      </c>
      <c r="I169" s="28">
        <v>0</v>
      </c>
      <c r="J169" s="28">
        <v>790.7</v>
      </c>
      <c r="K169" s="26" t="s">
        <v>178</v>
      </c>
      <c r="L169" s="26" t="s">
        <v>153</v>
      </c>
      <c r="M169" s="26" t="s">
        <v>158</v>
      </c>
    </row>
    <row r="170" spans="1:13">
      <c r="A170" s="23" t="s">
        <v>505</v>
      </c>
      <c r="B170" s="24">
        <v>46040</v>
      </c>
      <c r="C170" s="23" t="s">
        <v>125</v>
      </c>
      <c r="D170" s="23" t="s">
        <v>107</v>
      </c>
      <c r="E170" s="23" t="s">
        <v>191</v>
      </c>
      <c r="F170" s="23" t="s">
        <v>192</v>
      </c>
      <c r="G170" s="23" t="s">
        <v>506</v>
      </c>
      <c r="H170" s="25">
        <v>0</v>
      </c>
      <c r="I170" s="25">
        <v>89.98</v>
      </c>
      <c r="J170" s="25">
        <v>-89.98</v>
      </c>
      <c r="K170" s="23" t="s">
        <v>178</v>
      </c>
      <c r="L170" s="23" t="s">
        <v>142</v>
      </c>
      <c r="M170" s="23" t="s">
        <v>194</v>
      </c>
    </row>
    <row r="171" spans="1:13">
      <c r="A171" s="26" t="s">
        <v>507</v>
      </c>
      <c r="B171" s="27">
        <v>46041</v>
      </c>
      <c r="C171" s="26" t="s">
        <v>125</v>
      </c>
      <c r="D171" s="26" t="s">
        <v>81</v>
      </c>
      <c r="E171" s="26" t="s">
        <v>214</v>
      </c>
      <c r="F171" s="26" t="s">
        <v>215</v>
      </c>
      <c r="G171" s="26" t="s">
        <v>508</v>
      </c>
      <c r="H171" s="28">
        <v>5201.8</v>
      </c>
      <c r="I171" s="28">
        <v>0</v>
      </c>
      <c r="J171" s="28">
        <v>5201.8</v>
      </c>
      <c r="K171" s="26" t="s">
        <v>136</v>
      </c>
      <c r="L171" s="26" t="s">
        <v>130</v>
      </c>
      <c r="M171" s="26" t="s">
        <v>158</v>
      </c>
    </row>
    <row r="172" spans="1:13">
      <c r="A172" s="23" t="s">
        <v>509</v>
      </c>
      <c r="B172" s="24">
        <v>46037</v>
      </c>
      <c r="C172" s="23" t="s">
        <v>125</v>
      </c>
      <c r="D172" s="23" t="s">
        <v>72</v>
      </c>
      <c r="E172" s="23" t="s">
        <v>139</v>
      </c>
      <c r="F172" s="23" t="s">
        <v>140</v>
      </c>
      <c r="G172" s="23" t="s">
        <v>510</v>
      </c>
      <c r="H172" s="25">
        <v>0</v>
      </c>
      <c r="I172" s="25">
        <v>2181.84</v>
      </c>
      <c r="J172" s="25">
        <v>-2181.84</v>
      </c>
      <c r="K172" s="23" t="s">
        <v>178</v>
      </c>
      <c r="L172" s="23" t="s">
        <v>153</v>
      </c>
      <c r="M172" s="23" t="s">
        <v>131</v>
      </c>
    </row>
    <row r="173" spans="1:13">
      <c r="A173" s="26" t="s">
        <v>511</v>
      </c>
      <c r="B173" s="27">
        <v>46037</v>
      </c>
      <c r="C173" s="26" t="s">
        <v>125</v>
      </c>
      <c r="D173" s="26" t="s">
        <v>107</v>
      </c>
      <c r="E173" s="26" t="s">
        <v>191</v>
      </c>
      <c r="F173" s="26" t="s">
        <v>192</v>
      </c>
      <c r="G173" s="26" t="s">
        <v>512</v>
      </c>
      <c r="H173" s="28">
        <v>0</v>
      </c>
      <c r="I173" s="28">
        <v>65.27</v>
      </c>
      <c r="J173" s="28">
        <v>-65.27</v>
      </c>
      <c r="K173" s="26" t="s">
        <v>136</v>
      </c>
      <c r="L173" s="26" t="s">
        <v>130</v>
      </c>
      <c r="M173" s="26" t="s">
        <v>194</v>
      </c>
    </row>
    <row r="174" spans="1:13">
      <c r="A174" s="23" t="s">
        <v>513</v>
      </c>
      <c r="B174" s="24">
        <v>46047</v>
      </c>
      <c r="C174" s="23" t="s">
        <v>125</v>
      </c>
      <c r="D174" s="23" t="s">
        <v>72</v>
      </c>
      <c r="E174" s="23" t="s">
        <v>204</v>
      </c>
      <c r="F174" s="23" t="s">
        <v>205</v>
      </c>
      <c r="G174" s="23" t="s">
        <v>514</v>
      </c>
      <c r="H174" s="25">
        <v>0</v>
      </c>
      <c r="I174" s="25">
        <v>400.48</v>
      </c>
      <c r="J174" s="25">
        <v>-400.48</v>
      </c>
      <c r="K174" s="23" t="s">
        <v>147</v>
      </c>
      <c r="L174" s="23" t="s">
        <v>137</v>
      </c>
      <c r="M174" s="23" t="s">
        <v>131</v>
      </c>
    </row>
    <row r="175" spans="1:13">
      <c r="A175" s="26" t="s">
        <v>515</v>
      </c>
      <c r="B175" s="27">
        <v>46046</v>
      </c>
      <c r="C175" s="26" t="s">
        <v>125</v>
      </c>
      <c r="D175" s="26" t="s">
        <v>99</v>
      </c>
      <c r="E175" s="26" t="s">
        <v>182</v>
      </c>
      <c r="F175" s="26" t="s">
        <v>183</v>
      </c>
      <c r="G175" s="26" t="s">
        <v>516</v>
      </c>
      <c r="H175" s="28">
        <v>0</v>
      </c>
      <c r="I175" s="28">
        <v>16483.95</v>
      </c>
      <c r="J175" s="28">
        <v>-16483.95</v>
      </c>
      <c r="K175" s="26" t="s">
        <v>136</v>
      </c>
      <c r="L175" s="26" t="s">
        <v>130</v>
      </c>
      <c r="M175" s="26" t="s">
        <v>185</v>
      </c>
    </row>
    <row r="176" spans="1:13">
      <c r="A176" s="23" t="s">
        <v>517</v>
      </c>
      <c r="B176" s="24">
        <v>46032</v>
      </c>
      <c r="C176" s="23" t="s">
        <v>125</v>
      </c>
      <c r="D176" s="23" t="s">
        <v>107</v>
      </c>
      <c r="E176" s="23" t="s">
        <v>191</v>
      </c>
      <c r="F176" s="23" t="s">
        <v>192</v>
      </c>
      <c r="G176" s="23" t="s">
        <v>518</v>
      </c>
      <c r="H176" s="25">
        <v>0</v>
      </c>
      <c r="I176" s="25">
        <v>85.33</v>
      </c>
      <c r="J176" s="25">
        <v>-85.33</v>
      </c>
      <c r="K176" s="23" t="s">
        <v>161</v>
      </c>
      <c r="L176" s="23" t="s">
        <v>130</v>
      </c>
      <c r="M176" s="23" t="s">
        <v>194</v>
      </c>
    </row>
    <row r="177" spans="1:13">
      <c r="A177" s="26" t="s">
        <v>519</v>
      </c>
      <c r="B177" s="27">
        <v>46035</v>
      </c>
      <c r="C177" s="26" t="s">
        <v>125</v>
      </c>
      <c r="D177" s="26" t="s">
        <v>81</v>
      </c>
      <c r="E177" s="26" t="s">
        <v>214</v>
      </c>
      <c r="F177" s="26" t="s">
        <v>215</v>
      </c>
      <c r="G177" s="26" t="s">
        <v>520</v>
      </c>
      <c r="H177" s="28">
        <v>6940.09</v>
      </c>
      <c r="I177" s="28">
        <v>0</v>
      </c>
      <c r="J177" s="28">
        <v>6940.09</v>
      </c>
      <c r="K177" s="26" t="s">
        <v>136</v>
      </c>
      <c r="L177" s="26" t="s">
        <v>137</v>
      </c>
      <c r="M177" s="26" t="s">
        <v>158</v>
      </c>
    </row>
    <row r="178" spans="1:13">
      <c r="A178" s="23" t="s">
        <v>521</v>
      </c>
      <c r="B178" s="24">
        <v>46023</v>
      </c>
      <c r="C178" s="23" t="s">
        <v>125</v>
      </c>
      <c r="D178" s="23" t="s">
        <v>81</v>
      </c>
      <c r="E178" s="23" t="s">
        <v>173</v>
      </c>
      <c r="F178" s="23" t="s">
        <v>174</v>
      </c>
      <c r="G178" s="23" t="s">
        <v>522</v>
      </c>
      <c r="H178" s="25">
        <v>8092.26</v>
      </c>
      <c r="I178" s="25">
        <v>0</v>
      </c>
      <c r="J178" s="25">
        <v>8092.26</v>
      </c>
      <c r="K178" s="23" t="s">
        <v>147</v>
      </c>
      <c r="L178" s="23" t="s">
        <v>142</v>
      </c>
      <c r="M178" s="23" t="s">
        <v>158</v>
      </c>
    </row>
    <row r="179" spans="1:13">
      <c r="A179" s="26" t="s">
        <v>523</v>
      </c>
      <c r="B179" s="27">
        <v>46032</v>
      </c>
      <c r="C179" s="26" t="s">
        <v>125</v>
      </c>
      <c r="D179" s="26" t="s">
        <v>99</v>
      </c>
      <c r="E179" s="26" t="s">
        <v>182</v>
      </c>
      <c r="F179" s="26" t="s">
        <v>183</v>
      </c>
      <c r="G179" s="26" t="s">
        <v>524</v>
      </c>
      <c r="H179" s="28">
        <v>0</v>
      </c>
      <c r="I179" s="28">
        <v>3966.54</v>
      </c>
      <c r="J179" s="28">
        <v>-3966.54</v>
      </c>
      <c r="K179" s="26" t="s">
        <v>136</v>
      </c>
      <c r="L179" s="26" t="s">
        <v>153</v>
      </c>
      <c r="M179" s="26" t="s">
        <v>185</v>
      </c>
    </row>
    <row r="180" spans="1:13">
      <c r="A180" s="23" t="s">
        <v>525</v>
      </c>
      <c r="B180" s="24">
        <v>46042</v>
      </c>
      <c r="C180" s="23" t="s">
        <v>125</v>
      </c>
      <c r="D180" s="23" t="s">
        <v>72</v>
      </c>
      <c r="E180" s="23" t="s">
        <v>150</v>
      </c>
      <c r="F180" s="23" t="s">
        <v>151</v>
      </c>
      <c r="G180" s="23" t="s">
        <v>526</v>
      </c>
      <c r="H180" s="25">
        <v>0</v>
      </c>
      <c r="I180" s="25">
        <v>1024.03</v>
      </c>
      <c r="J180" s="25">
        <v>-1024.03</v>
      </c>
      <c r="K180" s="23" t="s">
        <v>129</v>
      </c>
      <c r="L180" s="23" t="s">
        <v>153</v>
      </c>
      <c r="M180" s="23" t="s">
        <v>131</v>
      </c>
    </row>
    <row r="181" spans="1:13">
      <c r="A181" s="26" t="s">
        <v>527</v>
      </c>
      <c r="B181" s="27">
        <v>46024</v>
      </c>
      <c r="C181" s="26" t="s">
        <v>125</v>
      </c>
      <c r="D181" s="26" t="s">
        <v>81</v>
      </c>
      <c r="E181" s="26" t="s">
        <v>155</v>
      </c>
      <c r="F181" s="26" t="s">
        <v>156</v>
      </c>
      <c r="G181" s="26" t="s">
        <v>528</v>
      </c>
      <c r="H181" s="28">
        <v>6158.54</v>
      </c>
      <c r="I181" s="28">
        <v>0</v>
      </c>
      <c r="J181" s="28">
        <v>6158.54</v>
      </c>
      <c r="K181" s="26" t="s">
        <v>161</v>
      </c>
      <c r="L181" s="26" t="s">
        <v>153</v>
      </c>
      <c r="M181" s="26" t="s">
        <v>158</v>
      </c>
    </row>
    <row r="182" spans="1:13">
      <c r="A182" s="23" t="s">
        <v>529</v>
      </c>
      <c r="B182" s="24">
        <v>46030</v>
      </c>
      <c r="C182" s="23" t="s">
        <v>125</v>
      </c>
      <c r="D182" s="23" t="s">
        <v>72</v>
      </c>
      <c r="E182" s="23" t="s">
        <v>139</v>
      </c>
      <c r="F182" s="23" t="s">
        <v>140</v>
      </c>
      <c r="G182" s="23" t="s">
        <v>530</v>
      </c>
      <c r="H182" s="25">
        <v>0</v>
      </c>
      <c r="I182" s="25">
        <v>4880.3500000000004</v>
      </c>
      <c r="J182" s="25">
        <v>-4880.3500000000004</v>
      </c>
      <c r="K182" s="23" t="s">
        <v>129</v>
      </c>
      <c r="L182" s="23" t="s">
        <v>148</v>
      </c>
      <c r="M182" s="23" t="s">
        <v>131</v>
      </c>
    </row>
    <row r="183" spans="1:13">
      <c r="A183" s="26" t="s">
        <v>531</v>
      </c>
      <c r="B183" s="27">
        <v>46032</v>
      </c>
      <c r="C183" s="26" t="s">
        <v>125</v>
      </c>
      <c r="D183" s="26" t="s">
        <v>90</v>
      </c>
      <c r="E183" s="26" t="s">
        <v>173</v>
      </c>
      <c r="F183" s="26" t="s">
        <v>164</v>
      </c>
      <c r="G183" s="26" t="s">
        <v>532</v>
      </c>
      <c r="H183" s="28">
        <v>0</v>
      </c>
      <c r="I183" s="28">
        <v>2660.93</v>
      </c>
      <c r="J183" s="28">
        <v>-2660.93</v>
      </c>
      <c r="K183" s="26" t="s">
        <v>136</v>
      </c>
      <c r="L183" s="26" t="s">
        <v>130</v>
      </c>
      <c r="M183" s="26" t="s">
        <v>225</v>
      </c>
    </row>
    <row r="184" spans="1:13">
      <c r="A184" s="23" t="s">
        <v>533</v>
      </c>
      <c r="B184" s="24">
        <v>46024</v>
      </c>
      <c r="C184" s="23" t="s">
        <v>125</v>
      </c>
      <c r="D184" s="23" t="s">
        <v>81</v>
      </c>
      <c r="E184" s="23" t="s">
        <v>214</v>
      </c>
      <c r="F184" s="23" t="s">
        <v>215</v>
      </c>
      <c r="G184" s="23" t="s">
        <v>534</v>
      </c>
      <c r="H184" s="25">
        <v>4780.42</v>
      </c>
      <c r="I184" s="25">
        <v>0</v>
      </c>
      <c r="J184" s="25">
        <v>4780.42</v>
      </c>
      <c r="K184" s="23" t="s">
        <v>178</v>
      </c>
      <c r="L184" s="23" t="s">
        <v>153</v>
      </c>
      <c r="M184" s="23" t="s">
        <v>158</v>
      </c>
    </row>
    <row r="185" spans="1:13">
      <c r="A185" s="26" t="s">
        <v>535</v>
      </c>
      <c r="B185" s="27">
        <v>46032</v>
      </c>
      <c r="C185" s="26" t="s">
        <v>125</v>
      </c>
      <c r="D185" s="26" t="s">
        <v>72</v>
      </c>
      <c r="E185" s="26" t="s">
        <v>133</v>
      </c>
      <c r="F185" s="26" t="s">
        <v>134</v>
      </c>
      <c r="G185" s="26" t="s">
        <v>536</v>
      </c>
      <c r="H185" s="28">
        <v>0</v>
      </c>
      <c r="I185" s="28">
        <v>1749.48</v>
      </c>
      <c r="J185" s="28">
        <v>-1749.48</v>
      </c>
      <c r="K185" s="26" t="s">
        <v>136</v>
      </c>
      <c r="L185" s="26" t="s">
        <v>130</v>
      </c>
      <c r="M185" s="26" t="s">
        <v>131</v>
      </c>
    </row>
    <row r="186" spans="1:13">
      <c r="A186" s="23" t="s">
        <v>537</v>
      </c>
      <c r="B186" s="24">
        <v>46025</v>
      </c>
      <c r="C186" s="23" t="s">
        <v>125</v>
      </c>
      <c r="D186" s="23" t="s">
        <v>107</v>
      </c>
      <c r="E186" s="23" t="s">
        <v>191</v>
      </c>
      <c r="F186" s="23" t="s">
        <v>192</v>
      </c>
      <c r="G186" s="23" t="s">
        <v>538</v>
      </c>
      <c r="H186" s="25">
        <v>0</v>
      </c>
      <c r="I186" s="25">
        <v>30.53</v>
      </c>
      <c r="J186" s="25">
        <v>-30.53</v>
      </c>
      <c r="K186" s="23" t="s">
        <v>161</v>
      </c>
      <c r="L186" s="23" t="s">
        <v>148</v>
      </c>
      <c r="M186" s="23" t="s">
        <v>194</v>
      </c>
    </row>
    <row r="187" spans="1:13">
      <c r="A187" s="26" t="s">
        <v>539</v>
      </c>
      <c r="B187" s="27">
        <v>46036</v>
      </c>
      <c r="C187" s="26" t="s">
        <v>125</v>
      </c>
      <c r="D187" s="26" t="s">
        <v>72</v>
      </c>
      <c r="E187" s="26" t="s">
        <v>204</v>
      </c>
      <c r="F187" s="26" t="s">
        <v>205</v>
      </c>
      <c r="G187" s="26" t="s">
        <v>540</v>
      </c>
      <c r="H187" s="28">
        <v>0</v>
      </c>
      <c r="I187" s="28">
        <v>2368.64</v>
      </c>
      <c r="J187" s="28">
        <v>-2368.64</v>
      </c>
      <c r="K187" s="26" t="s">
        <v>161</v>
      </c>
      <c r="L187" s="26" t="s">
        <v>137</v>
      </c>
      <c r="M187" s="26" t="s">
        <v>131</v>
      </c>
    </row>
    <row r="188" spans="1:13">
      <c r="A188" s="23" t="s">
        <v>541</v>
      </c>
      <c r="B188" s="24">
        <v>46026</v>
      </c>
      <c r="C188" s="23" t="s">
        <v>125</v>
      </c>
      <c r="D188" s="23" t="s">
        <v>99</v>
      </c>
      <c r="E188" s="23" t="s">
        <v>182</v>
      </c>
      <c r="F188" s="23" t="s">
        <v>183</v>
      </c>
      <c r="G188" s="23" t="s">
        <v>542</v>
      </c>
      <c r="H188" s="25">
        <v>0</v>
      </c>
      <c r="I188" s="25">
        <v>11924.43</v>
      </c>
      <c r="J188" s="25">
        <v>-11924.43</v>
      </c>
      <c r="K188" s="23" t="s">
        <v>129</v>
      </c>
      <c r="L188" s="23" t="s">
        <v>130</v>
      </c>
      <c r="M188" s="23" t="s">
        <v>185</v>
      </c>
    </row>
    <row r="189" spans="1:13">
      <c r="A189" s="26" t="s">
        <v>543</v>
      </c>
      <c r="B189" s="27">
        <v>46027</v>
      </c>
      <c r="C189" s="26" t="s">
        <v>125</v>
      </c>
      <c r="D189" s="26" t="s">
        <v>90</v>
      </c>
      <c r="E189" s="26" t="s">
        <v>220</v>
      </c>
      <c r="F189" s="26" t="s">
        <v>164</v>
      </c>
      <c r="G189" s="26" t="s">
        <v>544</v>
      </c>
      <c r="H189" s="28">
        <v>2270.58</v>
      </c>
      <c r="I189" s="28">
        <v>0</v>
      </c>
      <c r="J189" s="28">
        <v>2270.58</v>
      </c>
      <c r="K189" s="26" t="s">
        <v>178</v>
      </c>
      <c r="L189" s="26" t="s">
        <v>148</v>
      </c>
      <c r="M189" s="26" t="s">
        <v>158</v>
      </c>
    </row>
    <row r="190" spans="1:13">
      <c r="A190" s="23" t="s">
        <v>545</v>
      </c>
      <c r="B190" s="24">
        <v>46046</v>
      </c>
      <c r="C190" s="23" t="s">
        <v>125</v>
      </c>
      <c r="D190" s="23" t="s">
        <v>81</v>
      </c>
      <c r="E190" s="23" t="s">
        <v>163</v>
      </c>
      <c r="F190" s="23" t="s">
        <v>250</v>
      </c>
      <c r="G190" s="23" t="s">
        <v>546</v>
      </c>
      <c r="H190" s="25">
        <v>1078.4100000000001</v>
      </c>
      <c r="I190" s="25">
        <v>0</v>
      </c>
      <c r="J190" s="25">
        <v>1078.4100000000001</v>
      </c>
      <c r="K190" s="23" t="s">
        <v>147</v>
      </c>
      <c r="L190" s="23" t="s">
        <v>130</v>
      </c>
      <c r="M190" s="23" t="s">
        <v>158</v>
      </c>
    </row>
    <row r="191" spans="1:13">
      <c r="A191" s="26" t="s">
        <v>547</v>
      </c>
      <c r="B191" s="27">
        <v>46043</v>
      </c>
      <c r="C191" s="26" t="s">
        <v>125</v>
      </c>
      <c r="D191" s="26" t="s">
        <v>90</v>
      </c>
      <c r="E191" s="26" t="s">
        <v>220</v>
      </c>
      <c r="F191" s="26" t="s">
        <v>164</v>
      </c>
      <c r="G191" s="26" t="s">
        <v>548</v>
      </c>
      <c r="H191" s="28">
        <v>0</v>
      </c>
      <c r="I191" s="28">
        <v>360.9</v>
      </c>
      <c r="J191" s="28">
        <v>-360.9</v>
      </c>
      <c r="K191" s="26" t="s">
        <v>136</v>
      </c>
      <c r="L191" s="26" t="s">
        <v>153</v>
      </c>
      <c r="M191" s="26" t="s">
        <v>194</v>
      </c>
    </row>
    <row r="192" spans="1:13">
      <c r="A192" s="23" t="s">
        <v>549</v>
      </c>
      <c r="B192" s="24">
        <v>46032</v>
      </c>
      <c r="C192" s="23" t="s">
        <v>125</v>
      </c>
      <c r="D192" s="23" t="s">
        <v>81</v>
      </c>
      <c r="E192" s="23" t="s">
        <v>167</v>
      </c>
      <c r="F192" s="23" t="s">
        <v>168</v>
      </c>
      <c r="G192" s="23" t="s">
        <v>550</v>
      </c>
      <c r="H192" s="25">
        <v>3096.01</v>
      </c>
      <c r="I192" s="25">
        <v>0</v>
      </c>
      <c r="J192" s="25">
        <v>3096.01</v>
      </c>
      <c r="K192" s="23" t="s">
        <v>136</v>
      </c>
      <c r="L192" s="23" t="s">
        <v>142</v>
      </c>
      <c r="M192" s="23" t="s">
        <v>158</v>
      </c>
    </row>
    <row r="193" spans="1:13">
      <c r="A193" s="26" t="s">
        <v>551</v>
      </c>
      <c r="B193" s="27">
        <v>46034</v>
      </c>
      <c r="C193" s="26" t="s">
        <v>125</v>
      </c>
      <c r="D193" s="26" t="s">
        <v>72</v>
      </c>
      <c r="E193" s="26" t="s">
        <v>204</v>
      </c>
      <c r="F193" s="26" t="s">
        <v>205</v>
      </c>
      <c r="G193" s="26" t="s">
        <v>552</v>
      </c>
      <c r="H193" s="28">
        <v>0</v>
      </c>
      <c r="I193" s="28">
        <v>3409.78</v>
      </c>
      <c r="J193" s="28">
        <v>-3409.78</v>
      </c>
      <c r="K193" s="26" t="s">
        <v>136</v>
      </c>
      <c r="L193" s="26" t="s">
        <v>153</v>
      </c>
      <c r="M193" s="26" t="s">
        <v>131</v>
      </c>
    </row>
    <row r="194" spans="1:13">
      <c r="A194" s="23" t="s">
        <v>553</v>
      </c>
      <c r="B194" s="24">
        <v>46034</v>
      </c>
      <c r="C194" s="23" t="s">
        <v>125</v>
      </c>
      <c r="D194" s="23" t="s">
        <v>72</v>
      </c>
      <c r="E194" s="23" t="s">
        <v>144</v>
      </c>
      <c r="F194" s="23" t="s">
        <v>145</v>
      </c>
      <c r="G194" s="23" t="s">
        <v>554</v>
      </c>
      <c r="H194" s="25">
        <v>0</v>
      </c>
      <c r="I194" s="25">
        <v>2265.41</v>
      </c>
      <c r="J194" s="25">
        <v>-2265.41</v>
      </c>
      <c r="K194" s="23" t="s">
        <v>178</v>
      </c>
      <c r="L194" s="23" t="s">
        <v>148</v>
      </c>
      <c r="M194" s="23" t="s">
        <v>131</v>
      </c>
    </row>
    <row r="195" spans="1:13">
      <c r="A195" s="26" t="s">
        <v>555</v>
      </c>
      <c r="B195" s="27">
        <v>46046</v>
      </c>
      <c r="C195" s="26" t="s">
        <v>125</v>
      </c>
      <c r="D195" s="26" t="s">
        <v>90</v>
      </c>
      <c r="E195" s="26" t="s">
        <v>208</v>
      </c>
      <c r="F195" s="26" t="s">
        <v>164</v>
      </c>
      <c r="G195" s="26" t="s">
        <v>556</v>
      </c>
      <c r="H195" s="28">
        <v>0</v>
      </c>
      <c r="I195" s="28">
        <v>269.45999999999998</v>
      </c>
      <c r="J195" s="28">
        <v>-269.45999999999998</v>
      </c>
      <c r="K195" s="26" t="s">
        <v>161</v>
      </c>
      <c r="L195" s="26" t="s">
        <v>142</v>
      </c>
      <c r="M195" s="26" t="s">
        <v>131</v>
      </c>
    </row>
    <row r="196" spans="1:13">
      <c r="A196" s="23" t="s">
        <v>557</v>
      </c>
      <c r="B196" s="24">
        <v>46047</v>
      </c>
      <c r="C196" s="23" t="s">
        <v>125</v>
      </c>
      <c r="D196" s="23" t="s">
        <v>107</v>
      </c>
      <c r="E196" s="23" t="s">
        <v>191</v>
      </c>
      <c r="F196" s="23" t="s">
        <v>192</v>
      </c>
      <c r="G196" s="23" t="s">
        <v>558</v>
      </c>
      <c r="H196" s="25">
        <v>0</v>
      </c>
      <c r="I196" s="25">
        <v>9.25</v>
      </c>
      <c r="J196" s="25">
        <v>-9.25</v>
      </c>
      <c r="K196" s="23" t="s">
        <v>129</v>
      </c>
      <c r="L196" s="23" t="s">
        <v>137</v>
      </c>
      <c r="M196" s="23" t="s">
        <v>194</v>
      </c>
    </row>
    <row r="197" spans="1:13">
      <c r="A197" s="26" t="s">
        <v>559</v>
      </c>
      <c r="B197" s="27">
        <v>46032</v>
      </c>
      <c r="C197" s="26" t="s">
        <v>125</v>
      </c>
      <c r="D197" s="26" t="s">
        <v>81</v>
      </c>
      <c r="E197" s="26" t="s">
        <v>167</v>
      </c>
      <c r="F197" s="26" t="s">
        <v>168</v>
      </c>
      <c r="G197" s="26" t="s">
        <v>560</v>
      </c>
      <c r="H197" s="28">
        <v>4102.8900000000003</v>
      </c>
      <c r="I197" s="28">
        <v>0</v>
      </c>
      <c r="J197" s="28">
        <v>4102.8900000000003</v>
      </c>
      <c r="K197" s="26" t="s">
        <v>178</v>
      </c>
      <c r="L197" s="26" t="s">
        <v>130</v>
      </c>
      <c r="M197" s="26" t="s">
        <v>158</v>
      </c>
    </row>
    <row r="198" spans="1:13">
      <c r="A198" s="23" t="s">
        <v>561</v>
      </c>
      <c r="B198" s="24">
        <v>46033</v>
      </c>
      <c r="C198" s="23" t="s">
        <v>125</v>
      </c>
      <c r="D198" s="23" t="s">
        <v>72</v>
      </c>
      <c r="E198" s="23" t="s">
        <v>139</v>
      </c>
      <c r="F198" s="23" t="s">
        <v>140</v>
      </c>
      <c r="G198" s="23" t="s">
        <v>562</v>
      </c>
      <c r="H198" s="25">
        <v>0</v>
      </c>
      <c r="I198" s="25">
        <v>2332.2800000000002</v>
      </c>
      <c r="J198" s="25">
        <v>-2332.2800000000002</v>
      </c>
      <c r="K198" s="23" t="s">
        <v>161</v>
      </c>
      <c r="L198" s="23" t="s">
        <v>142</v>
      </c>
      <c r="M198" s="23" t="s">
        <v>131</v>
      </c>
    </row>
    <row r="199" spans="1:13">
      <c r="A199" s="26" t="s">
        <v>563</v>
      </c>
      <c r="B199" s="27">
        <v>46035</v>
      </c>
      <c r="C199" s="26" t="s">
        <v>125</v>
      </c>
      <c r="D199" s="26" t="s">
        <v>72</v>
      </c>
      <c r="E199" s="26" t="s">
        <v>133</v>
      </c>
      <c r="F199" s="26" t="s">
        <v>134</v>
      </c>
      <c r="G199" s="26" t="s">
        <v>564</v>
      </c>
      <c r="H199" s="28">
        <v>0</v>
      </c>
      <c r="I199" s="28">
        <v>3116.76</v>
      </c>
      <c r="J199" s="28">
        <v>-3116.76</v>
      </c>
      <c r="K199" s="26" t="s">
        <v>161</v>
      </c>
      <c r="L199" s="26" t="s">
        <v>148</v>
      </c>
      <c r="M199" s="26" t="s">
        <v>131</v>
      </c>
    </row>
    <row r="200" spans="1:13">
      <c r="A200" s="23" t="s">
        <v>565</v>
      </c>
      <c r="B200" s="24">
        <v>46039</v>
      </c>
      <c r="C200" s="23" t="s">
        <v>125</v>
      </c>
      <c r="D200" s="23" t="s">
        <v>72</v>
      </c>
      <c r="E200" s="23" t="s">
        <v>144</v>
      </c>
      <c r="F200" s="23" t="s">
        <v>145</v>
      </c>
      <c r="G200" s="23" t="s">
        <v>566</v>
      </c>
      <c r="H200" s="25">
        <v>0</v>
      </c>
      <c r="I200" s="25">
        <v>4529.74</v>
      </c>
      <c r="J200" s="25">
        <v>-4529.74</v>
      </c>
      <c r="K200" s="23" t="s">
        <v>178</v>
      </c>
      <c r="L200" s="23" t="s">
        <v>142</v>
      </c>
      <c r="M200" s="23" t="s">
        <v>131</v>
      </c>
    </row>
    <row r="201" spans="1:13">
      <c r="A201" s="26" t="s">
        <v>567</v>
      </c>
      <c r="B201" s="27">
        <v>46033</v>
      </c>
      <c r="C201" s="26" t="s">
        <v>125</v>
      </c>
      <c r="D201" s="26" t="s">
        <v>72</v>
      </c>
      <c r="E201" s="26" t="s">
        <v>208</v>
      </c>
      <c r="F201" s="26" t="s">
        <v>209</v>
      </c>
      <c r="G201" s="26" t="s">
        <v>568</v>
      </c>
      <c r="H201" s="28">
        <v>0</v>
      </c>
      <c r="I201" s="28">
        <v>4124.83</v>
      </c>
      <c r="J201" s="28">
        <v>-4124.83</v>
      </c>
      <c r="K201" s="26" t="s">
        <v>147</v>
      </c>
      <c r="L201" s="26" t="s">
        <v>142</v>
      </c>
      <c r="M201" s="26" t="s">
        <v>131</v>
      </c>
    </row>
    <row r="202" spans="1:13">
      <c r="A202" s="23" t="s">
        <v>569</v>
      </c>
      <c r="B202" s="24">
        <v>46037</v>
      </c>
      <c r="C202" s="23" t="s">
        <v>125</v>
      </c>
      <c r="D202" s="23" t="s">
        <v>81</v>
      </c>
      <c r="E202" s="23" t="s">
        <v>220</v>
      </c>
      <c r="F202" s="23" t="s">
        <v>221</v>
      </c>
      <c r="G202" s="23" t="s">
        <v>570</v>
      </c>
      <c r="H202" s="25">
        <v>6218.9</v>
      </c>
      <c r="I202" s="25">
        <v>0</v>
      </c>
      <c r="J202" s="25">
        <v>6218.9</v>
      </c>
      <c r="K202" s="23" t="s">
        <v>147</v>
      </c>
      <c r="L202" s="23" t="s">
        <v>153</v>
      </c>
      <c r="M202" s="23" t="s">
        <v>158</v>
      </c>
    </row>
    <row r="203" spans="1:13">
      <c r="A203" s="26" t="s">
        <v>571</v>
      </c>
      <c r="B203" s="27">
        <v>46031</v>
      </c>
      <c r="C203" s="26" t="s">
        <v>125</v>
      </c>
      <c r="D203" s="26" t="s">
        <v>81</v>
      </c>
      <c r="E203" s="26" t="s">
        <v>220</v>
      </c>
      <c r="F203" s="26" t="s">
        <v>221</v>
      </c>
      <c r="G203" s="26" t="s">
        <v>572</v>
      </c>
      <c r="H203" s="28">
        <v>776.59</v>
      </c>
      <c r="I203" s="28">
        <v>0</v>
      </c>
      <c r="J203" s="28">
        <v>776.59</v>
      </c>
      <c r="K203" s="26" t="s">
        <v>161</v>
      </c>
      <c r="L203" s="26" t="s">
        <v>148</v>
      </c>
      <c r="M203" s="26" t="s">
        <v>158</v>
      </c>
    </row>
    <row r="204" spans="1:13">
      <c r="A204" s="23" t="s">
        <v>573</v>
      </c>
      <c r="B204" s="24">
        <v>46027</v>
      </c>
      <c r="C204" s="23" t="s">
        <v>125</v>
      </c>
      <c r="D204" s="23" t="s">
        <v>99</v>
      </c>
      <c r="E204" s="23" t="s">
        <v>182</v>
      </c>
      <c r="F204" s="23" t="s">
        <v>183</v>
      </c>
      <c r="G204" s="23" t="s">
        <v>574</v>
      </c>
      <c r="H204" s="25">
        <v>0</v>
      </c>
      <c r="I204" s="25">
        <v>12332.29</v>
      </c>
      <c r="J204" s="25">
        <v>-12332.29</v>
      </c>
      <c r="K204" s="23" t="s">
        <v>161</v>
      </c>
      <c r="L204" s="23" t="s">
        <v>137</v>
      </c>
      <c r="M204" s="23" t="s">
        <v>185</v>
      </c>
    </row>
    <row r="205" spans="1:13">
      <c r="A205" s="26" t="s">
        <v>575</v>
      </c>
      <c r="B205" s="27">
        <v>46034</v>
      </c>
      <c r="C205" s="26" t="s">
        <v>125</v>
      </c>
      <c r="D205" s="26" t="s">
        <v>81</v>
      </c>
      <c r="E205" s="26" t="s">
        <v>167</v>
      </c>
      <c r="F205" s="26" t="s">
        <v>168</v>
      </c>
      <c r="G205" s="26" t="s">
        <v>576</v>
      </c>
      <c r="H205" s="28">
        <v>420.42</v>
      </c>
      <c r="I205" s="28">
        <v>0</v>
      </c>
      <c r="J205" s="28">
        <v>420.42</v>
      </c>
      <c r="K205" s="26" t="s">
        <v>129</v>
      </c>
      <c r="L205" s="26" t="s">
        <v>142</v>
      </c>
      <c r="M205" s="26" t="s">
        <v>158</v>
      </c>
    </row>
    <row r="206" spans="1:13">
      <c r="A206" s="23" t="s">
        <v>577</v>
      </c>
      <c r="B206" s="24">
        <v>46034</v>
      </c>
      <c r="C206" s="23" t="s">
        <v>125</v>
      </c>
      <c r="D206" s="23" t="s">
        <v>81</v>
      </c>
      <c r="E206" s="23" t="s">
        <v>220</v>
      </c>
      <c r="F206" s="23" t="s">
        <v>221</v>
      </c>
      <c r="G206" s="23" t="s">
        <v>578</v>
      </c>
      <c r="H206" s="25">
        <v>4942.25</v>
      </c>
      <c r="I206" s="25">
        <v>0</v>
      </c>
      <c r="J206" s="25">
        <v>4942.25</v>
      </c>
      <c r="K206" s="23" t="s">
        <v>136</v>
      </c>
      <c r="L206" s="23" t="s">
        <v>148</v>
      </c>
      <c r="M206" s="23" t="s">
        <v>158</v>
      </c>
    </row>
    <row r="207" spans="1:13">
      <c r="A207" s="26" t="s">
        <v>579</v>
      </c>
      <c r="B207" s="27">
        <v>46026</v>
      </c>
      <c r="C207" s="26" t="s">
        <v>125</v>
      </c>
      <c r="D207" s="26" t="s">
        <v>72</v>
      </c>
      <c r="E207" s="26" t="s">
        <v>133</v>
      </c>
      <c r="F207" s="26" t="s">
        <v>134</v>
      </c>
      <c r="G207" s="26" t="s">
        <v>580</v>
      </c>
      <c r="H207" s="28">
        <v>0</v>
      </c>
      <c r="I207" s="28">
        <v>3134.15</v>
      </c>
      <c r="J207" s="28">
        <v>-3134.15</v>
      </c>
      <c r="K207" s="26" t="s">
        <v>161</v>
      </c>
      <c r="L207" s="26" t="s">
        <v>153</v>
      </c>
      <c r="M207" s="26" t="s">
        <v>131</v>
      </c>
    </row>
    <row r="208" spans="1:13">
      <c r="A208" s="23" t="s">
        <v>581</v>
      </c>
      <c r="B208" s="24">
        <v>46029</v>
      </c>
      <c r="C208" s="23" t="s">
        <v>125</v>
      </c>
      <c r="D208" s="23" t="s">
        <v>107</v>
      </c>
      <c r="E208" s="23" t="s">
        <v>191</v>
      </c>
      <c r="F208" s="23" t="s">
        <v>192</v>
      </c>
      <c r="G208" s="23" t="s">
        <v>582</v>
      </c>
      <c r="H208" s="25">
        <v>0</v>
      </c>
      <c r="I208" s="25">
        <v>37.840000000000003</v>
      </c>
      <c r="J208" s="25">
        <v>-37.840000000000003</v>
      </c>
      <c r="K208" s="23" t="s">
        <v>161</v>
      </c>
      <c r="L208" s="23" t="s">
        <v>130</v>
      </c>
      <c r="M208" s="23" t="s">
        <v>194</v>
      </c>
    </row>
    <row r="209" spans="1:13">
      <c r="A209" s="26" t="s">
        <v>583</v>
      </c>
      <c r="B209" s="27">
        <v>46051</v>
      </c>
      <c r="C209" s="26" t="s">
        <v>125</v>
      </c>
      <c r="D209" s="26" t="s">
        <v>90</v>
      </c>
      <c r="E209" s="26" t="s">
        <v>133</v>
      </c>
      <c r="F209" s="26" t="s">
        <v>164</v>
      </c>
      <c r="G209" s="26" t="s">
        <v>584</v>
      </c>
      <c r="H209" s="28">
        <v>0</v>
      </c>
      <c r="I209" s="28">
        <v>4062.04</v>
      </c>
      <c r="J209" s="28">
        <v>-4062.04</v>
      </c>
      <c r="K209" s="26" t="s">
        <v>147</v>
      </c>
      <c r="L209" s="26" t="s">
        <v>137</v>
      </c>
      <c r="M209" s="26" t="s">
        <v>426</v>
      </c>
    </row>
    <row r="210" spans="1:13">
      <c r="A210" s="23" t="s">
        <v>585</v>
      </c>
      <c r="B210" s="24">
        <v>46050</v>
      </c>
      <c r="C210" s="23" t="s">
        <v>125</v>
      </c>
      <c r="D210" s="23" t="s">
        <v>72</v>
      </c>
      <c r="E210" s="23" t="s">
        <v>126</v>
      </c>
      <c r="F210" s="23" t="s">
        <v>127</v>
      </c>
      <c r="G210" s="23" t="s">
        <v>586</v>
      </c>
      <c r="H210" s="25">
        <v>0</v>
      </c>
      <c r="I210" s="25">
        <v>5755.23</v>
      </c>
      <c r="J210" s="25">
        <v>-5755.23</v>
      </c>
      <c r="K210" s="23" t="s">
        <v>129</v>
      </c>
      <c r="L210" s="23" t="s">
        <v>148</v>
      </c>
      <c r="M210" s="23" t="s">
        <v>131</v>
      </c>
    </row>
    <row r="211" spans="1:13">
      <c r="A211" s="26" t="s">
        <v>587</v>
      </c>
      <c r="B211" s="27">
        <v>46048</v>
      </c>
      <c r="C211" s="26" t="s">
        <v>125</v>
      </c>
      <c r="D211" s="26" t="s">
        <v>72</v>
      </c>
      <c r="E211" s="26" t="s">
        <v>139</v>
      </c>
      <c r="F211" s="26" t="s">
        <v>140</v>
      </c>
      <c r="G211" s="26" t="s">
        <v>588</v>
      </c>
      <c r="H211" s="28">
        <v>0</v>
      </c>
      <c r="I211" s="28">
        <v>3103.41</v>
      </c>
      <c r="J211" s="28">
        <v>-3103.41</v>
      </c>
      <c r="K211" s="26" t="s">
        <v>147</v>
      </c>
      <c r="L211" s="26" t="s">
        <v>153</v>
      </c>
      <c r="M211" s="26" t="s">
        <v>131</v>
      </c>
    </row>
    <row r="212" spans="1:13">
      <c r="A212" s="23" t="s">
        <v>589</v>
      </c>
      <c r="B212" s="24">
        <v>46040</v>
      </c>
      <c r="C212" s="23" t="s">
        <v>125</v>
      </c>
      <c r="D212" s="23" t="s">
        <v>72</v>
      </c>
      <c r="E212" s="23" t="s">
        <v>144</v>
      </c>
      <c r="F212" s="23" t="s">
        <v>145</v>
      </c>
      <c r="G212" s="23" t="s">
        <v>590</v>
      </c>
      <c r="H212" s="25">
        <v>0</v>
      </c>
      <c r="I212" s="25">
        <v>482.38</v>
      </c>
      <c r="J212" s="25">
        <v>-482.38</v>
      </c>
      <c r="K212" s="23" t="s">
        <v>161</v>
      </c>
      <c r="L212" s="23" t="s">
        <v>142</v>
      </c>
      <c r="M212" s="23" t="s">
        <v>131</v>
      </c>
    </row>
    <row r="213" spans="1:13">
      <c r="A213" s="26" t="s">
        <v>591</v>
      </c>
      <c r="B213" s="27">
        <v>46025</v>
      </c>
      <c r="C213" s="26" t="s">
        <v>125</v>
      </c>
      <c r="D213" s="26" t="s">
        <v>72</v>
      </c>
      <c r="E213" s="26" t="s">
        <v>208</v>
      </c>
      <c r="F213" s="26" t="s">
        <v>209</v>
      </c>
      <c r="G213" s="26" t="s">
        <v>592</v>
      </c>
      <c r="H213" s="28">
        <v>0</v>
      </c>
      <c r="I213" s="28">
        <v>4011.11</v>
      </c>
      <c r="J213" s="28">
        <v>-4011.11</v>
      </c>
      <c r="K213" s="26" t="s">
        <v>161</v>
      </c>
      <c r="L213" s="26" t="s">
        <v>142</v>
      </c>
      <c r="M213" s="26" t="s">
        <v>131</v>
      </c>
    </row>
    <row r="214" spans="1:13">
      <c r="A214" s="23" t="s">
        <v>593</v>
      </c>
      <c r="B214" s="24">
        <v>46049</v>
      </c>
      <c r="C214" s="23" t="s">
        <v>125</v>
      </c>
      <c r="D214" s="23" t="s">
        <v>90</v>
      </c>
      <c r="E214" s="23" t="s">
        <v>163</v>
      </c>
      <c r="F214" s="23" t="s">
        <v>164</v>
      </c>
      <c r="G214" s="23" t="s">
        <v>594</v>
      </c>
      <c r="H214" s="25">
        <v>0</v>
      </c>
      <c r="I214" s="25">
        <v>2959.54</v>
      </c>
      <c r="J214" s="25">
        <v>-2959.54</v>
      </c>
      <c r="K214" s="23" t="s">
        <v>161</v>
      </c>
      <c r="L214" s="23" t="s">
        <v>153</v>
      </c>
      <c r="M214" s="23" t="s">
        <v>131</v>
      </c>
    </row>
    <row r="215" spans="1:13">
      <c r="A215" s="26" t="s">
        <v>595</v>
      </c>
      <c r="B215" s="27">
        <v>46024</v>
      </c>
      <c r="C215" s="26" t="s">
        <v>125</v>
      </c>
      <c r="D215" s="26" t="s">
        <v>99</v>
      </c>
      <c r="E215" s="26" t="s">
        <v>182</v>
      </c>
      <c r="F215" s="26" t="s">
        <v>183</v>
      </c>
      <c r="G215" s="26" t="s">
        <v>596</v>
      </c>
      <c r="H215" s="28">
        <v>0</v>
      </c>
      <c r="I215" s="28">
        <v>10012.48</v>
      </c>
      <c r="J215" s="28">
        <v>-10012.48</v>
      </c>
      <c r="K215" s="26" t="s">
        <v>147</v>
      </c>
      <c r="L215" s="26" t="s">
        <v>130</v>
      </c>
      <c r="M215" s="26" t="s">
        <v>185</v>
      </c>
    </row>
    <row r="216" spans="1:13">
      <c r="A216" s="23" t="s">
        <v>597</v>
      </c>
      <c r="B216" s="24">
        <v>46053</v>
      </c>
      <c r="C216" s="23" t="s">
        <v>125</v>
      </c>
      <c r="D216" s="23" t="s">
        <v>81</v>
      </c>
      <c r="E216" s="23" t="s">
        <v>214</v>
      </c>
      <c r="F216" s="23" t="s">
        <v>215</v>
      </c>
      <c r="G216" s="23" t="s">
        <v>598</v>
      </c>
      <c r="H216" s="25">
        <v>7213.55</v>
      </c>
      <c r="I216" s="25">
        <v>0</v>
      </c>
      <c r="J216" s="25">
        <v>7213.55</v>
      </c>
      <c r="K216" s="23" t="s">
        <v>147</v>
      </c>
      <c r="L216" s="23" t="s">
        <v>130</v>
      </c>
      <c r="M216" s="23" t="s">
        <v>158</v>
      </c>
    </row>
    <row r="217" spans="1:13">
      <c r="A217" s="26" t="s">
        <v>599</v>
      </c>
      <c r="B217" s="27">
        <v>46032</v>
      </c>
      <c r="C217" s="26" t="s">
        <v>125</v>
      </c>
      <c r="D217" s="26" t="s">
        <v>81</v>
      </c>
      <c r="E217" s="26" t="s">
        <v>220</v>
      </c>
      <c r="F217" s="26" t="s">
        <v>221</v>
      </c>
      <c r="G217" s="26" t="s">
        <v>600</v>
      </c>
      <c r="H217" s="28">
        <v>4346.49</v>
      </c>
      <c r="I217" s="28">
        <v>0</v>
      </c>
      <c r="J217" s="28">
        <v>4346.49</v>
      </c>
      <c r="K217" s="26" t="s">
        <v>129</v>
      </c>
      <c r="L217" s="26" t="s">
        <v>153</v>
      </c>
      <c r="M217" s="26" t="s">
        <v>158</v>
      </c>
    </row>
    <row r="218" spans="1:13">
      <c r="A218" s="23" t="s">
        <v>601</v>
      </c>
      <c r="B218" s="24">
        <v>46027</v>
      </c>
      <c r="C218" s="23" t="s">
        <v>125</v>
      </c>
      <c r="D218" s="23" t="s">
        <v>72</v>
      </c>
      <c r="E218" s="23" t="s">
        <v>204</v>
      </c>
      <c r="F218" s="23" t="s">
        <v>205</v>
      </c>
      <c r="G218" s="23" t="s">
        <v>602</v>
      </c>
      <c r="H218" s="25">
        <v>0</v>
      </c>
      <c r="I218" s="25">
        <v>4490.2700000000004</v>
      </c>
      <c r="J218" s="25">
        <v>-4490.2700000000004</v>
      </c>
      <c r="K218" s="23" t="s">
        <v>136</v>
      </c>
      <c r="L218" s="23" t="s">
        <v>148</v>
      </c>
      <c r="M218" s="23" t="s">
        <v>131</v>
      </c>
    </row>
    <row r="219" spans="1:13">
      <c r="A219" s="26" t="s">
        <v>603</v>
      </c>
      <c r="B219" s="27">
        <v>46041</v>
      </c>
      <c r="C219" s="26" t="s">
        <v>125</v>
      </c>
      <c r="D219" s="26" t="s">
        <v>72</v>
      </c>
      <c r="E219" s="26" t="s">
        <v>139</v>
      </c>
      <c r="F219" s="26" t="s">
        <v>140</v>
      </c>
      <c r="G219" s="26" t="s">
        <v>604</v>
      </c>
      <c r="H219" s="28">
        <v>0</v>
      </c>
      <c r="I219" s="28">
        <v>253.65</v>
      </c>
      <c r="J219" s="28">
        <v>-253.65</v>
      </c>
      <c r="K219" s="26" t="s">
        <v>178</v>
      </c>
      <c r="L219" s="26" t="s">
        <v>153</v>
      </c>
      <c r="M219" s="26" t="s">
        <v>131</v>
      </c>
    </row>
    <row r="220" spans="1:13">
      <c r="A220" s="23" t="s">
        <v>605</v>
      </c>
      <c r="B220" s="24">
        <v>46036</v>
      </c>
      <c r="C220" s="23" t="s">
        <v>125</v>
      </c>
      <c r="D220" s="23" t="s">
        <v>81</v>
      </c>
      <c r="E220" s="23" t="s">
        <v>220</v>
      </c>
      <c r="F220" s="23" t="s">
        <v>221</v>
      </c>
      <c r="G220" s="23" t="s">
        <v>606</v>
      </c>
      <c r="H220" s="25">
        <v>4308.62</v>
      </c>
      <c r="I220" s="25">
        <v>0</v>
      </c>
      <c r="J220" s="25">
        <v>4308.62</v>
      </c>
      <c r="K220" s="23" t="s">
        <v>136</v>
      </c>
      <c r="L220" s="23" t="s">
        <v>148</v>
      </c>
      <c r="M220" s="23" t="s">
        <v>158</v>
      </c>
    </row>
    <row r="221" spans="1:13">
      <c r="A221" s="26" t="s">
        <v>607</v>
      </c>
      <c r="B221" s="27">
        <v>46048</v>
      </c>
      <c r="C221" s="26" t="s">
        <v>125</v>
      </c>
      <c r="D221" s="26" t="s">
        <v>99</v>
      </c>
      <c r="E221" s="26" t="s">
        <v>182</v>
      </c>
      <c r="F221" s="26" t="s">
        <v>183</v>
      </c>
      <c r="G221" s="26" t="s">
        <v>608</v>
      </c>
      <c r="H221" s="28">
        <v>0</v>
      </c>
      <c r="I221" s="28">
        <v>8388.34</v>
      </c>
      <c r="J221" s="28">
        <v>-8388.34</v>
      </c>
      <c r="K221" s="26" t="s">
        <v>161</v>
      </c>
      <c r="L221" s="26" t="s">
        <v>137</v>
      </c>
      <c r="M221" s="26" t="s">
        <v>185</v>
      </c>
    </row>
    <row r="222" spans="1:13">
      <c r="A222" s="23" t="s">
        <v>609</v>
      </c>
      <c r="B222" s="24">
        <v>46038</v>
      </c>
      <c r="C222" s="23" t="s">
        <v>125</v>
      </c>
      <c r="D222" s="23" t="s">
        <v>81</v>
      </c>
      <c r="E222" s="23" t="s">
        <v>214</v>
      </c>
      <c r="F222" s="23" t="s">
        <v>215</v>
      </c>
      <c r="G222" s="23" t="s">
        <v>610</v>
      </c>
      <c r="H222" s="25">
        <v>5215.6099999999997</v>
      </c>
      <c r="I222" s="25">
        <v>0</v>
      </c>
      <c r="J222" s="25">
        <v>5215.6099999999997</v>
      </c>
      <c r="K222" s="23" t="s">
        <v>147</v>
      </c>
      <c r="L222" s="23" t="s">
        <v>148</v>
      </c>
      <c r="M222" s="23" t="s">
        <v>158</v>
      </c>
    </row>
    <row r="223" spans="1:13">
      <c r="A223" s="26" t="s">
        <v>611</v>
      </c>
      <c r="B223" s="27">
        <v>46027</v>
      </c>
      <c r="C223" s="26" t="s">
        <v>125</v>
      </c>
      <c r="D223" s="26" t="s">
        <v>90</v>
      </c>
      <c r="E223" s="26" t="s">
        <v>173</v>
      </c>
      <c r="F223" s="26" t="s">
        <v>164</v>
      </c>
      <c r="G223" s="26" t="s">
        <v>612</v>
      </c>
      <c r="H223" s="28">
        <v>2830.17</v>
      </c>
      <c r="I223" s="28">
        <v>0</v>
      </c>
      <c r="J223" s="28">
        <v>2830.17</v>
      </c>
      <c r="K223" s="26" t="s">
        <v>178</v>
      </c>
      <c r="L223" s="26" t="s">
        <v>148</v>
      </c>
      <c r="M223" s="26" t="s">
        <v>194</v>
      </c>
    </row>
    <row r="224" spans="1:13">
      <c r="A224" s="23" t="s">
        <v>613</v>
      </c>
      <c r="B224" s="24">
        <v>46032</v>
      </c>
      <c r="C224" s="23" t="s">
        <v>125</v>
      </c>
      <c r="D224" s="23" t="s">
        <v>107</v>
      </c>
      <c r="E224" s="23" t="s">
        <v>191</v>
      </c>
      <c r="F224" s="23" t="s">
        <v>192</v>
      </c>
      <c r="G224" s="23" t="s">
        <v>614</v>
      </c>
      <c r="H224" s="25">
        <v>0</v>
      </c>
      <c r="I224" s="25">
        <v>104.38</v>
      </c>
      <c r="J224" s="25">
        <v>-104.38</v>
      </c>
      <c r="K224" s="23" t="s">
        <v>161</v>
      </c>
      <c r="L224" s="23" t="s">
        <v>130</v>
      </c>
      <c r="M224" s="23" t="s">
        <v>194</v>
      </c>
    </row>
    <row r="225" spans="1:13">
      <c r="A225" s="26" t="s">
        <v>615</v>
      </c>
      <c r="B225" s="27">
        <v>46051</v>
      </c>
      <c r="C225" s="26" t="s">
        <v>125</v>
      </c>
      <c r="D225" s="26" t="s">
        <v>72</v>
      </c>
      <c r="E225" s="26" t="s">
        <v>208</v>
      </c>
      <c r="F225" s="26" t="s">
        <v>209</v>
      </c>
      <c r="G225" s="26" t="s">
        <v>616</v>
      </c>
      <c r="H225" s="28">
        <v>0</v>
      </c>
      <c r="I225" s="28">
        <v>5794.56</v>
      </c>
      <c r="J225" s="28">
        <v>-5794.56</v>
      </c>
      <c r="K225" s="26" t="s">
        <v>147</v>
      </c>
      <c r="L225" s="26" t="s">
        <v>130</v>
      </c>
      <c r="M225" s="26" t="s">
        <v>131</v>
      </c>
    </row>
    <row r="226" spans="1:13">
      <c r="A226" s="23" t="s">
        <v>617</v>
      </c>
      <c r="B226" s="24">
        <v>46037</v>
      </c>
      <c r="C226" s="23" t="s">
        <v>125</v>
      </c>
      <c r="D226" s="23" t="s">
        <v>81</v>
      </c>
      <c r="E226" s="23" t="s">
        <v>214</v>
      </c>
      <c r="F226" s="23" t="s">
        <v>215</v>
      </c>
      <c r="G226" s="23" t="s">
        <v>618</v>
      </c>
      <c r="H226" s="25">
        <v>4303.04</v>
      </c>
      <c r="I226" s="25">
        <v>0</v>
      </c>
      <c r="J226" s="25">
        <v>4303.04</v>
      </c>
      <c r="K226" s="23" t="s">
        <v>178</v>
      </c>
      <c r="L226" s="23" t="s">
        <v>142</v>
      </c>
      <c r="M226" s="23" t="s">
        <v>158</v>
      </c>
    </row>
    <row r="227" spans="1:13">
      <c r="A227" s="26" t="s">
        <v>619</v>
      </c>
      <c r="B227" s="27">
        <v>46034</v>
      </c>
      <c r="C227" s="26" t="s">
        <v>125</v>
      </c>
      <c r="D227" s="26" t="s">
        <v>72</v>
      </c>
      <c r="E227" s="26" t="s">
        <v>208</v>
      </c>
      <c r="F227" s="26" t="s">
        <v>209</v>
      </c>
      <c r="G227" s="26" t="s">
        <v>620</v>
      </c>
      <c r="H227" s="28">
        <v>0</v>
      </c>
      <c r="I227" s="28">
        <v>3108.75</v>
      </c>
      <c r="J227" s="28">
        <v>-3108.75</v>
      </c>
      <c r="K227" s="26" t="s">
        <v>161</v>
      </c>
      <c r="L227" s="26" t="s">
        <v>148</v>
      </c>
      <c r="M227" s="26" t="s">
        <v>131</v>
      </c>
    </row>
    <row r="228" spans="1:13">
      <c r="A228" s="23" t="s">
        <v>621</v>
      </c>
      <c r="B228" s="24">
        <v>46051</v>
      </c>
      <c r="C228" s="23" t="s">
        <v>125</v>
      </c>
      <c r="D228" s="23" t="s">
        <v>72</v>
      </c>
      <c r="E228" s="23" t="s">
        <v>208</v>
      </c>
      <c r="F228" s="23" t="s">
        <v>209</v>
      </c>
      <c r="G228" s="23" t="s">
        <v>622</v>
      </c>
      <c r="H228" s="25">
        <v>0</v>
      </c>
      <c r="I228" s="25">
        <v>4754.8</v>
      </c>
      <c r="J228" s="25">
        <v>-4754.8</v>
      </c>
      <c r="K228" s="23" t="s">
        <v>147</v>
      </c>
      <c r="L228" s="23" t="s">
        <v>137</v>
      </c>
      <c r="M228" s="23" t="s">
        <v>131</v>
      </c>
    </row>
    <row r="229" spans="1:13">
      <c r="A229" s="26" t="s">
        <v>623</v>
      </c>
      <c r="B229" s="27">
        <v>46032</v>
      </c>
      <c r="C229" s="26" t="s">
        <v>125</v>
      </c>
      <c r="D229" s="26" t="s">
        <v>72</v>
      </c>
      <c r="E229" s="26" t="s">
        <v>204</v>
      </c>
      <c r="F229" s="26" t="s">
        <v>205</v>
      </c>
      <c r="G229" s="26" t="s">
        <v>624</v>
      </c>
      <c r="H229" s="28">
        <v>0</v>
      </c>
      <c r="I229" s="28">
        <v>2836.17</v>
      </c>
      <c r="J229" s="28">
        <v>-2836.17</v>
      </c>
      <c r="K229" s="26" t="s">
        <v>136</v>
      </c>
      <c r="L229" s="26" t="s">
        <v>148</v>
      </c>
      <c r="M229" s="26" t="s">
        <v>131</v>
      </c>
    </row>
    <row r="230" spans="1:13">
      <c r="A230" s="23" t="s">
        <v>625</v>
      </c>
      <c r="B230" s="24">
        <v>46042</v>
      </c>
      <c r="C230" s="23" t="s">
        <v>125</v>
      </c>
      <c r="D230" s="23" t="s">
        <v>90</v>
      </c>
      <c r="E230" s="23" t="s">
        <v>133</v>
      </c>
      <c r="F230" s="23" t="s">
        <v>164</v>
      </c>
      <c r="G230" s="23" t="s">
        <v>626</v>
      </c>
      <c r="H230" s="25">
        <v>686.88</v>
      </c>
      <c r="I230" s="25">
        <v>0</v>
      </c>
      <c r="J230" s="25">
        <v>686.88</v>
      </c>
      <c r="K230" s="23" t="s">
        <v>147</v>
      </c>
      <c r="L230" s="23" t="s">
        <v>153</v>
      </c>
      <c r="M230" s="23" t="s">
        <v>426</v>
      </c>
    </row>
    <row r="231" spans="1:13">
      <c r="A231" s="26" t="s">
        <v>627</v>
      </c>
      <c r="B231" s="27">
        <v>46047</v>
      </c>
      <c r="C231" s="26" t="s">
        <v>125</v>
      </c>
      <c r="D231" s="26" t="s">
        <v>72</v>
      </c>
      <c r="E231" s="26" t="s">
        <v>204</v>
      </c>
      <c r="F231" s="26" t="s">
        <v>205</v>
      </c>
      <c r="G231" s="26" t="s">
        <v>628</v>
      </c>
      <c r="H231" s="28">
        <v>0</v>
      </c>
      <c r="I231" s="28">
        <v>3195.83</v>
      </c>
      <c r="J231" s="28">
        <v>-3195.83</v>
      </c>
      <c r="K231" s="26" t="s">
        <v>136</v>
      </c>
      <c r="L231" s="26" t="s">
        <v>137</v>
      </c>
      <c r="M231" s="26" t="s">
        <v>131</v>
      </c>
    </row>
    <row r="232" spans="1:13">
      <c r="A232" s="23" t="s">
        <v>629</v>
      </c>
      <c r="B232" s="24">
        <v>46048</v>
      </c>
      <c r="C232" s="23" t="s">
        <v>125</v>
      </c>
      <c r="D232" s="23" t="s">
        <v>81</v>
      </c>
      <c r="E232" s="23" t="s">
        <v>163</v>
      </c>
      <c r="F232" s="23" t="s">
        <v>250</v>
      </c>
      <c r="G232" s="23" t="s">
        <v>630</v>
      </c>
      <c r="H232" s="25">
        <v>1393.65</v>
      </c>
      <c r="I232" s="25">
        <v>0</v>
      </c>
      <c r="J232" s="25">
        <v>1393.65</v>
      </c>
      <c r="K232" s="23" t="s">
        <v>136</v>
      </c>
      <c r="L232" s="23" t="s">
        <v>130</v>
      </c>
      <c r="M232" s="23" t="s">
        <v>158</v>
      </c>
    </row>
    <row r="233" spans="1:13">
      <c r="A233" s="26" t="s">
        <v>631</v>
      </c>
      <c r="B233" s="27">
        <v>46042</v>
      </c>
      <c r="C233" s="26" t="s">
        <v>125</v>
      </c>
      <c r="D233" s="26" t="s">
        <v>90</v>
      </c>
      <c r="E233" s="26" t="s">
        <v>204</v>
      </c>
      <c r="F233" s="26" t="s">
        <v>164</v>
      </c>
      <c r="G233" s="26" t="s">
        <v>632</v>
      </c>
      <c r="H233" s="28">
        <v>0</v>
      </c>
      <c r="I233" s="28">
        <v>2988.94</v>
      </c>
      <c r="J233" s="28">
        <v>-2988.94</v>
      </c>
      <c r="K233" s="26" t="s">
        <v>136</v>
      </c>
      <c r="L233" s="26" t="s">
        <v>148</v>
      </c>
      <c r="M233" s="26" t="s">
        <v>194</v>
      </c>
    </row>
    <row r="234" spans="1:13">
      <c r="A234" s="23" t="s">
        <v>633</v>
      </c>
      <c r="B234" s="24">
        <v>46044</v>
      </c>
      <c r="C234" s="23" t="s">
        <v>125</v>
      </c>
      <c r="D234" s="23" t="s">
        <v>72</v>
      </c>
      <c r="E234" s="23" t="s">
        <v>150</v>
      </c>
      <c r="F234" s="23" t="s">
        <v>151</v>
      </c>
      <c r="G234" s="23" t="s">
        <v>634</v>
      </c>
      <c r="H234" s="25">
        <v>0</v>
      </c>
      <c r="I234" s="25">
        <v>3652.26</v>
      </c>
      <c r="J234" s="25">
        <v>-3652.26</v>
      </c>
      <c r="K234" s="23" t="s">
        <v>178</v>
      </c>
      <c r="L234" s="23" t="s">
        <v>153</v>
      </c>
      <c r="M234" s="23" t="s">
        <v>131</v>
      </c>
    </row>
    <row r="235" spans="1:13">
      <c r="A235" s="26" t="s">
        <v>635</v>
      </c>
      <c r="B235" s="27">
        <v>46041</v>
      </c>
      <c r="C235" s="26" t="s">
        <v>125</v>
      </c>
      <c r="D235" s="26" t="s">
        <v>81</v>
      </c>
      <c r="E235" s="26" t="s">
        <v>167</v>
      </c>
      <c r="F235" s="26" t="s">
        <v>168</v>
      </c>
      <c r="G235" s="26" t="s">
        <v>636</v>
      </c>
      <c r="H235" s="28">
        <v>5402.36</v>
      </c>
      <c r="I235" s="28">
        <v>0</v>
      </c>
      <c r="J235" s="28">
        <v>5402.36</v>
      </c>
      <c r="K235" s="26" t="s">
        <v>136</v>
      </c>
      <c r="L235" s="26" t="s">
        <v>142</v>
      </c>
      <c r="M235" s="26" t="s">
        <v>158</v>
      </c>
    </row>
    <row r="236" spans="1:13">
      <c r="A236" s="23" t="s">
        <v>637</v>
      </c>
      <c r="B236" s="24">
        <v>46029</v>
      </c>
      <c r="C236" s="23" t="s">
        <v>125</v>
      </c>
      <c r="D236" s="23" t="s">
        <v>72</v>
      </c>
      <c r="E236" s="23" t="s">
        <v>208</v>
      </c>
      <c r="F236" s="23" t="s">
        <v>209</v>
      </c>
      <c r="G236" s="23" t="s">
        <v>638</v>
      </c>
      <c r="H236" s="25">
        <v>0</v>
      </c>
      <c r="I236" s="25">
        <v>2642.94</v>
      </c>
      <c r="J236" s="25">
        <v>-2642.94</v>
      </c>
      <c r="K236" s="23" t="s">
        <v>161</v>
      </c>
      <c r="L236" s="23" t="s">
        <v>130</v>
      </c>
      <c r="M236" s="23" t="s">
        <v>131</v>
      </c>
    </row>
    <row r="237" spans="1:13">
      <c r="A237" s="26" t="s">
        <v>639</v>
      </c>
      <c r="B237" s="27">
        <v>46046</v>
      </c>
      <c r="C237" s="26" t="s">
        <v>125</v>
      </c>
      <c r="D237" s="26" t="s">
        <v>90</v>
      </c>
      <c r="E237" s="26" t="s">
        <v>167</v>
      </c>
      <c r="F237" s="26" t="s">
        <v>164</v>
      </c>
      <c r="G237" s="26" t="s">
        <v>640</v>
      </c>
      <c r="H237" s="28">
        <v>733.51</v>
      </c>
      <c r="I237" s="28">
        <v>0</v>
      </c>
      <c r="J237" s="28">
        <v>733.51</v>
      </c>
      <c r="K237" s="26" t="s">
        <v>161</v>
      </c>
      <c r="L237" s="26" t="s">
        <v>153</v>
      </c>
      <c r="M237" s="26" t="s">
        <v>426</v>
      </c>
    </row>
    <row r="238" spans="1:13">
      <c r="A238" s="23" t="s">
        <v>641</v>
      </c>
      <c r="B238" s="24">
        <v>46040</v>
      </c>
      <c r="C238" s="23" t="s">
        <v>125</v>
      </c>
      <c r="D238" s="23" t="s">
        <v>72</v>
      </c>
      <c r="E238" s="23" t="s">
        <v>208</v>
      </c>
      <c r="F238" s="23" t="s">
        <v>209</v>
      </c>
      <c r="G238" s="23" t="s">
        <v>642</v>
      </c>
      <c r="H238" s="25">
        <v>0</v>
      </c>
      <c r="I238" s="25">
        <v>4216.32</v>
      </c>
      <c r="J238" s="25">
        <v>-4216.32</v>
      </c>
      <c r="K238" s="23" t="s">
        <v>147</v>
      </c>
      <c r="L238" s="23" t="s">
        <v>153</v>
      </c>
      <c r="M238" s="23" t="s">
        <v>131</v>
      </c>
    </row>
    <row r="239" spans="1:13">
      <c r="A239" s="26" t="s">
        <v>643</v>
      </c>
      <c r="B239" s="27">
        <v>46032</v>
      </c>
      <c r="C239" s="26" t="s">
        <v>125</v>
      </c>
      <c r="D239" s="26" t="s">
        <v>72</v>
      </c>
      <c r="E239" s="26" t="s">
        <v>208</v>
      </c>
      <c r="F239" s="26" t="s">
        <v>209</v>
      </c>
      <c r="G239" s="26" t="s">
        <v>644</v>
      </c>
      <c r="H239" s="28">
        <v>0</v>
      </c>
      <c r="I239" s="28">
        <v>4799.59</v>
      </c>
      <c r="J239" s="28">
        <v>-4799.59</v>
      </c>
      <c r="K239" s="26" t="s">
        <v>129</v>
      </c>
      <c r="L239" s="26" t="s">
        <v>142</v>
      </c>
      <c r="M239" s="26" t="s">
        <v>131</v>
      </c>
    </row>
    <row r="240" spans="1:13">
      <c r="A240" s="23" t="s">
        <v>645</v>
      </c>
      <c r="B240" s="24">
        <v>46052</v>
      </c>
      <c r="C240" s="23" t="s">
        <v>125</v>
      </c>
      <c r="D240" s="23" t="s">
        <v>90</v>
      </c>
      <c r="E240" s="23" t="s">
        <v>204</v>
      </c>
      <c r="F240" s="23" t="s">
        <v>164</v>
      </c>
      <c r="G240" s="23" t="s">
        <v>646</v>
      </c>
      <c r="H240" s="25">
        <v>0</v>
      </c>
      <c r="I240" s="25">
        <v>1474.56</v>
      </c>
      <c r="J240" s="25">
        <v>-1474.56</v>
      </c>
      <c r="K240" s="23" t="s">
        <v>161</v>
      </c>
      <c r="L240" s="23" t="s">
        <v>148</v>
      </c>
      <c r="M240" s="23" t="s">
        <v>185</v>
      </c>
    </row>
    <row r="241" spans="1:13">
      <c r="A241" s="26" t="s">
        <v>647</v>
      </c>
      <c r="B241" s="27">
        <v>46048</v>
      </c>
      <c r="C241" s="26" t="s">
        <v>125</v>
      </c>
      <c r="D241" s="26" t="s">
        <v>72</v>
      </c>
      <c r="E241" s="26" t="s">
        <v>144</v>
      </c>
      <c r="F241" s="26" t="s">
        <v>145</v>
      </c>
      <c r="G241" s="26" t="s">
        <v>648</v>
      </c>
      <c r="H241" s="28">
        <v>0</v>
      </c>
      <c r="I241" s="28">
        <v>1840.3</v>
      </c>
      <c r="J241" s="28">
        <v>-1840.3</v>
      </c>
      <c r="K241" s="26" t="s">
        <v>178</v>
      </c>
      <c r="L241" s="26" t="s">
        <v>148</v>
      </c>
      <c r="M241" s="26" t="s">
        <v>131</v>
      </c>
    </row>
    <row r="242" spans="1:13">
      <c r="A242" s="23" t="s">
        <v>649</v>
      </c>
      <c r="B242" s="24">
        <v>46043</v>
      </c>
      <c r="C242" s="23" t="s">
        <v>125</v>
      </c>
      <c r="D242" s="23" t="s">
        <v>72</v>
      </c>
      <c r="E242" s="23" t="s">
        <v>150</v>
      </c>
      <c r="F242" s="23" t="s">
        <v>151</v>
      </c>
      <c r="G242" s="23" t="s">
        <v>650</v>
      </c>
      <c r="H242" s="25">
        <v>0</v>
      </c>
      <c r="I242" s="25">
        <v>1389.6</v>
      </c>
      <c r="J242" s="25">
        <v>-1389.6</v>
      </c>
      <c r="K242" s="23" t="s">
        <v>136</v>
      </c>
      <c r="L242" s="23" t="s">
        <v>148</v>
      </c>
      <c r="M242" s="23" t="s">
        <v>131</v>
      </c>
    </row>
    <row r="243" spans="1:13">
      <c r="A243" s="26" t="s">
        <v>651</v>
      </c>
      <c r="B243" s="27">
        <v>46045</v>
      </c>
      <c r="C243" s="26" t="s">
        <v>125</v>
      </c>
      <c r="D243" s="26" t="s">
        <v>72</v>
      </c>
      <c r="E243" s="26" t="s">
        <v>144</v>
      </c>
      <c r="F243" s="26" t="s">
        <v>145</v>
      </c>
      <c r="G243" s="26" t="s">
        <v>652</v>
      </c>
      <c r="H243" s="28">
        <v>0</v>
      </c>
      <c r="I243" s="28">
        <v>3847.94</v>
      </c>
      <c r="J243" s="28">
        <v>-3847.94</v>
      </c>
      <c r="K243" s="26" t="s">
        <v>136</v>
      </c>
      <c r="L243" s="26" t="s">
        <v>130</v>
      </c>
      <c r="M243" s="26" t="s">
        <v>131</v>
      </c>
    </row>
    <row r="244" spans="1:13">
      <c r="A244" s="23" t="s">
        <v>653</v>
      </c>
      <c r="B244" s="24">
        <v>46024</v>
      </c>
      <c r="C244" s="23" t="s">
        <v>125</v>
      </c>
      <c r="D244" s="23" t="s">
        <v>72</v>
      </c>
      <c r="E244" s="23" t="s">
        <v>208</v>
      </c>
      <c r="F244" s="23" t="s">
        <v>209</v>
      </c>
      <c r="G244" s="23" t="s">
        <v>654</v>
      </c>
      <c r="H244" s="25">
        <v>0</v>
      </c>
      <c r="I244" s="25">
        <v>4470.2299999999996</v>
      </c>
      <c r="J244" s="25">
        <v>-4470.2299999999996</v>
      </c>
      <c r="K244" s="23" t="s">
        <v>178</v>
      </c>
      <c r="L244" s="23" t="s">
        <v>130</v>
      </c>
      <c r="M244" s="23" t="s">
        <v>131</v>
      </c>
    </row>
    <row r="245" spans="1:13">
      <c r="A245" s="26" t="s">
        <v>655</v>
      </c>
      <c r="B245" s="27">
        <v>46052</v>
      </c>
      <c r="C245" s="26" t="s">
        <v>125</v>
      </c>
      <c r="D245" s="26" t="s">
        <v>99</v>
      </c>
      <c r="E245" s="26" t="s">
        <v>182</v>
      </c>
      <c r="F245" s="26" t="s">
        <v>183</v>
      </c>
      <c r="G245" s="26" t="s">
        <v>656</v>
      </c>
      <c r="H245" s="28">
        <v>0</v>
      </c>
      <c r="I245" s="28">
        <v>9397.64</v>
      </c>
      <c r="J245" s="28">
        <v>-9397.64</v>
      </c>
      <c r="K245" s="26" t="s">
        <v>129</v>
      </c>
      <c r="L245" s="26" t="s">
        <v>148</v>
      </c>
      <c r="M245" s="26" t="s">
        <v>185</v>
      </c>
    </row>
    <row r="246" spans="1:13">
      <c r="A246" s="23" t="s">
        <v>657</v>
      </c>
      <c r="B246" s="24">
        <v>46025</v>
      </c>
      <c r="C246" s="23" t="s">
        <v>125</v>
      </c>
      <c r="D246" s="23" t="s">
        <v>81</v>
      </c>
      <c r="E246" s="23" t="s">
        <v>173</v>
      </c>
      <c r="F246" s="23" t="s">
        <v>174</v>
      </c>
      <c r="G246" s="23" t="s">
        <v>658</v>
      </c>
      <c r="H246" s="25">
        <v>4618.5200000000004</v>
      </c>
      <c r="I246" s="25">
        <v>0</v>
      </c>
      <c r="J246" s="25">
        <v>4618.5200000000004</v>
      </c>
      <c r="K246" s="23" t="s">
        <v>178</v>
      </c>
      <c r="L246" s="23" t="s">
        <v>130</v>
      </c>
      <c r="M246" s="23" t="s">
        <v>158</v>
      </c>
    </row>
    <row r="247" spans="1:13">
      <c r="A247" s="26" t="s">
        <v>659</v>
      </c>
      <c r="B247" s="27">
        <v>46024</v>
      </c>
      <c r="C247" s="26" t="s">
        <v>125</v>
      </c>
      <c r="D247" s="26" t="s">
        <v>107</v>
      </c>
      <c r="E247" s="26" t="s">
        <v>191</v>
      </c>
      <c r="F247" s="26" t="s">
        <v>192</v>
      </c>
      <c r="G247" s="26" t="s">
        <v>660</v>
      </c>
      <c r="H247" s="28">
        <v>0</v>
      </c>
      <c r="I247" s="28">
        <v>50.65</v>
      </c>
      <c r="J247" s="28">
        <v>-50.65</v>
      </c>
      <c r="K247" s="26" t="s">
        <v>161</v>
      </c>
      <c r="L247" s="26" t="s">
        <v>130</v>
      </c>
      <c r="M247" s="26" t="s">
        <v>194</v>
      </c>
    </row>
    <row r="248" spans="1:13">
      <c r="A248" s="23" t="s">
        <v>661</v>
      </c>
      <c r="B248" s="24">
        <v>46053</v>
      </c>
      <c r="C248" s="23" t="s">
        <v>125</v>
      </c>
      <c r="D248" s="23" t="s">
        <v>99</v>
      </c>
      <c r="E248" s="23" t="s">
        <v>182</v>
      </c>
      <c r="F248" s="23" t="s">
        <v>183</v>
      </c>
      <c r="G248" s="23" t="s">
        <v>662</v>
      </c>
      <c r="H248" s="25">
        <v>0</v>
      </c>
      <c r="I248" s="25">
        <v>6697.27</v>
      </c>
      <c r="J248" s="25">
        <v>-6697.27</v>
      </c>
      <c r="K248" s="23" t="s">
        <v>178</v>
      </c>
      <c r="L248" s="23" t="s">
        <v>137</v>
      </c>
      <c r="M248" s="23" t="s">
        <v>185</v>
      </c>
    </row>
    <row r="249" spans="1:13">
      <c r="A249" s="26" t="s">
        <v>663</v>
      </c>
      <c r="B249" s="27">
        <v>46033</v>
      </c>
      <c r="C249" s="26" t="s">
        <v>125</v>
      </c>
      <c r="D249" s="26" t="s">
        <v>72</v>
      </c>
      <c r="E249" s="26" t="s">
        <v>126</v>
      </c>
      <c r="F249" s="26" t="s">
        <v>127</v>
      </c>
      <c r="G249" s="26" t="s">
        <v>664</v>
      </c>
      <c r="H249" s="28">
        <v>0</v>
      </c>
      <c r="I249" s="28">
        <v>3405</v>
      </c>
      <c r="J249" s="28">
        <v>-3405</v>
      </c>
      <c r="K249" s="26" t="s">
        <v>161</v>
      </c>
      <c r="L249" s="26" t="s">
        <v>130</v>
      </c>
      <c r="M249" s="26" t="s">
        <v>131</v>
      </c>
    </row>
    <row r="250" spans="1:13">
      <c r="A250" s="23" t="s">
        <v>665</v>
      </c>
      <c r="B250" s="24">
        <v>46037</v>
      </c>
      <c r="C250" s="23" t="s">
        <v>125</v>
      </c>
      <c r="D250" s="23" t="s">
        <v>72</v>
      </c>
      <c r="E250" s="23" t="s">
        <v>139</v>
      </c>
      <c r="F250" s="23" t="s">
        <v>140</v>
      </c>
      <c r="G250" s="23" t="s">
        <v>666</v>
      </c>
      <c r="H250" s="25">
        <v>0</v>
      </c>
      <c r="I250" s="25">
        <v>769.4</v>
      </c>
      <c r="J250" s="25">
        <v>-769.4</v>
      </c>
      <c r="K250" s="23" t="s">
        <v>129</v>
      </c>
      <c r="L250" s="23" t="s">
        <v>142</v>
      </c>
      <c r="M250" s="23" t="s">
        <v>131</v>
      </c>
    </row>
    <row r="251" spans="1:13">
      <c r="A251" s="26" t="s">
        <v>667</v>
      </c>
      <c r="B251" s="27">
        <v>46048</v>
      </c>
      <c r="C251" s="26" t="s">
        <v>125</v>
      </c>
      <c r="D251" s="26" t="s">
        <v>72</v>
      </c>
      <c r="E251" s="26" t="s">
        <v>126</v>
      </c>
      <c r="F251" s="26" t="s">
        <v>127</v>
      </c>
      <c r="G251" s="26" t="s">
        <v>668</v>
      </c>
      <c r="H251" s="28">
        <v>0</v>
      </c>
      <c r="I251" s="28">
        <v>4714.57</v>
      </c>
      <c r="J251" s="28">
        <v>-4714.57</v>
      </c>
      <c r="K251" s="26" t="s">
        <v>129</v>
      </c>
      <c r="L251" s="26" t="s">
        <v>153</v>
      </c>
      <c r="M251" s="26" t="s">
        <v>131</v>
      </c>
    </row>
    <row r="252" spans="1:13">
      <c r="A252" s="23" t="s">
        <v>669</v>
      </c>
      <c r="B252" s="24">
        <v>46051</v>
      </c>
      <c r="C252" s="23" t="s">
        <v>125</v>
      </c>
      <c r="D252" s="23" t="s">
        <v>81</v>
      </c>
      <c r="E252" s="23" t="s">
        <v>163</v>
      </c>
      <c r="F252" s="23" t="s">
        <v>250</v>
      </c>
      <c r="G252" s="23" t="s">
        <v>670</v>
      </c>
      <c r="H252" s="25">
        <v>4452.59</v>
      </c>
      <c r="I252" s="25">
        <v>0</v>
      </c>
      <c r="J252" s="25">
        <v>4452.59</v>
      </c>
      <c r="K252" s="23" t="s">
        <v>178</v>
      </c>
      <c r="L252" s="23" t="s">
        <v>142</v>
      </c>
      <c r="M252" s="23" t="s">
        <v>158</v>
      </c>
    </row>
    <row r="253" spans="1:13">
      <c r="A253" s="26" t="s">
        <v>671</v>
      </c>
      <c r="B253" s="27">
        <v>46038</v>
      </c>
      <c r="C253" s="26" t="s">
        <v>125</v>
      </c>
      <c r="D253" s="26" t="s">
        <v>72</v>
      </c>
      <c r="E253" s="26" t="s">
        <v>133</v>
      </c>
      <c r="F253" s="26" t="s">
        <v>134</v>
      </c>
      <c r="G253" s="26" t="s">
        <v>672</v>
      </c>
      <c r="H253" s="28">
        <v>0</v>
      </c>
      <c r="I253" s="28">
        <v>121.8</v>
      </c>
      <c r="J253" s="28">
        <v>-121.8</v>
      </c>
      <c r="K253" s="26" t="s">
        <v>161</v>
      </c>
      <c r="L253" s="26" t="s">
        <v>130</v>
      </c>
      <c r="M253" s="26" t="s">
        <v>131</v>
      </c>
    </row>
    <row r="254" spans="1:13">
      <c r="A254" s="23" t="s">
        <v>673</v>
      </c>
      <c r="B254" s="24">
        <v>46032</v>
      </c>
      <c r="C254" s="23" t="s">
        <v>125</v>
      </c>
      <c r="D254" s="23" t="s">
        <v>81</v>
      </c>
      <c r="E254" s="23" t="s">
        <v>167</v>
      </c>
      <c r="F254" s="23" t="s">
        <v>168</v>
      </c>
      <c r="G254" s="23" t="s">
        <v>674</v>
      </c>
      <c r="H254" s="25">
        <v>245.49</v>
      </c>
      <c r="I254" s="25">
        <v>0</v>
      </c>
      <c r="J254" s="25">
        <v>245.49</v>
      </c>
      <c r="K254" s="23" t="s">
        <v>147</v>
      </c>
      <c r="L254" s="23" t="s">
        <v>130</v>
      </c>
      <c r="M254" s="23" t="s">
        <v>158</v>
      </c>
    </row>
    <row r="255" spans="1:13">
      <c r="A255" s="26" t="s">
        <v>675</v>
      </c>
      <c r="B255" s="27">
        <v>46028</v>
      </c>
      <c r="C255" s="26" t="s">
        <v>125</v>
      </c>
      <c r="D255" s="26" t="s">
        <v>81</v>
      </c>
      <c r="E255" s="26" t="s">
        <v>167</v>
      </c>
      <c r="F255" s="26" t="s">
        <v>168</v>
      </c>
      <c r="G255" s="26" t="s">
        <v>676</v>
      </c>
      <c r="H255" s="28">
        <v>7857.94</v>
      </c>
      <c r="I255" s="28">
        <v>0</v>
      </c>
      <c r="J255" s="28">
        <v>7857.94</v>
      </c>
      <c r="K255" s="26" t="s">
        <v>147</v>
      </c>
      <c r="L255" s="26" t="s">
        <v>137</v>
      </c>
      <c r="M255" s="26" t="s">
        <v>158</v>
      </c>
    </row>
    <row r="256" spans="1:13">
      <c r="A256" s="23" t="s">
        <v>677</v>
      </c>
      <c r="B256" s="24">
        <v>46030</v>
      </c>
      <c r="C256" s="23" t="s">
        <v>125</v>
      </c>
      <c r="D256" s="23" t="s">
        <v>72</v>
      </c>
      <c r="E256" s="23" t="s">
        <v>133</v>
      </c>
      <c r="F256" s="23" t="s">
        <v>134</v>
      </c>
      <c r="G256" s="23" t="s">
        <v>678</v>
      </c>
      <c r="H256" s="25">
        <v>0</v>
      </c>
      <c r="I256" s="25">
        <v>3006.47</v>
      </c>
      <c r="J256" s="25">
        <v>-3006.47</v>
      </c>
      <c r="K256" s="23" t="s">
        <v>161</v>
      </c>
      <c r="L256" s="23" t="s">
        <v>153</v>
      </c>
      <c r="M256" s="23" t="s">
        <v>131</v>
      </c>
    </row>
    <row r="257" spans="1:13">
      <c r="A257" s="26" t="s">
        <v>679</v>
      </c>
      <c r="B257" s="27">
        <v>46048</v>
      </c>
      <c r="C257" s="26" t="s">
        <v>125</v>
      </c>
      <c r="D257" s="26" t="s">
        <v>81</v>
      </c>
      <c r="E257" s="26" t="s">
        <v>173</v>
      </c>
      <c r="F257" s="26" t="s">
        <v>174</v>
      </c>
      <c r="G257" s="26" t="s">
        <v>680</v>
      </c>
      <c r="H257" s="28">
        <v>6511.53</v>
      </c>
      <c r="I257" s="28">
        <v>0</v>
      </c>
      <c r="J257" s="28">
        <v>6511.53</v>
      </c>
      <c r="K257" s="26" t="s">
        <v>136</v>
      </c>
      <c r="L257" s="26" t="s">
        <v>137</v>
      </c>
      <c r="M257" s="26" t="s">
        <v>158</v>
      </c>
    </row>
    <row r="258" spans="1:13">
      <c r="A258" s="23" t="s">
        <v>681</v>
      </c>
      <c r="B258" s="24">
        <v>46041</v>
      </c>
      <c r="C258" s="23" t="s">
        <v>125</v>
      </c>
      <c r="D258" s="23" t="s">
        <v>72</v>
      </c>
      <c r="E258" s="23" t="s">
        <v>139</v>
      </c>
      <c r="F258" s="23" t="s">
        <v>140</v>
      </c>
      <c r="G258" s="23" t="s">
        <v>682</v>
      </c>
      <c r="H258" s="25">
        <v>0</v>
      </c>
      <c r="I258" s="25">
        <v>3431.61</v>
      </c>
      <c r="J258" s="25">
        <v>-3431.61</v>
      </c>
      <c r="K258" s="23" t="s">
        <v>136</v>
      </c>
      <c r="L258" s="23" t="s">
        <v>130</v>
      </c>
      <c r="M258" s="23" t="s">
        <v>131</v>
      </c>
    </row>
    <row r="259" spans="1:13">
      <c r="A259" s="26" t="s">
        <v>683</v>
      </c>
      <c r="B259" s="27">
        <v>46050</v>
      </c>
      <c r="C259" s="26" t="s">
        <v>125</v>
      </c>
      <c r="D259" s="26" t="s">
        <v>81</v>
      </c>
      <c r="E259" s="26" t="s">
        <v>220</v>
      </c>
      <c r="F259" s="26" t="s">
        <v>221</v>
      </c>
      <c r="G259" s="26" t="s">
        <v>684</v>
      </c>
      <c r="H259" s="28">
        <v>5830.47</v>
      </c>
      <c r="I259" s="28">
        <v>0</v>
      </c>
      <c r="J259" s="28">
        <v>5830.47</v>
      </c>
      <c r="K259" s="26" t="s">
        <v>136</v>
      </c>
      <c r="L259" s="26" t="s">
        <v>142</v>
      </c>
      <c r="M259" s="26" t="s">
        <v>158</v>
      </c>
    </row>
    <row r="260" spans="1:13">
      <c r="A260" s="23" t="s">
        <v>685</v>
      </c>
      <c r="B260" s="24">
        <v>46037</v>
      </c>
      <c r="C260" s="23" t="s">
        <v>125</v>
      </c>
      <c r="D260" s="23" t="s">
        <v>72</v>
      </c>
      <c r="E260" s="23" t="s">
        <v>150</v>
      </c>
      <c r="F260" s="23" t="s">
        <v>151</v>
      </c>
      <c r="G260" s="23" t="s">
        <v>686</v>
      </c>
      <c r="H260" s="25">
        <v>0</v>
      </c>
      <c r="I260" s="25">
        <v>2875.61</v>
      </c>
      <c r="J260" s="25">
        <v>-2875.61</v>
      </c>
      <c r="K260" s="23" t="s">
        <v>178</v>
      </c>
      <c r="L260" s="23" t="s">
        <v>153</v>
      </c>
      <c r="M260" s="23" t="s">
        <v>131</v>
      </c>
    </row>
    <row r="261" spans="1:13">
      <c r="A261" s="26" t="s">
        <v>687</v>
      </c>
      <c r="B261" s="27">
        <v>46035</v>
      </c>
      <c r="C261" s="26" t="s">
        <v>125</v>
      </c>
      <c r="D261" s="26" t="s">
        <v>72</v>
      </c>
      <c r="E261" s="26" t="s">
        <v>144</v>
      </c>
      <c r="F261" s="26" t="s">
        <v>145</v>
      </c>
      <c r="G261" s="26" t="s">
        <v>688</v>
      </c>
      <c r="H261" s="28">
        <v>0</v>
      </c>
      <c r="I261" s="28">
        <v>4644.32</v>
      </c>
      <c r="J261" s="28">
        <v>-4644.32</v>
      </c>
      <c r="K261" s="26" t="s">
        <v>136</v>
      </c>
      <c r="L261" s="26" t="s">
        <v>137</v>
      </c>
      <c r="M261" s="26" t="s">
        <v>131</v>
      </c>
    </row>
    <row r="262" spans="1:13">
      <c r="A262" s="23" t="s">
        <v>689</v>
      </c>
      <c r="B262" s="24">
        <v>46040</v>
      </c>
      <c r="C262" s="23" t="s">
        <v>125</v>
      </c>
      <c r="D262" s="23" t="s">
        <v>107</v>
      </c>
      <c r="E262" s="23" t="s">
        <v>191</v>
      </c>
      <c r="F262" s="23" t="s">
        <v>192</v>
      </c>
      <c r="G262" s="23" t="s">
        <v>690</v>
      </c>
      <c r="H262" s="25">
        <v>0</v>
      </c>
      <c r="I262" s="25">
        <v>112.48</v>
      </c>
      <c r="J262" s="25">
        <v>-112.48</v>
      </c>
      <c r="K262" s="23" t="s">
        <v>178</v>
      </c>
      <c r="L262" s="23" t="s">
        <v>142</v>
      </c>
      <c r="M262" s="23" t="s">
        <v>194</v>
      </c>
    </row>
    <row r="263" spans="1:13">
      <c r="A263" s="26" t="s">
        <v>691</v>
      </c>
      <c r="B263" s="27">
        <v>46027</v>
      </c>
      <c r="C263" s="26" t="s">
        <v>125</v>
      </c>
      <c r="D263" s="26" t="s">
        <v>90</v>
      </c>
      <c r="E263" s="26" t="s">
        <v>167</v>
      </c>
      <c r="F263" s="26" t="s">
        <v>164</v>
      </c>
      <c r="G263" s="26" t="s">
        <v>692</v>
      </c>
      <c r="H263" s="28">
        <v>3247.11</v>
      </c>
      <c r="I263" s="28">
        <v>0</v>
      </c>
      <c r="J263" s="28">
        <v>3247.11</v>
      </c>
      <c r="K263" s="26" t="s">
        <v>161</v>
      </c>
      <c r="L263" s="26" t="s">
        <v>142</v>
      </c>
      <c r="M263" s="26" t="s">
        <v>185</v>
      </c>
    </row>
    <row r="264" spans="1:13">
      <c r="A264" s="23" t="s">
        <v>693</v>
      </c>
      <c r="B264" s="24">
        <v>46034</v>
      </c>
      <c r="C264" s="23" t="s">
        <v>125</v>
      </c>
      <c r="D264" s="23" t="s">
        <v>72</v>
      </c>
      <c r="E264" s="23" t="s">
        <v>204</v>
      </c>
      <c r="F264" s="23" t="s">
        <v>205</v>
      </c>
      <c r="G264" s="23" t="s">
        <v>694</v>
      </c>
      <c r="H264" s="25">
        <v>0</v>
      </c>
      <c r="I264" s="25">
        <v>2485.52</v>
      </c>
      <c r="J264" s="25">
        <v>-2485.52</v>
      </c>
      <c r="K264" s="23" t="s">
        <v>129</v>
      </c>
      <c r="L264" s="23" t="s">
        <v>130</v>
      </c>
      <c r="M264" s="23" t="s">
        <v>131</v>
      </c>
    </row>
    <row r="265" spans="1:13">
      <c r="A265" s="26" t="s">
        <v>695</v>
      </c>
      <c r="B265" s="27">
        <v>46047</v>
      </c>
      <c r="C265" s="26" t="s">
        <v>125</v>
      </c>
      <c r="D265" s="26" t="s">
        <v>72</v>
      </c>
      <c r="E265" s="26" t="s">
        <v>208</v>
      </c>
      <c r="F265" s="26" t="s">
        <v>209</v>
      </c>
      <c r="G265" s="26" t="s">
        <v>696</v>
      </c>
      <c r="H265" s="28">
        <v>0</v>
      </c>
      <c r="I265" s="28">
        <v>2913.58</v>
      </c>
      <c r="J265" s="28">
        <v>-2913.58</v>
      </c>
      <c r="K265" s="26" t="s">
        <v>136</v>
      </c>
      <c r="L265" s="26" t="s">
        <v>142</v>
      </c>
      <c r="M265" s="26" t="s">
        <v>131</v>
      </c>
    </row>
    <row r="266" spans="1:13">
      <c r="A266" s="23" t="s">
        <v>697</v>
      </c>
      <c r="B266" s="24">
        <v>46034</v>
      </c>
      <c r="C266" s="23" t="s">
        <v>125</v>
      </c>
      <c r="D266" s="23" t="s">
        <v>72</v>
      </c>
      <c r="E266" s="23" t="s">
        <v>133</v>
      </c>
      <c r="F266" s="23" t="s">
        <v>134</v>
      </c>
      <c r="G266" s="23" t="s">
        <v>698</v>
      </c>
      <c r="H266" s="25">
        <v>0</v>
      </c>
      <c r="I266" s="25">
        <v>5816.95</v>
      </c>
      <c r="J266" s="25">
        <v>-5816.95</v>
      </c>
      <c r="K266" s="23" t="s">
        <v>178</v>
      </c>
      <c r="L266" s="23" t="s">
        <v>137</v>
      </c>
      <c r="M266" s="23" t="s">
        <v>131</v>
      </c>
    </row>
    <row r="267" spans="1:13">
      <c r="A267" s="26" t="s">
        <v>699</v>
      </c>
      <c r="B267" s="27">
        <v>46052</v>
      </c>
      <c r="C267" s="26" t="s">
        <v>125</v>
      </c>
      <c r="D267" s="26" t="s">
        <v>99</v>
      </c>
      <c r="E267" s="26" t="s">
        <v>182</v>
      </c>
      <c r="F267" s="26" t="s">
        <v>183</v>
      </c>
      <c r="G267" s="26" t="s">
        <v>700</v>
      </c>
      <c r="H267" s="28">
        <v>0</v>
      </c>
      <c r="I267" s="28">
        <v>2726.86</v>
      </c>
      <c r="J267" s="28">
        <v>-2726.86</v>
      </c>
      <c r="K267" s="26" t="s">
        <v>129</v>
      </c>
      <c r="L267" s="26" t="s">
        <v>137</v>
      </c>
      <c r="M267" s="26" t="s">
        <v>185</v>
      </c>
    </row>
    <row r="268" spans="1:13">
      <c r="A268" s="23" t="s">
        <v>701</v>
      </c>
      <c r="B268" s="24">
        <v>46044</v>
      </c>
      <c r="C268" s="23" t="s">
        <v>125</v>
      </c>
      <c r="D268" s="23" t="s">
        <v>90</v>
      </c>
      <c r="E268" s="23" t="s">
        <v>144</v>
      </c>
      <c r="F268" s="23" t="s">
        <v>164</v>
      </c>
      <c r="G268" s="23" t="s">
        <v>702</v>
      </c>
      <c r="H268" s="25">
        <v>1261.43</v>
      </c>
      <c r="I268" s="25">
        <v>0</v>
      </c>
      <c r="J268" s="25">
        <v>1261.43</v>
      </c>
      <c r="K268" s="23" t="s">
        <v>129</v>
      </c>
      <c r="L268" s="23" t="s">
        <v>153</v>
      </c>
      <c r="M268" s="23" t="s">
        <v>194</v>
      </c>
    </row>
    <row r="269" spans="1:13">
      <c r="A269" s="26" t="s">
        <v>703</v>
      </c>
      <c r="B269" s="27">
        <v>46032</v>
      </c>
      <c r="C269" s="26" t="s">
        <v>125</v>
      </c>
      <c r="D269" s="26" t="s">
        <v>72</v>
      </c>
      <c r="E269" s="26" t="s">
        <v>126</v>
      </c>
      <c r="F269" s="26" t="s">
        <v>127</v>
      </c>
      <c r="G269" s="26" t="s">
        <v>704</v>
      </c>
      <c r="H269" s="28">
        <v>0</v>
      </c>
      <c r="I269" s="28">
        <v>3605.8</v>
      </c>
      <c r="J269" s="28">
        <v>-3605.8</v>
      </c>
      <c r="K269" s="26" t="s">
        <v>136</v>
      </c>
      <c r="L269" s="26" t="s">
        <v>153</v>
      </c>
      <c r="M269" s="26" t="s">
        <v>131</v>
      </c>
    </row>
    <row r="270" spans="1:13">
      <c r="A270" s="23" t="s">
        <v>705</v>
      </c>
      <c r="B270" s="24">
        <v>46051</v>
      </c>
      <c r="C270" s="23" t="s">
        <v>125</v>
      </c>
      <c r="D270" s="23" t="s">
        <v>72</v>
      </c>
      <c r="E270" s="23" t="s">
        <v>126</v>
      </c>
      <c r="F270" s="23" t="s">
        <v>127</v>
      </c>
      <c r="G270" s="23" t="s">
        <v>706</v>
      </c>
      <c r="H270" s="25">
        <v>0</v>
      </c>
      <c r="I270" s="25">
        <v>3270.06</v>
      </c>
      <c r="J270" s="25">
        <v>-3270.06</v>
      </c>
      <c r="K270" s="23" t="s">
        <v>161</v>
      </c>
      <c r="L270" s="23" t="s">
        <v>148</v>
      </c>
      <c r="M270" s="23" t="s">
        <v>131</v>
      </c>
    </row>
    <row r="271" spans="1:13">
      <c r="A271" s="26" t="s">
        <v>707</v>
      </c>
      <c r="B271" s="27">
        <v>46036</v>
      </c>
      <c r="C271" s="26" t="s">
        <v>125</v>
      </c>
      <c r="D271" s="26" t="s">
        <v>81</v>
      </c>
      <c r="E271" s="26" t="s">
        <v>220</v>
      </c>
      <c r="F271" s="26" t="s">
        <v>221</v>
      </c>
      <c r="G271" s="26" t="s">
        <v>708</v>
      </c>
      <c r="H271" s="28">
        <v>8268.6200000000008</v>
      </c>
      <c r="I271" s="28">
        <v>0</v>
      </c>
      <c r="J271" s="28">
        <v>8268.6200000000008</v>
      </c>
      <c r="K271" s="26" t="s">
        <v>161</v>
      </c>
      <c r="L271" s="26" t="s">
        <v>153</v>
      </c>
      <c r="M271" s="26" t="s">
        <v>158</v>
      </c>
    </row>
    <row r="272" spans="1:13">
      <c r="A272" s="23" t="s">
        <v>709</v>
      </c>
      <c r="B272" s="24">
        <v>46032</v>
      </c>
      <c r="C272" s="23" t="s">
        <v>125</v>
      </c>
      <c r="D272" s="23" t="s">
        <v>81</v>
      </c>
      <c r="E272" s="23" t="s">
        <v>167</v>
      </c>
      <c r="F272" s="23" t="s">
        <v>168</v>
      </c>
      <c r="G272" s="23" t="s">
        <v>710</v>
      </c>
      <c r="H272" s="25">
        <v>4103.88</v>
      </c>
      <c r="I272" s="25">
        <v>0</v>
      </c>
      <c r="J272" s="25">
        <v>4103.88</v>
      </c>
      <c r="K272" s="23" t="s">
        <v>129</v>
      </c>
      <c r="L272" s="23" t="s">
        <v>148</v>
      </c>
      <c r="M272" s="23" t="s">
        <v>158</v>
      </c>
    </row>
    <row r="273" spans="1:13">
      <c r="A273" s="26" t="s">
        <v>711</v>
      </c>
      <c r="B273" s="27">
        <v>46027</v>
      </c>
      <c r="C273" s="26" t="s">
        <v>125</v>
      </c>
      <c r="D273" s="26" t="s">
        <v>99</v>
      </c>
      <c r="E273" s="26" t="s">
        <v>182</v>
      </c>
      <c r="F273" s="26" t="s">
        <v>183</v>
      </c>
      <c r="G273" s="26" t="s">
        <v>712</v>
      </c>
      <c r="H273" s="28">
        <v>0</v>
      </c>
      <c r="I273" s="28">
        <v>15763.75</v>
      </c>
      <c r="J273" s="28">
        <v>-15763.75</v>
      </c>
      <c r="K273" s="26" t="s">
        <v>136</v>
      </c>
      <c r="L273" s="26" t="s">
        <v>142</v>
      </c>
      <c r="M273" s="26" t="s">
        <v>185</v>
      </c>
    </row>
    <row r="274" spans="1:13">
      <c r="A274" s="23" t="s">
        <v>713</v>
      </c>
      <c r="B274" s="24">
        <v>46040</v>
      </c>
      <c r="C274" s="23" t="s">
        <v>125</v>
      </c>
      <c r="D274" s="23" t="s">
        <v>81</v>
      </c>
      <c r="E274" s="23" t="s">
        <v>163</v>
      </c>
      <c r="F274" s="23" t="s">
        <v>250</v>
      </c>
      <c r="G274" s="23" t="s">
        <v>714</v>
      </c>
      <c r="H274" s="25">
        <v>2177.87</v>
      </c>
      <c r="I274" s="25">
        <v>0</v>
      </c>
      <c r="J274" s="25">
        <v>2177.87</v>
      </c>
      <c r="K274" s="23" t="s">
        <v>129</v>
      </c>
      <c r="L274" s="23" t="s">
        <v>148</v>
      </c>
      <c r="M274" s="23" t="s">
        <v>158</v>
      </c>
    </row>
    <row r="275" spans="1:13">
      <c r="A275" s="26" t="s">
        <v>715</v>
      </c>
      <c r="B275" s="27">
        <v>46025</v>
      </c>
      <c r="C275" s="26" t="s">
        <v>125</v>
      </c>
      <c r="D275" s="26" t="s">
        <v>81</v>
      </c>
      <c r="E275" s="26" t="s">
        <v>173</v>
      </c>
      <c r="F275" s="26" t="s">
        <v>174</v>
      </c>
      <c r="G275" s="26" t="s">
        <v>716</v>
      </c>
      <c r="H275" s="28">
        <v>580.33000000000004</v>
      </c>
      <c r="I275" s="28">
        <v>0</v>
      </c>
      <c r="J275" s="28">
        <v>580.33000000000004</v>
      </c>
      <c r="K275" s="26" t="s">
        <v>161</v>
      </c>
      <c r="L275" s="26" t="s">
        <v>153</v>
      </c>
      <c r="M275" s="26" t="s">
        <v>158</v>
      </c>
    </row>
    <row r="276" spans="1:13">
      <c r="A276" s="23" t="s">
        <v>717</v>
      </c>
      <c r="B276" s="24">
        <v>46047</v>
      </c>
      <c r="C276" s="23" t="s">
        <v>125</v>
      </c>
      <c r="D276" s="23" t="s">
        <v>81</v>
      </c>
      <c r="E276" s="23" t="s">
        <v>155</v>
      </c>
      <c r="F276" s="23" t="s">
        <v>156</v>
      </c>
      <c r="G276" s="23" t="s">
        <v>718</v>
      </c>
      <c r="H276" s="25">
        <v>4816.3999999999996</v>
      </c>
      <c r="I276" s="25">
        <v>0</v>
      </c>
      <c r="J276" s="25">
        <v>4816.3999999999996</v>
      </c>
      <c r="K276" s="23" t="s">
        <v>161</v>
      </c>
      <c r="L276" s="23" t="s">
        <v>130</v>
      </c>
      <c r="M276" s="23" t="s">
        <v>158</v>
      </c>
    </row>
    <row r="277" spans="1:13">
      <c r="A277" s="26" t="s">
        <v>719</v>
      </c>
      <c r="B277" s="27">
        <v>46033</v>
      </c>
      <c r="C277" s="26" t="s">
        <v>125</v>
      </c>
      <c r="D277" s="26" t="s">
        <v>72</v>
      </c>
      <c r="E277" s="26" t="s">
        <v>144</v>
      </c>
      <c r="F277" s="26" t="s">
        <v>145</v>
      </c>
      <c r="G277" s="26" t="s">
        <v>720</v>
      </c>
      <c r="H277" s="28">
        <v>0</v>
      </c>
      <c r="I277" s="28">
        <v>1376.26</v>
      </c>
      <c r="J277" s="28">
        <v>-1376.26</v>
      </c>
      <c r="K277" s="26" t="s">
        <v>129</v>
      </c>
      <c r="L277" s="26" t="s">
        <v>137</v>
      </c>
      <c r="M277" s="26" t="s">
        <v>131</v>
      </c>
    </row>
    <row r="278" spans="1:13">
      <c r="A278" s="23" t="s">
        <v>721</v>
      </c>
      <c r="B278" s="24">
        <v>46045</v>
      </c>
      <c r="C278" s="23" t="s">
        <v>125</v>
      </c>
      <c r="D278" s="23" t="s">
        <v>81</v>
      </c>
      <c r="E278" s="23" t="s">
        <v>173</v>
      </c>
      <c r="F278" s="23" t="s">
        <v>174</v>
      </c>
      <c r="G278" s="23" t="s">
        <v>722</v>
      </c>
      <c r="H278" s="25">
        <v>3461.88</v>
      </c>
      <c r="I278" s="25">
        <v>0</v>
      </c>
      <c r="J278" s="25">
        <v>3461.88</v>
      </c>
      <c r="K278" s="23" t="s">
        <v>129</v>
      </c>
      <c r="L278" s="23" t="s">
        <v>153</v>
      </c>
      <c r="M278" s="23" t="s">
        <v>158</v>
      </c>
    </row>
    <row r="279" spans="1:13">
      <c r="A279" s="26" t="s">
        <v>723</v>
      </c>
      <c r="B279" s="27">
        <v>46040</v>
      </c>
      <c r="C279" s="26" t="s">
        <v>125</v>
      </c>
      <c r="D279" s="26" t="s">
        <v>81</v>
      </c>
      <c r="E279" s="26" t="s">
        <v>214</v>
      </c>
      <c r="F279" s="26" t="s">
        <v>215</v>
      </c>
      <c r="G279" s="26" t="s">
        <v>724</v>
      </c>
      <c r="H279" s="28">
        <v>2334.04</v>
      </c>
      <c r="I279" s="28">
        <v>0</v>
      </c>
      <c r="J279" s="28">
        <v>2334.04</v>
      </c>
      <c r="K279" s="26" t="s">
        <v>136</v>
      </c>
      <c r="L279" s="26" t="s">
        <v>142</v>
      </c>
      <c r="M279" s="26" t="s">
        <v>158</v>
      </c>
    </row>
    <row r="280" spans="1:13">
      <c r="A280" s="23" t="s">
        <v>725</v>
      </c>
      <c r="B280" s="24">
        <v>46033</v>
      </c>
      <c r="C280" s="23" t="s">
        <v>125</v>
      </c>
      <c r="D280" s="23" t="s">
        <v>99</v>
      </c>
      <c r="E280" s="23" t="s">
        <v>182</v>
      </c>
      <c r="F280" s="23" t="s">
        <v>183</v>
      </c>
      <c r="G280" s="23" t="s">
        <v>726</v>
      </c>
      <c r="H280" s="25">
        <v>0</v>
      </c>
      <c r="I280" s="25">
        <v>7875.22</v>
      </c>
      <c r="J280" s="25">
        <v>-7875.22</v>
      </c>
      <c r="K280" s="23" t="s">
        <v>161</v>
      </c>
      <c r="L280" s="23" t="s">
        <v>137</v>
      </c>
      <c r="M280" s="23" t="s">
        <v>185</v>
      </c>
    </row>
    <row r="281" spans="1:13">
      <c r="A281" s="26" t="s">
        <v>727</v>
      </c>
      <c r="B281" s="27">
        <v>46023</v>
      </c>
      <c r="C281" s="26" t="s">
        <v>125</v>
      </c>
      <c r="D281" s="26" t="s">
        <v>72</v>
      </c>
      <c r="E281" s="26" t="s">
        <v>204</v>
      </c>
      <c r="F281" s="26" t="s">
        <v>205</v>
      </c>
      <c r="G281" s="26" t="s">
        <v>728</v>
      </c>
      <c r="H281" s="28">
        <v>0</v>
      </c>
      <c r="I281" s="28">
        <v>3624.35</v>
      </c>
      <c r="J281" s="28">
        <v>-3624.35</v>
      </c>
      <c r="K281" s="26" t="s">
        <v>161</v>
      </c>
      <c r="L281" s="26" t="s">
        <v>148</v>
      </c>
      <c r="M281" s="26" t="s">
        <v>131</v>
      </c>
    </row>
    <row r="282" spans="1:13">
      <c r="A282" s="23" t="s">
        <v>729</v>
      </c>
      <c r="B282" s="24">
        <v>46041</v>
      </c>
      <c r="C282" s="23" t="s">
        <v>125</v>
      </c>
      <c r="D282" s="23" t="s">
        <v>99</v>
      </c>
      <c r="E282" s="23" t="s">
        <v>182</v>
      </c>
      <c r="F282" s="23" t="s">
        <v>183</v>
      </c>
      <c r="G282" s="23" t="s">
        <v>730</v>
      </c>
      <c r="H282" s="25">
        <v>0</v>
      </c>
      <c r="I282" s="25">
        <v>9739.8700000000008</v>
      </c>
      <c r="J282" s="25">
        <v>-9739.8700000000008</v>
      </c>
      <c r="K282" s="23" t="s">
        <v>147</v>
      </c>
      <c r="L282" s="23" t="s">
        <v>148</v>
      </c>
      <c r="M282" s="23" t="s">
        <v>185</v>
      </c>
    </row>
    <row r="283" spans="1:13">
      <c r="A283" s="26" t="s">
        <v>731</v>
      </c>
      <c r="B283" s="27">
        <v>46043</v>
      </c>
      <c r="C283" s="26" t="s">
        <v>125</v>
      </c>
      <c r="D283" s="26" t="s">
        <v>90</v>
      </c>
      <c r="E283" s="26" t="s">
        <v>220</v>
      </c>
      <c r="F283" s="26" t="s">
        <v>164</v>
      </c>
      <c r="G283" s="26" t="s">
        <v>732</v>
      </c>
      <c r="H283" s="28">
        <v>0</v>
      </c>
      <c r="I283" s="28">
        <v>882.76</v>
      </c>
      <c r="J283" s="28">
        <v>-882.76</v>
      </c>
      <c r="K283" s="26" t="s">
        <v>129</v>
      </c>
      <c r="L283" s="26" t="s">
        <v>153</v>
      </c>
      <c r="M283" s="26" t="s">
        <v>131</v>
      </c>
    </row>
    <row r="284" spans="1:13">
      <c r="A284" s="23" t="s">
        <v>733</v>
      </c>
      <c r="B284" s="24">
        <v>46049</v>
      </c>
      <c r="C284" s="23" t="s">
        <v>125</v>
      </c>
      <c r="D284" s="23" t="s">
        <v>99</v>
      </c>
      <c r="E284" s="23" t="s">
        <v>182</v>
      </c>
      <c r="F284" s="23" t="s">
        <v>183</v>
      </c>
      <c r="G284" s="23" t="s">
        <v>734</v>
      </c>
      <c r="H284" s="25">
        <v>0</v>
      </c>
      <c r="I284" s="25">
        <v>16205.23</v>
      </c>
      <c r="J284" s="25">
        <v>-16205.23</v>
      </c>
      <c r="K284" s="23" t="s">
        <v>178</v>
      </c>
      <c r="L284" s="23" t="s">
        <v>137</v>
      </c>
      <c r="M284" s="23" t="s">
        <v>185</v>
      </c>
    </row>
    <row r="285" spans="1:13">
      <c r="A285" s="26" t="s">
        <v>735</v>
      </c>
      <c r="B285" s="27">
        <v>46027</v>
      </c>
      <c r="C285" s="26" t="s">
        <v>125</v>
      </c>
      <c r="D285" s="26" t="s">
        <v>72</v>
      </c>
      <c r="E285" s="26" t="s">
        <v>204</v>
      </c>
      <c r="F285" s="26" t="s">
        <v>205</v>
      </c>
      <c r="G285" s="26" t="s">
        <v>736</v>
      </c>
      <c r="H285" s="28">
        <v>0</v>
      </c>
      <c r="I285" s="28">
        <v>2870.78</v>
      </c>
      <c r="J285" s="28">
        <v>-2870.78</v>
      </c>
      <c r="K285" s="26" t="s">
        <v>178</v>
      </c>
      <c r="L285" s="26" t="s">
        <v>153</v>
      </c>
      <c r="M285" s="26" t="s">
        <v>131</v>
      </c>
    </row>
    <row r="286" spans="1:13">
      <c r="A286" s="23" t="s">
        <v>737</v>
      </c>
      <c r="B286" s="24">
        <v>46023</v>
      </c>
      <c r="C286" s="23" t="s">
        <v>125</v>
      </c>
      <c r="D286" s="23" t="s">
        <v>72</v>
      </c>
      <c r="E286" s="23" t="s">
        <v>204</v>
      </c>
      <c r="F286" s="23" t="s">
        <v>205</v>
      </c>
      <c r="G286" s="23" t="s">
        <v>738</v>
      </c>
      <c r="H286" s="25">
        <v>0</v>
      </c>
      <c r="I286" s="25">
        <v>2597.39</v>
      </c>
      <c r="J286" s="25">
        <v>-2597.39</v>
      </c>
      <c r="K286" s="23" t="s">
        <v>178</v>
      </c>
      <c r="L286" s="23" t="s">
        <v>153</v>
      </c>
      <c r="M286" s="23" t="s">
        <v>131</v>
      </c>
    </row>
    <row r="287" spans="1:13">
      <c r="A287" s="26" t="s">
        <v>739</v>
      </c>
      <c r="B287" s="27">
        <v>46048</v>
      </c>
      <c r="C287" s="26" t="s">
        <v>125</v>
      </c>
      <c r="D287" s="26" t="s">
        <v>107</v>
      </c>
      <c r="E287" s="26" t="s">
        <v>191</v>
      </c>
      <c r="F287" s="26" t="s">
        <v>192</v>
      </c>
      <c r="G287" s="26" t="s">
        <v>740</v>
      </c>
      <c r="H287" s="28">
        <v>0</v>
      </c>
      <c r="I287" s="28">
        <v>25.62</v>
      </c>
      <c r="J287" s="28">
        <v>-25.62</v>
      </c>
      <c r="K287" s="26" t="s">
        <v>178</v>
      </c>
      <c r="L287" s="26" t="s">
        <v>153</v>
      </c>
      <c r="M287" s="26" t="s">
        <v>194</v>
      </c>
    </row>
    <row r="288" spans="1:13">
      <c r="A288" s="23" t="s">
        <v>741</v>
      </c>
      <c r="B288" s="24">
        <v>46031</v>
      </c>
      <c r="C288" s="23" t="s">
        <v>125</v>
      </c>
      <c r="D288" s="23" t="s">
        <v>99</v>
      </c>
      <c r="E288" s="23" t="s">
        <v>182</v>
      </c>
      <c r="F288" s="23" t="s">
        <v>183</v>
      </c>
      <c r="G288" s="23" t="s">
        <v>742</v>
      </c>
      <c r="H288" s="25">
        <v>0</v>
      </c>
      <c r="I288" s="25">
        <v>6376.21</v>
      </c>
      <c r="J288" s="25">
        <v>-6376.21</v>
      </c>
      <c r="K288" s="23" t="s">
        <v>161</v>
      </c>
      <c r="L288" s="23" t="s">
        <v>137</v>
      </c>
      <c r="M288" s="23" t="s">
        <v>185</v>
      </c>
    </row>
    <row r="289" spans="1:13">
      <c r="A289" s="26" t="s">
        <v>743</v>
      </c>
      <c r="B289" s="27">
        <v>46030</v>
      </c>
      <c r="C289" s="26" t="s">
        <v>125</v>
      </c>
      <c r="D289" s="26" t="s">
        <v>107</v>
      </c>
      <c r="E289" s="26" t="s">
        <v>191</v>
      </c>
      <c r="F289" s="26" t="s">
        <v>192</v>
      </c>
      <c r="G289" s="26" t="s">
        <v>744</v>
      </c>
      <c r="H289" s="28">
        <v>0</v>
      </c>
      <c r="I289" s="28">
        <v>30.97</v>
      </c>
      <c r="J289" s="28">
        <v>-30.97</v>
      </c>
      <c r="K289" s="26" t="s">
        <v>178</v>
      </c>
      <c r="L289" s="26" t="s">
        <v>137</v>
      </c>
      <c r="M289" s="26" t="s">
        <v>194</v>
      </c>
    </row>
    <row r="290" spans="1:13">
      <c r="A290" s="23" t="s">
        <v>745</v>
      </c>
      <c r="B290" s="24">
        <v>46038</v>
      </c>
      <c r="C290" s="23" t="s">
        <v>125</v>
      </c>
      <c r="D290" s="23" t="s">
        <v>72</v>
      </c>
      <c r="E290" s="23" t="s">
        <v>144</v>
      </c>
      <c r="F290" s="23" t="s">
        <v>145</v>
      </c>
      <c r="G290" s="23" t="s">
        <v>746</v>
      </c>
      <c r="H290" s="25">
        <v>0</v>
      </c>
      <c r="I290" s="25">
        <v>4381.41</v>
      </c>
      <c r="J290" s="25">
        <v>-4381.41</v>
      </c>
      <c r="K290" s="23" t="s">
        <v>178</v>
      </c>
      <c r="L290" s="23" t="s">
        <v>142</v>
      </c>
      <c r="M290" s="23" t="s">
        <v>131</v>
      </c>
    </row>
    <row r="291" spans="1:13">
      <c r="A291" s="26" t="s">
        <v>747</v>
      </c>
      <c r="B291" s="27">
        <v>46043</v>
      </c>
      <c r="C291" s="26" t="s">
        <v>125</v>
      </c>
      <c r="D291" s="26" t="s">
        <v>90</v>
      </c>
      <c r="E291" s="26" t="s">
        <v>214</v>
      </c>
      <c r="F291" s="26" t="s">
        <v>164</v>
      </c>
      <c r="G291" s="26" t="s">
        <v>748</v>
      </c>
      <c r="H291" s="28">
        <v>0</v>
      </c>
      <c r="I291" s="28">
        <v>4887.78</v>
      </c>
      <c r="J291" s="28">
        <v>-4887.78</v>
      </c>
      <c r="K291" s="26" t="s">
        <v>129</v>
      </c>
      <c r="L291" s="26" t="s">
        <v>130</v>
      </c>
      <c r="M291" s="26" t="s">
        <v>242</v>
      </c>
    </row>
    <row r="292" spans="1:13">
      <c r="A292" s="23" t="s">
        <v>749</v>
      </c>
      <c r="B292" s="24">
        <v>46045</v>
      </c>
      <c r="C292" s="23" t="s">
        <v>125</v>
      </c>
      <c r="D292" s="23" t="s">
        <v>99</v>
      </c>
      <c r="E292" s="23" t="s">
        <v>182</v>
      </c>
      <c r="F292" s="23" t="s">
        <v>183</v>
      </c>
      <c r="G292" s="23" t="s">
        <v>750</v>
      </c>
      <c r="H292" s="25">
        <v>0</v>
      </c>
      <c r="I292" s="25">
        <v>9394.75</v>
      </c>
      <c r="J292" s="25">
        <v>-9394.75</v>
      </c>
      <c r="K292" s="23" t="s">
        <v>178</v>
      </c>
      <c r="L292" s="23" t="s">
        <v>137</v>
      </c>
      <c r="M292" s="23" t="s">
        <v>185</v>
      </c>
    </row>
    <row r="293" spans="1:13">
      <c r="A293" s="26" t="s">
        <v>751</v>
      </c>
      <c r="B293" s="27">
        <v>46041</v>
      </c>
      <c r="C293" s="26" t="s">
        <v>125</v>
      </c>
      <c r="D293" s="26" t="s">
        <v>81</v>
      </c>
      <c r="E293" s="26" t="s">
        <v>173</v>
      </c>
      <c r="F293" s="26" t="s">
        <v>174</v>
      </c>
      <c r="G293" s="26" t="s">
        <v>752</v>
      </c>
      <c r="H293" s="28">
        <v>7905.2</v>
      </c>
      <c r="I293" s="28">
        <v>0</v>
      </c>
      <c r="J293" s="28">
        <v>7905.2</v>
      </c>
      <c r="K293" s="26" t="s">
        <v>147</v>
      </c>
      <c r="L293" s="26" t="s">
        <v>137</v>
      </c>
      <c r="M293" s="26" t="s">
        <v>158</v>
      </c>
    </row>
    <row r="294" spans="1:13">
      <c r="A294" s="23" t="s">
        <v>753</v>
      </c>
      <c r="B294" s="24">
        <v>46041</v>
      </c>
      <c r="C294" s="23" t="s">
        <v>125</v>
      </c>
      <c r="D294" s="23" t="s">
        <v>72</v>
      </c>
      <c r="E294" s="23" t="s">
        <v>139</v>
      </c>
      <c r="F294" s="23" t="s">
        <v>140</v>
      </c>
      <c r="G294" s="23" t="s">
        <v>754</v>
      </c>
      <c r="H294" s="25">
        <v>0</v>
      </c>
      <c r="I294" s="25">
        <v>4441.79</v>
      </c>
      <c r="J294" s="25">
        <v>-4441.79</v>
      </c>
      <c r="K294" s="23" t="s">
        <v>161</v>
      </c>
      <c r="L294" s="23" t="s">
        <v>137</v>
      </c>
      <c r="M294" s="23" t="s">
        <v>131</v>
      </c>
    </row>
    <row r="295" spans="1:13">
      <c r="A295" s="26" t="s">
        <v>755</v>
      </c>
      <c r="B295" s="27">
        <v>46050</v>
      </c>
      <c r="C295" s="26" t="s">
        <v>125</v>
      </c>
      <c r="D295" s="26" t="s">
        <v>81</v>
      </c>
      <c r="E295" s="26" t="s">
        <v>167</v>
      </c>
      <c r="F295" s="26" t="s">
        <v>168</v>
      </c>
      <c r="G295" s="26" t="s">
        <v>756</v>
      </c>
      <c r="H295" s="28">
        <v>2919.94</v>
      </c>
      <c r="I295" s="28">
        <v>0</v>
      </c>
      <c r="J295" s="28">
        <v>2919.94</v>
      </c>
      <c r="K295" s="26" t="s">
        <v>129</v>
      </c>
      <c r="L295" s="26" t="s">
        <v>137</v>
      </c>
      <c r="M295" s="26" t="s">
        <v>158</v>
      </c>
    </row>
    <row r="296" spans="1:13">
      <c r="A296" s="23" t="s">
        <v>757</v>
      </c>
      <c r="B296" s="24">
        <v>46030</v>
      </c>
      <c r="C296" s="23" t="s">
        <v>125</v>
      </c>
      <c r="D296" s="23" t="s">
        <v>99</v>
      </c>
      <c r="E296" s="23" t="s">
        <v>182</v>
      </c>
      <c r="F296" s="23" t="s">
        <v>183</v>
      </c>
      <c r="G296" s="23" t="s">
        <v>758</v>
      </c>
      <c r="H296" s="25">
        <v>0</v>
      </c>
      <c r="I296" s="25">
        <v>7438.59</v>
      </c>
      <c r="J296" s="25">
        <v>-7438.59</v>
      </c>
      <c r="K296" s="23" t="s">
        <v>136</v>
      </c>
      <c r="L296" s="23" t="s">
        <v>153</v>
      </c>
      <c r="M296" s="23" t="s">
        <v>185</v>
      </c>
    </row>
    <row r="297" spans="1:13">
      <c r="A297" s="26" t="s">
        <v>759</v>
      </c>
      <c r="B297" s="27">
        <v>46048</v>
      </c>
      <c r="C297" s="26" t="s">
        <v>125</v>
      </c>
      <c r="D297" s="26" t="s">
        <v>107</v>
      </c>
      <c r="E297" s="26" t="s">
        <v>191</v>
      </c>
      <c r="F297" s="26" t="s">
        <v>192</v>
      </c>
      <c r="G297" s="26" t="s">
        <v>760</v>
      </c>
      <c r="H297" s="28">
        <v>0</v>
      </c>
      <c r="I297" s="28">
        <v>61.42</v>
      </c>
      <c r="J297" s="28">
        <v>-61.42</v>
      </c>
      <c r="K297" s="26" t="s">
        <v>147</v>
      </c>
      <c r="L297" s="26" t="s">
        <v>153</v>
      </c>
      <c r="M297" s="26" t="s">
        <v>194</v>
      </c>
    </row>
    <row r="298" spans="1:13">
      <c r="A298" s="23" t="s">
        <v>761</v>
      </c>
      <c r="B298" s="24">
        <v>46036</v>
      </c>
      <c r="C298" s="23" t="s">
        <v>125</v>
      </c>
      <c r="D298" s="23" t="s">
        <v>72</v>
      </c>
      <c r="E298" s="23" t="s">
        <v>204</v>
      </c>
      <c r="F298" s="23" t="s">
        <v>205</v>
      </c>
      <c r="G298" s="23" t="s">
        <v>762</v>
      </c>
      <c r="H298" s="25">
        <v>0</v>
      </c>
      <c r="I298" s="25">
        <v>4123.3100000000004</v>
      </c>
      <c r="J298" s="25">
        <v>-4123.3100000000004</v>
      </c>
      <c r="K298" s="23" t="s">
        <v>178</v>
      </c>
      <c r="L298" s="23" t="s">
        <v>153</v>
      </c>
      <c r="M298" s="23" t="s">
        <v>131</v>
      </c>
    </row>
    <row r="299" spans="1:13">
      <c r="A299" s="26" t="s">
        <v>763</v>
      </c>
      <c r="B299" s="27">
        <v>46025</v>
      </c>
      <c r="C299" s="26" t="s">
        <v>125</v>
      </c>
      <c r="D299" s="26" t="s">
        <v>72</v>
      </c>
      <c r="E299" s="26" t="s">
        <v>150</v>
      </c>
      <c r="F299" s="26" t="s">
        <v>151</v>
      </c>
      <c r="G299" s="26" t="s">
        <v>764</v>
      </c>
      <c r="H299" s="28">
        <v>0</v>
      </c>
      <c r="I299" s="28">
        <v>4435.46</v>
      </c>
      <c r="J299" s="28">
        <v>-4435.46</v>
      </c>
      <c r="K299" s="26" t="s">
        <v>129</v>
      </c>
      <c r="L299" s="26" t="s">
        <v>142</v>
      </c>
      <c r="M299" s="26" t="s">
        <v>131</v>
      </c>
    </row>
    <row r="300" spans="1:13">
      <c r="A300" s="23" t="s">
        <v>765</v>
      </c>
      <c r="B300" s="24">
        <v>46053</v>
      </c>
      <c r="C300" s="23" t="s">
        <v>125</v>
      </c>
      <c r="D300" s="23" t="s">
        <v>72</v>
      </c>
      <c r="E300" s="23" t="s">
        <v>208</v>
      </c>
      <c r="F300" s="23" t="s">
        <v>209</v>
      </c>
      <c r="G300" s="23" t="s">
        <v>766</v>
      </c>
      <c r="H300" s="25">
        <v>0</v>
      </c>
      <c r="I300" s="25">
        <v>4739.4399999999996</v>
      </c>
      <c r="J300" s="25">
        <v>-4739.4399999999996</v>
      </c>
      <c r="K300" s="23" t="s">
        <v>178</v>
      </c>
      <c r="L300" s="23" t="s">
        <v>130</v>
      </c>
      <c r="M300" s="23" t="s">
        <v>131</v>
      </c>
    </row>
    <row r="301" spans="1:13">
      <c r="A301" s="26" t="s">
        <v>767</v>
      </c>
      <c r="B301" s="27">
        <v>46040</v>
      </c>
      <c r="C301" s="26" t="s">
        <v>125</v>
      </c>
      <c r="D301" s="26" t="s">
        <v>81</v>
      </c>
      <c r="E301" s="26" t="s">
        <v>220</v>
      </c>
      <c r="F301" s="26" t="s">
        <v>221</v>
      </c>
      <c r="G301" s="26" t="s">
        <v>768</v>
      </c>
      <c r="H301" s="28">
        <v>369.29</v>
      </c>
      <c r="I301" s="28">
        <v>0</v>
      </c>
      <c r="J301" s="28">
        <v>369.29</v>
      </c>
      <c r="K301" s="26" t="s">
        <v>147</v>
      </c>
      <c r="L301" s="26" t="s">
        <v>153</v>
      </c>
      <c r="M301" s="26" t="s">
        <v>158</v>
      </c>
    </row>
    <row r="302" spans="1:13">
      <c r="A302" s="23" t="s">
        <v>769</v>
      </c>
      <c r="B302" s="24">
        <v>46023</v>
      </c>
      <c r="C302" s="23" t="s">
        <v>125</v>
      </c>
      <c r="D302" s="23" t="s">
        <v>72</v>
      </c>
      <c r="E302" s="23" t="s">
        <v>150</v>
      </c>
      <c r="F302" s="23" t="s">
        <v>151</v>
      </c>
      <c r="G302" s="23" t="s">
        <v>770</v>
      </c>
      <c r="H302" s="25">
        <v>0</v>
      </c>
      <c r="I302" s="25">
        <v>4848.51</v>
      </c>
      <c r="J302" s="25">
        <v>-4848.51</v>
      </c>
      <c r="K302" s="23" t="s">
        <v>136</v>
      </c>
      <c r="L302" s="23" t="s">
        <v>130</v>
      </c>
      <c r="M302" s="23" t="s">
        <v>131</v>
      </c>
    </row>
    <row r="303" spans="1:13">
      <c r="A303" s="26" t="s">
        <v>771</v>
      </c>
      <c r="B303" s="27">
        <v>46028</v>
      </c>
      <c r="C303" s="26" t="s">
        <v>125</v>
      </c>
      <c r="D303" s="26" t="s">
        <v>72</v>
      </c>
      <c r="E303" s="26" t="s">
        <v>208</v>
      </c>
      <c r="F303" s="26" t="s">
        <v>209</v>
      </c>
      <c r="G303" s="26" t="s">
        <v>772</v>
      </c>
      <c r="H303" s="28">
        <v>0</v>
      </c>
      <c r="I303" s="28">
        <v>1722.65</v>
      </c>
      <c r="J303" s="28">
        <v>-1722.65</v>
      </c>
      <c r="K303" s="26" t="s">
        <v>129</v>
      </c>
      <c r="L303" s="26" t="s">
        <v>137</v>
      </c>
      <c r="M303" s="26" t="s">
        <v>131</v>
      </c>
    </row>
    <row r="304" spans="1:13">
      <c r="A304" s="23" t="s">
        <v>773</v>
      </c>
      <c r="B304" s="24">
        <v>46038</v>
      </c>
      <c r="C304" s="23" t="s">
        <v>125</v>
      </c>
      <c r="D304" s="23" t="s">
        <v>90</v>
      </c>
      <c r="E304" s="23" t="s">
        <v>126</v>
      </c>
      <c r="F304" s="23" t="s">
        <v>164</v>
      </c>
      <c r="G304" s="23" t="s">
        <v>774</v>
      </c>
      <c r="H304" s="25">
        <v>1295.9100000000001</v>
      </c>
      <c r="I304" s="25">
        <v>0</v>
      </c>
      <c r="J304" s="25">
        <v>1295.9100000000001</v>
      </c>
      <c r="K304" s="23" t="s">
        <v>136</v>
      </c>
      <c r="L304" s="23" t="s">
        <v>153</v>
      </c>
      <c r="M304" s="23" t="s">
        <v>194</v>
      </c>
    </row>
    <row r="305" spans="1:13">
      <c r="A305" s="26" t="s">
        <v>775</v>
      </c>
      <c r="B305" s="27">
        <v>46023</v>
      </c>
      <c r="C305" s="26" t="s">
        <v>125</v>
      </c>
      <c r="D305" s="26" t="s">
        <v>107</v>
      </c>
      <c r="E305" s="26" t="s">
        <v>191</v>
      </c>
      <c r="F305" s="26" t="s">
        <v>192</v>
      </c>
      <c r="G305" s="26" t="s">
        <v>776</v>
      </c>
      <c r="H305" s="28">
        <v>0</v>
      </c>
      <c r="I305" s="28">
        <v>43.2</v>
      </c>
      <c r="J305" s="28">
        <v>-43.2</v>
      </c>
      <c r="K305" s="26" t="s">
        <v>136</v>
      </c>
      <c r="L305" s="26" t="s">
        <v>142</v>
      </c>
      <c r="M305" s="26" t="s">
        <v>194</v>
      </c>
    </row>
    <row r="306" spans="1:13">
      <c r="A306" s="23" t="s">
        <v>777</v>
      </c>
      <c r="B306" s="24">
        <v>46036</v>
      </c>
      <c r="C306" s="23" t="s">
        <v>125</v>
      </c>
      <c r="D306" s="23" t="s">
        <v>99</v>
      </c>
      <c r="E306" s="23" t="s">
        <v>182</v>
      </c>
      <c r="F306" s="23" t="s">
        <v>183</v>
      </c>
      <c r="G306" s="23" t="s">
        <v>778</v>
      </c>
      <c r="H306" s="25">
        <v>0</v>
      </c>
      <c r="I306" s="25">
        <v>14962.87</v>
      </c>
      <c r="J306" s="25">
        <v>-14962.87</v>
      </c>
      <c r="K306" s="23" t="s">
        <v>136</v>
      </c>
      <c r="L306" s="23" t="s">
        <v>130</v>
      </c>
      <c r="M306" s="23" t="s">
        <v>185</v>
      </c>
    </row>
    <row r="307" spans="1:13">
      <c r="A307" s="26" t="s">
        <v>779</v>
      </c>
      <c r="B307" s="27">
        <v>46028</v>
      </c>
      <c r="C307" s="26" t="s">
        <v>125</v>
      </c>
      <c r="D307" s="26" t="s">
        <v>107</v>
      </c>
      <c r="E307" s="26" t="s">
        <v>191</v>
      </c>
      <c r="F307" s="26" t="s">
        <v>192</v>
      </c>
      <c r="G307" s="26" t="s">
        <v>780</v>
      </c>
      <c r="H307" s="28">
        <v>0</v>
      </c>
      <c r="I307" s="28">
        <v>116.4</v>
      </c>
      <c r="J307" s="28">
        <v>-116.4</v>
      </c>
      <c r="K307" s="26" t="s">
        <v>147</v>
      </c>
      <c r="L307" s="26" t="s">
        <v>142</v>
      </c>
      <c r="M307" s="26" t="s">
        <v>194</v>
      </c>
    </row>
    <row r="308" spans="1:13">
      <c r="A308" s="23" t="s">
        <v>781</v>
      </c>
      <c r="B308" s="24">
        <v>46048</v>
      </c>
      <c r="C308" s="23" t="s">
        <v>125</v>
      </c>
      <c r="D308" s="23" t="s">
        <v>72</v>
      </c>
      <c r="E308" s="23" t="s">
        <v>150</v>
      </c>
      <c r="F308" s="23" t="s">
        <v>151</v>
      </c>
      <c r="G308" s="23" t="s">
        <v>782</v>
      </c>
      <c r="H308" s="25">
        <v>0</v>
      </c>
      <c r="I308" s="25">
        <v>1795.44</v>
      </c>
      <c r="J308" s="25">
        <v>-1795.44</v>
      </c>
      <c r="K308" s="23" t="s">
        <v>161</v>
      </c>
      <c r="L308" s="23" t="s">
        <v>148</v>
      </c>
      <c r="M308" s="23" t="s">
        <v>131</v>
      </c>
    </row>
    <row r="309" spans="1:13">
      <c r="A309" s="26" t="s">
        <v>783</v>
      </c>
      <c r="B309" s="27">
        <v>46040</v>
      </c>
      <c r="C309" s="26" t="s">
        <v>125</v>
      </c>
      <c r="D309" s="26" t="s">
        <v>72</v>
      </c>
      <c r="E309" s="26" t="s">
        <v>139</v>
      </c>
      <c r="F309" s="26" t="s">
        <v>140</v>
      </c>
      <c r="G309" s="26" t="s">
        <v>784</v>
      </c>
      <c r="H309" s="28">
        <v>0</v>
      </c>
      <c r="I309" s="28">
        <v>3446.61</v>
      </c>
      <c r="J309" s="28">
        <v>-3446.61</v>
      </c>
      <c r="K309" s="26" t="s">
        <v>161</v>
      </c>
      <c r="L309" s="26" t="s">
        <v>130</v>
      </c>
      <c r="M309" s="26" t="s">
        <v>131</v>
      </c>
    </row>
    <row r="310" spans="1:13">
      <c r="A310" s="23" t="s">
        <v>785</v>
      </c>
      <c r="B310" s="24">
        <v>46025</v>
      </c>
      <c r="C310" s="23" t="s">
        <v>125</v>
      </c>
      <c r="D310" s="23" t="s">
        <v>99</v>
      </c>
      <c r="E310" s="23" t="s">
        <v>182</v>
      </c>
      <c r="F310" s="23" t="s">
        <v>183</v>
      </c>
      <c r="G310" s="23" t="s">
        <v>786</v>
      </c>
      <c r="H310" s="25">
        <v>0</v>
      </c>
      <c r="I310" s="25">
        <v>14037.02</v>
      </c>
      <c r="J310" s="25">
        <v>-14037.02</v>
      </c>
      <c r="K310" s="23" t="s">
        <v>161</v>
      </c>
      <c r="L310" s="23" t="s">
        <v>142</v>
      </c>
      <c r="M310" s="23" t="s">
        <v>185</v>
      </c>
    </row>
    <row r="311" spans="1:13">
      <c r="A311" s="26" t="s">
        <v>787</v>
      </c>
      <c r="B311" s="27">
        <v>46044</v>
      </c>
      <c r="C311" s="26" t="s">
        <v>125</v>
      </c>
      <c r="D311" s="26" t="s">
        <v>72</v>
      </c>
      <c r="E311" s="26" t="s">
        <v>150</v>
      </c>
      <c r="F311" s="26" t="s">
        <v>151</v>
      </c>
      <c r="G311" s="26" t="s">
        <v>788</v>
      </c>
      <c r="H311" s="28">
        <v>0</v>
      </c>
      <c r="I311" s="28">
        <v>4909.1499999999996</v>
      </c>
      <c r="J311" s="28">
        <v>-4909.1499999999996</v>
      </c>
      <c r="K311" s="26" t="s">
        <v>178</v>
      </c>
      <c r="L311" s="26" t="s">
        <v>142</v>
      </c>
      <c r="M311" s="26" t="s">
        <v>131</v>
      </c>
    </row>
    <row r="312" spans="1:13">
      <c r="A312" s="23" t="s">
        <v>789</v>
      </c>
      <c r="B312" s="24">
        <v>46038</v>
      </c>
      <c r="C312" s="23" t="s">
        <v>125</v>
      </c>
      <c r="D312" s="23" t="s">
        <v>81</v>
      </c>
      <c r="E312" s="23" t="s">
        <v>167</v>
      </c>
      <c r="F312" s="23" t="s">
        <v>168</v>
      </c>
      <c r="G312" s="23" t="s">
        <v>790</v>
      </c>
      <c r="H312" s="25">
        <v>4380.22</v>
      </c>
      <c r="I312" s="25">
        <v>0</v>
      </c>
      <c r="J312" s="25">
        <v>4380.22</v>
      </c>
      <c r="K312" s="23" t="s">
        <v>161</v>
      </c>
      <c r="L312" s="23" t="s">
        <v>153</v>
      </c>
      <c r="M312" s="23" t="s">
        <v>158</v>
      </c>
    </row>
    <row r="313" spans="1:13">
      <c r="A313" s="26" t="s">
        <v>791</v>
      </c>
      <c r="B313" s="27">
        <v>46048</v>
      </c>
      <c r="C313" s="26" t="s">
        <v>125</v>
      </c>
      <c r="D313" s="26" t="s">
        <v>81</v>
      </c>
      <c r="E313" s="26" t="s">
        <v>155</v>
      </c>
      <c r="F313" s="26" t="s">
        <v>156</v>
      </c>
      <c r="G313" s="26" t="s">
        <v>792</v>
      </c>
      <c r="H313" s="28">
        <v>7785.25</v>
      </c>
      <c r="I313" s="28">
        <v>0</v>
      </c>
      <c r="J313" s="28">
        <v>7785.25</v>
      </c>
      <c r="K313" s="26" t="s">
        <v>178</v>
      </c>
      <c r="L313" s="26" t="s">
        <v>130</v>
      </c>
      <c r="M313" s="26" t="s">
        <v>158</v>
      </c>
    </row>
    <row r="314" spans="1:13">
      <c r="A314" s="23" t="s">
        <v>793</v>
      </c>
      <c r="B314" s="24">
        <v>46042</v>
      </c>
      <c r="C314" s="23" t="s">
        <v>125</v>
      </c>
      <c r="D314" s="23" t="s">
        <v>72</v>
      </c>
      <c r="E314" s="23" t="s">
        <v>126</v>
      </c>
      <c r="F314" s="23" t="s">
        <v>127</v>
      </c>
      <c r="G314" s="23" t="s">
        <v>794</v>
      </c>
      <c r="H314" s="25">
        <v>0</v>
      </c>
      <c r="I314" s="25">
        <v>4226.13</v>
      </c>
      <c r="J314" s="25">
        <v>-4226.13</v>
      </c>
      <c r="K314" s="23" t="s">
        <v>161</v>
      </c>
      <c r="L314" s="23" t="s">
        <v>148</v>
      </c>
      <c r="M314" s="23" t="s">
        <v>131</v>
      </c>
    </row>
    <row r="315" spans="1:13">
      <c r="A315" s="26" t="s">
        <v>795</v>
      </c>
      <c r="B315" s="27">
        <v>46036</v>
      </c>
      <c r="C315" s="26" t="s">
        <v>125</v>
      </c>
      <c r="D315" s="26" t="s">
        <v>72</v>
      </c>
      <c r="E315" s="26" t="s">
        <v>144</v>
      </c>
      <c r="F315" s="26" t="s">
        <v>145</v>
      </c>
      <c r="G315" s="26" t="s">
        <v>796</v>
      </c>
      <c r="H315" s="28">
        <v>0</v>
      </c>
      <c r="I315" s="28">
        <v>1663.48</v>
      </c>
      <c r="J315" s="28">
        <v>-1663.48</v>
      </c>
      <c r="K315" s="26" t="s">
        <v>136</v>
      </c>
      <c r="L315" s="26" t="s">
        <v>153</v>
      </c>
      <c r="M315" s="26" t="s">
        <v>131</v>
      </c>
    </row>
    <row r="316" spans="1:13">
      <c r="A316" s="23" t="s">
        <v>797</v>
      </c>
      <c r="B316" s="24">
        <v>46035</v>
      </c>
      <c r="C316" s="23" t="s">
        <v>125</v>
      </c>
      <c r="D316" s="23" t="s">
        <v>81</v>
      </c>
      <c r="E316" s="23" t="s">
        <v>155</v>
      </c>
      <c r="F316" s="23" t="s">
        <v>156</v>
      </c>
      <c r="G316" s="23" t="s">
        <v>798</v>
      </c>
      <c r="H316" s="25">
        <v>5064.7299999999996</v>
      </c>
      <c r="I316" s="25">
        <v>0</v>
      </c>
      <c r="J316" s="25">
        <v>5064.7299999999996</v>
      </c>
      <c r="K316" s="23" t="s">
        <v>136</v>
      </c>
      <c r="L316" s="23" t="s">
        <v>130</v>
      </c>
      <c r="M316" s="23" t="s">
        <v>158</v>
      </c>
    </row>
    <row r="317" spans="1:13">
      <c r="A317" s="26" t="s">
        <v>799</v>
      </c>
      <c r="B317" s="27">
        <v>46032</v>
      </c>
      <c r="C317" s="26" t="s">
        <v>125</v>
      </c>
      <c r="D317" s="26" t="s">
        <v>81</v>
      </c>
      <c r="E317" s="26" t="s">
        <v>220</v>
      </c>
      <c r="F317" s="26" t="s">
        <v>221</v>
      </c>
      <c r="G317" s="26" t="s">
        <v>800</v>
      </c>
      <c r="H317" s="28">
        <v>1119.18</v>
      </c>
      <c r="I317" s="28">
        <v>0</v>
      </c>
      <c r="J317" s="28">
        <v>1119.18</v>
      </c>
      <c r="K317" s="26" t="s">
        <v>129</v>
      </c>
      <c r="L317" s="26" t="s">
        <v>148</v>
      </c>
      <c r="M317" s="26" t="s">
        <v>158</v>
      </c>
    </row>
    <row r="318" spans="1:13">
      <c r="A318" s="23" t="s">
        <v>801</v>
      </c>
      <c r="B318" s="24">
        <v>46039</v>
      </c>
      <c r="C318" s="23" t="s">
        <v>125</v>
      </c>
      <c r="D318" s="23" t="s">
        <v>81</v>
      </c>
      <c r="E318" s="23" t="s">
        <v>163</v>
      </c>
      <c r="F318" s="23" t="s">
        <v>250</v>
      </c>
      <c r="G318" s="23" t="s">
        <v>802</v>
      </c>
      <c r="H318" s="25">
        <v>965.15</v>
      </c>
      <c r="I318" s="25">
        <v>0</v>
      </c>
      <c r="J318" s="25">
        <v>965.15</v>
      </c>
      <c r="K318" s="23" t="s">
        <v>161</v>
      </c>
      <c r="L318" s="23" t="s">
        <v>148</v>
      </c>
      <c r="M318" s="23" t="s">
        <v>158</v>
      </c>
    </row>
    <row r="319" spans="1:13">
      <c r="A319" s="26" t="s">
        <v>803</v>
      </c>
      <c r="B319" s="27">
        <v>46026</v>
      </c>
      <c r="C319" s="26" t="s">
        <v>125</v>
      </c>
      <c r="D319" s="26" t="s">
        <v>72</v>
      </c>
      <c r="E319" s="26" t="s">
        <v>208</v>
      </c>
      <c r="F319" s="26" t="s">
        <v>209</v>
      </c>
      <c r="G319" s="26" t="s">
        <v>804</v>
      </c>
      <c r="H319" s="28">
        <v>0</v>
      </c>
      <c r="I319" s="28">
        <v>4045.58</v>
      </c>
      <c r="J319" s="28">
        <v>-4045.58</v>
      </c>
      <c r="K319" s="26" t="s">
        <v>129</v>
      </c>
      <c r="L319" s="26" t="s">
        <v>130</v>
      </c>
      <c r="M319" s="26" t="s">
        <v>131</v>
      </c>
    </row>
    <row r="320" spans="1:13">
      <c r="A320" s="23" t="s">
        <v>805</v>
      </c>
      <c r="B320" s="24">
        <v>46036</v>
      </c>
      <c r="C320" s="23" t="s">
        <v>125</v>
      </c>
      <c r="D320" s="23" t="s">
        <v>107</v>
      </c>
      <c r="E320" s="23" t="s">
        <v>191</v>
      </c>
      <c r="F320" s="23" t="s">
        <v>192</v>
      </c>
      <c r="G320" s="23" t="s">
        <v>806</v>
      </c>
      <c r="H320" s="25">
        <v>0</v>
      </c>
      <c r="I320" s="25">
        <v>31.66</v>
      </c>
      <c r="J320" s="25">
        <v>-31.66</v>
      </c>
      <c r="K320" s="23" t="s">
        <v>161</v>
      </c>
      <c r="L320" s="23" t="s">
        <v>130</v>
      </c>
      <c r="M320" s="23" t="s">
        <v>194</v>
      </c>
    </row>
    <row r="321" spans="1:13">
      <c r="A321" s="26" t="s">
        <v>807</v>
      </c>
      <c r="B321" s="27">
        <v>46046</v>
      </c>
      <c r="C321" s="26" t="s">
        <v>125</v>
      </c>
      <c r="D321" s="26" t="s">
        <v>81</v>
      </c>
      <c r="E321" s="26" t="s">
        <v>173</v>
      </c>
      <c r="F321" s="26" t="s">
        <v>174</v>
      </c>
      <c r="G321" s="26" t="s">
        <v>808</v>
      </c>
      <c r="H321" s="28">
        <v>3903.95</v>
      </c>
      <c r="I321" s="28">
        <v>0</v>
      </c>
      <c r="J321" s="28">
        <v>3903.95</v>
      </c>
      <c r="K321" s="26" t="s">
        <v>161</v>
      </c>
      <c r="L321" s="26" t="s">
        <v>142</v>
      </c>
      <c r="M321" s="26" t="s">
        <v>158</v>
      </c>
    </row>
    <row r="322" spans="1:13">
      <c r="A322" s="23" t="s">
        <v>809</v>
      </c>
      <c r="B322" s="24">
        <v>46047</v>
      </c>
      <c r="C322" s="23" t="s">
        <v>125</v>
      </c>
      <c r="D322" s="23" t="s">
        <v>90</v>
      </c>
      <c r="E322" s="23" t="s">
        <v>155</v>
      </c>
      <c r="F322" s="23" t="s">
        <v>164</v>
      </c>
      <c r="G322" s="23" t="s">
        <v>810</v>
      </c>
      <c r="H322" s="25">
        <v>359.69</v>
      </c>
      <c r="I322" s="25">
        <v>0</v>
      </c>
      <c r="J322" s="25">
        <v>359.69</v>
      </c>
      <c r="K322" s="23" t="s">
        <v>147</v>
      </c>
      <c r="L322" s="23" t="s">
        <v>148</v>
      </c>
      <c r="M322" s="23" t="s">
        <v>131</v>
      </c>
    </row>
    <row r="323" spans="1:13">
      <c r="A323" s="26" t="s">
        <v>811</v>
      </c>
      <c r="B323" s="27">
        <v>46050</v>
      </c>
      <c r="C323" s="26" t="s">
        <v>125</v>
      </c>
      <c r="D323" s="26" t="s">
        <v>81</v>
      </c>
      <c r="E323" s="26" t="s">
        <v>155</v>
      </c>
      <c r="F323" s="26" t="s">
        <v>156</v>
      </c>
      <c r="G323" s="26" t="s">
        <v>812</v>
      </c>
      <c r="H323" s="28">
        <v>2766.92</v>
      </c>
      <c r="I323" s="28">
        <v>0</v>
      </c>
      <c r="J323" s="28">
        <v>2766.92</v>
      </c>
      <c r="K323" s="26" t="s">
        <v>161</v>
      </c>
      <c r="L323" s="26" t="s">
        <v>153</v>
      </c>
      <c r="M323" s="26" t="s">
        <v>158</v>
      </c>
    </row>
    <row r="324" spans="1:13">
      <c r="A324" s="23" t="s">
        <v>813</v>
      </c>
      <c r="B324" s="24">
        <v>46050</v>
      </c>
      <c r="C324" s="23" t="s">
        <v>125</v>
      </c>
      <c r="D324" s="23" t="s">
        <v>81</v>
      </c>
      <c r="E324" s="23" t="s">
        <v>173</v>
      </c>
      <c r="F324" s="23" t="s">
        <v>174</v>
      </c>
      <c r="G324" s="23" t="s">
        <v>814</v>
      </c>
      <c r="H324" s="25">
        <v>6944.71</v>
      </c>
      <c r="I324" s="25">
        <v>0</v>
      </c>
      <c r="J324" s="25">
        <v>6944.71</v>
      </c>
      <c r="K324" s="23" t="s">
        <v>147</v>
      </c>
      <c r="L324" s="23" t="s">
        <v>153</v>
      </c>
      <c r="M324" s="23" t="s">
        <v>158</v>
      </c>
    </row>
    <row r="325" spans="1:13">
      <c r="A325" s="26" t="s">
        <v>815</v>
      </c>
      <c r="B325" s="27">
        <v>46030</v>
      </c>
      <c r="C325" s="26" t="s">
        <v>125</v>
      </c>
      <c r="D325" s="26" t="s">
        <v>72</v>
      </c>
      <c r="E325" s="26" t="s">
        <v>133</v>
      </c>
      <c r="F325" s="26" t="s">
        <v>134</v>
      </c>
      <c r="G325" s="26" t="s">
        <v>816</v>
      </c>
      <c r="H325" s="28">
        <v>0</v>
      </c>
      <c r="I325" s="28">
        <v>2364.63</v>
      </c>
      <c r="J325" s="28">
        <v>-2364.63</v>
      </c>
      <c r="K325" s="26" t="s">
        <v>129</v>
      </c>
      <c r="L325" s="26" t="s">
        <v>153</v>
      </c>
      <c r="M325" s="26" t="s">
        <v>131</v>
      </c>
    </row>
    <row r="326" spans="1:13">
      <c r="A326" s="23" t="s">
        <v>817</v>
      </c>
      <c r="B326" s="24">
        <v>46036</v>
      </c>
      <c r="C326" s="23" t="s">
        <v>125</v>
      </c>
      <c r="D326" s="23" t="s">
        <v>72</v>
      </c>
      <c r="E326" s="23" t="s">
        <v>126</v>
      </c>
      <c r="F326" s="23" t="s">
        <v>127</v>
      </c>
      <c r="G326" s="23" t="s">
        <v>818</v>
      </c>
      <c r="H326" s="25">
        <v>0</v>
      </c>
      <c r="I326" s="25">
        <v>3368.76</v>
      </c>
      <c r="J326" s="25">
        <v>-3368.76</v>
      </c>
      <c r="K326" s="23" t="s">
        <v>129</v>
      </c>
      <c r="L326" s="23" t="s">
        <v>153</v>
      </c>
      <c r="M326" s="23" t="s">
        <v>131</v>
      </c>
    </row>
    <row r="327" spans="1:13">
      <c r="A327" s="26" t="s">
        <v>819</v>
      </c>
      <c r="B327" s="27">
        <v>46033</v>
      </c>
      <c r="C327" s="26" t="s">
        <v>125</v>
      </c>
      <c r="D327" s="26" t="s">
        <v>99</v>
      </c>
      <c r="E327" s="26" t="s">
        <v>182</v>
      </c>
      <c r="F327" s="26" t="s">
        <v>183</v>
      </c>
      <c r="G327" s="26" t="s">
        <v>820</v>
      </c>
      <c r="H327" s="28">
        <v>0</v>
      </c>
      <c r="I327" s="28">
        <v>11481.44</v>
      </c>
      <c r="J327" s="28">
        <v>-11481.44</v>
      </c>
      <c r="K327" s="26" t="s">
        <v>147</v>
      </c>
      <c r="L327" s="26" t="s">
        <v>137</v>
      </c>
      <c r="M327" s="26" t="s">
        <v>185</v>
      </c>
    </row>
    <row r="328" spans="1:13">
      <c r="A328" s="23" t="s">
        <v>821</v>
      </c>
      <c r="B328" s="24">
        <v>46053</v>
      </c>
      <c r="C328" s="23" t="s">
        <v>125</v>
      </c>
      <c r="D328" s="23" t="s">
        <v>81</v>
      </c>
      <c r="E328" s="23" t="s">
        <v>155</v>
      </c>
      <c r="F328" s="23" t="s">
        <v>156</v>
      </c>
      <c r="G328" s="23" t="s">
        <v>822</v>
      </c>
      <c r="H328" s="25">
        <v>4283</v>
      </c>
      <c r="I328" s="25">
        <v>0</v>
      </c>
      <c r="J328" s="25">
        <v>4283</v>
      </c>
      <c r="K328" s="23" t="s">
        <v>161</v>
      </c>
      <c r="L328" s="23" t="s">
        <v>142</v>
      </c>
      <c r="M328" s="23" t="s">
        <v>158</v>
      </c>
    </row>
    <row r="329" spans="1:13">
      <c r="A329" s="26" t="s">
        <v>823</v>
      </c>
      <c r="B329" s="27">
        <v>46025</v>
      </c>
      <c r="C329" s="26" t="s">
        <v>125</v>
      </c>
      <c r="D329" s="26" t="s">
        <v>81</v>
      </c>
      <c r="E329" s="26" t="s">
        <v>173</v>
      </c>
      <c r="F329" s="26" t="s">
        <v>174</v>
      </c>
      <c r="G329" s="26" t="s">
        <v>824</v>
      </c>
      <c r="H329" s="28">
        <v>2588.9499999999998</v>
      </c>
      <c r="I329" s="28">
        <v>0</v>
      </c>
      <c r="J329" s="28">
        <v>2588.9499999999998</v>
      </c>
      <c r="K329" s="26" t="s">
        <v>147</v>
      </c>
      <c r="L329" s="26" t="s">
        <v>130</v>
      </c>
      <c r="M329" s="26" t="s">
        <v>158</v>
      </c>
    </row>
    <row r="330" spans="1:13">
      <c r="A330" s="23" t="s">
        <v>825</v>
      </c>
      <c r="B330" s="24">
        <v>46041</v>
      </c>
      <c r="C330" s="23" t="s">
        <v>125</v>
      </c>
      <c r="D330" s="23" t="s">
        <v>90</v>
      </c>
      <c r="E330" s="23" t="s">
        <v>155</v>
      </c>
      <c r="F330" s="23" t="s">
        <v>164</v>
      </c>
      <c r="G330" s="23" t="s">
        <v>826</v>
      </c>
      <c r="H330" s="25">
        <v>0</v>
      </c>
      <c r="I330" s="25">
        <v>2501.8000000000002</v>
      </c>
      <c r="J330" s="25">
        <v>-2501.8000000000002</v>
      </c>
      <c r="K330" s="23" t="s">
        <v>147</v>
      </c>
      <c r="L330" s="23" t="s">
        <v>153</v>
      </c>
      <c r="M330" s="23" t="s">
        <v>158</v>
      </c>
    </row>
    <row r="331" spans="1:13">
      <c r="A331" s="26" t="s">
        <v>827</v>
      </c>
      <c r="B331" s="27">
        <v>46034</v>
      </c>
      <c r="C331" s="26" t="s">
        <v>125</v>
      </c>
      <c r="D331" s="26" t="s">
        <v>81</v>
      </c>
      <c r="E331" s="26" t="s">
        <v>220</v>
      </c>
      <c r="F331" s="26" t="s">
        <v>221</v>
      </c>
      <c r="G331" s="26" t="s">
        <v>828</v>
      </c>
      <c r="H331" s="28">
        <v>6496.03</v>
      </c>
      <c r="I331" s="28">
        <v>0</v>
      </c>
      <c r="J331" s="28">
        <v>6496.03</v>
      </c>
      <c r="K331" s="26" t="s">
        <v>161</v>
      </c>
      <c r="L331" s="26" t="s">
        <v>153</v>
      </c>
      <c r="M331" s="26" t="s">
        <v>158</v>
      </c>
    </row>
    <row r="332" spans="1:13">
      <c r="A332" s="23" t="s">
        <v>829</v>
      </c>
      <c r="B332" s="24">
        <v>46049</v>
      </c>
      <c r="C332" s="23" t="s">
        <v>125</v>
      </c>
      <c r="D332" s="23" t="s">
        <v>81</v>
      </c>
      <c r="E332" s="23" t="s">
        <v>173</v>
      </c>
      <c r="F332" s="23" t="s">
        <v>174</v>
      </c>
      <c r="G332" s="23" t="s">
        <v>830</v>
      </c>
      <c r="H332" s="25">
        <v>2635.87</v>
      </c>
      <c r="I332" s="25">
        <v>0</v>
      </c>
      <c r="J332" s="25">
        <v>2635.87</v>
      </c>
      <c r="K332" s="23" t="s">
        <v>178</v>
      </c>
      <c r="L332" s="23" t="s">
        <v>142</v>
      </c>
      <c r="M332" s="23" t="s">
        <v>158</v>
      </c>
    </row>
    <row r="333" spans="1:13">
      <c r="A333" s="26" t="s">
        <v>831</v>
      </c>
      <c r="B333" s="27">
        <v>46026</v>
      </c>
      <c r="C333" s="26" t="s">
        <v>125</v>
      </c>
      <c r="D333" s="26" t="s">
        <v>90</v>
      </c>
      <c r="E333" s="26" t="s">
        <v>150</v>
      </c>
      <c r="F333" s="26" t="s">
        <v>164</v>
      </c>
      <c r="G333" s="26" t="s">
        <v>832</v>
      </c>
      <c r="H333" s="28">
        <v>0</v>
      </c>
      <c r="I333" s="28">
        <v>1088.9000000000001</v>
      </c>
      <c r="J333" s="28">
        <v>-1088.9000000000001</v>
      </c>
      <c r="K333" s="26" t="s">
        <v>136</v>
      </c>
      <c r="L333" s="26" t="s">
        <v>142</v>
      </c>
      <c r="M333" s="26" t="s">
        <v>426</v>
      </c>
    </row>
    <row r="334" spans="1:13">
      <c r="A334" s="23" t="s">
        <v>833</v>
      </c>
      <c r="B334" s="24">
        <v>46049</v>
      </c>
      <c r="C334" s="23" t="s">
        <v>125</v>
      </c>
      <c r="D334" s="23" t="s">
        <v>72</v>
      </c>
      <c r="E334" s="23" t="s">
        <v>144</v>
      </c>
      <c r="F334" s="23" t="s">
        <v>145</v>
      </c>
      <c r="G334" s="23" t="s">
        <v>834</v>
      </c>
      <c r="H334" s="25">
        <v>0</v>
      </c>
      <c r="I334" s="25">
        <v>3568.85</v>
      </c>
      <c r="J334" s="25">
        <v>-3568.85</v>
      </c>
      <c r="K334" s="23" t="s">
        <v>136</v>
      </c>
      <c r="L334" s="23" t="s">
        <v>148</v>
      </c>
      <c r="M334" s="23" t="s">
        <v>131</v>
      </c>
    </row>
    <row r="335" spans="1:13">
      <c r="A335" s="26" t="s">
        <v>835</v>
      </c>
      <c r="B335" s="27">
        <v>46045</v>
      </c>
      <c r="C335" s="26" t="s">
        <v>125</v>
      </c>
      <c r="D335" s="26" t="s">
        <v>72</v>
      </c>
      <c r="E335" s="26" t="s">
        <v>204</v>
      </c>
      <c r="F335" s="26" t="s">
        <v>205</v>
      </c>
      <c r="G335" s="26" t="s">
        <v>836</v>
      </c>
      <c r="H335" s="28">
        <v>0</v>
      </c>
      <c r="I335" s="28">
        <v>1716.14</v>
      </c>
      <c r="J335" s="28">
        <v>-1716.14</v>
      </c>
      <c r="K335" s="26" t="s">
        <v>136</v>
      </c>
      <c r="L335" s="26" t="s">
        <v>137</v>
      </c>
      <c r="M335" s="26" t="s">
        <v>131</v>
      </c>
    </row>
    <row r="336" spans="1:13">
      <c r="A336" s="23" t="s">
        <v>837</v>
      </c>
      <c r="B336" s="24">
        <v>46031</v>
      </c>
      <c r="C336" s="23" t="s">
        <v>125</v>
      </c>
      <c r="D336" s="23" t="s">
        <v>99</v>
      </c>
      <c r="E336" s="23" t="s">
        <v>182</v>
      </c>
      <c r="F336" s="23" t="s">
        <v>183</v>
      </c>
      <c r="G336" s="23" t="s">
        <v>838</v>
      </c>
      <c r="H336" s="25">
        <v>0</v>
      </c>
      <c r="I336" s="25">
        <v>4339.88</v>
      </c>
      <c r="J336" s="25">
        <v>-4339.88</v>
      </c>
      <c r="K336" s="23" t="s">
        <v>129</v>
      </c>
      <c r="L336" s="23" t="s">
        <v>130</v>
      </c>
      <c r="M336" s="23" t="s">
        <v>185</v>
      </c>
    </row>
    <row r="337" spans="1:13">
      <c r="A337" s="26" t="s">
        <v>839</v>
      </c>
      <c r="B337" s="27">
        <v>46047</v>
      </c>
      <c r="C337" s="26" t="s">
        <v>125</v>
      </c>
      <c r="D337" s="26" t="s">
        <v>99</v>
      </c>
      <c r="E337" s="26" t="s">
        <v>182</v>
      </c>
      <c r="F337" s="26" t="s">
        <v>183</v>
      </c>
      <c r="G337" s="26" t="s">
        <v>840</v>
      </c>
      <c r="H337" s="28">
        <v>0</v>
      </c>
      <c r="I337" s="28">
        <v>8194.16</v>
      </c>
      <c r="J337" s="28">
        <v>-8194.16</v>
      </c>
      <c r="K337" s="26" t="s">
        <v>129</v>
      </c>
      <c r="L337" s="26" t="s">
        <v>153</v>
      </c>
      <c r="M337" s="26" t="s">
        <v>185</v>
      </c>
    </row>
    <row r="338" spans="1:13">
      <c r="A338" s="23" t="s">
        <v>841</v>
      </c>
      <c r="B338" s="24">
        <v>46025</v>
      </c>
      <c r="C338" s="23" t="s">
        <v>125</v>
      </c>
      <c r="D338" s="23" t="s">
        <v>81</v>
      </c>
      <c r="E338" s="23" t="s">
        <v>220</v>
      </c>
      <c r="F338" s="23" t="s">
        <v>221</v>
      </c>
      <c r="G338" s="23" t="s">
        <v>842</v>
      </c>
      <c r="H338" s="25">
        <v>3513.8</v>
      </c>
      <c r="I338" s="25">
        <v>0</v>
      </c>
      <c r="J338" s="25">
        <v>3513.8</v>
      </c>
      <c r="K338" s="23" t="s">
        <v>147</v>
      </c>
      <c r="L338" s="23" t="s">
        <v>148</v>
      </c>
      <c r="M338" s="23" t="s">
        <v>158</v>
      </c>
    </row>
    <row r="339" spans="1:13">
      <c r="A339" s="26" t="s">
        <v>843</v>
      </c>
      <c r="B339" s="27">
        <v>46023</v>
      </c>
      <c r="C339" s="26" t="s">
        <v>125</v>
      </c>
      <c r="D339" s="26" t="s">
        <v>99</v>
      </c>
      <c r="E339" s="26" t="s">
        <v>182</v>
      </c>
      <c r="F339" s="26" t="s">
        <v>183</v>
      </c>
      <c r="G339" s="26" t="s">
        <v>844</v>
      </c>
      <c r="H339" s="28">
        <v>0</v>
      </c>
      <c r="I339" s="28">
        <v>14783.93</v>
      </c>
      <c r="J339" s="28">
        <v>-14783.93</v>
      </c>
      <c r="K339" s="26" t="s">
        <v>178</v>
      </c>
      <c r="L339" s="26" t="s">
        <v>142</v>
      </c>
      <c r="M339" s="26" t="s">
        <v>185</v>
      </c>
    </row>
    <row r="340" spans="1:13">
      <c r="A340" s="23" t="s">
        <v>845</v>
      </c>
      <c r="B340" s="24">
        <v>46048</v>
      </c>
      <c r="C340" s="23" t="s">
        <v>125</v>
      </c>
      <c r="D340" s="23" t="s">
        <v>81</v>
      </c>
      <c r="E340" s="23" t="s">
        <v>173</v>
      </c>
      <c r="F340" s="23" t="s">
        <v>174</v>
      </c>
      <c r="G340" s="23" t="s">
        <v>846</v>
      </c>
      <c r="H340" s="25">
        <v>8233.8700000000008</v>
      </c>
      <c r="I340" s="25">
        <v>0</v>
      </c>
      <c r="J340" s="25">
        <v>8233.8700000000008</v>
      </c>
      <c r="K340" s="23" t="s">
        <v>129</v>
      </c>
      <c r="L340" s="23" t="s">
        <v>142</v>
      </c>
      <c r="M340" s="23" t="s">
        <v>158</v>
      </c>
    </row>
    <row r="341" spans="1:13">
      <c r="A341" s="26" t="s">
        <v>847</v>
      </c>
      <c r="B341" s="27">
        <v>46041</v>
      </c>
      <c r="C341" s="26" t="s">
        <v>125</v>
      </c>
      <c r="D341" s="26" t="s">
        <v>72</v>
      </c>
      <c r="E341" s="26" t="s">
        <v>139</v>
      </c>
      <c r="F341" s="26" t="s">
        <v>140</v>
      </c>
      <c r="G341" s="26" t="s">
        <v>848</v>
      </c>
      <c r="H341" s="28">
        <v>0</v>
      </c>
      <c r="I341" s="28">
        <v>3050.27</v>
      </c>
      <c r="J341" s="28">
        <v>-3050.27</v>
      </c>
      <c r="K341" s="26" t="s">
        <v>147</v>
      </c>
      <c r="L341" s="26" t="s">
        <v>137</v>
      </c>
      <c r="M341" s="26" t="s">
        <v>131</v>
      </c>
    </row>
    <row r="342" spans="1:13">
      <c r="A342" s="23" t="s">
        <v>849</v>
      </c>
      <c r="B342" s="24">
        <v>46037</v>
      </c>
      <c r="C342" s="23" t="s">
        <v>125</v>
      </c>
      <c r="D342" s="23" t="s">
        <v>81</v>
      </c>
      <c r="E342" s="23" t="s">
        <v>163</v>
      </c>
      <c r="F342" s="23" t="s">
        <v>250</v>
      </c>
      <c r="G342" s="23" t="s">
        <v>850</v>
      </c>
      <c r="H342" s="25">
        <v>1839.36</v>
      </c>
      <c r="I342" s="25">
        <v>0</v>
      </c>
      <c r="J342" s="25">
        <v>1839.36</v>
      </c>
      <c r="K342" s="23" t="s">
        <v>129</v>
      </c>
      <c r="L342" s="23" t="s">
        <v>148</v>
      </c>
      <c r="M342" s="23" t="s">
        <v>158</v>
      </c>
    </row>
    <row r="343" spans="1:13">
      <c r="A343" s="26" t="s">
        <v>851</v>
      </c>
      <c r="B343" s="27">
        <v>46034</v>
      </c>
      <c r="C343" s="26" t="s">
        <v>125</v>
      </c>
      <c r="D343" s="26" t="s">
        <v>72</v>
      </c>
      <c r="E343" s="26" t="s">
        <v>208</v>
      </c>
      <c r="F343" s="26" t="s">
        <v>209</v>
      </c>
      <c r="G343" s="26" t="s">
        <v>852</v>
      </c>
      <c r="H343" s="28">
        <v>0</v>
      </c>
      <c r="I343" s="28">
        <v>4146.79</v>
      </c>
      <c r="J343" s="28">
        <v>-4146.79</v>
      </c>
      <c r="K343" s="26" t="s">
        <v>129</v>
      </c>
      <c r="L343" s="26" t="s">
        <v>137</v>
      </c>
      <c r="M343" s="26" t="s">
        <v>131</v>
      </c>
    </row>
    <row r="344" spans="1:13">
      <c r="A344" s="23" t="s">
        <v>853</v>
      </c>
      <c r="B344" s="24">
        <v>46047</v>
      </c>
      <c r="C344" s="23" t="s">
        <v>125</v>
      </c>
      <c r="D344" s="23" t="s">
        <v>72</v>
      </c>
      <c r="E344" s="23" t="s">
        <v>126</v>
      </c>
      <c r="F344" s="23" t="s">
        <v>127</v>
      </c>
      <c r="G344" s="23" t="s">
        <v>854</v>
      </c>
      <c r="H344" s="25">
        <v>0</v>
      </c>
      <c r="I344" s="25">
        <v>638.14</v>
      </c>
      <c r="J344" s="25">
        <v>-638.14</v>
      </c>
      <c r="K344" s="23" t="s">
        <v>178</v>
      </c>
      <c r="L344" s="23" t="s">
        <v>137</v>
      </c>
      <c r="M344" s="23" t="s">
        <v>131</v>
      </c>
    </row>
    <row r="345" spans="1:13">
      <c r="A345" s="26" t="s">
        <v>855</v>
      </c>
      <c r="B345" s="27">
        <v>46030</v>
      </c>
      <c r="C345" s="26" t="s">
        <v>125</v>
      </c>
      <c r="D345" s="26" t="s">
        <v>81</v>
      </c>
      <c r="E345" s="26" t="s">
        <v>163</v>
      </c>
      <c r="F345" s="26" t="s">
        <v>250</v>
      </c>
      <c r="G345" s="26" t="s">
        <v>856</v>
      </c>
      <c r="H345" s="28">
        <v>227.55</v>
      </c>
      <c r="I345" s="28">
        <v>0</v>
      </c>
      <c r="J345" s="28">
        <v>227.55</v>
      </c>
      <c r="K345" s="26" t="s">
        <v>147</v>
      </c>
      <c r="L345" s="26" t="s">
        <v>137</v>
      </c>
      <c r="M345" s="26" t="s">
        <v>158</v>
      </c>
    </row>
    <row r="346" spans="1:13">
      <c r="A346" s="23" t="s">
        <v>857</v>
      </c>
      <c r="B346" s="24">
        <v>46036</v>
      </c>
      <c r="C346" s="23" t="s">
        <v>125</v>
      </c>
      <c r="D346" s="23" t="s">
        <v>90</v>
      </c>
      <c r="E346" s="23" t="s">
        <v>220</v>
      </c>
      <c r="F346" s="23" t="s">
        <v>164</v>
      </c>
      <c r="G346" s="23" t="s">
        <v>858</v>
      </c>
      <c r="H346" s="25">
        <v>400.6</v>
      </c>
      <c r="I346" s="25">
        <v>0</v>
      </c>
      <c r="J346" s="25">
        <v>400.6</v>
      </c>
      <c r="K346" s="23" t="s">
        <v>178</v>
      </c>
      <c r="L346" s="23" t="s">
        <v>148</v>
      </c>
      <c r="M346" s="23" t="s">
        <v>158</v>
      </c>
    </row>
    <row r="347" spans="1:13">
      <c r="A347" s="26" t="s">
        <v>859</v>
      </c>
      <c r="B347" s="27">
        <v>46047</v>
      </c>
      <c r="C347" s="26" t="s">
        <v>125</v>
      </c>
      <c r="D347" s="26" t="s">
        <v>99</v>
      </c>
      <c r="E347" s="26" t="s">
        <v>182</v>
      </c>
      <c r="F347" s="26" t="s">
        <v>183</v>
      </c>
      <c r="G347" s="26" t="s">
        <v>860</v>
      </c>
      <c r="H347" s="28">
        <v>0</v>
      </c>
      <c r="I347" s="28">
        <v>15180.21</v>
      </c>
      <c r="J347" s="28">
        <v>-15180.21</v>
      </c>
      <c r="K347" s="26" t="s">
        <v>129</v>
      </c>
      <c r="L347" s="26" t="s">
        <v>137</v>
      </c>
      <c r="M347" s="26" t="s">
        <v>185</v>
      </c>
    </row>
    <row r="348" spans="1:13">
      <c r="A348" s="23" t="s">
        <v>861</v>
      </c>
      <c r="B348" s="24">
        <v>46028</v>
      </c>
      <c r="C348" s="23" t="s">
        <v>125</v>
      </c>
      <c r="D348" s="23" t="s">
        <v>81</v>
      </c>
      <c r="E348" s="23" t="s">
        <v>155</v>
      </c>
      <c r="F348" s="23" t="s">
        <v>156</v>
      </c>
      <c r="G348" s="23" t="s">
        <v>862</v>
      </c>
      <c r="H348" s="25">
        <v>1929.01</v>
      </c>
      <c r="I348" s="25">
        <v>0</v>
      </c>
      <c r="J348" s="25">
        <v>1929.01</v>
      </c>
      <c r="K348" s="23" t="s">
        <v>129</v>
      </c>
      <c r="L348" s="23" t="s">
        <v>142</v>
      </c>
      <c r="M348" s="23" t="s">
        <v>158</v>
      </c>
    </row>
    <row r="349" spans="1:13">
      <c r="A349" s="26" t="s">
        <v>863</v>
      </c>
      <c r="B349" s="27">
        <v>46025</v>
      </c>
      <c r="C349" s="26" t="s">
        <v>125</v>
      </c>
      <c r="D349" s="26" t="s">
        <v>99</v>
      </c>
      <c r="E349" s="26" t="s">
        <v>182</v>
      </c>
      <c r="F349" s="26" t="s">
        <v>183</v>
      </c>
      <c r="G349" s="26" t="s">
        <v>864</v>
      </c>
      <c r="H349" s="28">
        <v>0</v>
      </c>
      <c r="I349" s="28">
        <v>4530.1899999999996</v>
      </c>
      <c r="J349" s="28">
        <v>-4530.1899999999996</v>
      </c>
      <c r="K349" s="26" t="s">
        <v>178</v>
      </c>
      <c r="L349" s="26" t="s">
        <v>153</v>
      </c>
      <c r="M349" s="26" t="s">
        <v>185</v>
      </c>
    </row>
    <row r="350" spans="1:13">
      <c r="A350" s="23" t="s">
        <v>865</v>
      </c>
      <c r="B350" s="24">
        <v>46033</v>
      </c>
      <c r="C350" s="23" t="s">
        <v>125</v>
      </c>
      <c r="D350" s="23" t="s">
        <v>90</v>
      </c>
      <c r="E350" s="23" t="s">
        <v>150</v>
      </c>
      <c r="F350" s="23" t="s">
        <v>164</v>
      </c>
      <c r="G350" s="23" t="s">
        <v>866</v>
      </c>
      <c r="H350" s="25">
        <v>1420.99</v>
      </c>
      <c r="I350" s="25">
        <v>0</v>
      </c>
      <c r="J350" s="25">
        <v>1420.99</v>
      </c>
      <c r="K350" s="23" t="s">
        <v>178</v>
      </c>
      <c r="L350" s="23" t="s">
        <v>148</v>
      </c>
      <c r="M350" s="23" t="s">
        <v>867</v>
      </c>
    </row>
    <row r="351" spans="1:13">
      <c r="A351" s="26" t="s">
        <v>868</v>
      </c>
      <c r="B351" s="27">
        <v>46032</v>
      </c>
      <c r="C351" s="26" t="s">
        <v>125</v>
      </c>
      <c r="D351" s="26" t="s">
        <v>81</v>
      </c>
      <c r="E351" s="26" t="s">
        <v>173</v>
      </c>
      <c r="F351" s="26" t="s">
        <v>174</v>
      </c>
      <c r="G351" s="26" t="s">
        <v>869</v>
      </c>
      <c r="H351" s="28">
        <v>4282.3100000000004</v>
      </c>
      <c r="I351" s="28">
        <v>0</v>
      </c>
      <c r="J351" s="28">
        <v>4282.3100000000004</v>
      </c>
      <c r="K351" s="26" t="s">
        <v>178</v>
      </c>
      <c r="L351" s="26" t="s">
        <v>130</v>
      </c>
      <c r="M351" s="26" t="s">
        <v>158</v>
      </c>
    </row>
    <row r="352" spans="1:13">
      <c r="A352" s="23" t="s">
        <v>870</v>
      </c>
      <c r="B352" s="24">
        <v>46023</v>
      </c>
      <c r="C352" s="23" t="s">
        <v>125</v>
      </c>
      <c r="D352" s="23" t="s">
        <v>107</v>
      </c>
      <c r="E352" s="23" t="s">
        <v>191</v>
      </c>
      <c r="F352" s="23" t="s">
        <v>192</v>
      </c>
      <c r="G352" s="23" t="s">
        <v>871</v>
      </c>
      <c r="H352" s="25">
        <v>0</v>
      </c>
      <c r="I352" s="25">
        <v>112.4</v>
      </c>
      <c r="J352" s="25">
        <v>-112.4</v>
      </c>
      <c r="K352" s="23" t="s">
        <v>129</v>
      </c>
      <c r="L352" s="23" t="s">
        <v>142</v>
      </c>
      <c r="M352" s="23" t="s">
        <v>194</v>
      </c>
    </row>
    <row r="353" spans="1:13">
      <c r="A353" s="26" t="s">
        <v>872</v>
      </c>
      <c r="B353" s="27">
        <v>46041</v>
      </c>
      <c r="C353" s="26" t="s">
        <v>125</v>
      </c>
      <c r="D353" s="26" t="s">
        <v>81</v>
      </c>
      <c r="E353" s="26" t="s">
        <v>167</v>
      </c>
      <c r="F353" s="26" t="s">
        <v>168</v>
      </c>
      <c r="G353" s="26" t="s">
        <v>873</v>
      </c>
      <c r="H353" s="28">
        <v>5852.57</v>
      </c>
      <c r="I353" s="28">
        <v>0</v>
      </c>
      <c r="J353" s="28">
        <v>5852.57</v>
      </c>
      <c r="K353" s="26" t="s">
        <v>161</v>
      </c>
      <c r="L353" s="26" t="s">
        <v>137</v>
      </c>
      <c r="M353" s="26" t="s">
        <v>158</v>
      </c>
    </row>
    <row r="354" spans="1:13">
      <c r="A354" s="23" t="s">
        <v>874</v>
      </c>
      <c r="B354" s="24">
        <v>46024</v>
      </c>
      <c r="C354" s="23" t="s">
        <v>125</v>
      </c>
      <c r="D354" s="23" t="s">
        <v>107</v>
      </c>
      <c r="E354" s="23" t="s">
        <v>191</v>
      </c>
      <c r="F354" s="23" t="s">
        <v>192</v>
      </c>
      <c r="G354" s="23" t="s">
        <v>875</v>
      </c>
      <c r="H354" s="25">
        <v>0</v>
      </c>
      <c r="I354" s="25">
        <v>114.1</v>
      </c>
      <c r="J354" s="25">
        <v>-114.1</v>
      </c>
      <c r="K354" s="23" t="s">
        <v>161</v>
      </c>
      <c r="L354" s="23" t="s">
        <v>153</v>
      </c>
      <c r="M354" s="23" t="s">
        <v>194</v>
      </c>
    </row>
    <row r="355" spans="1:13">
      <c r="A355" s="26" t="s">
        <v>876</v>
      </c>
      <c r="B355" s="27">
        <v>46035</v>
      </c>
      <c r="C355" s="26" t="s">
        <v>125</v>
      </c>
      <c r="D355" s="26" t="s">
        <v>72</v>
      </c>
      <c r="E355" s="26" t="s">
        <v>204</v>
      </c>
      <c r="F355" s="26" t="s">
        <v>205</v>
      </c>
      <c r="G355" s="26" t="s">
        <v>877</v>
      </c>
      <c r="H355" s="28">
        <v>0</v>
      </c>
      <c r="I355" s="28">
        <v>3370.45</v>
      </c>
      <c r="J355" s="28">
        <v>-3370.45</v>
      </c>
      <c r="K355" s="26" t="s">
        <v>129</v>
      </c>
      <c r="L355" s="26" t="s">
        <v>148</v>
      </c>
      <c r="M355" s="26" t="s">
        <v>131</v>
      </c>
    </row>
    <row r="356" spans="1:13">
      <c r="A356" s="23" t="s">
        <v>878</v>
      </c>
      <c r="B356" s="24">
        <v>46029</v>
      </c>
      <c r="C356" s="23" t="s">
        <v>125</v>
      </c>
      <c r="D356" s="23" t="s">
        <v>107</v>
      </c>
      <c r="E356" s="23" t="s">
        <v>191</v>
      </c>
      <c r="F356" s="23" t="s">
        <v>192</v>
      </c>
      <c r="G356" s="23" t="s">
        <v>879</v>
      </c>
      <c r="H356" s="25">
        <v>0</v>
      </c>
      <c r="I356" s="25">
        <v>22.87</v>
      </c>
      <c r="J356" s="25">
        <v>-22.87</v>
      </c>
      <c r="K356" s="23" t="s">
        <v>147</v>
      </c>
      <c r="L356" s="23" t="s">
        <v>142</v>
      </c>
      <c r="M356" s="23" t="s">
        <v>194</v>
      </c>
    </row>
    <row r="357" spans="1:13">
      <c r="A357" s="26" t="s">
        <v>880</v>
      </c>
      <c r="B357" s="27">
        <v>46036</v>
      </c>
      <c r="C357" s="26" t="s">
        <v>125</v>
      </c>
      <c r="D357" s="26" t="s">
        <v>90</v>
      </c>
      <c r="E357" s="26" t="s">
        <v>150</v>
      </c>
      <c r="F357" s="26" t="s">
        <v>164</v>
      </c>
      <c r="G357" s="26" t="s">
        <v>881</v>
      </c>
      <c r="H357" s="28">
        <v>336.63</v>
      </c>
      <c r="I357" s="28">
        <v>0</v>
      </c>
      <c r="J357" s="28">
        <v>336.63</v>
      </c>
      <c r="K357" s="26" t="s">
        <v>178</v>
      </c>
      <c r="L357" s="26" t="s">
        <v>142</v>
      </c>
      <c r="M357" s="26" t="s">
        <v>185</v>
      </c>
    </row>
    <row r="358" spans="1:13">
      <c r="A358" s="23" t="s">
        <v>882</v>
      </c>
      <c r="B358" s="24">
        <v>46046</v>
      </c>
      <c r="C358" s="23" t="s">
        <v>125</v>
      </c>
      <c r="D358" s="23" t="s">
        <v>81</v>
      </c>
      <c r="E358" s="23" t="s">
        <v>173</v>
      </c>
      <c r="F358" s="23" t="s">
        <v>174</v>
      </c>
      <c r="G358" s="23" t="s">
        <v>883</v>
      </c>
      <c r="H358" s="25">
        <v>1147.3499999999999</v>
      </c>
      <c r="I358" s="25">
        <v>0</v>
      </c>
      <c r="J358" s="25">
        <v>1147.3499999999999</v>
      </c>
      <c r="K358" s="23" t="s">
        <v>129</v>
      </c>
      <c r="L358" s="23" t="s">
        <v>137</v>
      </c>
      <c r="M358" s="23" t="s">
        <v>158</v>
      </c>
    </row>
    <row r="359" spans="1:13">
      <c r="A359" s="26" t="s">
        <v>884</v>
      </c>
      <c r="B359" s="27">
        <v>46048</v>
      </c>
      <c r="C359" s="26" t="s">
        <v>125</v>
      </c>
      <c r="D359" s="26" t="s">
        <v>99</v>
      </c>
      <c r="E359" s="26" t="s">
        <v>182</v>
      </c>
      <c r="F359" s="26" t="s">
        <v>183</v>
      </c>
      <c r="G359" s="26" t="s">
        <v>885</v>
      </c>
      <c r="H359" s="28">
        <v>0</v>
      </c>
      <c r="I359" s="28">
        <v>6259.08</v>
      </c>
      <c r="J359" s="28">
        <v>-6259.08</v>
      </c>
      <c r="K359" s="26" t="s">
        <v>147</v>
      </c>
      <c r="L359" s="26" t="s">
        <v>130</v>
      </c>
      <c r="M359" s="26" t="s">
        <v>185</v>
      </c>
    </row>
    <row r="360" spans="1:13">
      <c r="A360" s="23" t="s">
        <v>886</v>
      </c>
      <c r="B360" s="24">
        <v>46026</v>
      </c>
      <c r="C360" s="23" t="s">
        <v>125</v>
      </c>
      <c r="D360" s="23" t="s">
        <v>90</v>
      </c>
      <c r="E360" s="23" t="s">
        <v>144</v>
      </c>
      <c r="F360" s="23" t="s">
        <v>164</v>
      </c>
      <c r="G360" s="23" t="s">
        <v>887</v>
      </c>
      <c r="H360" s="25">
        <v>1708.3</v>
      </c>
      <c r="I360" s="25">
        <v>0</v>
      </c>
      <c r="J360" s="25">
        <v>1708.3</v>
      </c>
      <c r="K360" s="23" t="s">
        <v>147</v>
      </c>
      <c r="L360" s="23" t="s">
        <v>153</v>
      </c>
      <c r="M360" s="23" t="s">
        <v>158</v>
      </c>
    </row>
    <row r="361" spans="1:13">
      <c r="A361" s="26" t="s">
        <v>888</v>
      </c>
      <c r="B361" s="27">
        <v>46034</v>
      </c>
      <c r="C361" s="26" t="s">
        <v>125</v>
      </c>
      <c r="D361" s="26" t="s">
        <v>72</v>
      </c>
      <c r="E361" s="26" t="s">
        <v>139</v>
      </c>
      <c r="F361" s="26" t="s">
        <v>140</v>
      </c>
      <c r="G361" s="26" t="s">
        <v>889</v>
      </c>
      <c r="H361" s="28">
        <v>0</v>
      </c>
      <c r="I361" s="28">
        <v>3549.34</v>
      </c>
      <c r="J361" s="28">
        <v>-3549.34</v>
      </c>
      <c r="K361" s="26" t="s">
        <v>147</v>
      </c>
      <c r="L361" s="26" t="s">
        <v>130</v>
      </c>
      <c r="M361" s="26" t="s">
        <v>131</v>
      </c>
    </row>
    <row r="362" spans="1:13">
      <c r="A362" s="23" t="s">
        <v>890</v>
      </c>
      <c r="B362" s="24">
        <v>46044</v>
      </c>
      <c r="C362" s="23" t="s">
        <v>125</v>
      </c>
      <c r="D362" s="23" t="s">
        <v>90</v>
      </c>
      <c r="E362" s="23" t="s">
        <v>150</v>
      </c>
      <c r="F362" s="23" t="s">
        <v>164</v>
      </c>
      <c r="G362" s="23" t="s">
        <v>891</v>
      </c>
      <c r="H362" s="25">
        <v>3716.86</v>
      </c>
      <c r="I362" s="25">
        <v>0</v>
      </c>
      <c r="J362" s="25">
        <v>3716.86</v>
      </c>
      <c r="K362" s="23" t="s">
        <v>129</v>
      </c>
      <c r="L362" s="23" t="s">
        <v>137</v>
      </c>
      <c r="M362" s="23" t="s">
        <v>242</v>
      </c>
    </row>
    <row r="363" spans="1:13">
      <c r="A363" s="26" t="s">
        <v>892</v>
      </c>
      <c r="B363" s="27">
        <v>46028</v>
      </c>
      <c r="C363" s="26" t="s">
        <v>125</v>
      </c>
      <c r="D363" s="26" t="s">
        <v>107</v>
      </c>
      <c r="E363" s="26" t="s">
        <v>191</v>
      </c>
      <c r="F363" s="26" t="s">
        <v>192</v>
      </c>
      <c r="G363" s="26" t="s">
        <v>893</v>
      </c>
      <c r="H363" s="28">
        <v>0</v>
      </c>
      <c r="I363" s="28">
        <v>103.61</v>
      </c>
      <c r="J363" s="28">
        <v>-103.61</v>
      </c>
      <c r="K363" s="26" t="s">
        <v>136</v>
      </c>
      <c r="L363" s="26" t="s">
        <v>142</v>
      </c>
      <c r="M363" s="26" t="s">
        <v>194</v>
      </c>
    </row>
    <row r="364" spans="1:13">
      <c r="A364" s="23" t="s">
        <v>894</v>
      </c>
      <c r="B364" s="24">
        <v>46046</v>
      </c>
      <c r="C364" s="23" t="s">
        <v>125</v>
      </c>
      <c r="D364" s="23" t="s">
        <v>72</v>
      </c>
      <c r="E364" s="23" t="s">
        <v>139</v>
      </c>
      <c r="F364" s="23" t="s">
        <v>140</v>
      </c>
      <c r="G364" s="23" t="s">
        <v>895</v>
      </c>
      <c r="H364" s="25">
        <v>0</v>
      </c>
      <c r="I364" s="25">
        <v>556.66999999999996</v>
      </c>
      <c r="J364" s="25">
        <v>-556.66999999999996</v>
      </c>
      <c r="K364" s="23" t="s">
        <v>147</v>
      </c>
      <c r="L364" s="23" t="s">
        <v>137</v>
      </c>
      <c r="M364" s="23" t="s">
        <v>131</v>
      </c>
    </row>
    <row r="365" spans="1:13">
      <c r="A365" s="26" t="s">
        <v>896</v>
      </c>
      <c r="B365" s="27">
        <v>46048</v>
      </c>
      <c r="C365" s="26" t="s">
        <v>125</v>
      </c>
      <c r="D365" s="26" t="s">
        <v>81</v>
      </c>
      <c r="E365" s="26" t="s">
        <v>220</v>
      </c>
      <c r="F365" s="26" t="s">
        <v>221</v>
      </c>
      <c r="G365" s="26" t="s">
        <v>897</v>
      </c>
      <c r="H365" s="28">
        <v>8116.56</v>
      </c>
      <c r="I365" s="28">
        <v>0</v>
      </c>
      <c r="J365" s="28">
        <v>8116.56</v>
      </c>
      <c r="K365" s="26" t="s">
        <v>178</v>
      </c>
      <c r="L365" s="26" t="s">
        <v>142</v>
      </c>
      <c r="M365" s="26" t="s">
        <v>158</v>
      </c>
    </row>
    <row r="366" spans="1:13">
      <c r="A366" s="23" t="s">
        <v>898</v>
      </c>
      <c r="B366" s="24">
        <v>46047</v>
      </c>
      <c r="C366" s="23" t="s">
        <v>125</v>
      </c>
      <c r="D366" s="23" t="s">
        <v>99</v>
      </c>
      <c r="E366" s="23" t="s">
        <v>182</v>
      </c>
      <c r="F366" s="23" t="s">
        <v>183</v>
      </c>
      <c r="G366" s="23" t="s">
        <v>899</v>
      </c>
      <c r="H366" s="25">
        <v>0</v>
      </c>
      <c r="I366" s="25">
        <v>7245.86</v>
      </c>
      <c r="J366" s="25">
        <v>-7245.86</v>
      </c>
      <c r="K366" s="23" t="s">
        <v>136</v>
      </c>
      <c r="L366" s="23" t="s">
        <v>142</v>
      </c>
      <c r="M366" s="23" t="s">
        <v>185</v>
      </c>
    </row>
    <row r="367" spans="1:13">
      <c r="A367" s="26" t="s">
        <v>900</v>
      </c>
      <c r="B367" s="27">
        <v>46048</v>
      </c>
      <c r="C367" s="26" t="s">
        <v>125</v>
      </c>
      <c r="D367" s="26" t="s">
        <v>72</v>
      </c>
      <c r="E367" s="26" t="s">
        <v>204</v>
      </c>
      <c r="F367" s="26" t="s">
        <v>205</v>
      </c>
      <c r="G367" s="26" t="s">
        <v>901</v>
      </c>
      <c r="H367" s="28">
        <v>0</v>
      </c>
      <c r="I367" s="28">
        <v>1564.61</v>
      </c>
      <c r="J367" s="28">
        <v>-1564.61</v>
      </c>
      <c r="K367" s="26" t="s">
        <v>147</v>
      </c>
      <c r="L367" s="26" t="s">
        <v>153</v>
      </c>
      <c r="M367" s="26" t="s">
        <v>131</v>
      </c>
    </row>
    <row r="368" spans="1:13">
      <c r="A368" s="23" t="s">
        <v>902</v>
      </c>
      <c r="B368" s="24">
        <v>46047</v>
      </c>
      <c r="C368" s="23" t="s">
        <v>125</v>
      </c>
      <c r="D368" s="23" t="s">
        <v>90</v>
      </c>
      <c r="E368" s="23" t="s">
        <v>167</v>
      </c>
      <c r="F368" s="23" t="s">
        <v>164</v>
      </c>
      <c r="G368" s="23" t="s">
        <v>903</v>
      </c>
      <c r="H368" s="25">
        <v>0</v>
      </c>
      <c r="I368" s="25">
        <v>4507.1899999999996</v>
      </c>
      <c r="J368" s="25">
        <v>-4507.1899999999996</v>
      </c>
      <c r="K368" s="23" t="s">
        <v>129</v>
      </c>
      <c r="L368" s="23" t="s">
        <v>137</v>
      </c>
      <c r="M368" s="23" t="s">
        <v>225</v>
      </c>
    </row>
    <row r="369" spans="1:13">
      <c r="A369" s="26" t="s">
        <v>904</v>
      </c>
      <c r="B369" s="27">
        <v>46023</v>
      </c>
      <c r="C369" s="26" t="s">
        <v>125</v>
      </c>
      <c r="D369" s="26" t="s">
        <v>72</v>
      </c>
      <c r="E369" s="26" t="s">
        <v>208</v>
      </c>
      <c r="F369" s="26" t="s">
        <v>209</v>
      </c>
      <c r="G369" s="26" t="s">
        <v>905</v>
      </c>
      <c r="H369" s="28">
        <v>0</v>
      </c>
      <c r="I369" s="28">
        <v>3971.96</v>
      </c>
      <c r="J369" s="28">
        <v>-3971.96</v>
      </c>
      <c r="K369" s="26" t="s">
        <v>178</v>
      </c>
      <c r="L369" s="26" t="s">
        <v>148</v>
      </c>
      <c r="M369" s="26" t="s">
        <v>131</v>
      </c>
    </row>
    <row r="370" spans="1:13">
      <c r="A370" s="23" t="s">
        <v>906</v>
      </c>
      <c r="B370" s="24">
        <v>46046</v>
      </c>
      <c r="C370" s="23" t="s">
        <v>125</v>
      </c>
      <c r="D370" s="23" t="s">
        <v>72</v>
      </c>
      <c r="E370" s="23" t="s">
        <v>133</v>
      </c>
      <c r="F370" s="23" t="s">
        <v>134</v>
      </c>
      <c r="G370" s="23" t="s">
        <v>907</v>
      </c>
      <c r="H370" s="25">
        <v>0</v>
      </c>
      <c r="I370" s="25">
        <v>3322.46</v>
      </c>
      <c r="J370" s="25">
        <v>-3322.46</v>
      </c>
      <c r="K370" s="23" t="s">
        <v>129</v>
      </c>
      <c r="L370" s="23" t="s">
        <v>142</v>
      </c>
      <c r="M370" s="23" t="s">
        <v>131</v>
      </c>
    </row>
    <row r="371" spans="1:13">
      <c r="A371" s="26" t="s">
        <v>908</v>
      </c>
      <c r="B371" s="27">
        <v>46027</v>
      </c>
      <c r="C371" s="26" t="s">
        <v>125</v>
      </c>
      <c r="D371" s="26" t="s">
        <v>90</v>
      </c>
      <c r="E371" s="26" t="s">
        <v>133</v>
      </c>
      <c r="F371" s="26" t="s">
        <v>164</v>
      </c>
      <c r="G371" s="26" t="s">
        <v>909</v>
      </c>
      <c r="H371" s="28">
        <v>267.31</v>
      </c>
      <c r="I371" s="28">
        <v>0</v>
      </c>
      <c r="J371" s="28">
        <v>267.31</v>
      </c>
      <c r="K371" s="26" t="s">
        <v>147</v>
      </c>
      <c r="L371" s="26" t="s">
        <v>142</v>
      </c>
      <c r="M371" s="26" t="s">
        <v>185</v>
      </c>
    </row>
    <row r="372" spans="1:13">
      <c r="A372" s="23" t="s">
        <v>910</v>
      </c>
      <c r="B372" s="24">
        <v>46025</v>
      </c>
      <c r="C372" s="23" t="s">
        <v>125</v>
      </c>
      <c r="D372" s="23" t="s">
        <v>81</v>
      </c>
      <c r="E372" s="23" t="s">
        <v>167</v>
      </c>
      <c r="F372" s="23" t="s">
        <v>168</v>
      </c>
      <c r="G372" s="23" t="s">
        <v>911</v>
      </c>
      <c r="H372" s="25">
        <v>1264.8399999999999</v>
      </c>
      <c r="I372" s="25">
        <v>0</v>
      </c>
      <c r="J372" s="25">
        <v>1264.8399999999999</v>
      </c>
      <c r="K372" s="23" t="s">
        <v>161</v>
      </c>
      <c r="L372" s="23" t="s">
        <v>137</v>
      </c>
      <c r="M372" s="23" t="s">
        <v>158</v>
      </c>
    </row>
    <row r="373" spans="1:13">
      <c r="A373" s="26" t="s">
        <v>912</v>
      </c>
      <c r="B373" s="27">
        <v>46053</v>
      </c>
      <c r="C373" s="26" t="s">
        <v>125</v>
      </c>
      <c r="D373" s="26" t="s">
        <v>72</v>
      </c>
      <c r="E373" s="26" t="s">
        <v>208</v>
      </c>
      <c r="F373" s="26" t="s">
        <v>209</v>
      </c>
      <c r="G373" s="26" t="s">
        <v>913</v>
      </c>
      <c r="H373" s="28">
        <v>0</v>
      </c>
      <c r="I373" s="28">
        <v>1677.26</v>
      </c>
      <c r="J373" s="28">
        <v>-1677.26</v>
      </c>
      <c r="K373" s="26" t="s">
        <v>147</v>
      </c>
      <c r="L373" s="26" t="s">
        <v>142</v>
      </c>
      <c r="M373" s="26" t="s">
        <v>131</v>
      </c>
    </row>
    <row r="374" spans="1:13">
      <c r="A374" s="23" t="s">
        <v>914</v>
      </c>
      <c r="B374" s="24">
        <v>46031</v>
      </c>
      <c r="C374" s="23" t="s">
        <v>125</v>
      </c>
      <c r="D374" s="23" t="s">
        <v>72</v>
      </c>
      <c r="E374" s="23" t="s">
        <v>133</v>
      </c>
      <c r="F374" s="23" t="s">
        <v>134</v>
      </c>
      <c r="G374" s="23" t="s">
        <v>915</v>
      </c>
      <c r="H374" s="25">
        <v>0</v>
      </c>
      <c r="I374" s="25">
        <v>913</v>
      </c>
      <c r="J374" s="25">
        <v>-913</v>
      </c>
      <c r="K374" s="23" t="s">
        <v>136</v>
      </c>
      <c r="L374" s="23" t="s">
        <v>137</v>
      </c>
      <c r="M374" s="23" t="s">
        <v>131</v>
      </c>
    </row>
    <row r="375" spans="1:13">
      <c r="A375" s="26" t="s">
        <v>916</v>
      </c>
      <c r="B375" s="27">
        <v>46033</v>
      </c>
      <c r="C375" s="26" t="s">
        <v>125</v>
      </c>
      <c r="D375" s="26" t="s">
        <v>81</v>
      </c>
      <c r="E375" s="26" t="s">
        <v>167</v>
      </c>
      <c r="F375" s="26" t="s">
        <v>168</v>
      </c>
      <c r="G375" s="26" t="s">
        <v>917</v>
      </c>
      <c r="H375" s="28">
        <v>3141.7</v>
      </c>
      <c r="I375" s="28">
        <v>0</v>
      </c>
      <c r="J375" s="28">
        <v>3141.7</v>
      </c>
      <c r="K375" s="26" t="s">
        <v>129</v>
      </c>
      <c r="L375" s="26" t="s">
        <v>142</v>
      </c>
      <c r="M375" s="26" t="s">
        <v>158</v>
      </c>
    </row>
    <row r="376" spans="1:13">
      <c r="A376" s="23" t="s">
        <v>918</v>
      </c>
      <c r="B376" s="24">
        <v>46025</v>
      </c>
      <c r="C376" s="23" t="s">
        <v>125</v>
      </c>
      <c r="D376" s="23" t="s">
        <v>72</v>
      </c>
      <c r="E376" s="23" t="s">
        <v>126</v>
      </c>
      <c r="F376" s="23" t="s">
        <v>127</v>
      </c>
      <c r="G376" s="23" t="s">
        <v>919</v>
      </c>
      <c r="H376" s="25">
        <v>0</v>
      </c>
      <c r="I376" s="25">
        <v>1941.8</v>
      </c>
      <c r="J376" s="25">
        <v>-1941.8</v>
      </c>
      <c r="K376" s="23" t="s">
        <v>136</v>
      </c>
      <c r="L376" s="23" t="s">
        <v>137</v>
      </c>
      <c r="M376" s="23" t="s">
        <v>131</v>
      </c>
    </row>
    <row r="377" spans="1:13">
      <c r="A377" s="26" t="s">
        <v>920</v>
      </c>
      <c r="B377" s="27">
        <v>46045</v>
      </c>
      <c r="C377" s="26" t="s">
        <v>125</v>
      </c>
      <c r="D377" s="26" t="s">
        <v>72</v>
      </c>
      <c r="E377" s="26" t="s">
        <v>208</v>
      </c>
      <c r="F377" s="26" t="s">
        <v>209</v>
      </c>
      <c r="G377" s="26" t="s">
        <v>921</v>
      </c>
      <c r="H377" s="28">
        <v>0</v>
      </c>
      <c r="I377" s="28">
        <v>2505.02</v>
      </c>
      <c r="J377" s="28">
        <v>-2505.02</v>
      </c>
      <c r="K377" s="26" t="s">
        <v>178</v>
      </c>
      <c r="L377" s="26" t="s">
        <v>148</v>
      </c>
      <c r="M377" s="26" t="s">
        <v>131</v>
      </c>
    </row>
    <row r="378" spans="1:13">
      <c r="A378" s="23" t="s">
        <v>922</v>
      </c>
      <c r="B378" s="24">
        <v>46050</v>
      </c>
      <c r="C378" s="23" t="s">
        <v>125</v>
      </c>
      <c r="D378" s="23" t="s">
        <v>81</v>
      </c>
      <c r="E378" s="23" t="s">
        <v>155</v>
      </c>
      <c r="F378" s="23" t="s">
        <v>156</v>
      </c>
      <c r="G378" s="23" t="s">
        <v>923</v>
      </c>
      <c r="H378" s="25">
        <v>4743.51</v>
      </c>
      <c r="I378" s="25">
        <v>0</v>
      </c>
      <c r="J378" s="25">
        <v>4743.51</v>
      </c>
      <c r="K378" s="23" t="s">
        <v>178</v>
      </c>
      <c r="L378" s="23" t="s">
        <v>142</v>
      </c>
      <c r="M378" s="23" t="s">
        <v>158</v>
      </c>
    </row>
    <row r="379" spans="1:13">
      <c r="A379" s="26" t="s">
        <v>924</v>
      </c>
      <c r="B379" s="27">
        <v>46024</v>
      </c>
      <c r="C379" s="26" t="s">
        <v>125</v>
      </c>
      <c r="D379" s="26" t="s">
        <v>99</v>
      </c>
      <c r="E379" s="26" t="s">
        <v>182</v>
      </c>
      <c r="F379" s="26" t="s">
        <v>183</v>
      </c>
      <c r="G379" s="26" t="s">
        <v>925</v>
      </c>
      <c r="H379" s="28">
        <v>0</v>
      </c>
      <c r="I379" s="28">
        <v>16747.22</v>
      </c>
      <c r="J379" s="28">
        <v>-16747.22</v>
      </c>
      <c r="K379" s="26" t="s">
        <v>129</v>
      </c>
      <c r="L379" s="26" t="s">
        <v>130</v>
      </c>
      <c r="M379" s="26" t="s">
        <v>185</v>
      </c>
    </row>
    <row r="380" spans="1:13">
      <c r="A380" s="23" t="s">
        <v>926</v>
      </c>
      <c r="B380" s="24">
        <v>46034</v>
      </c>
      <c r="C380" s="23" t="s">
        <v>125</v>
      </c>
      <c r="D380" s="23" t="s">
        <v>90</v>
      </c>
      <c r="E380" s="23" t="s">
        <v>163</v>
      </c>
      <c r="F380" s="23" t="s">
        <v>164</v>
      </c>
      <c r="G380" s="23" t="s">
        <v>927</v>
      </c>
      <c r="H380" s="25">
        <v>0</v>
      </c>
      <c r="I380" s="25">
        <v>466</v>
      </c>
      <c r="J380" s="25">
        <v>-466</v>
      </c>
      <c r="K380" s="23" t="s">
        <v>178</v>
      </c>
      <c r="L380" s="23" t="s">
        <v>137</v>
      </c>
      <c r="M380" s="23" t="s">
        <v>158</v>
      </c>
    </row>
    <row r="381" spans="1:13">
      <c r="A381" s="26" t="s">
        <v>928</v>
      </c>
      <c r="B381" s="27">
        <v>46025</v>
      </c>
      <c r="C381" s="26" t="s">
        <v>125</v>
      </c>
      <c r="D381" s="26" t="s">
        <v>99</v>
      </c>
      <c r="E381" s="26" t="s">
        <v>182</v>
      </c>
      <c r="F381" s="26" t="s">
        <v>183</v>
      </c>
      <c r="G381" s="26" t="s">
        <v>929</v>
      </c>
      <c r="H381" s="28">
        <v>0</v>
      </c>
      <c r="I381" s="28">
        <v>14525.66</v>
      </c>
      <c r="J381" s="28">
        <v>-14525.66</v>
      </c>
      <c r="K381" s="26" t="s">
        <v>147</v>
      </c>
      <c r="L381" s="26" t="s">
        <v>137</v>
      </c>
      <c r="M381" s="26" t="s">
        <v>185</v>
      </c>
    </row>
    <row r="382" spans="1:13">
      <c r="A382" s="23" t="s">
        <v>930</v>
      </c>
      <c r="B382" s="24">
        <v>46036</v>
      </c>
      <c r="C382" s="23" t="s">
        <v>125</v>
      </c>
      <c r="D382" s="23" t="s">
        <v>99</v>
      </c>
      <c r="E382" s="23" t="s">
        <v>182</v>
      </c>
      <c r="F382" s="23" t="s">
        <v>183</v>
      </c>
      <c r="G382" s="23" t="s">
        <v>931</v>
      </c>
      <c r="H382" s="25">
        <v>0</v>
      </c>
      <c r="I382" s="25">
        <v>8227.48</v>
      </c>
      <c r="J382" s="25">
        <v>-8227.48</v>
      </c>
      <c r="K382" s="23" t="s">
        <v>178</v>
      </c>
      <c r="L382" s="23" t="s">
        <v>142</v>
      </c>
      <c r="M382" s="23" t="s">
        <v>185</v>
      </c>
    </row>
    <row r="383" spans="1:13">
      <c r="A383" s="26" t="s">
        <v>932</v>
      </c>
      <c r="B383" s="27">
        <v>46052</v>
      </c>
      <c r="C383" s="26" t="s">
        <v>125</v>
      </c>
      <c r="D383" s="26" t="s">
        <v>72</v>
      </c>
      <c r="E383" s="26" t="s">
        <v>208</v>
      </c>
      <c r="F383" s="26" t="s">
        <v>209</v>
      </c>
      <c r="G383" s="26" t="s">
        <v>933</v>
      </c>
      <c r="H383" s="28">
        <v>0</v>
      </c>
      <c r="I383" s="28">
        <v>2809.59</v>
      </c>
      <c r="J383" s="28">
        <v>-2809.59</v>
      </c>
      <c r="K383" s="26" t="s">
        <v>129</v>
      </c>
      <c r="L383" s="26" t="s">
        <v>137</v>
      </c>
      <c r="M383" s="26" t="s">
        <v>131</v>
      </c>
    </row>
    <row r="384" spans="1:13">
      <c r="A384" s="23" t="s">
        <v>934</v>
      </c>
      <c r="B384" s="24">
        <v>46038</v>
      </c>
      <c r="C384" s="23" t="s">
        <v>125</v>
      </c>
      <c r="D384" s="23" t="s">
        <v>81</v>
      </c>
      <c r="E384" s="23" t="s">
        <v>167</v>
      </c>
      <c r="F384" s="23" t="s">
        <v>168</v>
      </c>
      <c r="G384" s="23" t="s">
        <v>935</v>
      </c>
      <c r="H384" s="25">
        <v>4149.91</v>
      </c>
      <c r="I384" s="25">
        <v>0</v>
      </c>
      <c r="J384" s="25">
        <v>4149.91</v>
      </c>
      <c r="K384" s="23" t="s">
        <v>178</v>
      </c>
      <c r="L384" s="23" t="s">
        <v>148</v>
      </c>
      <c r="M384" s="23" t="s">
        <v>158</v>
      </c>
    </row>
    <row r="385" spans="1:13">
      <c r="A385" s="26" t="s">
        <v>936</v>
      </c>
      <c r="B385" s="27">
        <v>46051</v>
      </c>
      <c r="C385" s="26" t="s">
        <v>125</v>
      </c>
      <c r="D385" s="26" t="s">
        <v>90</v>
      </c>
      <c r="E385" s="26" t="s">
        <v>150</v>
      </c>
      <c r="F385" s="26" t="s">
        <v>164</v>
      </c>
      <c r="G385" s="26" t="s">
        <v>937</v>
      </c>
      <c r="H385" s="28">
        <v>0</v>
      </c>
      <c r="I385" s="28">
        <v>3172.23</v>
      </c>
      <c r="J385" s="28">
        <v>-3172.23</v>
      </c>
      <c r="K385" s="26" t="s">
        <v>161</v>
      </c>
      <c r="L385" s="26" t="s">
        <v>148</v>
      </c>
      <c r="M385" s="26" t="s">
        <v>242</v>
      </c>
    </row>
    <row r="386" spans="1:13">
      <c r="A386" s="23" t="s">
        <v>938</v>
      </c>
      <c r="B386" s="24">
        <v>46041</v>
      </c>
      <c r="C386" s="23" t="s">
        <v>125</v>
      </c>
      <c r="D386" s="23" t="s">
        <v>81</v>
      </c>
      <c r="E386" s="23" t="s">
        <v>163</v>
      </c>
      <c r="F386" s="23" t="s">
        <v>250</v>
      </c>
      <c r="G386" s="23" t="s">
        <v>939</v>
      </c>
      <c r="H386" s="25">
        <v>2408.14</v>
      </c>
      <c r="I386" s="25">
        <v>0</v>
      </c>
      <c r="J386" s="25">
        <v>2408.14</v>
      </c>
      <c r="K386" s="23" t="s">
        <v>178</v>
      </c>
      <c r="L386" s="23" t="s">
        <v>148</v>
      </c>
      <c r="M386" s="23" t="s">
        <v>158</v>
      </c>
    </row>
    <row r="387" spans="1:13">
      <c r="A387" s="26" t="s">
        <v>940</v>
      </c>
      <c r="B387" s="27">
        <v>46047</v>
      </c>
      <c r="C387" s="26" t="s">
        <v>125</v>
      </c>
      <c r="D387" s="26" t="s">
        <v>72</v>
      </c>
      <c r="E387" s="26" t="s">
        <v>139</v>
      </c>
      <c r="F387" s="26" t="s">
        <v>140</v>
      </c>
      <c r="G387" s="26" t="s">
        <v>941</v>
      </c>
      <c r="H387" s="28">
        <v>0</v>
      </c>
      <c r="I387" s="28">
        <v>6148.17</v>
      </c>
      <c r="J387" s="28">
        <v>-6148.17</v>
      </c>
      <c r="K387" s="26" t="s">
        <v>136</v>
      </c>
      <c r="L387" s="26" t="s">
        <v>148</v>
      </c>
      <c r="M387" s="26" t="s">
        <v>131</v>
      </c>
    </row>
    <row r="388" spans="1:13">
      <c r="A388" s="23" t="s">
        <v>942</v>
      </c>
      <c r="B388" s="24">
        <v>46026</v>
      </c>
      <c r="C388" s="23" t="s">
        <v>125</v>
      </c>
      <c r="D388" s="23" t="s">
        <v>72</v>
      </c>
      <c r="E388" s="23" t="s">
        <v>133</v>
      </c>
      <c r="F388" s="23" t="s">
        <v>134</v>
      </c>
      <c r="G388" s="23" t="s">
        <v>943</v>
      </c>
      <c r="H388" s="25">
        <v>0</v>
      </c>
      <c r="I388" s="25">
        <v>1711.15</v>
      </c>
      <c r="J388" s="25">
        <v>-1711.15</v>
      </c>
      <c r="K388" s="23" t="s">
        <v>178</v>
      </c>
      <c r="L388" s="23" t="s">
        <v>130</v>
      </c>
      <c r="M388" s="23" t="s">
        <v>131</v>
      </c>
    </row>
    <row r="389" spans="1:13">
      <c r="A389" s="26" t="s">
        <v>944</v>
      </c>
      <c r="B389" s="27">
        <v>46049</v>
      </c>
      <c r="C389" s="26" t="s">
        <v>125</v>
      </c>
      <c r="D389" s="26" t="s">
        <v>107</v>
      </c>
      <c r="E389" s="26" t="s">
        <v>191</v>
      </c>
      <c r="F389" s="26" t="s">
        <v>192</v>
      </c>
      <c r="G389" s="26" t="s">
        <v>945</v>
      </c>
      <c r="H389" s="28">
        <v>0</v>
      </c>
      <c r="I389" s="28">
        <v>24.98</v>
      </c>
      <c r="J389" s="28">
        <v>-24.98</v>
      </c>
      <c r="K389" s="26" t="s">
        <v>129</v>
      </c>
      <c r="L389" s="26" t="s">
        <v>153</v>
      </c>
      <c r="M389" s="26" t="s">
        <v>194</v>
      </c>
    </row>
    <row r="390" spans="1:13">
      <c r="A390" s="23" t="s">
        <v>946</v>
      </c>
      <c r="B390" s="24">
        <v>46023</v>
      </c>
      <c r="C390" s="23" t="s">
        <v>125</v>
      </c>
      <c r="D390" s="23" t="s">
        <v>90</v>
      </c>
      <c r="E390" s="23" t="s">
        <v>126</v>
      </c>
      <c r="F390" s="23" t="s">
        <v>164</v>
      </c>
      <c r="G390" s="23" t="s">
        <v>947</v>
      </c>
      <c r="H390" s="25">
        <v>0</v>
      </c>
      <c r="I390" s="25">
        <v>4740.42</v>
      </c>
      <c r="J390" s="25">
        <v>-4740.42</v>
      </c>
      <c r="K390" s="23" t="s">
        <v>161</v>
      </c>
      <c r="L390" s="23" t="s">
        <v>153</v>
      </c>
      <c r="M390" s="23" t="s">
        <v>225</v>
      </c>
    </row>
    <row r="391" spans="1:13">
      <c r="A391" s="26" t="s">
        <v>948</v>
      </c>
      <c r="B391" s="27">
        <v>46030</v>
      </c>
      <c r="C391" s="26" t="s">
        <v>125</v>
      </c>
      <c r="D391" s="26" t="s">
        <v>81</v>
      </c>
      <c r="E391" s="26" t="s">
        <v>220</v>
      </c>
      <c r="F391" s="26" t="s">
        <v>221</v>
      </c>
      <c r="G391" s="26" t="s">
        <v>949</v>
      </c>
      <c r="H391" s="28">
        <v>4545.8500000000004</v>
      </c>
      <c r="I391" s="28">
        <v>0</v>
      </c>
      <c r="J391" s="28">
        <v>4545.8500000000004</v>
      </c>
      <c r="K391" s="26" t="s">
        <v>178</v>
      </c>
      <c r="L391" s="26" t="s">
        <v>148</v>
      </c>
      <c r="M391" s="26" t="s">
        <v>158</v>
      </c>
    </row>
    <row r="392" spans="1:13">
      <c r="A392" s="23" t="s">
        <v>950</v>
      </c>
      <c r="B392" s="24">
        <v>46029</v>
      </c>
      <c r="C392" s="23" t="s">
        <v>125</v>
      </c>
      <c r="D392" s="23" t="s">
        <v>99</v>
      </c>
      <c r="E392" s="23" t="s">
        <v>182</v>
      </c>
      <c r="F392" s="23" t="s">
        <v>183</v>
      </c>
      <c r="G392" s="23" t="s">
        <v>951</v>
      </c>
      <c r="H392" s="25">
        <v>0</v>
      </c>
      <c r="I392" s="25">
        <v>7441.01</v>
      </c>
      <c r="J392" s="25">
        <v>-7441.01</v>
      </c>
      <c r="K392" s="23" t="s">
        <v>129</v>
      </c>
      <c r="L392" s="23" t="s">
        <v>148</v>
      </c>
      <c r="M392" s="23" t="s">
        <v>185</v>
      </c>
    </row>
    <row r="393" spans="1:13">
      <c r="A393" s="26" t="s">
        <v>952</v>
      </c>
      <c r="B393" s="27">
        <v>46052</v>
      </c>
      <c r="C393" s="26" t="s">
        <v>125</v>
      </c>
      <c r="D393" s="26" t="s">
        <v>72</v>
      </c>
      <c r="E393" s="26" t="s">
        <v>144</v>
      </c>
      <c r="F393" s="26" t="s">
        <v>145</v>
      </c>
      <c r="G393" s="26" t="s">
        <v>953</v>
      </c>
      <c r="H393" s="28">
        <v>0</v>
      </c>
      <c r="I393" s="28">
        <v>5260.46</v>
      </c>
      <c r="J393" s="28">
        <v>-5260.46</v>
      </c>
      <c r="K393" s="26" t="s">
        <v>147</v>
      </c>
      <c r="L393" s="26" t="s">
        <v>137</v>
      </c>
      <c r="M393" s="26" t="s">
        <v>131</v>
      </c>
    </row>
    <row r="394" spans="1:13">
      <c r="A394" s="23" t="s">
        <v>954</v>
      </c>
      <c r="B394" s="24">
        <v>46033</v>
      </c>
      <c r="C394" s="23" t="s">
        <v>125</v>
      </c>
      <c r="D394" s="23" t="s">
        <v>72</v>
      </c>
      <c r="E394" s="23" t="s">
        <v>133</v>
      </c>
      <c r="F394" s="23" t="s">
        <v>134</v>
      </c>
      <c r="G394" s="23" t="s">
        <v>955</v>
      </c>
      <c r="H394" s="25">
        <v>0</v>
      </c>
      <c r="I394" s="25">
        <v>6052.27</v>
      </c>
      <c r="J394" s="25">
        <v>-6052.27</v>
      </c>
      <c r="K394" s="23" t="s">
        <v>161</v>
      </c>
      <c r="L394" s="23" t="s">
        <v>142</v>
      </c>
      <c r="M394" s="23" t="s">
        <v>131</v>
      </c>
    </row>
    <row r="395" spans="1:13">
      <c r="A395" s="26" t="s">
        <v>956</v>
      </c>
      <c r="B395" s="27">
        <v>46040</v>
      </c>
      <c r="C395" s="26" t="s">
        <v>125</v>
      </c>
      <c r="D395" s="26" t="s">
        <v>90</v>
      </c>
      <c r="E395" s="26" t="s">
        <v>214</v>
      </c>
      <c r="F395" s="26" t="s">
        <v>164</v>
      </c>
      <c r="G395" s="26" t="s">
        <v>957</v>
      </c>
      <c r="H395" s="28">
        <v>3945.61</v>
      </c>
      <c r="I395" s="28">
        <v>0</v>
      </c>
      <c r="J395" s="28">
        <v>3945.61</v>
      </c>
      <c r="K395" s="26" t="s">
        <v>161</v>
      </c>
      <c r="L395" s="26" t="s">
        <v>148</v>
      </c>
      <c r="M395" s="26" t="s">
        <v>131</v>
      </c>
    </row>
    <row r="396" spans="1:13">
      <c r="A396" s="23" t="s">
        <v>958</v>
      </c>
      <c r="B396" s="24">
        <v>46046</v>
      </c>
      <c r="C396" s="23" t="s">
        <v>125</v>
      </c>
      <c r="D396" s="23" t="s">
        <v>72</v>
      </c>
      <c r="E396" s="23" t="s">
        <v>126</v>
      </c>
      <c r="F396" s="23" t="s">
        <v>127</v>
      </c>
      <c r="G396" s="23" t="s">
        <v>959</v>
      </c>
      <c r="H396" s="25">
        <v>0</v>
      </c>
      <c r="I396" s="25">
        <v>5886.03</v>
      </c>
      <c r="J396" s="25">
        <v>-5886.03</v>
      </c>
      <c r="K396" s="23" t="s">
        <v>161</v>
      </c>
      <c r="L396" s="23" t="s">
        <v>153</v>
      </c>
      <c r="M396" s="23" t="s">
        <v>131</v>
      </c>
    </row>
    <row r="397" spans="1:13">
      <c r="A397" s="26" t="s">
        <v>960</v>
      </c>
      <c r="B397" s="27">
        <v>46053</v>
      </c>
      <c r="C397" s="26" t="s">
        <v>125</v>
      </c>
      <c r="D397" s="26" t="s">
        <v>81</v>
      </c>
      <c r="E397" s="26" t="s">
        <v>155</v>
      </c>
      <c r="F397" s="26" t="s">
        <v>156</v>
      </c>
      <c r="G397" s="26" t="s">
        <v>961</v>
      </c>
      <c r="H397" s="28">
        <v>4872.34</v>
      </c>
      <c r="I397" s="28">
        <v>0</v>
      </c>
      <c r="J397" s="28">
        <v>4872.34</v>
      </c>
      <c r="K397" s="26" t="s">
        <v>161</v>
      </c>
      <c r="L397" s="26" t="s">
        <v>130</v>
      </c>
      <c r="M397" s="26" t="s">
        <v>158</v>
      </c>
    </row>
    <row r="398" spans="1:13">
      <c r="A398" s="23" t="s">
        <v>962</v>
      </c>
      <c r="B398" s="24">
        <v>46033</v>
      </c>
      <c r="C398" s="23" t="s">
        <v>125</v>
      </c>
      <c r="D398" s="23" t="s">
        <v>72</v>
      </c>
      <c r="E398" s="23" t="s">
        <v>144</v>
      </c>
      <c r="F398" s="23" t="s">
        <v>145</v>
      </c>
      <c r="G398" s="23" t="s">
        <v>963</v>
      </c>
      <c r="H398" s="25">
        <v>0</v>
      </c>
      <c r="I398" s="25">
        <v>5108.57</v>
      </c>
      <c r="J398" s="25">
        <v>-5108.57</v>
      </c>
      <c r="K398" s="23" t="s">
        <v>147</v>
      </c>
      <c r="L398" s="23" t="s">
        <v>142</v>
      </c>
      <c r="M398" s="23" t="s">
        <v>131</v>
      </c>
    </row>
    <row r="399" spans="1:13">
      <c r="A399" s="26" t="s">
        <v>964</v>
      </c>
      <c r="B399" s="27">
        <v>46025</v>
      </c>
      <c r="C399" s="26" t="s">
        <v>125</v>
      </c>
      <c r="D399" s="26" t="s">
        <v>81</v>
      </c>
      <c r="E399" s="26" t="s">
        <v>220</v>
      </c>
      <c r="F399" s="26" t="s">
        <v>221</v>
      </c>
      <c r="G399" s="26" t="s">
        <v>965</v>
      </c>
      <c r="H399" s="28">
        <v>6165.45</v>
      </c>
      <c r="I399" s="28">
        <v>0</v>
      </c>
      <c r="J399" s="28">
        <v>6165.45</v>
      </c>
      <c r="K399" s="26" t="s">
        <v>178</v>
      </c>
      <c r="L399" s="26" t="s">
        <v>142</v>
      </c>
      <c r="M399" s="26" t="s">
        <v>158</v>
      </c>
    </row>
    <row r="400" spans="1:13">
      <c r="A400" s="23" t="s">
        <v>966</v>
      </c>
      <c r="B400" s="24">
        <v>46051</v>
      </c>
      <c r="C400" s="23" t="s">
        <v>125</v>
      </c>
      <c r="D400" s="23" t="s">
        <v>81</v>
      </c>
      <c r="E400" s="23" t="s">
        <v>163</v>
      </c>
      <c r="F400" s="23" t="s">
        <v>250</v>
      </c>
      <c r="G400" s="23" t="s">
        <v>967</v>
      </c>
      <c r="H400" s="25">
        <v>3082.78</v>
      </c>
      <c r="I400" s="25">
        <v>0</v>
      </c>
      <c r="J400" s="25">
        <v>3082.78</v>
      </c>
      <c r="K400" s="23" t="s">
        <v>161</v>
      </c>
      <c r="L400" s="23" t="s">
        <v>137</v>
      </c>
      <c r="M400" s="23" t="s">
        <v>158</v>
      </c>
    </row>
    <row r="401" spans="1:13">
      <c r="A401" s="26" t="s">
        <v>968</v>
      </c>
      <c r="B401" s="27">
        <v>46048</v>
      </c>
      <c r="C401" s="26" t="s">
        <v>125</v>
      </c>
      <c r="D401" s="26" t="s">
        <v>99</v>
      </c>
      <c r="E401" s="26" t="s">
        <v>182</v>
      </c>
      <c r="F401" s="26" t="s">
        <v>183</v>
      </c>
      <c r="G401" s="26" t="s">
        <v>969</v>
      </c>
      <c r="H401" s="28">
        <v>0</v>
      </c>
      <c r="I401" s="28">
        <v>11939.06</v>
      </c>
      <c r="J401" s="28">
        <v>-11939.06</v>
      </c>
      <c r="K401" s="26" t="s">
        <v>129</v>
      </c>
      <c r="L401" s="26" t="s">
        <v>130</v>
      </c>
      <c r="M401" s="26" t="s">
        <v>185</v>
      </c>
    </row>
    <row r="402" spans="1:13">
      <c r="A402" s="23" t="s">
        <v>970</v>
      </c>
      <c r="B402" s="24">
        <v>46033</v>
      </c>
      <c r="C402" s="23" t="s">
        <v>125</v>
      </c>
      <c r="D402" s="23" t="s">
        <v>72</v>
      </c>
      <c r="E402" s="23" t="s">
        <v>144</v>
      </c>
      <c r="F402" s="23" t="s">
        <v>145</v>
      </c>
      <c r="G402" s="23" t="s">
        <v>971</v>
      </c>
      <c r="H402" s="25">
        <v>0</v>
      </c>
      <c r="I402" s="25">
        <v>534.11</v>
      </c>
      <c r="J402" s="25">
        <v>-534.11</v>
      </c>
      <c r="K402" s="23" t="s">
        <v>129</v>
      </c>
      <c r="L402" s="23" t="s">
        <v>142</v>
      </c>
      <c r="M402" s="23" t="s">
        <v>131</v>
      </c>
    </row>
    <row r="403" spans="1:13">
      <c r="A403" s="26" t="s">
        <v>972</v>
      </c>
      <c r="B403" s="27">
        <v>46051</v>
      </c>
      <c r="C403" s="26" t="s">
        <v>125</v>
      </c>
      <c r="D403" s="26" t="s">
        <v>107</v>
      </c>
      <c r="E403" s="26" t="s">
        <v>191</v>
      </c>
      <c r="F403" s="26" t="s">
        <v>192</v>
      </c>
      <c r="G403" s="26" t="s">
        <v>973</v>
      </c>
      <c r="H403" s="28">
        <v>0</v>
      </c>
      <c r="I403" s="28">
        <v>43.86</v>
      </c>
      <c r="J403" s="28">
        <v>-43.86</v>
      </c>
      <c r="K403" s="26" t="s">
        <v>136</v>
      </c>
      <c r="L403" s="26" t="s">
        <v>142</v>
      </c>
      <c r="M403" s="26" t="s">
        <v>194</v>
      </c>
    </row>
    <row r="404" spans="1:13">
      <c r="A404" s="23" t="s">
        <v>974</v>
      </c>
      <c r="B404" s="24">
        <v>46028</v>
      </c>
      <c r="C404" s="23" t="s">
        <v>125</v>
      </c>
      <c r="D404" s="23" t="s">
        <v>81</v>
      </c>
      <c r="E404" s="23" t="s">
        <v>163</v>
      </c>
      <c r="F404" s="23" t="s">
        <v>250</v>
      </c>
      <c r="G404" s="23" t="s">
        <v>975</v>
      </c>
      <c r="H404" s="25">
        <v>1461.82</v>
      </c>
      <c r="I404" s="25">
        <v>0</v>
      </c>
      <c r="J404" s="25">
        <v>1461.82</v>
      </c>
      <c r="K404" s="23" t="s">
        <v>178</v>
      </c>
      <c r="L404" s="23" t="s">
        <v>148</v>
      </c>
      <c r="M404" s="23" t="s">
        <v>158</v>
      </c>
    </row>
    <row r="405" spans="1:13">
      <c r="A405" s="26" t="s">
        <v>976</v>
      </c>
      <c r="B405" s="27">
        <v>46040</v>
      </c>
      <c r="C405" s="26" t="s">
        <v>125</v>
      </c>
      <c r="D405" s="26" t="s">
        <v>90</v>
      </c>
      <c r="E405" s="26" t="s">
        <v>167</v>
      </c>
      <c r="F405" s="26" t="s">
        <v>164</v>
      </c>
      <c r="G405" s="26" t="s">
        <v>977</v>
      </c>
      <c r="H405" s="28">
        <v>0</v>
      </c>
      <c r="I405" s="28">
        <v>2723.62</v>
      </c>
      <c r="J405" s="28">
        <v>-2723.62</v>
      </c>
      <c r="K405" s="26" t="s">
        <v>129</v>
      </c>
      <c r="L405" s="26" t="s">
        <v>137</v>
      </c>
      <c r="M405" s="26" t="s">
        <v>867</v>
      </c>
    </row>
    <row r="406" spans="1:13">
      <c r="A406" s="23" t="s">
        <v>978</v>
      </c>
      <c r="B406" s="24">
        <v>46034</v>
      </c>
      <c r="C406" s="23" t="s">
        <v>125</v>
      </c>
      <c r="D406" s="23" t="s">
        <v>72</v>
      </c>
      <c r="E406" s="23" t="s">
        <v>144</v>
      </c>
      <c r="F406" s="23" t="s">
        <v>145</v>
      </c>
      <c r="G406" s="23" t="s">
        <v>979</v>
      </c>
      <c r="H406" s="25">
        <v>0</v>
      </c>
      <c r="I406" s="25">
        <v>1882.64</v>
      </c>
      <c r="J406" s="25">
        <v>-1882.64</v>
      </c>
      <c r="K406" s="23" t="s">
        <v>136</v>
      </c>
      <c r="L406" s="23" t="s">
        <v>142</v>
      </c>
      <c r="M406" s="23" t="s">
        <v>131</v>
      </c>
    </row>
    <row r="407" spans="1:13">
      <c r="A407" s="26" t="s">
        <v>980</v>
      </c>
      <c r="B407" s="27">
        <v>46043</v>
      </c>
      <c r="C407" s="26" t="s">
        <v>125</v>
      </c>
      <c r="D407" s="26" t="s">
        <v>72</v>
      </c>
      <c r="E407" s="26" t="s">
        <v>144</v>
      </c>
      <c r="F407" s="26" t="s">
        <v>145</v>
      </c>
      <c r="G407" s="26" t="s">
        <v>981</v>
      </c>
      <c r="H407" s="28">
        <v>0</v>
      </c>
      <c r="I407" s="28">
        <v>2978.25</v>
      </c>
      <c r="J407" s="28">
        <v>-2978.25</v>
      </c>
      <c r="K407" s="26" t="s">
        <v>178</v>
      </c>
      <c r="L407" s="26" t="s">
        <v>148</v>
      </c>
      <c r="M407" s="26" t="s">
        <v>131</v>
      </c>
    </row>
    <row r="408" spans="1:13">
      <c r="A408" s="23" t="s">
        <v>982</v>
      </c>
      <c r="B408" s="24">
        <v>46044</v>
      </c>
      <c r="C408" s="23" t="s">
        <v>125</v>
      </c>
      <c r="D408" s="23" t="s">
        <v>72</v>
      </c>
      <c r="E408" s="23" t="s">
        <v>126</v>
      </c>
      <c r="F408" s="23" t="s">
        <v>127</v>
      </c>
      <c r="G408" s="23" t="s">
        <v>983</v>
      </c>
      <c r="H408" s="25">
        <v>0</v>
      </c>
      <c r="I408" s="25">
        <v>3410.05</v>
      </c>
      <c r="J408" s="25">
        <v>-3410.05</v>
      </c>
      <c r="K408" s="23" t="s">
        <v>129</v>
      </c>
      <c r="L408" s="23" t="s">
        <v>148</v>
      </c>
      <c r="M408" s="23" t="s">
        <v>131</v>
      </c>
    </row>
    <row r="409" spans="1:13">
      <c r="A409" s="26" t="s">
        <v>984</v>
      </c>
      <c r="B409" s="27">
        <v>46034</v>
      </c>
      <c r="C409" s="26" t="s">
        <v>125</v>
      </c>
      <c r="D409" s="26" t="s">
        <v>72</v>
      </c>
      <c r="E409" s="26" t="s">
        <v>144</v>
      </c>
      <c r="F409" s="26" t="s">
        <v>145</v>
      </c>
      <c r="G409" s="26" t="s">
        <v>985</v>
      </c>
      <c r="H409" s="28">
        <v>0</v>
      </c>
      <c r="I409" s="28">
        <v>1691.37</v>
      </c>
      <c r="J409" s="28">
        <v>-1691.37</v>
      </c>
      <c r="K409" s="26" t="s">
        <v>161</v>
      </c>
      <c r="L409" s="26" t="s">
        <v>148</v>
      </c>
      <c r="M409" s="26" t="s">
        <v>131</v>
      </c>
    </row>
    <row r="410" spans="1:13">
      <c r="A410" s="23" t="s">
        <v>986</v>
      </c>
      <c r="B410" s="24">
        <v>46027</v>
      </c>
      <c r="C410" s="23" t="s">
        <v>125</v>
      </c>
      <c r="D410" s="23" t="s">
        <v>90</v>
      </c>
      <c r="E410" s="23" t="s">
        <v>163</v>
      </c>
      <c r="F410" s="23" t="s">
        <v>164</v>
      </c>
      <c r="G410" s="23" t="s">
        <v>987</v>
      </c>
      <c r="H410" s="25">
        <v>0</v>
      </c>
      <c r="I410" s="25">
        <v>528.67999999999995</v>
      </c>
      <c r="J410" s="25">
        <v>-528.67999999999995</v>
      </c>
      <c r="K410" s="23" t="s">
        <v>136</v>
      </c>
      <c r="L410" s="23" t="s">
        <v>130</v>
      </c>
      <c r="M410" s="23" t="s">
        <v>185</v>
      </c>
    </row>
    <row r="411" spans="1:13">
      <c r="A411" s="26" t="s">
        <v>988</v>
      </c>
      <c r="B411" s="27">
        <v>46036</v>
      </c>
      <c r="C411" s="26" t="s">
        <v>125</v>
      </c>
      <c r="D411" s="26" t="s">
        <v>107</v>
      </c>
      <c r="E411" s="26" t="s">
        <v>191</v>
      </c>
      <c r="F411" s="26" t="s">
        <v>192</v>
      </c>
      <c r="G411" s="26" t="s">
        <v>989</v>
      </c>
      <c r="H411" s="28">
        <v>0</v>
      </c>
      <c r="I411" s="28">
        <v>84.01</v>
      </c>
      <c r="J411" s="28">
        <v>-84.01</v>
      </c>
      <c r="K411" s="26" t="s">
        <v>161</v>
      </c>
      <c r="L411" s="26" t="s">
        <v>153</v>
      </c>
      <c r="M411" s="26" t="s">
        <v>194</v>
      </c>
    </row>
    <row r="412" spans="1:13">
      <c r="A412" s="23" t="s">
        <v>990</v>
      </c>
      <c r="B412" s="24">
        <v>46038</v>
      </c>
      <c r="C412" s="23" t="s">
        <v>125</v>
      </c>
      <c r="D412" s="23" t="s">
        <v>72</v>
      </c>
      <c r="E412" s="23" t="s">
        <v>150</v>
      </c>
      <c r="F412" s="23" t="s">
        <v>151</v>
      </c>
      <c r="G412" s="23" t="s">
        <v>991</v>
      </c>
      <c r="H412" s="25">
        <v>0</v>
      </c>
      <c r="I412" s="25">
        <v>5605</v>
      </c>
      <c r="J412" s="25">
        <v>-5605</v>
      </c>
      <c r="K412" s="23" t="s">
        <v>178</v>
      </c>
      <c r="L412" s="23" t="s">
        <v>153</v>
      </c>
      <c r="M412" s="23" t="s">
        <v>131</v>
      </c>
    </row>
    <row r="413" spans="1:13">
      <c r="A413" s="26" t="s">
        <v>992</v>
      </c>
      <c r="B413" s="27">
        <v>46047</v>
      </c>
      <c r="C413" s="26" t="s">
        <v>125</v>
      </c>
      <c r="D413" s="26" t="s">
        <v>81</v>
      </c>
      <c r="E413" s="26" t="s">
        <v>173</v>
      </c>
      <c r="F413" s="26" t="s">
        <v>174</v>
      </c>
      <c r="G413" s="26" t="s">
        <v>993</v>
      </c>
      <c r="H413" s="28">
        <v>8267.58</v>
      </c>
      <c r="I413" s="28">
        <v>0</v>
      </c>
      <c r="J413" s="28">
        <v>8267.58</v>
      </c>
      <c r="K413" s="26" t="s">
        <v>129</v>
      </c>
      <c r="L413" s="26" t="s">
        <v>130</v>
      </c>
      <c r="M413" s="26" t="s">
        <v>158</v>
      </c>
    </row>
    <row r="414" spans="1:13">
      <c r="A414" s="23" t="s">
        <v>994</v>
      </c>
      <c r="B414" s="24">
        <v>46036</v>
      </c>
      <c r="C414" s="23" t="s">
        <v>125</v>
      </c>
      <c r="D414" s="23" t="s">
        <v>72</v>
      </c>
      <c r="E414" s="23" t="s">
        <v>139</v>
      </c>
      <c r="F414" s="23" t="s">
        <v>140</v>
      </c>
      <c r="G414" s="23" t="s">
        <v>995</v>
      </c>
      <c r="H414" s="25">
        <v>0</v>
      </c>
      <c r="I414" s="25">
        <v>3918.62</v>
      </c>
      <c r="J414" s="25">
        <v>-3918.62</v>
      </c>
      <c r="K414" s="23" t="s">
        <v>136</v>
      </c>
      <c r="L414" s="23" t="s">
        <v>148</v>
      </c>
      <c r="M414" s="23" t="s">
        <v>131</v>
      </c>
    </row>
    <row r="415" spans="1:13">
      <c r="A415" s="26" t="s">
        <v>996</v>
      </c>
      <c r="B415" s="27">
        <v>46040</v>
      </c>
      <c r="C415" s="26" t="s">
        <v>125</v>
      </c>
      <c r="D415" s="26" t="s">
        <v>81</v>
      </c>
      <c r="E415" s="26" t="s">
        <v>214</v>
      </c>
      <c r="F415" s="26" t="s">
        <v>215</v>
      </c>
      <c r="G415" s="26" t="s">
        <v>997</v>
      </c>
      <c r="H415" s="28">
        <v>7302.81</v>
      </c>
      <c r="I415" s="28">
        <v>0</v>
      </c>
      <c r="J415" s="28">
        <v>7302.81</v>
      </c>
      <c r="K415" s="26" t="s">
        <v>136</v>
      </c>
      <c r="L415" s="26" t="s">
        <v>142</v>
      </c>
      <c r="M415" s="26" t="s">
        <v>158</v>
      </c>
    </row>
    <row r="416" spans="1:13">
      <c r="A416" s="23" t="s">
        <v>998</v>
      </c>
      <c r="B416" s="24">
        <v>46023</v>
      </c>
      <c r="C416" s="23" t="s">
        <v>125</v>
      </c>
      <c r="D416" s="23" t="s">
        <v>90</v>
      </c>
      <c r="E416" s="23" t="s">
        <v>214</v>
      </c>
      <c r="F416" s="23" t="s">
        <v>164</v>
      </c>
      <c r="G416" s="23" t="s">
        <v>999</v>
      </c>
      <c r="H416" s="25">
        <v>0</v>
      </c>
      <c r="I416" s="25">
        <v>2958.5</v>
      </c>
      <c r="J416" s="25">
        <v>-2958.5</v>
      </c>
      <c r="K416" s="23" t="s">
        <v>161</v>
      </c>
      <c r="L416" s="23" t="s">
        <v>130</v>
      </c>
      <c r="M416" s="23" t="s">
        <v>158</v>
      </c>
    </row>
    <row r="417" spans="1:13">
      <c r="A417" s="26" t="s">
        <v>1000</v>
      </c>
      <c r="B417" s="27">
        <v>46041</v>
      </c>
      <c r="C417" s="26" t="s">
        <v>125</v>
      </c>
      <c r="D417" s="26" t="s">
        <v>90</v>
      </c>
      <c r="E417" s="26" t="s">
        <v>155</v>
      </c>
      <c r="F417" s="26" t="s">
        <v>164</v>
      </c>
      <c r="G417" s="26" t="s">
        <v>1001</v>
      </c>
      <c r="H417" s="28">
        <v>0</v>
      </c>
      <c r="I417" s="28">
        <v>1466.16</v>
      </c>
      <c r="J417" s="28">
        <v>-1466.16</v>
      </c>
      <c r="K417" s="26" t="s">
        <v>161</v>
      </c>
      <c r="L417" s="26" t="s">
        <v>148</v>
      </c>
      <c r="M417" s="26" t="s">
        <v>426</v>
      </c>
    </row>
    <row r="418" spans="1:13">
      <c r="A418" s="23" t="s">
        <v>1002</v>
      </c>
      <c r="B418" s="24">
        <v>46038</v>
      </c>
      <c r="C418" s="23" t="s">
        <v>125</v>
      </c>
      <c r="D418" s="23" t="s">
        <v>72</v>
      </c>
      <c r="E418" s="23" t="s">
        <v>208</v>
      </c>
      <c r="F418" s="23" t="s">
        <v>209</v>
      </c>
      <c r="G418" s="23" t="s">
        <v>1003</v>
      </c>
      <c r="H418" s="25">
        <v>0</v>
      </c>
      <c r="I418" s="25">
        <v>2546.1999999999998</v>
      </c>
      <c r="J418" s="25">
        <v>-2546.1999999999998</v>
      </c>
      <c r="K418" s="23" t="s">
        <v>136</v>
      </c>
      <c r="L418" s="23" t="s">
        <v>153</v>
      </c>
      <c r="M418" s="23" t="s">
        <v>131</v>
      </c>
    </row>
    <row r="419" spans="1:13">
      <c r="A419" s="26" t="s">
        <v>1004</v>
      </c>
      <c r="B419" s="27">
        <v>46045</v>
      </c>
      <c r="C419" s="26" t="s">
        <v>125</v>
      </c>
      <c r="D419" s="26" t="s">
        <v>72</v>
      </c>
      <c r="E419" s="26" t="s">
        <v>126</v>
      </c>
      <c r="F419" s="26" t="s">
        <v>127</v>
      </c>
      <c r="G419" s="26" t="s">
        <v>1005</v>
      </c>
      <c r="H419" s="28">
        <v>0</v>
      </c>
      <c r="I419" s="28">
        <v>2988.34</v>
      </c>
      <c r="J419" s="28">
        <v>-2988.34</v>
      </c>
      <c r="K419" s="26" t="s">
        <v>147</v>
      </c>
      <c r="L419" s="26" t="s">
        <v>148</v>
      </c>
      <c r="M419" s="26" t="s">
        <v>131</v>
      </c>
    </row>
    <row r="420" spans="1:13">
      <c r="A420" s="23" t="s">
        <v>1006</v>
      </c>
      <c r="B420" s="24">
        <v>46049</v>
      </c>
      <c r="C420" s="23" t="s">
        <v>125</v>
      </c>
      <c r="D420" s="23" t="s">
        <v>81</v>
      </c>
      <c r="E420" s="23" t="s">
        <v>155</v>
      </c>
      <c r="F420" s="23" t="s">
        <v>156</v>
      </c>
      <c r="G420" s="23" t="s">
        <v>1007</v>
      </c>
      <c r="H420" s="25">
        <v>5868.51</v>
      </c>
      <c r="I420" s="25">
        <v>0</v>
      </c>
      <c r="J420" s="25">
        <v>5868.51</v>
      </c>
      <c r="K420" s="23" t="s">
        <v>129</v>
      </c>
      <c r="L420" s="23" t="s">
        <v>130</v>
      </c>
      <c r="M420" s="23" t="s">
        <v>158</v>
      </c>
    </row>
    <row r="421" spans="1:13">
      <c r="A421" s="26" t="s">
        <v>1008</v>
      </c>
      <c r="B421" s="27">
        <v>46033</v>
      </c>
      <c r="C421" s="26" t="s">
        <v>125</v>
      </c>
      <c r="D421" s="26" t="s">
        <v>72</v>
      </c>
      <c r="E421" s="26" t="s">
        <v>150</v>
      </c>
      <c r="F421" s="26" t="s">
        <v>151</v>
      </c>
      <c r="G421" s="26" t="s">
        <v>1009</v>
      </c>
      <c r="H421" s="28">
        <v>0</v>
      </c>
      <c r="I421" s="28">
        <v>3782.47</v>
      </c>
      <c r="J421" s="28">
        <v>-3782.47</v>
      </c>
      <c r="K421" s="26" t="s">
        <v>178</v>
      </c>
      <c r="L421" s="26" t="s">
        <v>130</v>
      </c>
      <c r="M421" s="26" t="s">
        <v>131</v>
      </c>
    </row>
    <row r="422" spans="1:13">
      <c r="A422" s="23" t="s">
        <v>1010</v>
      </c>
      <c r="B422" s="24">
        <v>46047</v>
      </c>
      <c r="C422" s="23" t="s">
        <v>125</v>
      </c>
      <c r="D422" s="23" t="s">
        <v>81</v>
      </c>
      <c r="E422" s="23" t="s">
        <v>214</v>
      </c>
      <c r="F422" s="23" t="s">
        <v>215</v>
      </c>
      <c r="G422" s="23" t="s">
        <v>1011</v>
      </c>
      <c r="H422" s="25">
        <v>7005.5</v>
      </c>
      <c r="I422" s="25">
        <v>0</v>
      </c>
      <c r="J422" s="25">
        <v>7005.5</v>
      </c>
      <c r="K422" s="23" t="s">
        <v>136</v>
      </c>
      <c r="L422" s="23" t="s">
        <v>130</v>
      </c>
      <c r="M422" s="23" t="s">
        <v>158</v>
      </c>
    </row>
    <row r="423" spans="1:13">
      <c r="A423" s="26" t="s">
        <v>1012</v>
      </c>
      <c r="B423" s="27">
        <v>46050</v>
      </c>
      <c r="C423" s="26" t="s">
        <v>125</v>
      </c>
      <c r="D423" s="26" t="s">
        <v>81</v>
      </c>
      <c r="E423" s="26" t="s">
        <v>167</v>
      </c>
      <c r="F423" s="26" t="s">
        <v>168</v>
      </c>
      <c r="G423" s="26" t="s">
        <v>1013</v>
      </c>
      <c r="H423" s="28">
        <v>391.72</v>
      </c>
      <c r="I423" s="28">
        <v>0</v>
      </c>
      <c r="J423" s="28">
        <v>391.72</v>
      </c>
      <c r="K423" s="26" t="s">
        <v>129</v>
      </c>
      <c r="L423" s="26" t="s">
        <v>130</v>
      </c>
      <c r="M423" s="26" t="s">
        <v>158</v>
      </c>
    </row>
    <row r="424" spans="1:13">
      <c r="A424" s="23" t="s">
        <v>1014</v>
      </c>
      <c r="B424" s="24">
        <v>46030</v>
      </c>
      <c r="C424" s="23" t="s">
        <v>125</v>
      </c>
      <c r="D424" s="23" t="s">
        <v>72</v>
      </c>
      <c r="E424" s="23" t="s">
        <v>144</v>
      </c>
      <c r="F424" s="23" t="s">
        <v>145</v>
      </c>
      <c r="G424" s="23" t="s">
        <v>1015</v>
      </c>
      <c r="H424" s="25">
        <v>0</v>
      </c>
      <c r="I424" s="25">
        <v>5698.35</v>
      </c>
      <c r="J424" s="25">
        <v>-5698.35</v>
      </c>
      <c r="K424" s="23" t="s">
        <v>129</v>
      </c>
      <c r="L424" s="23" t="s">
        <v>148</v>
      </c>
      <c r="M424" s="23" t="s">
        <v>131</v>
      </c>
    </row>
    <row r="425" spans="1:13">
      <c r="A425" s="26" t="s">
        <v>1016</v>
      </c>
      <c r="B425" s="27">
        <v>46043</v>
      </c>
      <c r="C425" s="26" t="s">
        <v>125</v>
      </c>
      <c r="D425" s="26" t="s">
        <v>107</v>
      </c>
      <c r="E425" s="26" t="s">
        <v>191</v>
      </c>
      <c r="F425" s="26" t="s">
        <v>192</v>
      </c>
      <c r="G425" s="26" t="s">
        <v>1017</v>
      </c>
      <c r="H425" s="28">
        <v>0</v>
      </c>
      <c r="I425" s="28">
        <v>83.34</v>
      </c>
      <c r="J425" s="28">
        <v>-83.34</v>
      </c>
      <c r="K425" s="26" t="s">
        <v>129</v>
      </c>
      <c r="L425" s="26" t="s">
        <v>148</v>
      </c>
      <c r="M425" s="26" t="s">
        <v>194</v>
      </c>
    </row>
    <row r="426" spans="1:13">
      <c r="A426" s="23" t="s">
        <v>1018</v>
      </c>
      <c r="B426" s="24">
        <v>46050</v>
      </c>
      <c r="C426" s="23" t="s">
        <v>125</v>
      </c>
      <c r="D426" s="23" t="s">
        <v>81</v>
      </c>
      <c r="E426" s="23" t="s">
        <v>167</v>
      </c>
      <c r="F426" s="23" t="s">
        <v>168</v>
      </c>
      <c r="G426" s="23" t="s">
        <v>1019</v>
      </c>
      <c r="H426" s="25">
        <v>3070.5</v>
      </c>
      <c r="I426" s="25">
        <v>0</v>
      </c>
      <c r="J426" s="25">
        <v>3070.5</v>
      </c>
      <c r="K426" s="23" t="s">
        <v>129</v>
      </c>
      <c r="L426" s="23" t="s">
        <v>148</v>
      </c>
      <c r="M426" s="23" t="s">
        <v>158</v>
      </c>
    </row>
    <row r="427" spans="1:13">
      <c r="A427" s="26" t="s">
        <v>1020</v>
      </c>
      <c r="B427" s="27">
        <v>46035</v>
      </c>
      <c r="C427" s="26" t="s">
        <v>125</v>
      </c>
      <c r="D427" s="26" t="s">
        <v>72</v>
      </c>
      <c r="E427" s="26" t="s">
        <v>139</v>
      </c>
      <c r="F427" s="26" t="s">
        <v>140</v>
      </c>
      <c r="G427" s="26" t="s">
        <v>1021</v>
      </c>
      <c r="H427" s="28">
        <v>0</v>
      </c>
      <c r="I427" s="28">
        <v>3582.22</v>
      </c>
      <c r="J427" s="28">
        <v>-3582.22</v>
      </c>
      <c r="K427" s="26" t="s">
        <v>129</v>
      </c>
      <c r="L427" s="26" t="s">
        <v>130</v>
      </c>
      <c r="M427" s="26" t="s">
        <v>131</v>
      </c>
    </row>
    <row r="428" spans="1:13">
      <c r="A428" s="23" t="s">
        <v>1022</v>
      </c>
      <c r="B428" s="24">
        <v>46036</v>
      </c>
      <c r="C428" s="23" t="s">
        <v>125</v>
      </c>
      <c r="D428" s="23" t="s">
        <v>81</v>
      </c>
      <c r="E428" s="23" t="s">
        <v>155</v>
      </c>
      <c r="F428" s="23" t="s">
        <v>156</v>
      </c>
      <c r="G428" s="23" t="s">
        <v>1023</v>
      </c>
      <c r="H428" s="25">
        <v>224.3</v>
      </c>
      <c r="I428" s="25">
        <v>0</v>
      </c>
      <c r="J428" s="25">
        <v>224.3</v>
      </c>
      <c r="K428" s="23" t="s">
        <v>129</v>
      </c>
      <c r="L428" s="23" t="s">
        <v>130</v>
      </c>
      <c r="M428" s="23" t="s">
        <v>158</v>
      </c>
    </row>
    <row r="429" spans="1:13">
      <c r="A429" s="26" t="s">
        <v>1024</v>
      </c>
      <c r="B429" s="27">
        <v>46042</v>
      </c>
      <c r="C429" s="26" t="s">
        <v>125</v>
      </c>
      <c r="D429" s="26" t="s">
        <v>99</v>
      </c>
      <c r="E429" s="26" t="s">
        <v>182</v>
      </c>
      <c r="F429" s="26" t="s">
        <v>183</v>
      </c>
      <c r="G429" s="26" t="s">
        <v>1025</v>
      </c>
      <c r="H429" s="28">
        <v>0</v>
      </c>
      <c r="I429" s="28">
        <v>6929.17</v>
      </c>
      <c r="J429" s="28">
        <v>-6929.17</v>
      </c>
      <c r="K429" s="26" t="s">
        <v>147</v>
      </c>
      <c r="L429" s="26" t="s">
        <v>142</v>
      </c>
      <c r="M429" s="26" t="s">
        <v>185</v>
      </c>
    </row>
    <row r="430" spans="1:13">
      <c r="A430" s="23" t="s">
        <v>1026</v>
      </c>
      <c r="B430" s="24">
        <v>46050</v>
      </c>
      <c r="C430" s="23" t="s">
        <v>125</v>
      </c>
      <c r="D430" s="23" t="s">
        <v>72</v>
      </c>
      <c r="E430" s="23" t="s">
        <v>208</v>
      </c>
      <c r="F430" s="23" t="s">
        <v>209</v>
      </c>
      <c r="G430" s="23" t="s">
        <v>1027</v>
      </c>
      <c r="H430" s="25">
        <v>0</v>
      </c>
      <c r="I430" s="25">
        <v>1415.44</v>
      </c>
      <c r="J430" s="25">
        <v>-1415.44</v>
      </c>
      <c r="K430" s="23" t="s">
        <v>147</v>
      </c>
      <c r="L430" s="23" t="s">
        <v>153</v>
      </c>
      <c r="M430" s="23" t="s">
        <v>131</v>
      </c>
    </row>
    <row r="431" spans="1:13">
      <c r="A431" s="26" t="s">
        <v>1028</v>
      </c>
      <c r="B431" s="27">
        <v>46035</v>
      </c>
      <c r="C431" s="26" t="s">
        <v>125</v>
      </c>
      <c r="D431" s="26" t="s">
        <v>81</v>
      </c>
      <c r="E431" s="26" t="s">
        <v>220</v>
      </c>
      <c r="F431" s="26" t="s">
        <v>221</v>
      </c>
      <c r="G431" s="26" t="s">
        <v>1029</v>
      </c>
      <c r="H431" s="28">
        <v>4421.1400000000003</v>
      </c>
      <c r="I431" s="28">
        <v>0</v>
      </c>
      <c r="J431" s="28">
        <v>4421.1400000000003</v>
      </c>
      <c r="K431" s="26" t="s">
        <v>147</v>
      </c>
      <c r="L431" s="26" t="s">
        <v>153</v>
      </c>
      <c r="M431" s="26" t="s">
        <v>158</v>
      </c>
    </row>
    <row r="432" spans="1:13">
      <c r="A432" s="23" t="s">
        <v>1030</v>
      </c>
      <c r="B432" s="24">
        <v>46026</v>
      </c>
      <c r="C432" s="23" t="s">
        <v>125</v>
      </c>
      <c r="D432" s="23" t="s">
        <v>81</v>
      </c>
      <c r="E432" s="23" t="s">
        <v>214</v>
      </c>
      <c r="F432" s="23" t="s">
        <v>215</v>
      </c>
      <c r="G432" s="23" t="s">
        <v>1031</v>
      </c>
      <c r="H432" s="25">
        <v>8402.81</v>
      </c>
      <c r="I432" s="25">
        <v>0</v>
      </c>
      <c r="J432" s="25">
        <v>8402.81</v>
      </c>
      <c r="K432" s="23" t="s">
        <v>147</v>
      </c>
      <c r="L432" s="23" t="s">
        <v>148</v>
      </c>
      <c r="M432" s="23" t="s">
        <v>158</v>
      </c>
    </row>
    <row r="433" spans="1:13">
      <c r="A433" s="26" t="s">
        <v>1032</v>
      </c>
      <c r="B433" s="27">
        <v>46039</v>
      </c>
      <c r="C433" s="26" t="s">
        <v>125</v>
      </c>
      <c r="D433" s="26" t="s">
        <v>90</v>
      </c>
      <c r="E433" s="26" t="s">
        <v>144</v>
      </c>
      <c r="F433" s="26" t="s">
        <v>164</v>
      </c>
      <c r="G433" s="26" t="s">
        <v>1033</v>
      </c>
      <c r="H433" s="28">
        <v>0</v>
      </c>
      <c r="I433" s="28">
        <v>4036.88</v>
      </c>
      <c r="J433" s="28">
        <v>-4036.88</v>
      </c>
      <c r="K433" s="26" t="s">
        <v>147</v>
      </c>
      <c r="L433" s="26" t="s">
        <v>130</v>
      </c>
      <c r="M433" s="26" t="s">
        <v>185</v>
      </c>
    </row>
    <row r="434" spans="1:13">
      <c r="A434" s="23" t="s">
        <v>1034</v>
      </c>
      <c r="B434" s="24">
        <v>46031</v>
      </c>
      <c r="C434" s="23" t="s">
        <v>125</v>
      </c>
      <c r="D434" s="23" t="s">
        <v>99</v>
      </c>
      <c r="E434" s="23" t="s">
        <v>182</v>
      </c>
      <c r="F434" s="23" t="s">
        <v>183</v>
      </c>
      <c r="G434" s="23" t="s">
        <v>1035</v>
      </c>
      <c r="H434" s="25">
        <v>0</v>
      </c>
      <c r="I434" s="25">
        <v>8366.68</v>
      </c>
      <c r="J434" s="25">
        <v>-8366.68</v>
      </c>
      <c r="K434" s="23" t="s">
        <v>178</v>
      </c>
      <c r="L434" s="23" t="s">
        <v>153</v>
      </c>
      <c r="M434" s="23" t="s">
        <v>185</v>
      </c>
    </row>
    <row r="435" spans="1:13">
      <c r="A435" s="26" t="s">
        <v>1036</v>
      </c>
      <c r="B435" s="27">
        <v>46045</v>
      </c>
      <c r="C435" s="26" t="s">
        <v>125</v>
      </c>
      <c r="D435" s="26" t="s">
        <v>72</v>
      </c>
      <c r="E435" s="26" t="s">
        <v>204</v>
      </c>
      <c r="F435" s="26" t="s">
        <v>205</v>
      </c>
      <c r="G435" s="26" t="s">
        <v>1037</v>
      </c>
      <c r="H435" s="28">
        <v>0</v>
      </c>
      <c r="I435" s="28">
        <v>3986.48</v>
      </c>
      <c r="J435" s="28">
        <v>-3986.48</v>
      </c>
      <c r="K435" s="26" t="s">
        <v>161</v>
      </c>
      <c r="L435" s="26" t="s">
        <v>148</v>
      </c>
      <c r="M435" s="26" t="s">
        <v>131</v>
      </c>
    </row>
    <row r="436" spans="1:13">
      <c r="A436" s="23" t="s">
        <v>1038</v>
      </c>
      <c r="B436" s="24">
        <v>46051</v>
      </c>
      <c r="C436" s="23" t="s">
        <v>125</v>
      </c>
      <c r="D436" s="23" t="s">
        <v>81</v>
      </c>
      <c r="E436" s="23" t="s">
        <v>214</v>
      </c>
      <c r="F436" s="23" t="s">
        <v>215</v>
      </c>
      <c r="G436" s="23" t="s">
        <v>1039</v>
      </c>
      <c r="H436" s="25">
        <v>964.99</v>
      </c>
      <c r="I436" s="25">
        <v>0</v>
      </c>
      <c r="J436" s="25">
        <v>964.99</v>
      </c>
      <c r="K436" s="23" t="s">
        <v>129</v>
      </c>
      <c r="L436" s="23" t="s">
        <v>148</v>
      </c>
      <c r="M436" s="23" t="s">
        <v>158</v>
      </c>
    </row>
    <row r="437" spans="1:13">
      <c r="A437" s="26" t="s">
        <v>1040</v>
      </c>
      <c r="B437" s="27">
        <v>46051</v>
      </c>
      <c r="C437" s="26" t="s">
        <v>125</v>
      </c>
      <c r="D437" s="26" t="s">
        <v>72</v>
      </c>
      <c r="E437" s="26" t="s">
        <v>144</v>
      </c>
      <c r="F437" s="26" t="s">
        <v>145</v>
      </c>
      <c r="G437" s="26" t="s">
        <v>1041</v>
      </c>
      <c r="H437" s="28">
        <v>0</v>
      </c>
      <c r="I437" s="28">
        <v>1440.19</v>
      </c>
      <c r="J437" s="28">
        <v>-1440.19</v>
      </c>
      <c r="K437" s="26" t="s">
        <v>129</v>
      </c>
      <c r="L437" s="26" t="s">
        <v>148</v>
      </c>
      <c r="M437" s="26" t="s">
        <v>131</v>
      </c>
    </row>
    <row r="438" spans="1:13">
      <c r="A438" s="23" t="s">
        <v>1042</v>
      </c>
      <c r="B438" s="24">
        <v>46041</v>
      </c>
      <c r="C438" s="23" t="s">
        <v>125</v>
      </c>
      <c r="D438" s="23" t="s">
        <v>72</v>
      </c>
      <c r="E438" s="23" t="s">
        <v>139</v>
      </c>
      <c r="F438" s="23" t="s">
        <v>140</v>
      </c>
      <c r="G438" s="23" t="s">
        <v>1043</v>
      </c>
      <c r="H438" s="25">
        <v>0</v>
      </c>
      <c r="I438" s="25">
        <v>800.82</v>
      </c>
      <c r="J438" s="25">
        <v>-800.82</v>
      </c>
      <c r="K438" s="23" t="s">
        <v>178</v>
      </c>
      <c r="L438" s="23" t="s">
        <v>153</v>
      </c>
      <c r="M438" s="23" t="s">
        <v>131</v>
      </c>
    </row>
    <row r="439" spans="1:13">
      <c r="A439" s="26" t="s">
        <v>1044</v>
      </c>
      <c r="B439" s="27">
        <v>46029</v>
      </c>
      <c r="C439" s="26" t="s">
        <v>125</v>
      </c>
      <c r="D439" s="26" t="s">
        <v>81</v>
      </c>
      <c r="E439" s="26" t="s">
        <v>155</v>
      </c>
      <c r="F439" s="26" t="s">
        <v>156</v>
      </c>
      <c r="G439" s="26" t="s">
        <v>1045</v>
      </c>
      <c r="H439" s="28">
        <v>3336.94</v>
      </c>
      <c r="I439" s="28">
        <v>0</v>
      </c>
      <c r="J439" s="28">
        <v>3336.94</v>
      </c>
      <c r="K439" s="26" t="s">
        <v>147</v>
      </c>
      <c r="L439" s="26" t="s">
        <v>142</v>
      </c>
      <c r="M439" s="26" t="s">
        <v>158</v>
      </c>
    </row>
    <row r="440" spans="1:13">
      <c r="A440" s="23" t="s">
        <v>1046</v>
      </c>
      <c r="B440" s="24">
        <v>46029</v>
      </c>
      <c r="C440" s="23" t="s">
        <v>125</v>
      </c>
      <c r="D440" s="23" t="s">
        <v>72</v>
      </c>
      <c r="E440" s="23" t="s">
        <v>204</v>
      </c>
      <c r="F440" s="23" t="s">
        <v>205</v>
      </c>
      <c r="G440" s="23" t="s">
        <v>1047</v>
      </c>
      <c r="H440" s="25">
        <v>0</v>
      </c>
      <c r="I440" s="25">
        <v>5544.21</v>
      </c>
      <c r="J440" s="25">
        <v>-5544.21</v>
      </c>
      <c r="K440" s="23" t="s">
        <v>161</v>
      </c>
      <c r="L440" s="23" t="s">
        <v>130</v>
      </c>
      <c r="M440" s="23" t="s">
        <v>131</v>
      </c>
    </row>
    <row r="441" spans="1:13">
      <c r="A441" s="26" t="s">
        <v>1048</v>
      </c>
      <c r="B441" s="27">
        <v>46038</v>
      </c>
      <c r="C441" s="26" t="s">
        <v>125</v>
      </c>
      <c r="D441" s="26" t="s">
        <v>72</v>
      </c>
      <c r="E441" s="26" t="s">
        <v>133</v>
      </c>
      <c r="F441" s="26" t="s">
        <v>134</v>
      </c>
      <c r="G441" s="26" t="s">
        <v>1049</v>
      </c>
      <c r="H441" s="28">
        <v>0</v>
      </c>
      <c r="I441" s="28">
        <v>1998.09</v>
      </c>
      <c r="J441" s="28">
        <v>-1998.09</v>
      </c>
      <c r="K441" s="26" t="s">
        <v>178</v>
      </c>
      <c r="L441" s="26" t="s">
        <v>137</v>
      </c>
      <c r="M441" s="26" t="s">
        <v>131</v>
      </c>
    </row>
    <row r="442" spans="1:13">
      <c r="A442" s="23" t="s">
        <v>1050</v>
      </c>
      <c r="B442" s="24">
        <v>46028</v>
      </c>
      <c r="C442" s="23" t="s">
        <v>125</v>
      </c>
      <c r="D442" s="23" t="s">
        <v>81</v>
      </c>
      <c r="E442" s="23" t="s">
        <v>173</v>
      </c>
      <c r="F442" s="23" t="s">
        <v>174</v>
      </c>
      <c r="G442" s="23" t="s">
        <v>1051</v>
      </c>
      <c r="H442" s="25">
        <v>4237.97</v>
      </c>
      <c r="I442" s="25">
        <v>0</v>
      </c>
      <c r="J442" s="25">
        <v>4237.97</v>
      </c>
      <c r="K442" s="23" t="s">
        <v>178</v>
      </c>
      <c r="L442" s="23" t="s">
        <v>130</v>
      </c>
      <c r="M442" s="23" t="s">
        <v>158</v>
      </c>
    </row>
    <row r="443" spans="1:13">
      <c r="A443" s="26" t="s">
        <v>1052</v>
      </c>
      <c r="B443" s="27">
        <v>46053</v>
      </c>
      <c r="C443" s="26" t="s">
        <v>125</v>
      </c>
      <c r="D443" s="26" t="s">
        <v>81</v>
      </c>
      <c r="E443" s="26" t="s">
        <v>220</v>
      </c>
      <c r="F443" s="26" t="s">
        <v>221</v>
      </c>
      <c r="G443" s="26" t="s">
        <v>1053</v>
      </c>
      <c r="H443" s="28">
        <v>465.01</v>
      </c>
      <c r="I443" s="28">
        <v>0</v>
      </c>
      <c r="J443" s="28">
        <v>465.01</v>
      </c>
      <c r="K443" s="26" t="s">
        <v>129</v>
      </c>
      <c r="L443" s="26" t="s">
        <v>148</v>
      </c>
      <c r="M443" s="26" t="s">
        <v>158</v>
      </c>
    </row>
    <row r="444" spans="1:13">
      <c r="A444" s="23" t="s">
        <v>1054</v>
      </c>
      <c r="B444" s="24">
        <v>46051</v>
      </c>
      <c r="C444" s="23" t="s">
        <v>125</v>
      </c>
      <c r="D444" s="23" t="s">
        <v>72</v>
      </c>
      <c r="E444" s="23" t="s">
        <v>139</v>
      </c>
      <c r="F444" s="23" t="s">
        <v>140</v>
      </c>
      <c r="G444" s="23" t="s">
        <v>1055</v>
      </c>
      <c r="H444" s="25">
        <v>0</v>
      </c>
      <c r="I444" s="25">
        <v>3329.93</v>
      </c>
      <c r="J444" s="25">
        <v>-3329.93</v>
      </c>
      <c r="K444" s="23" t="s">
        <v>178</v>
      </c>
      <c r="L444" s="23" t="s">
        <v>137</v>
      </c>
      <c r="M444" s="23" t="s">
        <v>131</v>
      </c>
    </row>
    <row r="445" spans="1:13">
      <c r="A445" s="26" t="s">
        <v>1056</v>
      </c>
      <c r="B445" s="27">
        <v>46051</v>
      </c>
      <c r="C445" s="26" t="s">
        <v>125</v>
      </c>
      <c r="D445" s="26" t="s">
        <v>72</v>
      </c>
      <c r="E445" s="26" t="s">
        <v>133</v>
      </c>
      <c r="F445" s="26" t="s">
        <v>134</v>
      </c>
      <c r="G445" s="26" t="s">
        <v>1057</v>
      </c>
      <c r="H445" s="28">
        <v>0</v>
      </c>
      <c r="I445" s="28">
        <v>708.57</v>
      </c>
      <c r="J445" s="28">
        <v>-708.57</v>
      </c>
      <c r="K445" s="26" t="s">
        <v>136</v>
      </c>
      <c r="L445" s="26" t="s">
        <v>153</v>
      </c>
      <c r="M445" s="26" t="s">
        <v>131</v>
      </c>
    </row>
    <row r="446" spans="1:13">
      <c r="A446" s="23" t="s">
        <v>1058</v>
      </c>
      <c r="B446" s="24">
        <v>46032</v>
      </c>
      <c r="C446" s="23" t="s">
        <v>125</v>
      </c>
      <c r="D446" s="23" t="s">
        <v>107</v>
      </c>
      <c r="E446" s="23" t="s">
        <v>191</v>
      </c>
      <c r="F446" s="23" t="s">
        <v>192</v>
      </c>
      <c r="G446" s="23" t="s">
        <v>1059</v>
      </c>
      <c r="H446" s="25">
        <v>0</v>
      </c>
      <c r="I446" s="25">
        <v>57.43</v>
      </c>
      <c r="J446" s="25">
        <v>-57.43</v>
      </c>
      <c r="K446" s="23" t="s">
        <v>136</v>
      </c>
      <c r="L446" s="23" t="s">
        <v>153</v>
      </c>
      <c r="M446" s="23" t="s">
        <v>194</v>
      </c>
    </row>
    <row r="447" spans="1:13">
      <c r="A447" s="26" t="s">
        <v>1060</v>
      </c>
      <c r="B447" s="27">
        <v>46027</v>
      </c>
      <c r="C447" s="26" t="s">
        <v>125</v>
      </c>
      <c r="D447" s="26" t="s">
        <v>72</v>
      </c>
      <c r="E447" s="26" t="s">
        <v>150</v>
      </c>
      <c r="F447" s="26" t="s">
        <v>151</v>
      </c>
      <c r="G447" s="26" t="s">
        <v>1061</v>
      </c>
      <c r="H447" s="28">
        <v>0</v>
      </c>
      <c r="I447" s="28">
        <v>2278.62</v>
      </c>
      <c r="J447" s="28">
        <v>-2278.62</v>
      </c>
      <c r="K447" s="26" t="s">
        <v>129</v>
      </c>
      <c r="L447" s="26" t="s">
        <v>130</v>
      </c>
      <c r="M447" s="26" t="s">
        <v>131</v>
      </c>
    </row>
    <row r="448" spans="1:13">
      <c r="A448" s="23" t="s">
        <v>1062</v>
      </c>
      <c r="B448" s="24">
        <v>46052</v>
      </c>
      <c r="C448" s="23" t="s">
        <v>125</v>
      </c>
      <c r="D448" s="23" t="s">
        <v>99</v>
      </c>
      <c r="E448" s="23" t="s">
        <v>182</v>
      </c>
      <c r="F448" s="23" t="s">
        <v>183</v>
      </c>
      <c r="G448" s="23" t="s">
        <v>1063</v>
      </c>
      <c r="H448" s="25">
        <v>0</v>
      </c>
      <c r="I448" s="25">
        <v>2777.31</v>
      </c>
      <c r="J448" s="25">
        <v>-2777.31</v>
      </c>
      <c r="K448" s="23" t="s">
        <v>129</v>
      </c>
      <c r="L448" s="23" t="s">
        <v>130</v>
      </c>
      <c r="M448" s="23" t="s">
        <v>185</v>
      </c>
    </row>
    <row r="449" spans="1:13">
      <c r="A449" s="26" t="s">
        <v>1064</v>
      </c>
      <c r="B449" s="27">
        <v>46028</v>
      </c>
      <c r="C449" s="26" t="s">
        <v>125</v>
      </c>
      <c r="D449" s="26" t="s">
        <v>72</v>
      </c>
      <c r="E449" s="26" t="s">
        <v>126</v>
      </c>
      <c r="F449" s="26" t="s">
        <v>127</v>
      </c>
      <c r="G449" s="26" t="s">
        <v>1065</v>
      </c>
      <c r="H449" s="28">
        <v>0</v>
      </c>
      <c r="I449" s="28">
        <v>4061.31</v>
      </c>
      <c r="J449" s="28">
        <v>-4061.31</v>
      </c>
      <c r="K449" s="26" t="s">
        <v>178</v>
      </c>
      <c r="L449" s="26" t="s">
        <v>142</v>
      </c>
      <c r="M449" s="26" t="s">
        <v>131</v>
      </c>
    </row>
    <row r="450" spans="1:13">
      <c r="A450" s="23" t="s">
        <v>1066</v>
      </c>
      <c r="B450" s="24">
        <v>46031</v>
      </c>
      <c r="C450" s="23" t="s">
        <v>125</v>
      </c>
      <c r="D450" s="23" t="s">
        <v>90</v>
      </c>
      <c r="E450" s="23" t="s">
        <v>214</v>
      </c>
      <c r="F450" s="23" t="s">
        <v>164</v>
      </c>
      <c r="G450" s="23" t="s">
        <v>1067</v>
      </c>
      <c r="H450" s="25">
        <v>0</v>
      </c>
      <c r="I450" s="25">
        <v>290.51</v>
      </c>
      <c r="J450" s="25">
        <v>-290.51</v>
      </c>
      <c r="K450" s="23" t="s">
        <v>178</v>
      </c>
      <c r="L450" s="23" t="s">
        <v>137</v>
      </c>
      <c r="M450" s="23" t="s">
        <v>158</v>
      </c>
    </row>
    <row r="451" spans="1:13">
      <c r="A451" s="26" t="s">
        <v>1068</v>
      </c>
      <c r="B451" s="27">
        <v>46026</v>
      </c>
      <c r="C451" s="26" t="s">
        <v>125</v>
      </c>
      <c r="D451" s="26" t="s">
        <v>81</v>
      </c>
      <c r="E451" s="26" t="s">
        <v>163</v>
      </c>
      <c r="F451" s="26" t="s">
        <v>250</v>
      </c>
      <c r="G451" s="26" t="s">
        <v>1069</v>
      </c>
      <c r="H451" s="28">
        <v>6010.6</v>
      </c>
      <c r="I451" s="28">
        <v>0</v>
      </c>
      <c r="J451" s="28">
        <v>6010.6</v>
      </c>
      <c r="K451" s="26" t="s">
        <v>129</v>
      </c>
      <c r="L451" s="26" t="s">
        <v>137</v>
      </c>
      <c r="M451" s="26" t="s">
        <v>158</v>
      </c>
    </row>
    <row r="452" spans="1:13">
      <c r="A452" s="23" t="s">
        <v>1070</v>
      </c>
      <c r="B452" s="24">
        <v>46031</v>
      </c>
      <c r="C452" s="23" t="s">
        <v>125</v>
      </c>
      <c r="D452" s="23" t="s">
        <v>81</v>
      </c>
      <c r="E452" s="23" t="s">
        <v>155</v>
      </c>
      <c r="F452" s="23" t="s">
        <v>156</v>
      </c>
      <c r="G452" s="23" t="s">
        <v>1071</v>
      </c>
      <c r="H452" s="25">
        <v>1295.32</v>
      </c>
      <c r="I452" s="25">
        <v>0</v>
      </c>
      <c r="J452" s="25">
        <v>1295.32</v>
      </c>
      <c r="K452" s="23" t="s">
        <v>178</v>
      </c>
      <c r="L452" s="23" t="s">
        <v>153</v>
      </c>
      <c r="M452" s="23" t="s">
        <v>158</v>
      </c>
    </row>
    <row r="453" spans="1:13">
      <c r="A453" s="26" t="s">
        <v>1072</v>
      </c>
      <c r="B453" s="27">
        <v>46048</v>
      </c>
      <c r="C453" s="26" t="s">
        <v>125</v>
      </c>
      <c r="D453" s="26" t="s">
        <v>72</v>
      </c>
      <c r="E453" s="26" t="s">
        <v>133</v>
      </c>
      <c r="F453" s="26" t="s">
        <v>134</v>
      </c>
      <c r="G453" s="26" t="s">
        <v>1073</v>
      </c>
      <c r="H453" s="28">
        <v>0</v>
      </c>
      <c r="I453" s="28">
        <v>3807.09</v>
      </c>
      <c r="J453" s="28">
        <v>-3807.09</v>
      </c>
      <c r="K453" s="26" t="s">
        <v>147</v>
      </c>
      <c r="L453" s="26" t="s">
        <v>153</v>
      </c>
      <c r="M453" s="26" t="s">
        <v>131</v>
      </c>
    </row>
    <row r="454" spans="1:13">
      <c r="A454" s="23" t="s">
        <v>1074</v>
      </c>
      <c r="B454" s="24">
        <v>46034</v>
      </c>
      <c r="C454" s="23" t="s">
        <v>125</v>
      </c>
      <c r="D454" s="23" t="s">
        <v>90</v>
      </c>
      <c r="E454" s="23" t="s">
        <v>204</v>
      </c>
      <c r="F454" s="23" t="s">
        <v>164</v>
      </c>
      <c r="G454" s="23" t="s">
        <v>1075</v>
      </c>
      <c r="H454" s="25">
        <v>0</v>
      </c>
      <c r="I454" s="25">
        <v>843.85</v>
      </c>
      <c r="J454" s="25">
        <v>-843.85</v>
      </c>
      <c r="K454" s="23" t="s">
        <v>161</v>
      </c>
      <c r="L454" s="23" t="s">
        <v>148</v>
      </c>
      <c r="M454" s="23" t="s">
        <v>225</v>
      </c>
    </row>
    <row r="455" spans="1:13">
      <c r="A455" s="26" t="s">
        <v>1076</v>
      </c>
      <c r="B455" s="27">
        <v>46052</v>
      </c>
      <c r="C455" s="26" t="s">
        <v>125</v>
      </c>
      <c r="D455" s="26" t="s">
        <v>72</v>
      </c>
      <c r="E455" s="26" t="s">
        <v>204</v>
      </c>
      <c r="F455" s="26" t="s">
        <v>205</v>
      </c>
      <c r="G455" s="26" t="s">
        <v>1077</v>
      </c>
      <c r="H455" s="28">
        <v>0</v>
      </c>
      <c r="I455" s="28">
        <v>4174.41</v>
      </c>
      <c r="J455" s="28">
        <v>-4174.41</v>
      </c>
      <c r="K455" s="26" t="s">
        <v>129</v>
      </c>
      <c r="L455" s="26" t="s">
        <v>137</v>
      </c>
      <c r="M455" s="26" t="s">
        <v>131</v>
      </c>
    </row>
    <row r="456" spans="1:13">
      <c r="A456" s="23" t="s">
        <v>1078</v>
      </c>
      <c r="B456" s="24">
        <v>46026</v>
      </c>
      <c r="C456" s="23" t="s">
        <v>125</v>
      </c>
      <c r="D456" s="23" t="s">
        <v>99</v>
      </c>
      <c r="E456" s="23" t="s">
        <v>182</v>
      </c>
      <c r="F456" s="23" t="s">
        <v>183</v>
      </c>
      <c r="G456" s="23" t="s">
        <v>1079</v>
      </c>
      <c r="H456" s="25">
        <v>0</v>
      </c>
      <c r="I456" s="25">
        <v>11842.88</v>
      </c>
      <c r="J456" s="25">
        <v>-11842.88</v>
      </c>
      <c r="K456" s="23" t="s">
        <v>161</v>
      </c>
      <c r="L456" s="23" t="s">
        <v>148</v>
      </c>
      <c r="M456" s="23" t="s">
        <v>185</v>
      </c>
    </row>
    <row r="457" spans="1:13">
      <c r="A457" s="26" t="s">
        <v>1080</v>
      </c>
      <c r="B457" s="27">
        <v>46028</v>
      </c>
      <c r="C457" s="26" t="s">
        <v>125</v>
      </c>
      <c r="D457" s="26" t="s">
        <v>99</v>
      </c>
      <c r="E457" s="26" t="s">
        <v>182</v>
      </c>
      <c r="F457" s="26" t="s">
        <v>183</v>
      </c>
      <c r="G457" s="26" t="s">
        <v>1081</v>
      </c>
      <c r="H457" s="28">
        <v>0</v>
      </c>
      <c r="I457" s="28">
        <v>14857.61</v>
      </c>
      <c r="J457" s="28">
        <v>-14857.61</v>
      </c>
      <c r="K457" s="26" t="s">
        <v>147</v>
      </c>
      <c r="L457" s="26" t="s">
        <v>148</v>
      </c>
      <c r="M457" s="26" t="s">
        <v>185</v>
      </c>
    </row>
    <row r="458" spans="1:13">
      <c r="A458" s="23" t="s">
        <v>1082</v>
      </c>
      <c r="B458" s="24">
        <v>46047</v>
      </c>
      <c r="C458" s="23" t="s">
        <v>125</v>
      </c>
      <c r="D458" s="23" t="s">
        <v>99</v>
      </c>
      <c r="E458" s="23" t="s">
        <v>182</v>
      </c>
      <c r="F458" s="23" t="s">
        <v>183</v>
      </c>
      <c r="G458" s="23" t="s">
        <v>1083</v>
      </c>
      <c r="H458" s="25">
        <v>0</v>
      </c>
      <c r="I458" s="25">
        <v>2640.25</v>
      </c>
      <c r="J458" s="25">
        <v>-2640.25</v>
      </c>
      <c r="K458" s="23" t="s">
        <v>129</v>
      </c>
      <c r="L458" s="23" t="s">
        <v>130</v>
      </c>
      <c r="M458" s="23" t="s">
        <v>185</v>
      </c>
    </row>
    <row r="459" spans="1:13">
      <c r="A459" s="26" t="s">
        <v>1084</v>
      </c>
      <c r="B459" s="27">
        <v>46031</v>
      </c>
      <c r="C459" s="26" t="s">
        <v>125</v>
      </c>
      <c r="D459" s="26" t="s">
        <v>99</v>
      </c>
      <c r="E459" s="26" t="s">
        <v>182</v>
      </c>
      <c r="F459" s="26" t="s">
        <v>183</v>
      </c>
      <c r="G459" s="26" t="s">
        <v>1085</v>
      </c>
      <c r="H459" s="28">
        <v>0</v>
      </c>
      <c r="I459" s="28">
        <v>3847.79</v>
      </c>
      <c r="J459" s="28">
        <v>-3847.79</v>
      </c>
      <c r="K459" s="26" t="s">
        <v>147</v>
      </c>
      <c r="L459" s="26" t="s">
        <v>130</v>
      </c>
      <c r="M459" s="26" t="s">
        <v>185</v>
      </c>
    </row>
    <row r="460" spans="1:13">
      <c r="A460" s="23" t="s">
        <v>1086</v>
      </c>
      <c r="B460" s="24">
        <v>46031</v>
      </c>
      <c r="C460" s="23" t="s">
        <v>125</v>
      </c>
      <c r="D460" s="23" t="s">
        <v>99</v>
      </c>
      <c r="E460" s="23" t="s">
        <v>182</v>
      </c>
      <c r="F460" s="23" t="s">
        <v>183</v>
      </c>
      <c r="G460" s="23" t="s">
        <v>1087</v>
      </c>
      <c r="H460" s="25">
        <v>0</v>
      </c>
      <c r="I460" s="25">
        <v>12503.59</v>
      </c>
      <c r="J460" s="25">
        <v>-12503.59</v>
      </c>
      <c r="K460" s="23" t="s">
        <v>161</v>
      </c>
      <c r="L460" s="23" t="s">
        <v>142</v>
      </c>
      <c r="M460" s="23" t="s">
        <v>185</v>
      </c>
    </row>
    <row r="461" spans="1:13">
      <c r="A461" s="26" t="s">
        <v>1088</v>
      </c>
      <c r="B461" s="27">
        <v>46045</v>
      </c>
      <c r="C461" s="26" t="s">
        <v>125</v>
      </c>
      <c r="D461" s="26" t="s">
        <v>90</v>
      </c>
      <c r="E461" s="26" t="s">
        <v>208</v>
      </c>
      <c r="F461" s="26" t="s">
        <v>164</v>
      </c>
      <c r="G461" s="26" t="s">
        <v>1089</v>
      </c>
      <c r="H461" s="28">
        <v>0</v>
      </c>
      <c r="I461" s="28">
        <v>563.38</v>
      </c>
      <c r="J461" s="28">
        <v>-563.38</v>
      </c>
      <c r="K461" s="26" t="s">
        <v>136</v>
      </c>
      <c r="L461" s="26" t="s">
        <v>142</v>
      </c>
      <c r="M461" s="26" t="s">
        <v>194</v>
      </c>
    </row>
    <row r="462" spans="1:13">
      <c r="A462" s="23" t="s">
        <v>1090</v>
      </c>
      <c r="B462" s="24">
        <v>46042</v>
      </c>
      <c r="C462" s="23" t="s">
        <v>125</v>
      </c>
      <c r="D462" s="23" t="s">
        <v>72</v>
      </c>
      <c r="E462" s="23" t="s">
        <v>126</v>
      </c>
      <c r="F462" s="23" t="s">
        <v>127</v>
      </c>
      <c r="G462" s="23" t="s">
        <v>1091</v>
      </c>
      <c r="H462" s="25">
        <v>0</v>
      </c>
      <c r="I462" s="25">
        <v>5465.3</v>
      </c>
      <c r="J462" s="25">
        <v>-5465.3</v>
      </c>
      <c r="K462" s="23" t="s">
        <v>129</v>
      </c>
      <c r="L462" s="23" t="s">
        <v>142</v>
      </c>
      <c r="M462" s="23" t="s">
        <v>131</v>
      </c>
    </row>
    <row r="463" spans="1:13">
      <c r="A463" s="26" t="s">
        <v>1092</v>
      </c>
      <c r="B463" s="27">
        <v>46026</v>
      </c>
      <c r="C463" s="26" t="s">
        <v>125</v>
      </c>
      <c r="D463" s="26" t="s">
        <v>99</v>
      </c>
      <c r="E463" s="26" t="s">
        <v>182</v>
      </c>
      <c r="F463" s="26" t="s">
        <v>183</v>
      </c>
      <c r="G463" s="26" t="s">
        <v>1093</v>
      </c>
      <c r="H463" s="28">
        <v>0</v>
      </c>
      <c r="I463" s="28">
        <v>8889.9699999999993</v>
      </c>
      <c r="J463" s="28">
        <v>-8889.9699999999993</v>
      </c>
      <c r="K463" s="26" t="s">
        <v>178</v>
      </c>
      <c r="L463" s="26" t="s">
        <v>148</v>
      </c>
      <c r="M463" s="26" t="s">
        <v>185</v>
      </c>
    </row>
    <row r="464" spans="1:13">
      <c r="A464" s="23" t="s">
        <v>1094</v>
      </c>
      <c r="B464" s="24">
        <v>46044</v>
      </c>
      <c r="C464" s="23" t="s">
        <v>125</v>
      </c>
      <c r="D464" s="23" t="s">
        <v>81</v>
      </c>
      <c r="E464" s="23" t="s">
        <v>155</v>
      </c>
      <c r="F464" s="23" t="s">
        <v>156</v>
      </c>
      <c r="G464" s="23" t="s">
        <v>1095</v>
      </c>
      <c r="H464" s="25">
        <v>4965.0200000000004</v>
      </c>
      <c r="I464" s="25">
        <v>0</v>
      </c>
      <c r="J464" s="25">
        <v>4965.0200000000004</v>
      </c>
      <c r="K464" s="23" t="s">
        <v>136</v>
      </c>
      <c r="L464" s="23" t="s">
        <v>130</v>
      </c>
      <c r="M464" s="23" t="s">
        <v>158</v>
      </c>
    </row>
    <row r="465" spans="1:13">
      <c r="A465" s="26" t="s">
        <v>1096</v>
      </c>
      <c r="B465" s="27">
        <v>46044</v>
      </c>
      <c r="C465" s="26" t="s">
        <v>125</v>
      </c>
      <c r="D465" s="26" t="s">
        <v>99</v>
      </c>
      <c r="E465" s="26" t="s">
        <v>182</v>
      </c>
      <c r="F465" s="26" t="s">
        <v>183</v>
      </c>
      <c r="G465" s="26" t="s">
        <v>1097</v>
      </c>
      <c r="H465" s="28">
        <v>0</v>
      </c>
      <c r="I465" s="28">
        <v>10026.950000000001</v>
      </c>
      <c r="J465" s="28">
        <v>-10026.950000000001</v>
      </c>
      <c r="K465" s="26" t="s">
        <v>136</v>
      </c>
      <c r="L465" s="26" t="s">
        <v>137</v>
      </c>
      <c r="M465" s="26" t="s">
        <v>185</v>
      </c>
    </row>
    <row r="466" spans="1:13">
      <c r="A466" s="23" t="s">
        <v>1098</v>
      </c>
      <c r="B466" s="24">
        <v>46044</v>
      </c>
      <c r="C466" s="23" t="s">
        <v>125</v>
      </c>
      <c r="D466" s="23" t="s">
        <v>90</v>
      </c>
      <c r="E466" s="23" t="s">
        <v>139</v>
      </c>
      <c r="F466" s="23" t="s">
        <v>164</v>
      </c>
      <c r="G466" s="23" t="s">
        <v>1099</v>
      </c>
      <c r="H466" s="25">
        <v>0</v>
      </c>
      <c r="I466" s="25">
        <v>785.84</v>
      </c>
      <c r="J466" s="25">
        <v>-785.84</v>
      </c>
      <c r="K466" s="23" t="s">
        <v>178</v>
      </c>
      <c r="L466" s="23" t="s">
        <v>130</v>
      </c>
      <c r="M466" s="23" t="s">
        <v>242</v>
      </c>
    </row>
    <row r="467" spans="1:13">
      <c r="A467" s="26" t="s">
        <v>1100</v>
      </c>
      <c r="B467" s="27">
        <v>46050</v>
      </c>
      <c r="C467" s="26" t="s">
        <v>125</v>
      </c>
      <c r="D467" s="26" t="s">
        <v>72</v>
      </c>
      <c r="E467" s="26" t="s">
        <v>139</v>
      </c>
      <c r="F467" s="26" t="s">
        <v>140</v>
      </c>
      <c r="G467" s="26" t="s">
        <v>1101</v>
      </c>
      <c r="H467" s="28">
        <v>0</v>
      </c>
      <c r="I467" s="28">
        <v>3088.89</v>
      </c>
      <c r="J467" s="28">
        <v>-3088.89</v>
      </c>
      <c r="K467" s="26" t="s">
        <v>129</v>
      </c>
      <c r="L467" s="26" t="s">
        <v>148</v>
      </c>
      <c r="M467" s="26" t="s">
        <v>131</v>
      </c>
    </row>
    <row r="468" spans="1:13">
      <c r="A468" s="23" t="s">
        <v>1102</v>
      </c>
      <c r="B468" s="24">
        <v>46024</v>
      </c>
      <c r="C468" s="23" t="s">
        <v>125</v>
      </c>
      <c r="D468" s="23" t="s">
        <v>81</v>
      </c>
      <c r="E468" s="23" t="s">
        <v>167</v>
      </c>
      <c r="F468" s="23" t="s">
        <v>168</v>
      </c>
      <c r="G468" s="23" t="s">
        <v>1103</v>
      </c>
      <c r="H468" s="25">
        <v>5521.7</v>
      </c>
      <c r="I468" s="25">
        <v>0</v>
      </c>
      <c r="J468" s="25">
        <v>5521.7</v>
      </c>
      <c r="K468" s="23" t="s">
        <v>161</v>
      </c>
      <c r="L468" s="23" t="s">
        <v>130</v>
      </c>
      <c r="M468" s="23" t="s">
        <v>158</v>
      </c>
    </row>
    <row r="469" spans="1:13">
      <c r="A469" s="26" t="s">
        <v>1104</v>
      </c>
      <c r="B469" s="27">
        <v>46037</v>
      </c>
      <c r="C469" s="26" t="s">
        <v>125</v>
      </c>
      <c r="D469" s="26" t="s">
        <v>72</v>
      </c>
      <c r="E469" s="26" t="s">
        <v>150</v>
      </c>
      <c r="F469" s="26" t="s">
        <v>151</v>
      </c>
      <c r="G469" s="26" t="s">
        <v>1105</v>
      </c>
      <c r="H469" s="28">
        <v>0</v>
      </c>
      <c r="I469" s="28">
        <v>2816.06</v>
      </c>
      <c r="J469" s="28">
        <v>-2816.06</v>
      </c>
      <c r="K469" s="26" t="s">
        <v>178</v>
      </c>
      <c r="L469" s="26" t="s">
        <v>142</v>
      </c>
      <c r="M469" s="26" t="s">
        <v>131</v>
      </c>
    </row>
    <row r="470" spans="1:13">
      <c r="A470" s="23" t="s">
        <v>1106</v>
      </c>
      <c r="B470" s="24">
        <v>46036</v>
      </c>
      <c r="C470" s="23" t="s">
        <v>125</v>
      </c>
      <c r="D470" s="23" t="s">
        <v>72</v>
      </c>
      <c r="E470" s="23" t="s">
        <v>204</v>
      </c>
      <c r="F470" s="23" t="s">
        <v>205</v>
      </c>
      <c r="G470" s="23" t="s">
        <v>1107</v>
      </c>
      <c r="H470" s="25">
        <v>0</v>
      </c>
      <c r="I470" s="25">
        <v>81.040000000000006</v>
      </c>
      <c r="J470" s="25">
        <v>-81.040000000000006</v>
      </c>
      <c r="K470" s="23" t="s">
        <v>178</v>
      </c>
      <c r="L470" s="23" t="s">
        <v>153</v>
      </c>
      <c r="M470" s="23" t="s">
        <v>131</v>
      </c>
    </row>
    <row r="471" spans="1:13">
      <c r="A471" s="26" t="s">
        <v>1108</v>
      </c>
      <c r="B471" s="27">
        <v>46043</v>
      </c>
      <c r="C471" s="26" t="s">
        <v>125</v>
      </c>
      <c r="D471" s="26" t="s">
        <v>72</v>
      </c>
      <c r="E471" s="26" t="s">
        <v>204</v>
      </c>
      <c r="F471" s="26" t="s">
        <v>205</v>
      </c>
      <c r="G471" s="26" t="s">
        <v>1109</v>
      </c>
      <c r="H471" s="28">
        <v>0</v>
      </c>
      <c r="I471" s="28">
        <v>3521.48</v>
      </c>
      <c r="J471" s="28">
        <v>-3521.48</v>
      </c>
      <c r="K471" s="26" t="s">
        <v>161</v>
      </c>
      <c r="L471" s="26" t="s">
        <v>148</v>
      </c>
      <c r="M471" s="26" t="s">
        <v>131</v>
      </c>
    </row>
    <row r="472" spans="1:13">
      <c r="A472" s="23" t="s">
        <v>1110</v>
      </c>
      <c r="B472" s="24">
        <v>46050</v>
      </c>
      <c r="C472" s="23" t="s">
        <v>125</v>
      </c>
      <c r="D472" s="23" t="s">
        <v>81</v>
      </c>
      <c r="E472" s="23" t="s">
        <v>167</v>
      </c>
      <c r="F472" s="23" t="s">
        <v>168</v>
      </c>
      <c r="G472" s="23" t="s">
        <v>1111</v>
      </c>
      <c r="H472" s="25">
        <v>6557.93</v>
      </c>
      <c r="I472" s="25">
        <v>0</v>
      </c>
      <c r="J472" s="25">
        <v>6557.93</v>
      </c>
      <c r="K472" s="23" t="s">
        <v>136</v>
      </c>
      <c r="L472" s="23" t="s">
        <v>142</v>
      </c>
      <c r="M472" s="23" t="s">
        <v>158</v>
      </c>
    </row>
    <row r="473" spans="1:13">
      <c r="A473" s="26" t="s">
        <v>1112</v>
      </c>
      <c r="B473" s="27">
        <v>46026</v>
      </c>
      <c r="C473" s="26" t="s">
        <v>125</v>
      </c>
      <c r="D473" s="26" t="s">
        <v>72</v>
      </c>
      <c r="E473" s="26" t="s">
        <v>126</v>
      </c>
      <c r="F473" s="26" t="s">
        <v>127</v>
      </c>
      <c r="G473" s="26" t="s">
        <v>1113</v>
      </c>
      <c r="H473" s="28">
        <v>0</v>
      </c>
      <c r="I473" s="28">
        <v>1437.09</v>
      </c>
      <c r="J473" s="28">
        <v>-1437.09</v>
      </c>
      <c r="K473" s="26" t="s">
        <v>147</v>
      </c>
      <c r="L473" s="26" t="s">
        <v>148</v>
      </c>
      <c r="M473" s="26" t="s">
        <v>131</v>
      </c>
    </row>
    <row r="474" spans="1:13">
      <c r="A474" s="23" t="s">
        <v>1114</v>
      </c>
      <c r="B474" s="24">
        <v>46053</v>
      </c>
      <c r="C474" s="23" t="s">
        <v>125</v>
      </c>
      <c r="D474" s="23" t="s">
        <v>90</v>
      </c>
      <c r="E474" s="23" t="s">
        <v>173</v>
      </c>
      <c r="F474" s="23" t="s">
        <v>164</v>
      </c>
      <c r="G474" s="23" t="s">
        <v>1115</v>
      </c>
      <c r="H474" s="25">
        <v>0</v>
      </c>
      <c r="I474" s="25">
        <v>2633.83</v>
      </c>
      <c r="J474" s="25">
        <v>-2633.83</v>
      </c>
      <c r="K474" s="23" t="s">
        <v>129</v>
      </c>
      <c r="L474" s="23" t="s">
        <v>142</v>
      </c>
      <c r="M474" s="23" t="s">
        <v>242</v>
      </c>
    </row>
    <row r="475" spans="1:13">
      <c r="A475" s="26" t="s">
        <v>1116</v>
      </c>
      <c r="B475" s="27">
        <v>46042</v>
      </c>
      <c r="C475" s="26" t="s">
        <v>125</v>
      </c>
      <c r="D475" s="26" t="s">
        <v>72</v>
      </c>
      <c r="E475" s="26" t="s">
        <v>144</v>
      </c>
      <c r="F475" s="26" t="s">
        <v>145</v>
      </c>
      <c r="G475" s="26" t="s">
        <v>1117</v>
      </c>
      <c r="H475" s="28">
        <v>0</v>
      </c>
      <c r="I475" s="28">
        <v>5772.92</v>
      </c>
      <c r="J475" s="28">
        <v>-5772.92</v>
      </c>
      <c r="K475" s="26" t="s">
        <v>161</v>
      </c>
      <c r="L475" s="26" t="s">
        <v>130</v>
      </c>
      <c r="M475" s="26" t="s">
        <v>131</v>
      </c>
    </row>
    <row r="476" spans="1:13">
      <c r="A476" s="23" t="s">
        <v>1118</v>
      </c>
      <c r="B476" s="24">
        <v>46026</v>
      </c>
      <c r="C476" s="23" t="s">
        <v>125</v>
      </c>
      <c r="D476" s="23" t="s">
        <v>90</v>
      </c>
      <c r="E476" s="23" t="s">
        <v>144</v>
      </c>
      <c r="F476" s="23" t="s">
        <v>164</v>
      </c>
      <c r="G476" s="23" t="s">
        <v>1119</v>
      </c>
      <c r="H476" s="25">
        <v>0</v>
      </c>
      <c r="I476" s="25">
        <v>4636.8</v>
      </c>
      <c r="J476" s="25">
        <v>-4636.8</v>
      </c>
      <c r="K476" s="23" t="s">
        <v>161</v>
      </c>
      <c r="L476" s="23" t="s">
        <v>142</v>
      </c>
      <c r="M476" s="23" t="s">
        <v>158</v>
      </c>
    </row>
    <row r="477" spans="1:13">
      <c r="A477" s="26" t="s">
        <v>1120</v>
      </c>
      <c r="B477" s="27">
        <v>46023</v>
      </c>
      <c r="C477" s="26" t="s">
        <v>125</v>
      </c>
      <c r="D477" s="26" t="s">
        <v>81</v>
      </c>
      <c r="E477" s="26" t="s">
        <v>220</v>
      </c>
      <c r="F477" s="26" t="s">
        <v>221</v>
      </c>
      <c r="G477" s="26" t="s">
        <v>1121</v>
      </c>
      <c r="H477" s="28">
        <v>4769.4399999999996</v>
      </c>
      <c r="I477" s="28">
        <v>0</v>
      </c>
      <c r="J477" s="28">
        <v>4769.4399999999996</v>
      </c>
      <c r="K477" s="26" t="s">
        <v>161</v>
      </c>
      <c r="L477" s="26" t="s">
        <v>153</v>
      </c>
      <c r="M477" s="26" t="s">
        <v>158</v>
      </c>
    </row>
    <row r="478" spans="1:13">
      <c r="A478" s="23" t="s">
        <v>1122</v>
      </c>
      <c r="B478" s="24">
        <v>46028</v>
      </c>
      <c r="C478" s="23" t="s">
        <v>125</v>
      </c>
      <c r="D478" s="23" t="s">
        <v>90</v>
      </c>
      <c r="E478" s="23" t="s">
        <v>208</v>
      </c>
      <c r="F478" s="23" t="s">
        <v>164</v>
      </c>
      <c r="G478" s="23" t="s">
        <v>1123</v>
      </c>
      <c r="H478" s="25">
        <v>0</v>
      </c>
      <c r="I478" s="25">
        <v>562.59</v>
      </c>
      <c r="J478" s="25">
        <v>-562.59</v>
      </c>
      <c r="K478" s="23" t="s">
        <v>136</v>
      </c>
      <c r="L478" s="23" t="s">
        <v>142</v>
      </c>
      <c r="M478" s="23" t="s">
        <v>426</v>
      </c>
    </row>
    <row r="479" spans="1:13">
      <c r="A479" s="26" t="s">
        <v>1124</v>
      </c>
      <c r="B479" s="27">
        <v>46053</v>
      </c>
      <c r="C479" s="26" t="s">
        <v>125</v>
      </c>
      <c r="D479" s="26" t="s">
        <v>72</v>
      </c>
      <c r="E479" s="26" t="s">
        <v>208</v>
      </c>
      <c r="F479" s="26" t="s">
        <v>209</v>
      </c>
      <c r="G479" s="26" t="s">
        <v>1125</v>
      </c>
      <c r="H479" s="28">
        <v>0</v>
      </c>
      <c r="I479" s="28">
        <v>2851.42</v>
      </c>
      <c r="J479" s="28">
        <v>-2851.42</v>
      </c>
      <c r="K479" s="26" t="s">
        <v>129</v>
      </c>
      <c r="L479" s="26" t="s">
        <v>130</v>
      </c>
      <c r="M479" s="26" t="s">
        <v>131</v>
      </c>
    </row>
    <row r="480" spans="1:13">
      <c r="A480" s="23" t="s">
        <v>1126</v>
      </c>
      <c r="B480" s="24">
        <v>46040</v>
      </c>
      <c r="C480" s="23" t="s">
        <v>125</v>
      </c>
      <c r="D480" s="23" t="s">
        <v>99</v>
      </c>
      <c r="E480" s="23" t="s">
        <v>182</v>
      </c>
      <c r="F480" s="23" t="s">
        <v>183</v>
      </c>
      <c r="G480" s="23" t="s">
        <v>1127</v>
      </c>
      <c r="H480" s="25">
        <v>0</v>
      </c>
      <c r="I480" s="25">
        <v>12822.18</v>
      </c>
      <c r="J480" s="25">
        <v>-12822.18</v>
      </c>
      <c r="K480" s="23" t="s">
        <v>136</v>
      </c>
      <c r="L480" s="23" t="s">
        <v>130</v>
      </c>
      <c r="M480" s="23" t="s">
        <v>185</v>
      </c>
    </row>
    <row r="481" spans="1:13">
      <c r="A481" s="26" t="s">
        <v>1128</v>
      </c>
      <c r="B481" s="27">
        <v>46052</v>
      </c>
      <c r="C481" s="26" t="s">
        <v>125</v>
      </c>
      <c r="D481" s="26" t="s">
        <v>90</v>
      </c>
      <c r="E481" s="26" t="s">
        <v>167</v>
      </c>
      <c r="F481" s="26" t="s">
        <v>164</v>
      </c>
      <c r="G481" s="26" t="s">
        <v>1129</v>
      </c>
      <c r="H481" s="28">
        <v>0</v>
      </c>
      <c r="I481" s="28">
        <v>3267.93</v>
      </c>
      <c r="J481" s="28">
        <v>-3267.93</v>
      </c>
      <c r="K481" s="26" t="s">
        <v>178</v>
      </c>
      <c r="L481" s="26" t="s">
        <v>148</v>
      </c>
      <c r="M481" s="26" t="s">
        <v>426</v>
      </c>
    </row>
    <row r="482" spans="1:13">
      <c r="A482" s="23" t="s">
        <v>1130</v>
      </c>
      <c r="B482" s="24">
        <v>46051</v>
      </c>
      <c r="C482" s="23" t="s">
        <v>125</v>
      </c>
      <c r="D482" s="23" t="s">
        <v>99</v>
      </c>
      <c r="E482" s="23" t="s">
        <v>182</v>
      </c>
      <c r="F482" s="23" t="s">
        <v>183</v>
      </c>
      <c r="G482" s="23" t="s">
        <v>1131</v>
      </c>
      <c r="H482" s="25">
        <v>0</v>
      </c>
      <c r="I482" s="25">
        <v>6645.96</v>
      </c>
      <c r="J482" s="25">
        <v>-6645.96</v>
      </c>
      <c r="K482" s="23" t="s">
        <v>161</v>
      </c>
      <c r="L482" s="23" t="s">
        <v>137</v>
      </c>
      <c r="M482" s="23" t="s">
        <v>185</v>
      </c>
    </row>
    <row r="483" spans="1:13">
      <c r="A483" s="26" t="s">
        <v>1132</v>
      </c>
      <c r="B483" s="27">
        <v>46024</v>
      </c>
      <c r="C483" s="26" t="s">
        <v>125</v>
      </c>
      <c r="D483" s="26" t="s">
        <v>90</v>
      </c>
      <c r="E483" s="26" t="s">
        <v>150</v>
      </c>
      <c r="F483" s="26" t="s">
        <v>164</v>
      </c>
      <c r="G483" s="26" t="s">
        <v>1133</v>
      </c>
      <c r="H483" s="28">
        <v>0</v>
      </c>
      <c r="I483" s="28">
        <v>1371.54</v>
      </c>
      <c r="J483" s="28">
        <v>-1371.54</v>
      </c>
      <c r="K483" s="26" t="s">
        <v>147</v>
      </c>
      <c r="L483" s="26" t="s">
        <v>130</v>
      </c>
      <c r="M483" s="26" t="s">
        <v>867</v>
      </c>
    </row>
    <row r="484" spans="1:13">
      <c r="A484" s="23" t="s">
        <v>1134</v>
      </c>
      <c r="B484" s="24">
        <v>46045</v>
      </c>
      <c r="C484" s="23" t="s">
        <v>125</v>
      </c>
      <c r="D484" s="23" t="s">
        <v>90</v>
      </c>
      <c r="E484" s="23" t="s">
        <v>150</v>
      </c>
      <c r="F484" s="23" t="s">
        <v>164</v>
      </c>
      <c r="G484" s="23" t="s">
        <v>1135</v>
      </c>
      <c r="H484" s="25">
        <v>3780.29</v>
      </c>
      <c r="I484" s="25">
        <v>0</v>
      </c>
      <c r="J484" s="25">
        <v>3780.29</v>
      </c>
      <c r="K484" s="23" t="s">
        <v>178</v>
      </c>
      <c r="L484" s="23" t="s">
        <v>153</v>
      </c>
      <c r="M484" s="23" t="s">
        <v>194</v>
      </c>
    </row>
    <row r="485" spans="1:13">
      <c r="A485" s="26" t="s">
        <v>1136</v>
      </c>
      <c r="B485" s="27">
        <v>46046</v>
      </c>
      <c r="C485" s="26" t="s">
        <v>125</v>
      </c>
      <c r="D485" s="26" t="s">
        <v>81</v>
      </c>
      <c r="E485" s="26" t="s">
        <v>173</v>
      </c>
      <c r="F485" s="26" t="s">
        <v>174</v>
      </c>
      <c r="G485" s="26" t="s">
        <v>1137</v>
      </c>
      <c r="H485" s="28">
        <v>6349.15</v>
      </c>
      <c r="I485" s="28">
        <v>0</v>
      </c>
      <c r="J485" s="28">
        <v>6349.15</v>
      </c>
      <c r="K485" s="26" t="s">
        <v>136</v>
      </c>
      <c r="L485" s="26" t="s">
        <v>142</v>
      </c>
      <c r="M485" s="26" t="s">
        <v>158</v>
      </c>
    </row>
    <row r="486" spans="1:13">
      <c r="A486" s="23" t="s">
        <v>1138</v>
      </c>
      <c r="B486" s="24">
        <v>46024</v>
      </c>
      <c r="C486" s="23" t="s">
        <v>125</v>
      </c>
      <c r="D486" s="23" t="s">
        <v>107</v>
      </c>
      <c r="E486" s="23" t="s">
        <v>191</v>
      </c>
      <c r="F486" s="23" t="s">
        <v>192</v>
      </c>
      <c r="G486" s="23" t="s">
        <v>1139</v>
      </c>
      <c r="H486" s="25">
        <v>0</v>
      </c>
      <c r="I486" s="25">
        <v>49.57</v>
      </c>
      <c r="J486" s="25">
        <v>-49.57</v>
      </c>
      <c r="K486" s="23" t="s">
        <v>147</v>
      </c>
      <c r="L486" s="23" t="s">
        <v>153</v>
      </c>
      <c r="M486" s="23" t="s">
        <v>194</v>
      </c>
    </row>
    <row r="487" spans="1:13">
      <c r="A487" s="26" t="s">
        <v>1140</v>
      </c>
      <c r="B487" s="27">
        <v>46050</v>
      </c>
      <c r="C487" s="26" t="s">
        <v>125</v>
      </c>
      <c r="D487" s="26" t="s">
        <v>90</v>
      </c>
      <c r="E487" s="26" t="s">
        <v>220</v>
      </c>
      <c r="F487" s="26" t="s">
        <v>164</v>
      </c>
      <c r="G487" s="26" t="s">
        <v>1141</v>
      </c>
      <c r="H487" s="28">
        <v>0</v>
      </c>
      <c r="I487" s="28">
        <v>4158.42</v>
      </c>
      <c r="J487" s="28">
        <v>-4158.42</v>
      </c>
      <c r="K487" s="26" t="s">
        <v>136</v>
      </c>
      <c r="L487" s="26" t="s">
        <v>153</v>
      </c>
      <c r="M487" s="26" t="s">
        <v>426</v>
      </c>
    </row>
    <row r="488" spans="1:13">
      <c r="A488" s="23" t="s">
        <v>1142</v>
      </c>
      <c r="B488" s="24">
        <v>46053</v>
      </c>
      <c r="C488" s="23" t="s">
        <v>125</v>
      </c>
      <c r="D488" s="23" t="s">
        <v>72</v>
      </c>
      <c r="E488" s="23" t="s">
        <v>150</v>
      </c>
      <c r="F488" s="23" t="s">
        <v>151</v>
      </c>
      <c r="G488" s="23" t="s">
        <v>1143</v>
      </c>
      <c r="H488" s="25">
        <v>0</v>
      </c>
      <c r="I488" s="25">
        <v>1165.8499999999999</v>
      </c>
      <c r="J488" s="25">
        <v>-1165.8499999999999</v>
      </c>
      <c r="K488" s="23" t="s">
        <v>178</v>
      </c>
      <c r="L488" s="23" t="s">
        <v>130</v>
      </c>
      <c r="M488" s="23" t="s">
        <v>131</v>
      </c>
    </row>
    <row r="489" spans="1:13">
      <c r="A489" s="26" t="s">
        <v>1144</v>
      </c>
      <c r="B489" s="27">
        <v>46046</v>
      </c>
      <c r="C489" s="26" t="s">
        <v>125</v>
      </c>
      <c r="D489" s="26" t="s">
        <v>81</v>
      </c>
      <c r="E489" s="26" t="s">
        <v>163</v>
      </c>
      <c r="F489" s="26" t="s">
        <v>250</v>
      </c>
      <c r="G489" s="26" t="s">
        <v>1145</v>
      </c>
      <c r="H489" s="28">
        <v>489.3</v>
      </c>
      <c r="I489" s="28">
        <v>0</v>
      </c>
      <c r="J489" s="28">
        <v>489.3</v>
      </c>
      <c r="K489" s="26" t="s">
        <v>147</v>
      </c>
      <c r="L489" s="26" t="s">
        <v>153</v>
      </c>
      <c r="M489" s="26" t="s">
        <v>158</v>
      </c>
    </row>
    <row r="490" spans="1:13">
      <c r="A490" s="23" t="s">
        <v>1146</v>
      </c>
      <c r="B490" s="24">
        <v>46031</v>
      </c>
      <c r="C490" s="23" t="s">
        <v>125</v>
      </c>
      <c r="D490" s="23" t="s">
        <v>72</v>
      </c>
      <c r="E490" s="23" t="s">
        <v>150</v>
      </c>
      <c r="F490" s="23" t="s">
        <v>151</v>
      </c>
      <c r="G490" s="23" t="s">
        <v>1147</v>
      </c>
      <c r="H490" s="25">
        <v>0</v>
      </c>
      <c r="I490" s="25">
        <v>4423.3</v>
      </c>
      <c r="J490" s="25">
        <v>-4423.3</v>
      </c>
      <c r="K490" s="23" t="s">
        <v>129</v>
      </c>
      <c r="L490" s="23" t="s">
        <v>137</v>
      </c>
      <c r="M490" s="23" t="s">
        <v>131</v>
      </c>
    </row>
    <row r="491" spans="1:13">
      <c r="A491" s="26" t="s">
        <v>1148</v>
      </c>
      <c r="B491" s="27">
        <v>46047</v>
      </c>
      <c r="C491" s="26" t="s">
        <v>125</v>
      </c>
      <c r="D491" s="26" t="s">
        <v>107</v>
      </c>
      <c r="E491" s="26" t="s">
        <v>191</v>
      </c>
      <c r="F491" s="26" t="s">
        <v>192</v>
      </c>
      <c r="G491" s="26" t="s">
        <v>1149</v>
      </c>
      <c r="H491" s="28">
        <v>0</v>
      </c>
      <c r="I491" s="28">
        <v>75.790000000000006</v>
      </c>
      <c r="J491" s="28">
        <v>-75.790000000000006</v>
      </c>
      <c r="K491" s="26" t="s">
        <v>147</v>
      </c>
      <c r="L491" s="26" t="s">
        <v>142</v>
      </c>
      <c r="M491" s="26" t="s">
        <v>194</v>
      </c>
    </row>
    <row r="492" spans="1:13">
      <c r="A492" s="23" t="s">
        <v>1150</v>
      </c>
      <c r="B492" s="24">
        <v>46045</v>
      </c>
      <c r="C492" s="23" t="s">
        <v>125</v>
      </c>
      <c r="D492" s="23" t="s">
        <v>72</v>
      </c>
      <c r="E492" s="23" t="s">
        <v>133</v>
      </c>
      <c r="F492" s="23" t="s">
        <v>134</v>
      </c>
      <c r="G492" s="23" t="s">
        <v>1151</v>
      </c>
      <c r="H492" s="25">
        <v>0</v>
      </c>
      <c r="I492" s="25">
        <v>5936.76</v>
      </c>
      <c r="J492" s="25">
        <v>-5936.76</v>
      </c>
      <c r="K492" s="23" t="s">
        <v>136</v>
      </c>
      <c r="L492" s="23" t="s">
        <v>137</v>
      </c>
      <c r="M492" s="23" t="s">
        <v>131</v>
      </c>
    </row>
    <row r="493" spans="1:13">
      <c r="A493" s="26" t="s">
        <v>1152</v>
      </c>
      <c r="B493" s="27">
        <v>46040</v>
      </c>
      <c r="C493" s="26" t="s">
        <v>125</v>
      </c>
      <c r="D493" s="26" t="s">
        <v>81</v>
      </c>
      <c r="E493" s="26" t="s">
        <v>214</v>
      </c>
      <c r="F493" s="26" t="s">
        <v>215</v>
      </c>
      <c r="G493" s="26" t="s">
        <v>1153</v>
      </c>
      <c r="H493" s="28">
        <v>1997</v>
      </c>
      <c r="I493" s="28">
        <v>0</v>
      </c>
      <c r="J493" s="28">
        <v>1997</v>
      </c>
      <c r="K493" s="26" t="s">
        <v>129</v>
      </c>
      <c r="L493" s="26" t="s">
        <v>148</v>
      </c>
      <c r="M493" s="26" t="s">
        <v>158</v>
      </c>
    </row>
    <row r="494" spans="1:13">
      <c r="A494" s="23" t="s">
        <v>1154</v>
      </c>
      <c r="B494" s="24">
        <v>46047</v>
      </c>
      <c r="C494" s="23" t="s">
        <v>125</v>
      </c>
      <c r="D494" s="23" t="s">
        <v>81</v>
      </c>
      <c r="E494" s="23" t="s">
        <v>163</v>
      </c>
      <c r="F494" s="23" t="s">
        <v>250</v>
      </c>
      <c r="G494" s="23" t="s">
        <v>1155</v>
      </c>
      <c r="H494" s="25">
        <v>8471.8700000000008</v>
      </c>
      <c r="I494" s="25">
        <v>0</v>
      </c>
      <c r="J494" s="25">
        <v>8471.8700000000008</v>
      </c>
      <c r="K494" s="23" t="s">
        <v>178</v>
      </c>
      <c r="L494" s="23" t="s">
        <v>137</v>
      </c>
      <c r="M494" s="23" t="s">
        <v>158</v>
      </c>
    </row>
    <row r="495" spans="1:13">
      <c r="A495" s="26" t="s">
        <v>1156</v>
      </c>
      <c r="B495" s="27">
        <v>46043</v>
      </c>
      <c r="C495" s="26" t="s">
        <v>125</v>
      </c>
      <c r="D495" s="26" t="s">
        <v>81</v>
      </c>
      <c r="E495" s="26" t="s">
        <v>167</v>
      </c>
      <c r="F495" s="26" t="s">
        <v>168</v>
      </c>
      <c r="G495" s="26" t="s">
        <v>1157</v>
      </c>
      <c r="H495" s="28">
        <v>2185.96</v>
      </c>
      <c r="I495" s="28">
        <v>0</v>
      </c>
      <c r="J495" s="28">
        <v>2185.96</v>
      </c>
      <c r="K495" s="26" t="s">
        <v>178</v>
      </c>
      <c r="L495" s="26" t="s">
        <v>148</v>
      </c>
      <c r="M495" s="26" t="s">
        <v>158</v>
      </c>
    </row>
    <row r="496" spans="1:13">
      <c r="A496" s="23" t="s">
        <v>1158</v>
      </c>
      <c r="B496" s="24">
        <v>46040</v>
      </c>
      <c r="C496" s="23" t="s">
        <v>125</v>
      </c>
      <c r="D496" s="23" t="s">
        <v>90</v>
      </c>
      <c r="E496" s="23" t="s">
        <v>144</v>
      </c>
      <c r="F496" s="23" t="s">
        <v>164</v>
      </c>
      <c r="G496" s="23" t="s">
        <v>1159</v>
      </c>
      <c r="H496" s="25">
        <v>0</v>
      </c>
      <c r="I496" s="25">
        <v>4561.1099999999997</v>
      </c>
      <c r="J496" s="25">
        <v>-4561.1099999999997</v>
      </c>
      <c r="K496" s="23" t="s">
        <v>136</v>
      </c>
      <c r="L496" s="23" t="s">
        <v>153</v>
      </c>
      <c r="M496" s="23" t="s">
        <v>426</v>
      </c>
    </row>
    <row r="497" spans="1:13">
      <c r="A497" s="26" t="s">
        <v>1160</v>
      </c>
      <c r="B497" s="27">
        <v>46043</v>
      </c>
      <c r="C497" s="26" t="s">
        <v>125</v>
      </c>
      <c r="D497" s="26" t="s">
        <v>72</v>
      </c>
      <c r="E497" s="26" t="s">
        <v>204</v>
      </c>
      <c r="F497" s="26" t="s">
        <v>205</v>
      </c>
      <c r="G497" s="26" t="s">
        <v>1161</v>
      </c>
      <c r="H497" s="28">
        <v>0</v>
      </c>
      <c r="I497" s="28">
        <v>583.95000000000005</v>
      </c>
      <c r="J497" s="28">
        <v>-583.95000000000005</v>
      </c>
      <c r="K497" s="26" t="s">
        <v>178</v>
      </c>
      <c r="L497" s="26" t="s">
        <v>130</v>
      </c>
      <c r="M497" s="26" t="s">
        <v>131</v>
      </c>
    </row>
    <row r="498" spans="1:13">
      <c r="A498" s="23" t="s">
        <v>1162</v>
      </c>
      <c r="B498" s="24">
        <v>46047</v>
      </c>
      <c r="C498" s="23" t="s">
        <v>125</v>
      </c>
      <c r="D498" s="23" t="s">
        <v>81</v>
      </c>
      <c r="E498" s="23" t="s">
        <v>220</v>
      </c>
      <c r="F498" s="23" t="s">
        <v>221</v>
      </c>
      <c r="G498" s="23" t="s">
        <v>1163</v>
      </c>
      <c r="H498" s="25">
        <v>5384.89</v>
      </c>
      <c r="I498" s="25">
        <v>0</v>
      </c>
      <c r="J498" s="25">
        <v>5384.89</v>
      </c>
      <c r="K498" s="23" t="s">
        <v>129</v>
      </c>
      <c r="L498" s="23" t="s">
        <v>130</v>
      </c>
      <c r="M498" s="23" t="s">
        <v>158</v>
      </c>
    </row>
    <row r="499" spans="1:13">
      <c r="A499" s="26" t="s">
        <v>1164</v>
      </c>
      <c r="B499" s="27">
        <v>46036</v>
      </c>
      <c r="C499" s="26" t="s">
        <v>125</v>
      </c>
      <c r="D499" s="26" t="s">
        <v>99</v>
      </c>
      <c r="E499" s="26" t="s">
        <v>182</v>
      </c>
      <c r="F499" s="26" t="s">
        <v>183</v>
      </c>
      <c r="G499" s="26" t="s">
        <v>1165</v>
      </c>
      <c r="H499" s="28">
        <v>0</v>
      </c>
      <c r="I499" s="28">
        <v>5480.9</v>
      </c>
      <c r="J499" s="28">
        <v>-5480.9</v>
      </c>
      <c r="K499" s="26" t="s">
        <v>161</v>
      </c>
      <c r="L499" s="26" t="s">
        <v>137</v>
      </c>
      <c r="M499" s="26" t="s">
        <v>185</v>
      </c>
    </row>
    <row r="500" spans="1:13">
      <c r="A500" s="23" t="s">
        <v>1166</v>
      </c>
      <c r="B500" s="24">
        <v>46024</v>
      </c>
      <c r="C500" s="23" t="s">
        <v>125</v>
      </c>
      <c r="D500" s="23" t="s">
        <v>72</v>
      </c>
      <c r="E500" s="23" t="s">
        <v>144</v>
      </c>
      <c r="F500" s="23" t="s">
        <v>145</v>
      </c>
      <c r="G500" s="23" t="s">
        <v>1167</v>
      </c>
      <c r="H500" s="25">
        <v>0</v>
      </c>
      <c r="I500" s="25">
        <v>1169.31</v>
      </c>
      <c r="J500" s="25">
        <v>-1169.31</v>
      </c>
      <c r="K500" s="23" t="s">
        <v>147</v>
      </c>
      <c r="L500" s="23" t="s">
        <v>153</v>
      </c>
      <c r="M500" s="23" t="s">
        <v>131</v>
      </c>
    </row>
    <row r="501" spans="1:13">
      <c r="A501" s="26" t="s">
        <v>1168</v>
      </c>
      <c r="B501" s="27">
        <v>46036</v>
      </c>
      <c r="C501" s="26" t="s">
        <v>125</v>
      </c>
      <c r="D501" s="26" t="s">
        <v>81</v>
      </c>
      <c r="E501" s="26" t="s">
        <v>155</v>
      </c>
      <c r="F501" s="26" t="s">
        <v>156</v>
      </c>
      <c r="G501" s="26" t="s">
        <v>1169</v>
      </c>
      <c r="H501" s="28">
        <v>3527.14</v>
      </c>
      <c r="I501" s="28">
        <v>0</v>
      </c>
      <c r="J501" s="28">
        <v>3527.14</v>
      </c>
      <c r="K501" s="26" t="s">
        <v>147</v>
      </c>
      <c r="L501" s="26" t="s">
        <v>137</v>
      </c>
      <c r="M501" s="26" t="s">
        <v>158</v>
      </c>
    </row>
    <row r="502" spans="1:13">
      <c r="A502" s="23" t="s">
        <v>1170</v>
      </c>
      <c r="B502" s="24">
        <v>46043</v>
      </c>
      <c r="C502" s="23" t="s">
        <v>125</v>
      </c>
      <c r="D502" s="23" t="s">
        <v>90</v>
      </c>
      <c r="E502" s="23" t="s">
        <v>133</v>
      </c>
      <c r="F502" s="23" t="s">
        <v>164</v>
      </c>
      <c r="G502" s="23" t="s">
        <v>1171</v>
      </c>
      <c r="H502" s="25">
        <v>0</v>
      </c>
      <c r="I502" s="25">
        <v>3792</v>
      </c>
      <c r="J502" s="25">
        <v>-3792</v>
      </c>
      <c r="K502" s="23" t="s">
        <v>147</v>
      </c>
      <c r="L502" s="23" t="s">
        <v>153</v>
      </c>
      <c r="M502" s="23" t="s">
        <v>158</v>
      </c>
    </row>
    <row r="503" spans="1:13">
      <c r="A503" s="26" t="s">
        <v>1172</v>
      </c>
      <c r="B503" s="27">
        <v>46032</v>
      </c>
      <c r="C503" s="26" t="s">
        <v>125</v>
      </c>
      <c r="D503" s="26" t="s">
        <v>90</v>
      </c>
      <c r="E503" s="26" t="s">
        <v>220</v>
      </c>
      <c r="F503" s="26" t="s">
        <v>164</v>
      </c>
      <c r="G503" s="26" t="s">
        <v>1173</v>
      </c>
      <c r="H503" s="28">
        <v>0</v>
      </c>
      <c r="I503" s="28">
        <v>1938</v>
      </c>
      <c r="J503" s="28">
        <v>-1938</v>
      </c>
      <c r="K503" s="26" t="s">
        <v>161</v>
      </c>
      <c r="L503" s="26" t="s">
        <v>130</v>
      </c>
      <c r="M503" s="26" t="s">
        <v>242</v>
      </c>
    </row>
  </sheetData>
  <mergeCells count="1">
    <mergeCell ref="A1:M1"/>
  </mergeCell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6A085"/>
  </sheetPr>
  <dimension ref="A1:H448"/>
  <sheetViews>
    <sheetView workbookViewId="0">
      <pane ySplit="3" topLeftCell="A4" activePane="bottomLeft" state="frozen"/>
      <selection pane="bottomLeft" sqref="A1:H1"/>
    </sheetView>
  </sheetViews>
  <sheetFormatPr defaultRowHeight="13.8"/>
  <cols>
    <col min="1" max="1" width="28" customWidth="1"/>
    <col min="2" max="2" width="21" customWidth="1"/>
    <col min="3" max="3" width="28" customWidth="1"/>
    <col min="4" max="4" width="15" customWidth="1"/>
    <col min="5" max="5" width="9" customWidth="1"/>
    <col min="6" max="6" width="12" customWidth="1"/>
    <col min="7" max="7" width="11" customWidth="1"/>
    <col min="8" max="8" width="18" customWidth="1"/>
  </cols>
  <sheetData>
    <row r="1" spans="1:8" ht="24" customHeight="1">
      <c r="A1" s="101" t="s">
        <v>1174</v>
      </c>
      <c r="B1" s="102"/>
      <c r="C1" s="102"/>
      <c r="D1" s="102"/>
      <c r="E1" s="102"/>
      <c r="F1" s="102"/>
      <c r="G1" s="102"/>
      <c r="H1" s="102"/>
    </row>
    <row r="2" spans="1:8" ht="22.05" customHeight="1">
      <c r="A2" s="29"/>
      <c r="B2" s="29"/>
      <c r="C2" s="29"/>
      <c r="D2" s="29"/>
      <c r="E2" s="29"/>
      <c r="F2" s="29"/>
      <c r="G2" s="29"/>
      <c r="H2" s="29"/>
    </row>
    <row r="3" spans="1:8" ht="22.05" customHeight="1">
      <c r="A3" s="30" t="s">
        <v>1175</v>
      </c>
      <c r="B3" s="30" t="s">
        <v>1176</v>
      </c>
      <c r="C3" s="30" t="s">
        <v>1177</v>
      </c>
      <c r="D3" s="30" t="s">
        <v>117</v>
      </c>
      <c r="E3" s="30" t="s">
        <v>1178</v>
      </c>
      <c r="F3" s="30" t="s">
        <v>1179</v>
      </c>
      <c r="G3" s="30" t="s">
        <v>1180</v>
      </c>
      <c r="H3" s="30" t="s">
        <v>1181</v>
      </c>
    </row>
    <row r="4" spans="1:8">
      <c r="A4" s="23" t="s">
        <v>1182</v>
      </c>
      <c r="B4" s="31">
        <v>46021</v>
      </c>
      <c r="C4" s="23" t="s">
        <v>1183</v>
      </c>
      <c r="D4" s="23" t="s">
        <v>905</v>
      </c>
      <c r="E4" s="32">
        <v>0</v>
      </c>
      <c r="F4" s="32">
        <v>3971.96</v>
      </c>
      <c r="G4" s="32">
        <v>-3971.96</v>
      </c>
      <c r="H4" s="23" t="s">
        <v>1184</v>
      </c>
    </row>
    <row r="5" spans="1:8">
      <c r="A5" s="33" t="s">
        <v>1185</v>
      </c>
      <c r="B5" s="34">
        <v>46022</v>
      </c>
      <c r="C5" s="33" t="s">
        <v>1186</v>
      </c>
      <c r="D5" s="33" t="s">
        <v>135</v>
      </c>
      <c r="E5" s="35">
        <v>0</v>
      </c>
      <c r="F5" s="35">
        <v>1503.88</v>
      </c>
      <c r="G5" s="35">
        <v>-1503.88</v>
      </c>
      <c r="H5" s="33" t="s">
        <v>1184</v>
      </c>
    </row>
    <row r="6" spans="1:8">
      <c r="A6" s="23" t="s">
        <v>1187</v>
      </c>
      <c r="B6" s="31">
        <v>46022</v>
      </c>
      <c r="C6" s="23" t="s">
        <v>1188</v>
      </c>
      <c r="D6" s="23" t="s">
        <v>401</v>
      </c>
      <c r="E6" s="32">
        <v>0</v>
      </c>
      <c r="F6" s="32">
        <v>1875.41</v>
      </c>
      <c r="G6" s="32">
        <v>-1875.41</v>
      </c>
      <c r="H6" s="23" t="s">
        <v>1184</v>
      </c>
    </row>
    <row r="7" spans="1:8">
      <c r="A7" s="33" t="s">
        <v>1189</v>
      </c>
      <c r="B7" s="34">
        <v>46022</v>
      </c>
      <c r="C7" s="33" t="s">
        <v>1190</v>
      </c>
      <c r="D7" s="33" t="s">
        <v>488</v>
      </c>
      <c r="E7" s="35">
        <v>7841.71</v>
      </c>
      <c r="F7" s="35">
        <v>0</v>
      </c>
      <c r="G7" s="35">
        <v>7841.71</v>
      </c>
      <c r="H7" s="33" t="s">
        <v>1184</v>
      </c>
    </row>
    <row r="8" spans="1:8">
      <c r="A8" s="23" t="s">
        <v>1191</v>
      </c>
      <c r="B8" s="31">
        <v>46022</v>
      </c>
      <c r="C8" s="23" t="s">
        <v>1192</v>
      </c>
      <c r="D8" s="23" t="s">
        <v>504</v>
      </c>
      <c r="E8" s="32">
        <v>790.7</v>
      </c>
      <c r="F8" s="32">
        <v>0</v>
      </c>
      <c r="G8" s="32">
        <v>790.7</v>
      </c>
      <c r="H8" s="23" t="s">
        <v>1184</v>
      </c>
    </row>
    <row r="9" spans="1:8">
      <c r="A9" s="33" t="s">
        <v>1193</v>
      </c>
      <c r="B9" s="34">
        <v>46022</v>
      </c>
      <c r="C9" s="33" t="s">
        <v>1194</v>
      </c>
      <c r="D9" s="33" t="s">
        <v>738</v>
      </c>
      <c r="E9" s="35">
        <v>0</v>
      </c>
      <c r="F9" s="35">
        <v>2606.14</v>
      </c>
      <c r="G9" s="35">
        <v>-2606.14</v>
      </c>
      <c r="H9" s="33" t="s">
        <v>1184</v>
      </c>
    </row>
    <row r="10" spans="1:8">
      <c r="A10" s="23" t="s">
        <v>1195</v>
      </c>
      <c r="B10" s="31">
        <v>46022</v>
      </c>
      <c r="C10" s="23" t="s">
        <v>192</v>
      </c>
      <c r="D10" s="23" t="s">
        <v>875</v>
      </c>
      <c r="E10" s="32">
        <v>0</v>
      </c>
      <c r="F10" s="32">
        <v>114.1</v>
      </c>
      <c r="G10" s="32">
        <v>-114.1</v>
      </c>
      <c r="H10" s="23" t="s">
        <v>1184</v>
      </c>
    </row>
    <row r="11" spans="1:8">
      <c r="A11" s="33" t="s">
        <v>1196</v>
      </c>
      <c r="B11" s="34">
        <v>46023</v>
      </c>
      <c r="C11" s="33" t="s">
        <v>1188</v>
      </c>
      <c r="D11" s="33" t="s">
        <v>448</v>
      </c>
      <c r="E11" s="35">
        <v>0</v>
      </c>
      <c r="F11" s="35">
        <v>855.76</v>
      </c>
      <c r="G11" s="35">
        <v>-855.76</v>
      </c>
      <c r="H11" s="33" t="s">
        <v>1184</v>
      </c>
    </row>
    <row r="12" spans="1:8">
      <c r="A12" s="23" t="s">
        <v>1197</v>
      </c>
      <c r="B12" s="31">
        <v>46023</v>
      </c>
      <c r="C12" s="23" t="s">
        <v>1198</v>
      </c>
      <c r="D12" s="23" t="s">
        <v>522</v>
      </c>
      <c r="E12" s="32">
        <v>8092.26</v>
      </c>
      <c r="F12" s="32">
        <v>0</v>
      </c>
      <c r="G12" s="32">
        <v>8092.26</v>
      </c>
      <c r="H12" s="23" t="s">
        <v>1184</v>
      </c>
    </row>
    <row r="13" spans="1:8">
      <c r="A13" s="33" t="s">
        <v>1199</v>
      </c>
      <c r="B13" s="34">
        <v>46023</v>
      </c>
      <c r="C13" s="33" t="s">
        <v>1200</v>
      </c>
      <c r="D13" s="33" t="s">
        <v>770</v>
      </c>
      <c r="E13" s="35">
        <v>0</v>
      </c>
      <c r="F13" s="35">
        <v>4848.51</v>
      </c>
      <c r="G13" s="35">
        <v>-4848.51</v>
      </c>
      <c r="H13" s="33" t="s">
        <v>1184</v>
      </c>
    </row>
    <row r="14" spans="1:8">
      <c r="A14" s="23" t="s">
        <v>1201</v>
      </c>
      <c r="B14" s="31">
        <v>46023</v>
      </c>
      <c r="C14" s="23" t="s">
        <v>1202</v>
      </c>
      <c r="D14" s="23" t="s">
        <v>965</v>
      </c>
      <c r="E14" s="32">
        <v>6165.45</v>
      </c>
      <c r="F14" s="32">
        <v>0</v>
      </c>
      <c r="G14" s="32">
        <v>6165.45</v>
      </c>
      <c r="H14" s="23" t="s">
        <v>1184</v>
      </c>
    </row>
    <row r="15" spans="1:8">
      <c r="A15" s="33" t="s">
        <v>1203</v>
      </c>
      <c r="B15" s="34">
        <v>46023</v>
      </c>
      <c r="C15" s="33" t="s">
        <v>164</v>
      </c>
      <c r="D15" s="33" t="s">
        <v>999</v>
      </c>
      <c r="E15" s="35">
        <v>0</v>
      </c>
      <c r="F15" s="35">
        <v>2958.5</v>
      </c>
      <c r="G15" s="35">
        <v>-2958.5</v>
      </c>
      <c r="H15" s="33" t="s">
        <v>1184</v>
      </c>
    </row>
    <row r="16" spans="1:8">
      <c r="A16" s="23" t="s">
        <v>1204</v>
      </c>
      <c r="B16" s="31">
        <v>46023</v>
      </c>
      <c r="C16" s="23" t="s">
        <v>1202</v>
      </c>
      <c r="D16" s="23" t="s">
        <v>1121</v>
      </c>
      <c r="E16" s="32">
        <v>4769.4399999999996</v>
      </c>
      <c r="F16" s="32">
        <v>0</v>
      </c>
      <c r="G16" s="32">
        <v>4769.4399999999996</v>
      </c>
      <c r="H16" s="23" t="s">
        <v>1184</v>
      </c>
    </row>
    <row r="17" spans="1:8">
      <c r="A17" s="33" t="s">
        <v>1205</v>
      </c>
      <c r="B17" s="34">
        <v>46023</v>
      </c>
      <c r="C17" s="33" t="s">
        <v>192</v>
      </c>
      <c r="D17" s="33" t="s">
        <v>1139</v>
      </c>
      <c r="E17" s="35">
        <v>0</v>
      </c>
      <c r="F17" s="35">
        <v>49.57</v>
      </c>
      <c r="G17" s="35">
        <v>-49.57</v>
      </c>
      <c r="H17" s="33" t="s">
        <v>1184</v>
      </c>
    </row>
    <row r="18" spans="1:8">
      <c r="A18" s="23" t="s">
        <v>1206</v>
      </c>
      <c r="B18" s="31">
        <v>46024</v>
      </c>
      <c r="C18" s="23" t="s">
        <v>1202</v>
      </c>
      <c r="D18" s="23" t="s">
        <v>345</v>
      </c>
      <c r="E18" s="32">
        <v>4968.13</v>
      </c>
      <c r="F18" s="32">
        <v>0</v>
      </c>
      <c r="G18" s="32">
        <v>4968.13</v>
      </c>
      <c r="H18" s="23" t="s">
        <v>1184</v>
      </c>
    </row>
    <row r="19" spans="1:8">
      <c r="A19" s="33" t="s">
        <v>1207</v>
      </c>
      <c r="B19" s="34">
        <v>46024</v>
      </c>
      <c r="C19" s="33" t="s">
        <v>1194</v>
      </c>
      <c r="D19" s="33" t="s">
        <v>411</v>
      </c>
      <c r="E19" s="35">
        <v>0</v>
      </c>
      <c r="F19" s="35">
        <v>2276.83</v>
      </c>
      <c r="G19" s="35">
        <v>-2276.83</v>
      </c>
      <c r="H19" s="33" t="s">
        <v>1184</v>
      </c>
    </row>
    <row r="20" spans="1:8">
      <c r="A20" s="23" t="s">
        <v>1208</v>
      </c>
      <c r="B20" s="31">
        <v>46024</v>
      </c>
      <c r="C20" s="23" t="s">
        <v>1183</v>
      </c>
      <c r="D20" s="23" t="s">
        <v>654</v>
      </c>
      <c r="E20" s="32">
        <v>0</v>
      </c>
      <c r="F20" s="32">
        <v>4470.2299999999996</v>
      </c>
      <c r="G20" s="32">
        <v>-4470.2299999999996</v>
      </c>
      <c r="H20" s="23" t="s">
        <v>1184</v>
      </c>
    </row>
    <row r="21" spans="1:8">
      <c r="A21" s="33" t="s">
        <v>1209</v>
      </c>
      <c r="B21" s="34">
        <v>46024</v>
      </c>
      <c r="C21" s="33" t="s">
        <v>183</v>
      </c>
      <c r="D21" s="33" t="s">
        <v>786</v>
      </c>
      <c r="E21" s="35">
        <v>0</v>
      </c>
      <c r="F21" s="35">
        <v>14037.02</v>
      </c>
      <c r="G21" s="35">
        <v>-14037.02</v>
      </c>
      <c r="H21" s="33" t="s">
        <v>1184</v>
      </c>
    </row>
    <row r="22" spans="1:8">
      <c r="A22" s="23" t="s">
        <v>1210</v>
      </c>
      <c r="B22" s="31">
        <v>46024</v>
      </c>
      <c r="C22" s="23" t="s">
        <v>1186</v>
      </c>
      <c r="D22" s="23" t="s">
        <v>943</v>
      </c>
      <c r="E22" s="32">
        <v>0</v>
      </c>
      <c r="F22" s="32">
        <v>1711.15</v>
      </c>
      <c r="G22" s="32">
        <v>-1711.15</v>
      </c>
      <c r="H22" s="23" t="s">
        <v>1184</v>
      </c>
    </row>
    <row r="23" spans="1:8">
      <c r="A23" s="33" t="s">
        <v>1211</v>
      </c>
      <c r="B23" s="34">
        <v>46025</v>
      </c>
      <c r="C23" s="33" t="s">
        <v>164</v>
      </c>
      <c r="D23" s="33" t="s">
        <v>233</v>
      </c>
      <c r="E23" s="35">
        <v>0</v>
      </c>
      <c r="F23" s="35">
        <v>2048.69</v>
      </c>
      <c r="G23" s="35">
        <v>-2048.69</v>
      </c>
      <c r="H23" s="33" t="s">
        <v>1184</v>
      </c>
    </row>
    <row r="24" spans="1:8">
      <c r="A24" s="23" t="s">
        <v>1212</v>
      </c>
      <c r="B24" s="31">
        <v>46025</v>
      </c>
      <c r="C24" s="23" t="s">
        <v>183</v>
      </c>
      <c r="D24" s="23" t="s">
        <v>263</v>
      </c>
      <c r="E24" s="32">
        <v>0</v>
      </c>
      <c r="F24" s="32">
        <v>5725.29</v>
      </c>
      <c r="G24" s="32">
        <v>-5725.29</v>
      </c>
      <c r="H24" s="23" t="s">
        <v>1184</v>
      </c>
    </row>
    <row r="25" spans="1:8">
      <c r="A25" s="33" t="s">
        <v>1213</v>
      </c>
      <c r="B25" s="34">
        <v>46025</v>
      </c>
      <c r="C25" s="33" t="s">
        <v>1214</v>
      </c>
      <c r="D25" s="33" t="s">
        <v>377</v>
      </c>
      <c r="E25" s="35">
        <v>0</v>
      </c>
      <c r="F25" s="35">
        <v>5667.13</v>
      </c>
      <c r="G25" s="35">
        <v>-5667.13</v>
      </c>
      <c r="H25" s="33" t="s">
        <v>1184</v>
      </c>
    </row>
    <row r="26" spans="1:8">
      <c r="A26" s="23" t="s">
        <v>1215</v>
      </c>
      <c r="B26" s="31">
        <v>46025</v>
      </c>
      <c r="C26" s="23" t="s">
        <v>164</v>
      </c>
      <c r="D26" s="23" t="s">
        <v>442</v>
      </c>
      <c r="E26" s="32">
        <v>0</v>
      </c>
      <c r="F26" s="32">
        <v>4944.66</v>
      </c>
      <c r="G26" s="32">
        <v>-4944.66</v>
      </c>
      <c r="H26" s="23" t="s">
        <v>1184</v>
      </c>
    </row>
    <row r="27" spans="1:8">
      <c r="A27" s="33" t="s">
        <v>1216</v>
      </c>
      <c r="B27" s="34">
        <v>46025</v>
      </c>
      <c r="C27" s="33" t="s">
        <v>1186</v>
      </c>
      <c r="D27" s="33" t="s">
        <v>580</v>
      </c>
      <c r="E27" s="35">
        <v>0</v>
      </c>
      <c r="F27" s="35">
        <v>3134.15</v>
      </c>
      <c r="G27" s="35">
        <v>-3134.15</v>
      </c>
      <c r="H27" s="33" t="s">
        <v>1184</v>
      </c>
    </row>
    <row r="28" spans="1:8">
      <c r="A28" s="23" t="s">
        <v>1217</v>
      </c>
      <c r="B28" s="31">
        <v>46025</v>
      </c>
      <c r="C28" s="23" t="s">
        <v>183</v>
      </c>
      <c r="D28" s="23" t="s">
        <v>596</v>
      </c>
      <c r="E28" s="32">
        <v>0</v>
      </c>
      <c r="F28" s="32">
        <v>10012.48</v>
      </c>
      <c r="G28" s="32">
        <v>-10012.48</v>
      </c>
      <c r="H28" s="23" t="s">
        <v>1184</v>
      </c>
    </row>
    <row r="29" spans="1:8">
      <c r="A29" s="33" t="s">
        <v>1218</v>
      </c>
      <c r="B29" s="34">
        <v>46025</v>
      </c>
      <c r="C29" s="33" t="s">
        <v>1198</v>
      </c>
      <c r="D29" s="33" t="s">
        <v>658</v>
      </c>
      <c r="E29" s="35">
        <v>4618.5200000000004</v>
      </c>
      <c r="F29" s="35">
        <v>0</v>
      </c>
      <c r="G29" s="35">
        <v>4618.5200000000004</v>
      </c>
      <c r="H29" s="33" t="s">
        <v>1184</v>
      </c>
    </row>
    <row r="30" spans="1:8">
      <c r="A30" s="23" t="s">
        <v>1219</v>
      </c>
      <c r="B30" s="31">
        <v>46025</v>
      </c>
      <c r="C30" s="23" t="s">
        <v>1198</v>
      </c>
      <c r="D30" s="23" t="s">
        <v>716</v>
      </c>
      <c r="E30" s="32">
        <v>580.33000000000004</v>
      </c>
      <c r="F30" s="32">
        <v>0</v>
      </c>
      <c r="G30" s="32">
        <v>580.33000000000004</v>
      </c>
      <c r="H30" s="23" t="s">
        <v>1184</v>
      </c>
    </row>
    <row r="31" spans="1:8">
      <c r="A31" s="33" t="s">
        <v>1220</v>
      </c>
      <c r="B31" s="34">
        <v>46025</v>
      </c>
      <c r="C31" s="33" t="s">
        <v>1194</v>
      </c>
      <c r="D31" s="33" t="s">
        <v>728</v>
      </c>
      <c r="E31" s="35">
        <v>0</v>
      </c>
      <c r="F31" s="35">
        <v>3624.35</v>
      </c>
      <c r="G31" s="35">
        <v>-3624.35</v>
      </c>
      <c r="H31" s="33" t="s">
        <v>1184</v>
      </c>
    </row>
    <row r="32" spans="1:8">
      <c r="A32" s="23" t="s">
        <v>1221</v>
      </c>
      <c r="B32" s="31">
        <v>46025</v>
      </c>
      <c r="C32" s="23" t="s">
        <v>1200</v>
      </c>
      <c r="D32" s="23" t="s">
        <v>764</v>
      </c>
      <c r="E32" s="32">
        <v>0</v>
      </c>
      <c r="F32" s="32">
        <v>4435.46</v>
      </c>
      <c r="G32" s="32">
        <v>-4435.46</v>
      </c>
      <c r="H32" s="23" t="s">
        <v>1184</v>
      </c>
    </row>
    <row r="33" spans="1:8">
      <c r="A33" s="33" t="s">
        <v>1222</v>
      </c>
      <c r="B33" s="34">
        <v>46025</v>
      </c>
      <c r="C33" s="33" t="s">
        <v>192</v>
      </c>
      <c r="D33" s="33" t="s">
        <v>776</v>
      </c>
      <c r="E33" s="35">
        <v>0</v>
      </c>
      <c r="F33" s="35">
        <v>43.2</v>
      </c>
      <c r="G33" s="35">
        <v>-43.2</v>
      </c>
      <c r="H33" s="33" t="s">
        <v>1184</v>
      </c>
    </row>
    <row r="34" spans="1:8">
      <c r="A34" s="23" t="s">
        <v>1223</v>
      </c>
      <c r="B34" s="31">
        <v>46025</v>
      </c>
      <c r="C34" s="23" t="s">
        <v>1198</v>
      </c>
      <c r="D34" s="23" t="s">
        <v>824</v>
      </c>
      <c r="E34" s="32">
        <v>2588.9499999999998</v>
      </c>
      <c r="F34" s="32">
        <v>0</v>
      </c>
      <c r="G34" s="32">
        <v>2588.9499999999998</v>
      </c>
      <c r="H34" s="23" t="s">
        <v>1184</v>
      </c>
    </row>
    <row r="35" spans="1:8">
      <c r="A35" s="33" t="s">
        <v>1224</v>
      </c>
      <c r="B35" s="34">
        <v>46025</v>
      </c>
      <c r="C35" s="33" t="s">
        <v>183</v>
      </c>
      <c r="D35" s="33" t="s">
        <v>844</v>
      </c>
      <c r="E35" s="35">
        <v>0</v>
      </c>
      <c r="F35" s="35">
        <v>14783.93</v>
      </c>
      <c r="G35" s="35">
        <v>-14783.93</v>
      </c>
      <c r="H35" s="33" t="s">
        <v>1184</v>
      </c>
    </row>
    <row r="36" spans="1:8">
      <c r="A36" s="23" t="s">
        <v>1225</v>
      </c>
      <c r="B36" s="31">
        <v>46025</v>
      </c>
      <c r="C36" s="23" t="s">
        <v>1226</v>
      </c>
      <c r="D36" s="23" t="s">
        <v>911</v>
      </c>
      <c r="E36" s="32">
        <v>1264.8399999999999</v>
      </c>
      <c r="F36" s="32">
        <v>0</v>
      </c>
      <c r="G36" s="32">
        <v>1264.8399999999999</v>
      </c>
      <c r="H36" s="23" t="s">
        <v>1184</v>
      </c>
    </row>
    <row r="37" spans="1:8">
      <c r="A37" s="33" t="s">
        <v>1227</v>
      </c>
      <c r="B37" s="34">
        <v>46025</v>
      </c>
      <c r="C37" s="33" t="s">
        <v>164</v>
      </c>
      <c r="D37" s="33" t="s">
        <v>987</v>
      </c>
      <c r="E37" s="35">
        <v>0</v>
      </c>
      <c r="F37" s="35">
        <v>528.67999999999995</v>
      </c>
      <c r="G37" s="35">
        <v>-528.67999999999995</v>
      </c>
      <c r="H37" s="33" t="s">
        <v>1184</v>
      </c>
    </row>
    <row r="38" spans="1:8">
      <c r="A38" s="23" t="s">
        <v>1228</v>
      </c>
      <c r="B38" s="31">
        <v>46025</v>
      </c>
      <c r="C38" s="23" t="s">
        <v>1192</v>
      </c>
      <c r="D38" s="23" t="s">
        <v>1031</v>
      </c>
      <c r="E38" s="32">
        <v>8402.81</v>
      </c>
      <c r="F38" s="32">
        <v>0</v>
      </c>
      <c r="G38" s="32">
        <v>8402.81</v>
      </c>
      <c r="H38" s="23" t="s">
        <v>1184</v>
      </c>
    </row>
    <row r="39" spans="1:8">
      <c r="A39" s="33" t="s">
        <v>1229</v>
      </c>
      <c r="B39" s="34">
        <v>46025</v>
      </c>
      <c r="C39" s="33" t="s">
        <v>1188</v>
      </c>
      <c r="D39" s="33" t="s">
        <v>1167</v>
      </c>
      <c r="E39" s="35">
        <v>0</v>
      </c>
      <c r="F39" s="35">
        <v>1169.31</v>
      </c>
      <c r="G39" s="35">
        <v>-1169.31</v>
      </c>
      <c r="H39" s="33" t="s">
        <v>1184</v>
      </c>
    </row>
    <row r="40" spans="1:8">
      <c r="A40" s="23" t="s">
        <v>1230</v>
      </c>
      <c r="B40" s="31">
        <v>46026</v>
      </c>
      <c r="C40" s="23" t="s">
        <v>1192</v>
      </c>
      <c r="D40" s="23" t="s">
        <v>216</v>
      </c>
      <c r="E40" s="32">
        <v>3686.88</v>
      </c>
      <c r="F40" s="32">
        <v>0</v>
      </c>
      <c r="G40" s="32">
        <v>3686.88</v>
      </c>
      <c r="H40" s="23" t="s">
        <v>1184</v>
      </c>
    </row>
    <row r="41" spans="1:8">
      <c r="A41" s="33" t="s">
        <v>1231</v>
      </c>
      <c r="B41" s="34">
        <v>46026</v>
      </c>
      <c r="C41" s="33" t="s">
        <v>192</v>
      </c>
      <c r="D41" s="33" t="s">
        <v>244</v>
      </c>
      <c r="E41" s="35">
        <v>0</v>
      </c>
      <c r="F41" s="35">
        <v>20.440000000000001</v>
      </c>
      <c r="G41" s="35">
        <v>-20.440000000000001</v>
      </c>
      <c r="H41" s="33" t="s">
        <v>1184</v>
      </c>
    </row>
    <row r="42" spans="1:8">
      <c r="A42" s="23" t="s">
        <v>1232</v>
      </c>
      <c r="B42" s="31">
        <v>46026</v>
      </c>
      <c r="C42" s="23" t="s">
        <v>1183</v>
      </c>
      <c r="D42" s="23" t="s">
        <v>804</v>
      </c>
      <c r="E42" s="32">
        <v>0</v>
      </c>
      <c r="F42" s="32">
        <v>4045.58</v>
      </c>
      <c r="G42" s="32">
        <v>-4045.58</v>
      </c>
      <c r="H42" s="23" t="s">
        <v>1184</v>
      </c>
    </row>
    <row r="43" spans="1:8">
      <c r="A43" s="33" t="s">
        <v>1233</v>
      </c>
      <c r="B43" s="34">
        <v>46026</v>
      </c>
      <c r="C43" s="33" t="s">
        <v>164</v>
      </c>
      <c r="D43" s="33" t="s">
        <v>832</v>
      </c>
      <c r="E43" s="35">
        <v>0</v>
      </c>
      <c r="F43" s="35">
        <v>1088.9000000000001</v>
      </c>
      <c r="G43" s="35">
        <v>-1088.9000000000001</v>
      </c>
      <c r="H43" s="33" t="s">
        <v>1184</v>
      </c>
    </row>
    <row r="44" spans="1:8">
      <c r="A44" s="23" t="s">
        <v>1234</v>
      </c>
      <c r="B44" s="31">
        <v>46026</v>
      </c>
      <c r="C44" s="23" t="s">
        <v>1198</v>
      </c>
      <c r="D44" s="23" t="s">
        <v>1051</v>
      </c>
      <c r="E44" s="32">
        <v>4237.97</v>
      </c>
      <c r="F44" s="32">
        <v>0</v>
      </c>
      <c r="G44" s="32">
        <v>4237.97</v>
      </c>
      <c r="H44" s="23" t="s">
        <v>1184</v>
      </c>
    </row>
    <row r="45" spans="1:8">
      <c r="A45" s="33" t="s">
        <v>1235</v>
      </c>
      <c r="B45" s="34">
        <v>46026</v>
      </c>
      <c r="C45" s="33" t="s">
        <v>1190</v>
      </c>
      <c r="D45" s="33" t="s">
        <v>1069</v>
      </c>
      <c r="E45" s="35">
        <v>6010.6</v>
      </c>
      <c r="F45" s="35">
        <v>0</v>
      </c>
      <c r="G45" s="35">
        <v>6010.6</v>
      </c>
      <c r="H45" s="33" t="s">
        <v>1184</v>
      </c>
    </row>
    <row r="46" spans="1:8">
      <c r="A46" s="23" t="s">
        <v>1236</v>
      </c>
      <c r="B46" s="31">
        <v>46026</v>
      </c>
      <c r="C46" s="23" t="s">
        <v>183</v>
      </c>
      <c r="D46" s="23" t="s">
        <v>1079</v>
      </c>
      <c r="E46" s="32">
        <v>0</v>
      </c>
      <c r="F46" s="32">
        <v>11842.88</v>
      </c>
      <c r="G46" s="32">
        <v>-11842.88</v>
      </c>
      <c r="H46" s="23" t="s">
        <v>1184</v>
      </c>
    </row>
    <row r="47" spans="1:8">
      <c r="A47" s="33" t="s">
        <v>1237</v>
      </c>
      <c r="B47" s="34">
        <v>46026</v>
      </c>
      <c r="C47" s="33" t="s">
        <v>183</v>
      </c>
      <c r="D47" s="33" t="s">
        <v>1093</v>
      </c>
      <c r="E47" s="35">
        <v>0</v>
      </c>
      <c r="F47" s="35">
        <v>8889.9699999999993</v>
      </c>
      <c r="G47" s="35">
        <v>-8889.9699999999993</v>
      </c>
      <c r="H47" s="33" t="s">
        <v>1184</v>
      </c>
    </row>
    <row r="48" spans="1:8">
      <c r="A48" s="23" t="s">
        <v>1238</v>
      </c>
      <c r="B48" s="31">
        <v>46026</v>
      </c>
      <c r="C48" s="23" t="s">
        <v>164</v>
      </c>
      <c r="D48" s="23" t="s">
        <v>1119</v>
      </c>
      <c r="E48" s="32">
        <v>0</v>
      </c>
      <c r="F48" s="32">
        <v>4636.8</v>
      </c>
      <c r="G48" s="32">
        <v>-4636.8</v>
      </c>
      <c r="H48" s="23" t="s">
        <v>1184</v>
      </c>
    </row>
    <row r="49" spans="1:8">
      <c r="A49" s="33" t="s">
        <v>1239</v>
      </c>
      <c r="B49" s="34">
        <v>46026</v>
      </c>
      <c r="C49" s="33" t="s">
        <v>1240</v>
      </c>
      <c r="D49" s="33" t="s">
        <v>1241</v>
      </c>
      <c r="E49" s="35">
        <v>0</v>
      </c>
      <c r="F49" s="35">
        <v>118.81</v>
      </c>
      <c r="G49" s="35">
        <v>-118.81</v>
      </c>
      <c r="H49" s="33" t="s">
        <v>1242</v>
      </c>
    </row>
    <row r="50" spans="1:8">
      <c r="A50" s="23" t="s">
        <v>1243</v>
      </c>
      <c r="B50" s="31">
        <v>46027</v>
      </c>
      <c r="C50" s="23" t="s">
        <v>1192</v>
      </c>
      <c r="D50" s="23" t="s">
        <v>319</v>
      </c>
      <c r="E50" s="32">
        <v>255.65</v>
      </c>
      <c r="F50" s="32">
        <v>0</v>
      </c>
      <c r="G50" s="32">
        <v>255.65</v>
      </c>
      <c r="H50" s="23" t="s">
        <v>1184</v>
      </c>
    </row>
    <row r="51" spans="1:8">
      <c r="A51" s="33" t="s">
        <v>1244</v>
      </c>
      <c r="B51" s="34">
        <v>46027</v>
      </c>
      <c r="C51" s="33" t="s">
        <v>192</v>
      </c>
      <c r="D51" s="33" t="s">
        <v>438</v>
      </c>
      <c r="E51" s="35">
        <v>0</v>
      </c>
      <c r="F51" s="35">
        <v>47.24</v>
      </c>
      <c r="G51" s="35">
        <v>-47.24</v>
      </c>
      <c r="H51" s="33" t="s">
        <v>1184</v>
      </c>
    </row>
    <row r="52" spans="1:8">
      <c r="A52" s="23" t="s">
        <v>1245</v>
      </c>
      <c r="B52" s="31">
        <v>46027</v>
      </c>
      <c r="C52" s="23" t="s">
        <v>164</v>
      </c>
      <c r="D52" s="23" t="s">
        <v>484</v>
      </c>
      <c r="E52" s="32">
        <v>1314.82</v>
      </c>
      <c r="F52" s="32">
        <v>0</v>
      </c>
      <c r="G52" s="32">
        <v>1314.82</v>
      </c>
      <c r="H52" s="23" t="s">
        <v>1184</v>
      </c>
    </row>
    <row r="53" spans="1:8">
      <c r="A53" s="33" t="s">
        <v>1246</v>
      </c>
      <c r="B53" s="34">
        <v>46027</v>
      </c>
      <c r="C53" s="33" t="s">
        <v>164</v>
      </c>
      <c r="D53" s="33" t="s">
        <v>544</v>
      </c>
      <c r="E53" s="35">
        <v>2270.58</v>
      </c>
      <c r="F53" s="35">
        <v>0</v>
      </c>
      <c r="G53" s="35">
        <v>2270.58</v>
      </c>
      <c r="H53" s="33" t="s">
        <v>1184</v>
      </c>
    </row>
    <row r="54" spans="1:8">
      <c r="A54" s="23" t="s">
        <v>1247</v>
      </c>
      <c r="B54" s="31">
        <v>46027</v>
      </c>
      <c r="C54" s="23" t="s">
        <v>1183</v>
      </c>
      <c r="D54" s="23" t="s">
        <v>592</v>
      </c>
      <c r="E54" s="32">
        <v>0</v>
      </c>
      <c r="F54" s="32">
        <v>4011.11</v>
      </c>
      <c r="G54" s="32">
        <v>-4011.11</v>
      </c>
      <c r="H54" s="23" t="s">
        <v>1184</v>
      </c>
    </row>
    <row r="55" spans="1:8">
      <c r="A55" s="33" t="s">
        <v>1248</v>
      </c>
      <c r="B55" s="34">
        <v>46027</v>
      </c>
      <c r="C55" s="33" t="s">
        <v>164</v>
      </c>
      <c r="D55" s="33" t="s">
        <v>612</v>
      </c>
      <c r="E55" s="35">
        <v>2830.17</v>
      </c>
      <c r="F55" s="35">
        <v>0</v>
      </c>
      <c r="G55" s="35">
        <v>2830.17</v>
      </c>
      <c r="H55" s="33" t="s">
        <v>1184</v>
      </c>
    </row>
    <row r="56" spans="1:8">
      <c r="A56" s="23" t="s">
        <v>1249</v>
      </c>
      <c r="B56" s="31">
        <v>46027</v>
      </c>
      <c r="C56" s="23" t="s">
        <v>1226</v>
      </c>
      <c r="D56" s="23" t="s">
        <v>676</v>
      </c>
      <c r="E56" s="32">
        <v>7857.94</v>
      </c>
      <c r="F56" s="32">
        <v>0</v>
      </c>
      <c r="G56" s="32">
        <v>7857.94</v>
      </c>
      <c r="H56" s="23" t="s">
        <v>1184</v>
      </c>
    </row>
    <row r="57" spans="1:8">
      <c r="A57" s="33" t="s">
        <v>1250</v>
      </c>
      <c r="B57" s="34">
        <v>46027</v>
      </c>
      <c r="C57" s="33" t="s">
        <v>164</v>
      </c>
      <c r="D57" s="33" t="s">
        <v>692</v>
      </c>
      <c r="E57" s="35">
        <v>3247.11</v>
      </c>
      <c r="F57" s="35">
        <v>0</v>
      </c>
      <c r="G57" s="35">
        <v>3247.11</v>
      </c>
      <c r="H57" s="33" t="s">
        <v>1184</v>
      </c>
    </row>
    <row r="58" spans="1:8">
      <c r="A58" s="23" t="s">
        <v>1251</v>
      </c>
      <c r="B58" s="31">
        <v>46027</v>
      </c>
      <c r="C58" s="23" t="s">
        <v>1183</v>
      </c>
      <c r="D58" s="23" t="s">
        <v>772</v>
      </c>
      <c r="E58" s="32">
        <v>0</v>
      </c>
      <c r="F58" s="32">
        <v>1722.65</v>
      </c>
      <c r="G58" s="32">
        <v>-1722.65</v>
      </c>
      <c r="H58" s="23" t="s">
        <v>1184</v>
      </c>
    </row>
    <row r="59" spans="1:8">
      <c r="A59" s="33" t="s">
        <v>1252</v>
      </c>
      <c r="B59" s="34">
        <v>46027</v>
      </c>
      <c r="C59" s="33" t="s">
        <v>183</v>
      </c>
      <c r="D59" s="33" t="s">
        <v>864</v>
      </c>
      <c r="E59" s="35">
        <v>0</v>
      </c>
      <c r="F59" s="35">
        <v>4530.1899999999996</v>
      </c>
      <c r="G59" s="35">
        <v>-4530.1899999999996</v>
      </c>
      <c r="H59" s="33" t="s">
        <v>1184</v>
      </c>
    </row>
    <row r="60" spans="1:8">
      <c r="A60" s="23" t="s">
        <v>1253</v>
      </c>
      <c r="B60" s="31">
        <v>46027</v>
      </c>
      <c r="C60" s="23" t="s">
        <v>1254</v>
      </c>
      <c r="D60" s="23" t="s">
        <v>919</v>
      </c>
      <c r="E60" s="32">
        <v>0</v>
      </c>
      <c r="F60" s="32">
        <v>1941.8</v>
      </c>
      <c r="G60" s="32">
        <v>-1941.8</v>
      </c>
      <c r="H60" s="23" t="s">
        <v>1184</v>
      </c>
    </row>
    <row r="61" spans="1:8">
      <c r="A61" s="33" t="s">
        <v>1255</v>
      </c>
      <c r="B61" s="34">
        <v>46028</v>
      </c>
      <c r="C61" s="33" t="s">
        <v>1214</v>
      </c>
      <c r="D61" s="33" t="s">
        <v>347</v>
      </c>
      <c r="E61" s="35">
        <v>0</v>
      </c>
      <c r="F61" s="35">
        <v>2626.99</v>
      </c>
      <c r="G61" s="35">
        <v>-2626.99</v>
      </c>
      <c r="H61" s="33" t="s">
        <v>1184</v>
      </c>
    </row>
    <row r="62" spans="1:8">
      <c r="A62" s="23" t="s">
        <v>1256</v>
      </c>
      <c r="B62" s="31">
        <v>46028</v>
      </c>
      <c r="C62" s="23" t="s">
        <v>1226</v>
      </c>
      <c r="D62" s="23" t="s">
        <v>371</v>
      </c>
      <c r="E62" s="32">
        <v>4007.5</v>
      </c>
      <c r="F62" s="32">
        <v>0</v>
      </c>
      <c r="G62" s="32">
        <v>4007.5</v>
      </c>
      <c r="H62" s="23" t="s">
        <v>1184</v>
      </c>
    </row>
    <row r="63" spans="1:8">
      <c r="A63" s="33" t="s">
        <v>1257</v>
      </c>
      <c r="B63" s="34">
        <v>46028</v>
      </c>
      <c r="C63" s="33" t="s">
        <v>183</v>
      </c>
      <c r="D63" s="33" t="s">
        <v>574</v>
      </c>
      <c r="E63" s="35">
        <v>0</v>
      </c>
      <c r="F63" s="35">
        <v>12332.29</v>
      </c>
      <c r="G63" s="35">
        <v>-12332.29</v>
      </c>
      <c r="H63" s="33" t="s">
        <v>1184</v>
      </c>
    </row>
    <row r="64" spans="1:8">
      <c r="A64" s="23" t="s">
        <v>1258</v>
      </c>
      <c r="B64" s="31">
        <v>46028</v>
      </c>
      <c r="C64" s="23" t="s">
        <v>192</v>
      </c>
      <c r="D64" s="23" t="s">
        <v>744</v>
      </c>
      <c r="E64" s="32">
        <v>0</v>
      </c>
      <c r="F64" s="32">
        <v>30.97</v>
      </c>
      <c r="G64" s="32">
        <v>-30.97</v>
      </c>
      <c r="H64" s="23" t="s">
        <v>1184</v>
      </c>
    </row>
    <row r="65" spans="1:8">
      <c r="A65" s="33" t="s">
        <v>1259</v>
      </c>
      <c r="B65" s="34">
        <v>46028</v>
      </c>
      <c r="C65" s="33" t="s">
        <v>164</v>
      </c>
      <c r="D65" s="33" t="s">
        <v>947</v>
      </c>
      <c r="E65" s="35">
        <v>0</v>
      </c>
      <c r="F65" s="35">
        <v>4755.42</v>
      </c>
      <c r="G65" s="35">
        <v>-4755.42</v>
      </c>
      <c r="H65" s="33" t="s">
        <v>1184</v>
      </c>
    </row>
    <row r="66" spans="1:8">
      <c r="A66" s="23" t="s">
        <v>1260</v>
      </c>
      <c r="B66" s="31">
        <v>46028</v>
      </c>
      <c r="C66" s="23" t="s">
        <v>183</v>
      </c>
      <c r="D66" s="23" t="s">
        <v>1081</v>
      </c>
      <c r="E66" s="32">
        <v>0</v>
      </c>
      <c r="F66" s="32">
        <v>14857.61</v>
      </c>
      <c r="G66" s="32">
        <v>-14857.61</v>
      </c>
      <c r="H66" s="23" t="s">
        <v>1184</v>
      </c>
    </row>
    <row r="67" spans="1:8">
      <c r="A67" s="33" t="s">
        <v>1261</v>
      </c>
      <c r="B67" s="34">
        <v>46028</v>
      </c>
      <c r="C67" s="33" t="s">
        <v>1240</v>
      </c>
      <c r="D67" s="33" t="s">
        <v>1262</v>
      </c>
      <c r="E67" s="35">
        <v>0</v>
      </c>
      <c r="F67" s="35">
        <v>472.22</v>
      </c>
      <c r="G67" s="35">
        <v>-472.22</v>
      </c>
      <c r="H67" s="33" t="s">
        <v>1242</v>
      </c>
    </row>
    <row r="68" spans="1:8">
      <c r="A68" s="23" t="s">
        <v>1263</v>
      </c>
      <c r="B68" s="31">
        <v>46029</v>
      </c>
      <c r="C68" s="23" t="s">
        <v>164</v>
      </c>
      <c r="D68" s="23" t="s">
        <v>165</v>
      </c>
      <c r="E68" s="32">
        <v>0</v>
      </c>
      <c r="F68" s="32">
        <v>3257.78</v>
      </c>
      <c r="G68" s="32">
        <v>-3257.78</v>
      </c>
      <c r="H68" s="23" t="s">
        <v>1184</v>
      </c>
    </row>
    <row r="69" spans="1:8">
      <c r="A69" s="33" t="s">
        <v>1264</v>
      </c>
      <c r="B69" s="34">
        <v>46029</v>
      </c>
      <c r="C69" s="33" t="s">
        <v>1214</v>
      </c>
      <c r="D69" s="33" t="s">
        <v>200</v>
      </c>
      <c r="E69" s="35">
        <v>0</v>
      </c>
      <c r="F69" s="35">
        <v>3792.35</v>
      </c>
      <c r="G69" s="35">
        <v>-3792.35</v>
      </c>
      <c r="H69" s="33" t="s">
        <v>1184</v>
      </c>
    </row>
    <row r="70" spans="1:8">
      <c r="A70" s="23" t="s">
        <v>1265</v>
      </c>
      <c r="B70" s="31">
        <v>46029</v>
      </c>
      <c r="C70" s="23" t="s">
        <v>1198</v>
      </c>
      <c r="D70" s="23" t="s">
        <v>239</v>
      </c>
      <c r="E70" s="32">
        <v>7942.72</v>
      </c>
      <c r="F70" s="32">
        <v>0</v>
      </c>
      <c r="G70" s="32">
        <v>7942.72</v>
      </c>
      <c r="H70" s="23" t="s">
        <v>1184</v>
      </c>
    </row>
    <row r="71" spans="1:8">
      <c r="A71" s="33" t="s">
        <v>1266</v>
      </c>
      <c r="B71" s="34">
        <v>46029</v>
      </c>
      <c r="C71" s="33" t="s">
        <v>1192</v>
      </c>
      <c r="D71" s="33" t="s">
        <v>351</v>
      </c>
      <c r="E71" s="35">
        <v>5664.57</v>
      </c>
      <c r="F71" s="35">
        <v>0</v>
      </c>
      <c r="G71" s="35">
        <v>5664.57</v>
      </c>
      <c r="H71" s="33" t="s">
        <v>1184</v>
      </c>
    </row>
    <row r="72" spans="1:8">
      <c r="A72" s="23" t="s">
        <v>1267</v>
      </c>
      <c r="B72" s="31">
        <v>46029</v>
      </c>
      <c r="C72" s="23" t="s">
        <v>164</v>
      </c>
      <c r="D72" s="23" t="s">
        <v>462</v>
      </c>
      <c r="E72" s="32">
        <v>0</v>
      </c>
      <c r="F72" s="32">
        <v>382.31</v>
      </c>
      <c r="G72" s="32">
        <v>-382.31</v>
      </c>
      <c r="H72" s="23" t="s">
        <v>1184</v>
      </c>
    </row>
    <row r="73" spans="1:8">
      <c r="A73" s="33" t="s">
        <v>1268</v>
      </c>
      <c r="B73" s="34">
        <v>46029</v>
      </c>
      <c r="C73" s="33" t="s">
        <v>1269</v>
      </c>
      <c r="D73" s="33" t="s">
        <v>528</v>
      </c>
      <c r="E73" s="35">
        <v>6158.54</v>
      </c>
      <c r="F73" s="35">
        <v>0</v>
      </c>
      <c r="G73" s="35">
        <v>6158.54</v>
      </c>
      <c r="H73" s="33" t="s">
        <v>1184</v>
      </c>
    </row>
    <row r="74" spans="1:8">
      <c r="A74" s="23" t="s">
        <v>1270</v>
      </c>
      <c r="B74" s="31">
        <v>46029</v>
      </c>
      <c r="C74" s="23" t="s">
        <v>192</v>
      </c>
      <c r="D74" s="23" t="s">
        <v>582</v>
      </c>
      <c r="E74" s="32">
        <v>0</v>
      </c>
      <c r="F74" s="32">
        <v>37.840000000000003</v>
      </c>
      <c r="G74" s="32">
        <v>-37.840000000000003</v>
      </c>
      <c r="H74" s="23" t="s">
        <v>1184</v>
      </c>
    </row>
    <row r="75" spans="1:8">
      <c r="A75" s="33" t="s">
        <v>1271</v>
      </c>
      <c r="B75" s="34">
        <v>46029</v>
      </c>
      <c r="C75" s="33" t="s">
        <v>183</v>
      </c>
      <c r="D75" s="33" t="s">
        <v>742</v>
      </c>
      <c r="E75" s="35">
        <v>0</v>
      </c>
      <c r="F75" s="35">
        <v>6376.21</v>
      </c>
      <c r="G75" s="35">
        <v>-6376.21</v>
      </c>
      <c r="H75" s="33" t="s">
        <v>1184</v>
      </c>
    </row>
    <row r="76" spans="1:8">
      <c r="A76" s="23" t="s">
        <v>1272</v>
      </c>
      <c r="B76" s="31">
        <v>46029</v>
      </c>
      <c r="C76" s="23" t="s">
        <v>192</v>
      </c>
      <c r="D76" s="23" t="s">
        <v>879</v>
      </c>
      <c r="E76" s="32">
        <v>0</v>
      </c>
      <c r="F76" s="32">
        <v>22.87</v>
      </c>
      <c r="G76" s="32">
        <v>-22.87</v>
      </c>
      <c r="H76" s="23" t="s">
        <v>1184</v>
      </c>
    </row>
    <row r="77" spans="1:8">
      <c r="A77" s="33" t="s">
        <v>1273</v>
      </c>
      <c r="B77" s="34">
        <v>46029</v>
      </c>
      <c r="C77" s="33" t="s">
        <v>192</v>
      </c>
      <c r="D77" s="33" t="s">
        <v>893</v>
      </c>
      <c r="E77" s="35">
        <v>0</v>
      </c>
      <c r="F77" s="35">
        <v>103.61</v>
      </c>
      <c r="G77" s="35">
        <v>-103.61</v>
      </c>
      <c r="H77" s="33" t="s">
        <v>1184</v>
      </c>
    </row>
    <row r="78" spans="1:8">
      <c r="A78" s="23" t="s">
        <v>1274</v>
      </c>
      <c r="B78" s="31">
        <v>46029</v>
      </c>
      <c r="C78" s="23" t="s">
        <v>183</v>
      </c>
      <c r="D78" s="23" t="s">
        <v>951</v>
      </c>
      <c r="E78" s="32">
        <v>0</v>
      </c>
      <c r="F78" s="32">
        <v>7441.01</v>
      </c>
      <c r="G78" s="32">
        <v>-7441.01</v>
      </c>
      <c r="H78" s="23" t="s">
        <v>1184</v>
      </c>
    </row>
    <row r="79" spans="1:8">
      <c r="A79" s="33" t="s">
        <v>1275</v>
      </c>
      <c r="B79" s="34">
        <v>46029</v>
      </c>
      <c r="C79" s="33" t="s">
        <v>1190</v>
      </c>
      <c r="D79" s="33" t="s">
        <v>975</v>
      </c>
      <c r="E79" s="35">
        <v>1461.82</v>
      </c>
      <c r="F79" s="35">
        <v>0</v>
      </c>
      <c r="G79" s="35">
        <v>1461.82</v>
      </c>
      <c r="H79" s="33" t="s">
        <v>1184</v>
      </c>
    </row>
    <row r="80" spans="1:8">
      <c r="A80" s="23" t="s">
        <v>1276</v>
      </c>
      <c r="B80" s="31">
        <v>46029</v>
      </c>
      <c r="C80" s="23" t="s">
        <v>1269</v>
      </c>
      <c r="D80" s="23" t="s">
        <v>1045</v>
      </c>
      <c r="E80" s="32">
        <v>3336.94</v>
      </c>
      <c r="F80" s="32">
        <v>0</v>
      </c>
      <c r="G80" s="32">
        <v>3336.94</v>
      </c>
      <c r="H80" s="23" t="s">
        <v>1184</v>
      </c>
    </row>
    <row r="81" spans="1:8">
      <c r="A81" s="33" t="s">
        <v>1277</v>
      </c>
      <c r="B81" s="34">
        <v>46029</v>
      </c>
      <c r="C81" s="33" t="s">
        <v>1194</v>
      </c>
      <c r="D81" s="33" t="s">
        <v>1047</v>
      </c>
      <c r="E81" s="35">
        <v>0</v>
      </c>
      <c r="F81" s="35">
        <v>5544.21</v>
      </c>
      <c r="G81" s="35">
        <v>-5544.21</v>
      </c>
      <c r="H81" s="33" t="s">
        <v>1184</v>
      </c>
    </row>
    <row r="82" spans="1:8">
      <c r="A82" s="23" t="s">
        <v>1278</v>
      </c>
      <c r="B82" s="31">
        <v>46029</v>
      </c>
      <c r="C82" s="23" t="s">
        <v>164</v>
      </c>
      <c r="D82" s="23" t="s">
        <v>1067</v>
      </c>
      <c r="E82" s="32">
        <v>0</v>
      </c>
      <c r="F82" s="32">
        <v>290.51</v>
      </c>
      <c r="G82" s="32">
        <v>-290.51</v>
      </c>
      <c r="H82" s="23" t="s">
        <v>1184</v>
      </c>
    </row>
    <row r="83" spans="1:8">
      <c r="A83" s="33" t="s">
        <v>1279</v>
      </c>
      <c r="B83" s="34">
        <v>46029</v>
      </c>
      <c r="C83" s="33" t="s">
        <v>183</v>
      </c>
      <c r="D83" s="33" t="s">
        <v>1085</v>
      </c>
      <c r="E83" s="35">
        <v>0</v>
      </c>
      <c r="F83" s="35">
        <v>3847.79</v>
      </c>
      <c r="G83" s="35">
        <v>-3847.79</v>
      </c>
      <c r="H83" s="33" t="s">
        <v>1184</v>
      </c>
    </row>
    <row r="84" spans="1:8">
      <c r="A84" s="23" t="s">
        <v>1280</v>
      </c>
      <c r="B84" s="31">
        <v>46029</v>
      </c>
      <c r="C84" s="23" t="s">
        <v>1226</v>
      </c>
      <c r="D84" s="23" t="s">
        <v>1103</v>
      </c>
      <c r="E84" s="32">
        <v>5521.7</v>
      </c>
      <c r="F84" s="32">
        <v>0</v>
      </c>
      <c r="G84" s="32">
        <v>5521.7</v>
      </c>
      <c r="H84" s="23" t="s">
        <v>1184</v>
      </c>
    </row>
    <row r="85" spans="1:8">
      <c r="A85" s="33" t="s">
        <v>1281</v>
      </c>
      <c r="B85" s="34">
        <v>46029</v>
      </c>
      <c r="C85" s="33" t="s">
        <v>164</v>
      </c>
      <c r="D85" s="33" t="s">
        <v>1123</v>
      </c>
      <c r="E85" s="35">
        <v>0</v>
      </c>
      <c r="F85" s="35">
        <v>562.59</v>
      </c>
      <c r="G85" s="35">
        <v>-562.59</v>
      </c>
      <c r="H85" s="33" t="s">
        <v>1184</v>
      </c>
    </row>
    <row r="86" spans="1:8">
      <c r="A86" s="23" t="s">
        <v>1282</v>
      </c>
      <c r="B86" s="31">
        <v>46029</v>
      </c>
      <c r="C86" s="23" t="s">
        <v>1240</v>
      </c>
      <c r="D86" s="23" t="s">
        <v>1283</v>
      </c>
      <c r="E86" s="32">
        <v>1040.45</v>
      </c>
      <c r="F86" s="32">
        <v>0</v>
      </c>
      <c r="G86" s="32">
        <v>1040.45</v>
      </c>
      <c r="H86" s="23" t="s">
        <v>1242</v>
      </c>
    </row>
    <row r="87" spans="1:8">
      <c r="A87" s="33" t="s">
        <v>1284</v>
      </c>
      <c r="B87" s="34">
        <v>46029</v>
      </c>
      <c r="C87" s="33" t="s">
        <v>1240</v>
      </c>
      <c r="D87" s="33" t="s">
        <v>1285</v>
      </c>
      <c r="E87" s="35">
        <v>299.83999999999997</v>
      </c>
      <c r="F87" s="35">
        <v>0</v>
      </c>
      <c r="G87" s="35">
        <v>299.83999999999997</v>
      </c>
      <c r="H87" s="33" t="s">
        <v>1242</v>
      </c>
    </row>
    <row r="88" spans="1:8">
      <c r="A88" s="23" t="s">
        <v>1286</v>
      </c>
      <c r="B88" s="31">
        <v>46029</v>
      </c>
      <c r="C88" s="23" t="s">
        <v>1240</v>
      </c>
      <c r="D88" s="23" t="s">
        <v>1287</v>
      </c>
      <c r="E88" s="32">
        <v>0</v>
      </c>
      <c r="F88" s="32">
        <v>1818.09</v>
      </c>
      <c r="G88" s="32">
        <v>-1818.09</v>
      </c>
      <c r="H88" s="23" t="s">
        <v>1242</v>
      </c>
    </row>
    <row r="89" spans="1:8">
      <c r="A89" s="33" t="s">
        <v>1288</v>
      </c>
      <c r="B89" s="34">
        <v>46030</v>
      </c>
      <c r="C89" s="33" t="s">
        <v>1190</v>
      </c>
      <c r="D89" s="33" t="s">
        <v>409</v>
      </c>
      <c r="E89" s="35">
        <v>5914.12</v>
      </c>
      <c r="F89" s="35">
        <v>0</v>
      </c>
      <c r="G89" s="35">
        <v>5914.12</v>
      </c>
      <c r="H89" s="33" t="s">
        <v>1184</v>
      </c>
    </row>
    <row r="90" spans="1:8">
      <c r="A90" s="23" t="s">
        <v>1289</v>
      </c>
      <c r="B90" s="31">
        <v>46030</v>
      </c>
      <c r="C90" s="23" t="s">
        <v>1192</v>
      </c>
      <c r="D90" s="23" t="s">
        <v>415</v>
      </c>
      <c r="E90" s="32">
        <v>1978.69</v>
      </c>
      <c r="F90" s="32">
        <v>0</v>
      </c>
      <c r="G90" s="32">
        <v>1978.69</v>
      </c>
      <c r="H90" s="23" t="s">
        <v>1184</v>
      </c>
    </row>
    <row r="91" spans="1:8">
      <c r="A91" s="33" t="s">
        <v>1290</v>
      </c>
      <c r="B91" s="34">
        <v>46030</v>
      </c>
      <c r="C91" s="33" t="s">
        <v>1269</v>
      </c>
      <c r="D91" s="33" t="s">
        <v>430</v>
      </c>
      <c r="E91" s="35">
        <v>7029.19</v>
      </c>
      <c r="F91" s="35">
        <v>0</v>
      </c>
      <c r="G91" s="35">
        <v>7029.19</v>
      </c>
      <c r="H91" s="33" t="s">
        <v>1184</v>
      </c>
    </row>
    <row r="92" spans="1:8">
      <c r="A92" s="23" t="s">
        <v>1291</v>
      </c>
      <c r="B92" s="31">
        <v>46030</v>
      </c>
      <c r="C92" s="23" t="s">
        <v>1186</v>
      </c>
      <c r="D92" s="23" t="s">
        <v>444</v>
      </c>
      <c r="E92" s="32">
        <v>0</v>
      </c>
      <c r="F92" s="32">
        <v>4906.5</v>
      </c>
      <c r="G92" s="32">
        <v>-4906.5</v>
      </c>
      <c r="H92" s="23" t="s">
        <v>1184</v>
      </c>
    </row>
    <row r="93" spans="1:8">
      <c r="A93" s="33" t="s">
        <v>1292</v>
      </c>
      <c r="B93" s="34">
        <v>46030</v>
      </c>
      <c r="C93" s="33" t="s">
        <v>1186</v>
      </c>
      <c r="D93" s="33" t="s">
        <v>816</v>
      </c>
      <c r="E93" s="35">
        <v>0</v>
      </c>
      <c r="F93" s="35">
        <v>2364.63</v>
      </c>
      <c r="G93" s="35">
        <v>-2364.63</v>
      </c>
      <c r="H93" s="33" t="s">
        <v>1184</v>
      </c>
    </row>
    <row r="94" spans="1:8">
      <c r="A94" s="23" t="s">
        <v>1293</v>
      </c>
      <c r="B94" s="31">
        <v>46030</v>
      </c>
      <c r="C94" s="23" t="s">
        <v>1202</v>
      </c>
      <c r="D94" s="23" t="s">
        <v>842</v>
      </c>
      <c r="E94" s="32">
        <v>3513.8</v>
      </c>
      <c r="F94" s="32">
        <v>0</v>
      </c>
      <c r="G94" s="32">
        <v>3513.8</v>
      </c>
      <c r="H94" s="23" t="s">
        <v>1184</v>
      </c>
    </row>
    <row r="95" spans="1:8">
      <c r="A95" s="33" t="s">
        <v>1294</v>
      </c>
      <c r="B95" s="34">
        <v>46030</v>
      </c>
      <c r="C95" s="33" t="s">
        <v>183</v>
      </c>
      <c r="D95" s="33" t="s">
        <v>929</v>
      </c>
      <c r="E95" s="35">
        <v>0</v>
      </c>
      <c r="F95" s="35">
        <v>14475.66</v>
      </c>
      <c r="G95" s="35">
        <v>-14475.66</v>
      </c>
      <c r="H95" s="33" t="s">
        <v>1184</v>
      </c>
    </row>
    <row r="96" spans="1:8">
      <c r="A96" s="23" t="s">
        <v>1295</v>
      </c>
      <c r="B96" s="31">
        <v>46030</v>
      </c>
      <c r="C96" s="23" t="s">
        <v>192</v>
      </c>
      <c r="D96" s="23" t="s">
        <v>1059</v>
      </c>
      <c r="E96" s="32">
        <v>0</v>
      </c>
      <c r="F96" s="32">
        <v>57.43</v>
      </c>
      <c r="G96" s="32">
        <v>-57.43</v>
      </c>
      <c r="H96" s="23" t="s">
        <v>1184</v>
      </c>
    </row>
    <row r="97" spans="1:8">
      <c r="A97" s="33" t="s">
        <v>1296</v>
      </c>
      <c r="B97" s="34">
        <v>46031</v>
      </c>
      <c r="C97" s="33" t="s">
        <v>1202</v>
      </c>
      <c r="D97" s="33" t="s">
        <v>222</v>
      </c>
      <c r="E97" s="35">
        <v>3850.14</v>
      </c>
      <c r="F97" s="35">
        <v>0</v>
      </c>
      <c r="G97" s="35">
        <v>3850.14</v>
      </c>
      <c r="H97" s="33" t="s">
        <v>1184</v>
      </c>
    </row>
    <row r="98" spans="1:8">
      <c r="A98" s="23" t="s">
        <v>1297</v>
      </c>
      <c r="B98" s="31">
        <v>46031</v>
      </c>
      <c r="C98" s="23" t="s">
        <v>1269</v>
      </c>
      <c r="D98" s="23" t="s">
        <v>293</v>
      </c>
      <c r="E98" s="32">
        <v>2535.83</v>
      </c>
      <c r="F98" s="32">
        <v>0</v>
      </c>
      <c r="G98" s="32">
        <v>2535.83</v>
      </c>
      <c r="H98" s="23" t="s">
        <v>1184</v>
      </c>
    </row>
    <row r="99" spans="1:8">
      <c r="A99" s="33" t="s">
        <v>1298</v>
      </c>
      <c r="B99" s="34">
        <v>46031</v>
      </c>
      <c r="C99" s="33" t="s">
        <v>183</v>
      </c>
      <c r="D99" s="33" t="s">
        <v>542</v>
      </c>
      <c r="E99" s="35">
        <v>0</v>
      </c>
      <c r="F99" s="35">
        <v>11924.43</v>
      </c>
      <c r="G99" s="35">
        <v>-11924.43</v>
      </c>
      <c r="H99" s="33" t="s">
        <v>1184</v>
      </c>
    </row>
    <row r="100" spans="1:8">
      <c r="A100" s="23" t="s">
        <v>1299</v>
      </c>
      <c r="B100" s="31">
        <v>46031</v>
      </c>
      <c r="C100" s="23" t="s">
        <v>1183</v>
      </c>
      <c r="D100" s="23" t="s">
        <v>568</v>
      </c>
      <c r="E100" s="32">
        <v>0</v>
      </c>
      <c r="F100" s="32">
        <v>4124.83</v>
      </c>
      <c r="G100" s="32">
        <v>-4124.83</v>
      </c>
      <c r="H100" s="23" t="s">
        <v>1184</v>
      </c>
    </row>
    <row r="101" spans="1:8">
      <c r="A101" s="33" t="s">
        <v>1300</v>
      </c>
      <c r="B101" s="34">
        <v>46031</v>
      </c>
      <c r="C101" s="33" t="s">
        <v>1202</v>
      </c>
      <c r="D101" s="33" t="s">
        <v>572</v>
      </c>
      <c r="E101" s="35">
        <v>776.59</v>
      </c>
      <c r="F101" s="35">
        <v>0</v>
      </c>
      <c r="G101" s="35">
        <v>776.59</v>
      </c>
      <c r="H101" s="33" t="s">
        <v>1184</v>
      </c>
    </row>
    <row r="102" spans="1:8">
      <c r="A102" s="23" t="s">
        <v>1301</v>
      </c>
      <c r="B102" s="31">
        <v>46031</v>
      </c>
      <c r="C102" s="23" t="s">
        <v>164</v>
      </c>
      <c r="D102" s="23" t="s">
        <v>887</v>
      </c>
      <c r="E102" s="32">
        <v>1708.3</v>
      </c>
      <c r="F102" s="32">
        <v>0</v>
      </c>
      <c r="G102" s="32">
        <v>1708.3</v>
      </c>
      <c r="H102" s="23" t="s">
        <v>1184</v>
      </c>
    </row>
    <row r="103" spans="1:8">
      <c r="A103" s="33" t="s">
        <v>1302</v>
      </c>
      <c r="B103" s="34">
        <v>46031</v>
      </c>
      <c r="C103" s="33" t="s">
        <v>1186</v>
      </c>
      <c r="D103" s="33" t="s">
        <v>915</v>
      </c>
      <c r="E103" s="35">
        <v>0</v>
      </c>
      <c r="F103" s="35">
        <v>913</v>
      </c>
      <c r="G103" s="35">
        <v>-913</v>
      </c>
      <c r="H103" s="33" t="s">
        <v>1184</v>
      </c>
    </row>
    <row r="104" spans="1:8">
      <c r="A104" s="23" t="s">
        <v>1303</v>
      </c>
      <c r="B104" s="31">
        <v>46031</v>
      </c>
      <c r="C104" s="23" t="s">
        <v>1200</v>
      </c>
      <c r="D104" s="23" t="s">
        <v>1009</v>
      </c>
      <c r="E104" s="32">
        <v>0</v>
      </c>
      <c r="F104" s="32">
        <v>3782.47</v>
      </c>
      <c r="G104" s="32">
        <v>-3782.47</v>
      </c>
      <c r="H104" s="23" t="s">
        <v>1184</v>
      </c>
    </row>
    <row r="105" spans="1:8">
      <c r="A105" s="33" t="s">
        <v>1304</v>
      </c>
      <c r="B105" s="34">
        <v>46031</v>
      </c>
      <c r="C105" s="33" t="s">
        <v>1269</v>
      </c>
      <c r="D105" s="33" t="s">
        <v>1071</v>
      </c>
      <c r="E105" s="35">
        <v>1295.32</v>
      </c>
      <c r="F105" s="35">
        <v>0</v>
      </c>
      <c r="G105" s="35">
        <v>1295.32</v>
      </c>
      <c r="H105" s="33" t="s">
        <v>1184</v>
      </c>
    </row>
    <row r="106" spans="1:8">
      <c r="A106" s="23" t="s">
        <v>1305</v>
      </c>
      <c r="B106" s="31">
        <v>46031</v>
      </c>
      <c r="C106" s="23" t="s">
        <v>183</v>
      </c>
      <c r="D106" s="23" t="s">
        <v>1087</v>
      </c>
      <c r="E106" s="32">
        <v>0</v>
      </c>
      <c r="F106" s="32">
        <v>12503.59</v>
      </c>
      <c r="G106" s="32">
        <v>-12503.59</v>
      </c>
      <c r="H106" s="23" t="s">
        <v>1184</v>
      </c>
    </row>
    <row r="107" spans="1:8">
      <c r="A107" s="33" t="s">
        <v>1306</v>
      </c>
      <c r="B107" s="34">
        <v>46031</v>
      </c>
      <c r="C107" s="33" t="s">
        <v>1240</v>
      </c>
      <c r="D107" s="33" t="s">
        <v>1307</v>
      </c>
      <c r="E107" s="35">
        <v>2102.67</v>
      </c>
      <c r="F107" s="35">
        <v>0</v>
      </c>
      <c r="G107" s="35">
        <v>2102.67</v>
      </c>
      <c r="H107" s="33" t="s">
        <v>1242</v>
      </c>
    </row>
    <row r="108" spans="1:8">
      <c r="A108" s="23" t="s">
        <v>1308</v>
      </c>
      <c r="B108" s="31">
        <v>46031</v>
      </c>
      <c r="C108" s="23" t="s">
        <v>1240</v>
      </c>
      <c r="D108" s="23" t="s">
        <v>1309</v>
      </c>
      <c r="E108" s="32">
        <v>1837.86</v>
      </c>
      <c r="F108" s="32">
        <v>0</v>
      </c>
      <c r="G108" s="32">
        <v>1837.86</v>
      </c>
      <c r="H108" s="23" t="s">
        <v>1242</v>
      </c>
    </row>
    <row r="109" spans="1:8">
      <c r="A109" s="33" t="s">
        <v>1310</v>
      </c>
      <c r="B109" s="34">
        <v>46032</v>
      </c>
      <c r="C109" s="33" t="s">
        <v>1269</v>
      </c>
      <c r="D109" s="33" t="s">
        <v>180</v>
      </c>
      <c r="E109" s="35">
        <v>3675.04</v>
      </c>
      <c r="F109" s="35">
        <v>0</v>
      </c>
      <c r="G109" s="35">
        <v>3675.04</v>
      </c>
      <c r="H109" s="33" t="s">
        <v>1184</v>
      </c>
    </row>
    <row r="110" spans="1:8">
      <c r="A110" s="23" t="s">
        <v>1311</v>
      </c>
      <c r="B110" s="31">
        <v>46032</v>
      </c>
      <c r="C110" s="23" t="s">
        <v>183</v>
      </c>
      <c r="D110" s="23" t="s">
        <v>189</v>
      </c>
      <c r="E110" s="32">
        <v>0</v>
      </c>
      <c r="F110" s="32">
        <v>9861.11</v>
      </c>
      <c r="G110" s="32">
        <v>-9861.11</v>
      </c>
      <c r="H110" s="23" t="s">
        <v>1184</v>
      </c>
    </row>
    <row r="111" spans="1:8">
      <c r="A111" s="33" t="s">
        <v>1312</v>
      </c>
      <c r="B111" s="34">
        <v>46032</v>
      </c>
      <c r="C111" s="33" t="s">
        <v>1188</v>
      </c>
      <c r="D111" s="33" t="s">
        <v>229</v>
      </c>
      <c r="E111" s="35">
        <v>0</v>
      </c>
      <c r="F111" s="35">
        <v>3633.33</v>
      </c>
      <c r="G111" s="35">
        <v>-3633.33</v>
      </c>
      <c r="H111" s="33" t="s">
        <v>1184</v>
      </c>
    </row>
    <row r="112" spans="1:8">
      <c r="A112" s="23" t="s">
        <v>1313</v>
      </c>
      <c r="B112" s="31">
        <v>46032</v>
      </c>
      <c r="C112" s="23" t="s">
        <v>1198</v>
      </c>
      <c r="D112" s="23" t="s">
        <v>331</v>
      </c>
      <c r="E112" s="32">
        <v>2706.82</v>
      </c>
      <c r="F112" s="32">
        <v>0</v>
      </c>
      <c r="G112" s="32">
        <v>2706.82</v>
      </c>
      <c r="H112" s="23" t="s">
        <v>1184</v>
      </c>
    </row>
    <row r="113" spans="1:8">
      <c r="A113" s="33" t="s">
        <v>1314</v>
      </c>
      <c r="B113" s="34">
        <v>46032</v>
      </c>
      <c r="C113" s="33" t="s">
        <v>1186</v>
      </c>
      <c r="D113" s="33" t="s">
        <v>339</v>
      </c>
      <c r="E113" s="35">
        <v>0</v>
      </c>
      <c r="F113" s="35">
        <v>1929.88</v>
      </c>
      <c r="G113" s="35">
        <v>-1929.88</v>
      </c>
      <c r="H113" s="33" t="s">
        <v>1184</v>
      </c>
    </row>
    <row r="114" spans="1:8">
      <c r="A114" s="23" t="s">
        <v>1315</v>
      </c>
      <c r="B114" s="31">
        <v>46032</v>
      </c>
      <c r="C114" s="23" t="s">
        <v>1226</v>
      </c>
      <c r="D114" s="23" t="s">
        <v>391</v>
      </c>
      <c r="E114" s="32">
        <v>2934.66</v>
      </c>
      <c r="F114" s="32">
        <v>0</v>
      </c>
      <c r="G114" s="32">
        <v>2934.66</v>
      </c>
      <c r="H114" s="23" t="s">
        <v>1184</v>
      </c>
    </row>
    <row r="115" spans="1:8">
      <c r="A115" s="33" t="s">
        <v>1316</v>
      </c>
      <c r="B115" s="34">
        <v>46032</v>
      </c>
      <c r="C115" s="33" t="s">
        <v>164</v>
      </c>
      <c r="D115" s="33" t="s">
        <v>498</v>
      </c>
      <c r="E115" s="35">
        <v>0</v>
      </c>
      <c r="F115" s="35">
        <v>423</v>
      </c>
      <c r="G115" s="35">
        <v>-423</v>
      </c>
      <c r="H115" s="33" t="s">
        <v>1184</v>
      </c>
    </row>
    <row r="116" spans="1:8">
      <c r="A116" s="23" t="s">
        <v>1317</v>
      </c>
      <c r="B116" s="31">
        <v>46032</v>
      </c>
      <c r="C116" s="23" t="s">
        <v>192</v>
      </c>
      <c r="D116" s="23" t="s">
        <v>518</v>
      </c>
      <c r="E116" s="32">
        <v>0</v>
      </c>
      <c r="F116" s="32">
        <v>85.33</v>
      </c>
      <c r="G116" s="32">
        <v>-85.33</v>
      </c>
      <c r="H116" s="23" t="s">
        <v>1184</v>
      </c>
    </row>
    <row r="117" spans="1:8">
      <c r="A117" s="33" t="s">
        <v>1318</v>
      </c>
      <c r="B117" s="34">
        <v>46032</v>
      </c>
      <c r="C117" s="33" t="s">
        <v>1226</v>
      </c>
      <c r="D117" s="33" t="s">
        <v>550</v>
      </c>
      <c r="E117" s="35">
        <v>3096.01</v>
      </c>
      <c r="F117" s="35">
        <v>0</v>
      </c>
      <c r="G117" s="35">
        <v>3096.01</v>
      </c>
      <c r="H117" s="33" t="s">
        <v>1184</v>
      </c>
    </row>
    <row r="118" spans="1:8">
      <c r="A118" s="23" t="s">
        <v>1319</v>
      </c>
      <c r="B118" s="31">
        <v>46032</v>
      </c>
      <c r="C118" s="23" t="s">
        <v>1226</v>
      </c>
      <c r="D118" s="23" t="s">
        <v>560</v>
      </c>
      <c r="E118" s="32">
        <v>4102.8900000000003</v>
      </c>
      <c r="F118" s="32">
        <v>0</v>
      </c>
      <c r="G118" s="32">
        <v>4102.8900000000003</v>
      </c>
      <c r="H118" s="23" t="s">
        <v>1184</v>
      </c>
    </row>
    <row r="119" spans="1:8">
      <c r="A119" s="33" t="s">
        <v>1320</v>
      </c>
      <c r="B119" s="34">
        <v>46032</v>
      </c>
      <c r="C119" s="33" t="s">
        <v>1226</v>
      </c>
      <c r="D119" s="33" t="s">
        <v>674</v>
      </c>
      <c r="E119" s="35">
        <v>245.49</v>
      </c>
      <c r="F119" s="35">
        <v>0</v>
      </c>
      <c r="G119" s="35">
        <v>245.49</v>
      </c>
      <c r="H119" s="33" t="s">
        <v>1184</v>
      </c>
    </row>
    <row r="120" spans="1:8">
      <c r="A120" s="23" t="s">
        <v>1321</v>
      </c>
      <c r="B120" s="31">
        <v>46032</v>
      </c>
      <c r="C120" s="23" t="s">
        <v>1186</v>
      </c>
      <c r="D120" s="23" t="s">
        <v>698</v>
      </c>
      <c r="E120" s="32">
        <v>0</v>
      </c>
      <c r="F120" s="32">
        <v>5816.95</v>
      </c>
      <c r="G120" s="32">
        <v>-5816.95</v>
      </c>
      <c r="H120" s="23" t="s">
        <v>1184</v>
      </c>
    </row>
    <row r="121" spans="1:8">
      <c r="A121" s="33" t="s">
        <v>1322</v>
      </c>
      <c r="B121" s="34">
        <v>46032</v>
      </c>
      <c r="C121" s="33" t="s">
        <v>1194</v>
      </c>
      <c r="D121" s="33" t="s">
        <v>736</v>
      </c>
      <c r="E121" s="35">
        <v>0</v>
      </c>
      <c r="F121" s="35">
        <v>2870.78</v>
      </c>
      <c r="G121" s="35">
        <v>-2870.78</v>
      </c>
      <c r="H121" s="33" t="s">
        <v>1184</v>
      </c>
    </row>
    <row r="122" spans="1:8">
      <c r="A122" s="23" t="s">
        <v>1323</v>
      </c>
      <c r="B122" s="31">
        <v>46032</v>
      </c>
      <c r="C122" s="23" t="s">
        <v>183</v>
      </c>
      <c r="D122" s="23" t="s">
        <v>758</v>
      </c>
      <c r="E122" s="32">
        <v>0</v>
      </c>
      <c r="F122" s="32">
        <v>7413.59</v>
      </c>
      <c r="G122" s="32">
        <v>-7413.59</v>
      </c>
      <c r="H122" s="23" t="s">
        <v>1184</v>
      </c>
    </row>
    <row r="123" spans="1:8">
      <c r="A123" s="33" t="s">
        <v>1324</v>
      </c>
      <c r="B123" s="34">
        <v>46032</v>
      </c>
      <c r="C123" s="33" t="s">
        <v>1202</v>
      </c>
      <c r="D123" s="33" t="s">
        <v>828</v>
      </c>
      <c r="E123" s="35">
        <v>6496.03</v>
      </c>
      <c r="F123" s="35">
        <v>0</v>
      </c>
      <c r="G123" s="35">
        <v>6496.03</v>
      </c>
      <c r="H123" s="33" t="s">
        <v>1184</v>
      </c>
    </row>
    <row r="124" spans="1:8">
      <c r="A124" s="23" t="s">
        <v>1325</v>
      </c>
      <c r="B124" s="31">
        <v>46032</v>
      </c>
      <c r="C124" s="23" t="s">
        <v>1198</v>
      </c>
      <c r="D124" s="23" t="s">
        <v>869</v>
      </c>
      <c r="E124" s="32">
        <v>4282.3100000000004</v>
      </c>
      <c r="F124" s="32">
        <v>0</v>
      </c>
      <c r="G124" s="32">
        <v>4282.3100000000004</v>
      </c>
      <c r="H124" s="23" t="s">
        <v>1184</v>
      </c>
    </row>
    <row r="125" spans="1:8">
      <c r="A125" s="33" t="s">
        <v>1326</v>
      </c>
      <c r="B125" s="34">
        <v>46032</v>
      </c>
      <c r="C125" s="33" t="s">
        <v>1226</v>
      </c>
      <c r="D125" s="33" t="s">
        <v>917</v>
      </c>
      <c r="E125" s="35">
        <v>3141.7</v>
      </c>
      <c r="F125" s="35">
        <v>0</v>
      </c>
      <c r="G125" s="35">
        <v>3141.7</v>
      </c>
      <c r="H125" s="33" t="s">
        <v>1184</v>
      </c>
    </row>
    <row r="126" spans="1:8">
      <c r="A126" s="23" t="s">
        <v>1327</v>
      </c>
      <c r="B126" s="31">
        <v>46032</v>
      </c>
      <c r="C126" s="23" t="s">
        <v>183</v>
      </c>
      <c r="D126" s="23" t="s">
        <v>1035</v>
      </c>
      <c r="E126" s="32">
        <v>0</v>
      </c>
      <c r="F126" s="32">
        <v>8366.68</v>
      </c>
      <c r="G126" s="32">
        <v>-8366.68</v>
      </c>
      <c r="H126" s="23" t="s">
        <v>1184</v>
      </c>
    </row>
    <row r="127" spans="1:8">
      <c r="A127" s="33" t="s">
        <v>1328</v>
      </c>
      <c r="B127" s="34">
        <v>46032</v>
      </c>
      <c r="C127" s="33" t="s">
        <v>164</v>
      </c>
      <c r="D127" s="33" t="s">
        <v>1173</v>
      </c>
      <c r="E127" s="35">
        <v>0</v>
      </c>
      <c r="F127" s="35">
        <v>1938</v>
      </c>
      <c r="G127" s="35">
        <v>-1938</v>
      </c>
      <c r="H127" s="33" t="s">
        <v>1184</v>
      </c>
    </row>
    <row r="128" spans="1:8">
      <c r="A128" s="23" t="s">
        <v>1329</v>
      </c>
      <c r="B128" s="31">
        <v>46032</v>
      </c>
      <c r="C128" s="23" t="s">
        <v>1240</v>
      </c>
      <c r="D128" s="23" t="s">
        <v>1330</v>
      </c>
      <c r="E128" s="32">
        <v>0</v>
      </c>
      <c r="F128" s="32">
        <v>536.98</v>
      </c>
      <c r="G128" s="32">
        <v>-536.98</v>
      </c>
      <c r="H128" s="23" t="s">
        <v>1242</v>
      </c>
    </row>
    <row r="129" spans="1:8">
      <c r="A129" s="33" t="s">
        <v>1331</v>
      </c>
      <c r="B129" s="34">
        <v>46032</v>
      </c>
      <c r="C129" s="33" t="s">
        <v>1240</v>
      </c>
      <c r="D129" s="33" t="s">
        <v>1332</v>
      </c>
      <c r="E129" s="35">
        <v>1554.5</v>
      </c>
      <c r="F129" s="35">
        <v>0</v>
      </c>
      <c r="G129" s="35">
        <v>1554.5</v>
      </c>
      <c r="H129" s="33" t="s">
        <v>1242</v>
      </c>
    </row>
    <row r="130" spans="1:8">
      <c r="A130" s="23" t="s">
        <v>1333</v>
      </c>
      <c r="B130" s="31">
        <v>46033</v>
      </c>
      <c r="C130" s="23" t="s">
        <v>1194</v>
      </c>
      <c r="D130" s="23" t="s">
        <v>206</v>
      </c>
      <c r="E130" s="32">
        <v>0</v>
      </c>
      <c r="F130" s="32">
        <v>1488.3</v>
      </c>
      <c r="G130" s="32">
        <v>-1488.3</v>
      </c>
      <c r="H130" s="23" t="s">
        <v>1184</v>
      </c>
    </row>
    <row r="131" spans="1:8">
      <c r="A131" s="33" t="s">
        <v>1334</v>
      </c>
      <c r="B131" s="34">
        <v>46033</v>
      </c>
      <c r="C131" s="33" t="s">
        <v>1192</v>
      </c>
      <c r="D131" s="33" t="s">
        <v>520</v>
      </c>
      <c r="E131" s="35">
        <v>6940.09</v>
      </c>
      <c r="F131" s="35">
        <v>0</v>
      </c>
      <c r="G131" s="35">
        <v>6940.09</v>
      </c>
      <c r="H131" s="33" t="s">
        <v>1184</v>
      </c>
    </row>
    <row r="132" spans="1:8">
      <c r="A132" s="23" t="s">
        <v>1335</v>
      </c>
      <c r="B132" s="31">
        <v>46033</v>
      </c>
      <c r="C132" s="23" t="s">
        <v>1202</v>
      </c>
      <c r="D132" s="23" t="s">
        <v>578</v>
      </c>
      <c r="E132" s="32">
        <v>4942.25</v>
      </c>
      <c r="F132" s="32">
        <v>0</v>
      </c>
      <c r="G132" s="32">
        <v>4942.25</v>
      </c>
      <c r="H132" s="23" t="s">
        <v>1184</v>
      </c>
    </row>
    <row r="133" spans="1:8">
      <c r="A133" s="33" t="s">
        <v>1336</v>
      </c>
      <c r="B133" s="34">
        <v>46033</v>
      </c>
      <c r="C133" s="33" t="s">
        <v>183</v>
      </c>
      <c r="D133" s="33" t="s">
        <v>838</v>
      </c>
      <c r="E133" s="35">
        <v>0</v>
      </c>
      <c r="F133" s="35">
        <v>4339.88</v>
      </c>
      <c r="G133" s="35">
        <v>-4339.88</v>
      </c>
      <c r="H133" s="33" t="s">
        <v>1184</v>
      </c>
    </row>
    <row r="134" spans="1:8">
      <c r="A134" s="23" t="s">
        <v>1337</v>
      </c>
      <c r="B134" s="31">
        <v>46033</v>
      </c>
      <c r="C134" s="23" t="s">
        <v>1183</v>
      </c>
      <c r="D134" s="23" t="s">
        <v>852</v>
      </c>
      <c r="E134" s="32">
        <v>0</v>
      </c>
      <c r="F134" s="32">
        <v>4146.79</v>
      </c>
      <c r="G134" s="32">
        <v>-4146.79</v>
      </c>
      <c r="H134" s="23" t="s">
        <v>1184</v>
      </c>
    </row>
    <row r="135" spans="1:8">
      <c r="A135" s="33" t="s">
        <v>1338</v>
      </c>
      <c r="B135" s="34">
        <v>46033</v>
      </c>
      <c r="C135" s="33" t="s">
        <v>1269</v>
      </c>
      <c r="D135" s="33" t="s">
        <v>862</v>
      </c>
      <c r="E135" s="35">
        <v>1929.01</v>
      </c>
      <c r="F135" s="35">
        <v>0</v>
      </c>
      <c r="G135" s="35">
        <v>1929.01</v>
      </c>
      <c r="H135" s="33" t="s">
        <v>1184</v>
      </c>
    </row>
    <row r="136" spans="1:8">
      <c r="A136" s="23" t="s">
        <v>1339</v>
      </c>
      <c r="B136" s="31">
        <v>46033</v>
      </c>
      <c r="C136" s="23" t="s">
        <v>1186</v>
      </c>
      <c r="D136" s="23" t="s">
        <v>955</v>
      </c>
      <c r="E136" s="32">
        <v>0</v>
      </c>
      <c r="F136" s="32">
        <v>6052.27</v>
      </c>
      <c r="G136" s="32">
        <v>-6052.27</v>
      </c>
      <c r="H136" s="23" t="s">
        <v>1184</v>
      </c>
    </row>
    <row r="137" spans="1:8">
      <c r="A137" s="33" t="s">
        <v>1340</v>
      </c>
      <c r="B137" s="34">
        <v>46033</v>
      </c>
      <c r="C137" s="33" t="s">
        <v>1188</v>
      </c>
      <c r="D137" s="33" t="s">
        <v>971</v>
      </c>
      <c r="E137" s="35">
        <v>0</v>
      </c>
      <c r="F137" s="35">
        <v>534.11</v>
      </c>
      <c r="G137" s="35">
        <v>-534.11</v>
      </c>
      <c r="H137" s="33" t="s">
        <v>1184</v>
      </c>
    </row>
    <row r="138" spans="1:8">
      <c r="A138" s="23" t="s">
        <v>1341</v>
      </c>
      <c r="B138" s="31">
        <v>46033</v>
      </c>
      <c r="C138" s="23" t="s">
        <v>1188</v>
      </c>
      <c r="D138" s="23" t="s">
        <v>985</v>
      </c>
      <c r="E138" s="32">
        <v>0</v>
      </c>
      <c r="F138" s="32">
        <v>1691.37</v>
      </c>
      <c r="G138" s="32">
        <v>-1691.37</v>
      </c>
      <c r="H138" s="23" t="s">
        <v>1184</v>
      </c>
    </row>
    <row r="139" spans="1:8">
      <c r="A139" s="33" t="s">
        <v>1342</v>
      </c>
      <c r="B139" s="34">
        <v>46033</v>
      </c>
      <c r="C139" s="33" t="s">
        <v>1200</v>
      </c>
      <c r="D139" s="33" t="s">
        <v>1147</v>
      </c>
      <c r="E139" s="35">
        <v>0</v>
      </c>
      <c r="F139" s="35">
        <v>4423.3</v>
      </c>
      <c r="G139" s="35">
        <v>-4423.3</v>
      </c>
      <c r="H139" s="33" t="s">
        <v>1184</v>
      </c>
    </row>
    <row r="140" spans="1:8">
      <c r="A140" s="23" t="s">
        <v>1343</v>
      </c>
      <c r="B140" s="31">
        <v>46033</v>
      </c>
      <c r="C140" s="23" t="s">
        <v>1240</v>
      </c>
      <c r="D140" s="23" t="s">
        <v>1344</v>
      </c>
      <c r="E140" s="32">
        <v>0</v>
      </c>
      <c r="F140" s="32">
        <v>1222.3699999999999</v>
      </c>
      <c r="G140" s="32">
        <v>-1222.3699999999999</v>
      </c>
      <c r="H140" s="23" t="s">
        <v>1242</v>
      </c>
    </row>
    <row r="141" spans="1:8">
      <c r="A141" s="33" t="s">
        <v>1345</v>
      </c>
      <c r="B141" s="34">
        <v>46033</v>
      </c>
      <c r="C141" s="33" t="s">
        <v>1240</v>
      </c>
      <c r="D141" s="33" t="s">
        <v>1346</v>
      </c>
      <c r="E141" s="35">
        <v>626.75</v>
      </c>
      <c r="F141" s="35">
        <v>0</v>
      </c>
      <c r="G141" s="35">
        <v>626.75</v>
      </c>
      <c r="H141" s="33" t="s">
        <v>1242</v>
      </c>
    </row>
    <row r="142" spans="1:8">
      <c r="A142" s="23" t="s">
        <v>1347</v>
      </c>
      <c r="B142" s="31">
        <v>46034</v>
      </c>
      <c r="C142" s="23" t="s">
        <v>1202</v>
      </c>
      <c r="D142" s="23" t="s">
        <v>255</v>
      </c>
      <c r="E142" s="32">
        <v>7656.02</v>
      </c>
      <c r="F142" s="32">
        <v>0</v>
      </c>
      <c r="G142" s="32">
        <v>7656.02</v>
      </c>
      <c r="H142" s="23" t="s">
        <v>1184</v>
      </c>
    </row>
    <row r="143" spans="1:8">
      <c r="A143" s="33" t="s">
        <v>1348</v>
      </c>
      <c r="B143" s="34">
        <v>46034</v>
      </c>
      <c r="C143" s="33" t="s">
        <v>1194</v>
      </c>
      <c r="D143" s="33" t="s">
        <v>327</v>
      </c>
      <c r="E143" s="35">
        <v>0</v>
      </c>
      <c r="F143" s="35">
        <v>4371.24</v>
      </c>
      <c r="G143" s="35">
        <v>-4371.24</v>
      </c>
      <c r="H143" s="33" t="s">
        <v>1184</v>
      </c>
    </row>
    <row r="144" spans="1:8">
      <c r="A144" s="23" t="s">
        <v>1349</v>
      </c>
      <c r="B144" s="31">
        <v>46034</v>
      </c>
      <c r="C144" s="23" t="s">
        <v>1214</v>
      </c>
      <c r="D144" s="23" t="s">
        <v>474</v>
      </c>
      <c r="E144" s="32">
        <v>0</v>
      </c>
      <c r="F144" s="32">
        <v>956.7</v>
      </c>
      <c r="G144" s="32">
        <v>-956.7</v>
      </c>
      <c r="H144" s="23" t="s">
        <v>1184</v>
      </c>
    </row>
    <row r="145" spans="1:8">
      <c r="A145" s="33" t="s">
        <v>1350</v>
      </c>
      <c r="B145" s="34">
        <v>46034</v>
      </c>
      <c r="C145" s="33" t="s">
        <v>1190</v>
      </c>
      <c r="D145" s="33" t="s">
        <v>480</v>
      </c>
      <c r="E145" s="35">
        <v>3608.43</v>
      </c>
      <c r="F145" s="35">
        <v>0</v>
      </c>
      <c r="G145" s="35">
        <v>3608.43</v>
      </c>
      <c r="H145" s="33" t="s">
        <v>1184</v>
      </c>
    </row>
    <row r="146" spans="1:8">
      <c r="A146" s="23" t="s">
        <v>1351</v>
      </c>
      <c r="B146" s="31">
        <v>46034</v>
      </c>
      <c r="C146" s="23" t="s">
        <v>164</v>
      </c>
      <c r="D146" s="23" t="s">
        <v>494</v>
      </c>
      <c r="E146" s="32">
        <v>1698.69</v>
      </c>
      <c r="F146" s="32">
        <v>0</v>
      </c>
      <c r="G146" s="32">
        <v>1698.69</v>
      </c>
      <c r="H146" s="23" t="s">
        <v>1184</v>
      </c>
    </row>
    <row r="147" spans="1:8">
      <c r="A147" s="33" t="s">
        <v>1352</v>
      </c>
      <c r="B147" s="34">
        <v>46034</v>
      </c>
      <c r="C147" s="33" t="s">
        <v>183</v>
      </c>
      <c r="D147" s="33" t="s">
        <v>524</v>
      </c>
      <c r="E147" s="35">
        <v>0</v>
      </c>
      <c r="F147" s="35">
        <v>3966.54</v>
      </c>
      <c r="G147" s="35">
        <v>-3966.54</v>
      </c>
      <c r="H147" s="33" t="s">
        <v>1184</v>
      </c>
    </row>
    <row r="148" spans="1:8">
      <c r="A148" s="23" t="s">
        <v>1353</v>
      </c>
      <c r="B148" s="31">
        <v>46034</v>
      </c>
      <c r="C148" s="23" t="s">
        <v>1188</v>
      </c>
      <c r="D148" s="23" t="s">
        <v>554</v>
      </c>
      <c r="E148" s="32">
        <v>0</v>
      </c>
      <c r="F148" s="32">
        <v>2265.41</v>
      </c>
      <c r="G148" s="32">
        <v>-2265.41</v>
      </c>
      <c r="H148" s="23" t="s">
        <v>1184</v>
      </c>
    </row>
    <row r="149" spans="1:8">
      <c r="A149" s="33" t="s">
        <v>1354</v>
      </c>
      <c r="B149" s="34">
        <v>46034</v>
      </c>
      <c r="C149" s="33" t="s">
        <v>1183</v>
      </c>
      <c r="D149" s="33" t="s">
        <v>620</v>
      </c>
      <c r="E149" s="35">
        <v>0</v>
      </c>
      <c r="F149" s="35">
        <v>3108.75</v>
      </c>
      <c r="G149" s="35">
        <v>-3108.75</v>
      </c>
      <c r="H149" s="33" t="s">
        <v>1184</v>
      </c>
    </row>
    <row r="150" spans="1:8">
      <c r="A150" s="23" t="s">
        <v>1355</v>
      </c>
      <c r="B150" s="31">
        <v>46034</v>
      </c>
      <c r="C150" s="23" t="s">
        <v>1183</v>
      </c>
      <c r="D150" s="23" t="s">
        <v>638</v>
      </c>
      <c r="E150" s="32">
        <v>0</v>
      </c>
      <c r="F150" s="32">
        <v>2642.94</v>
      </c>
      <c r="G150" s="32">
        <v>-2642.94</v>
      </c>
      <c r="H150" s="23" t="s">
        <v>1184</v>
      </c>
    </row>
    <row r="151" spans="1:8">
      <c r="A151" s="33" t="s">
        <v>1356</v>
      </c>
      <c r="B151" s="34">
        <v>46034</v>
      </c>
      <c r="C151" s="33" t="s">
        <v>1183</v>
      </c>
      <c r="D151" s="33" t="s">
        <v>644</v>
      </c>
      <c r="E151" s="35">
        <v>0</v>
      </c>
      <c r="F151" s="35">
        <v>4799.59</v>
      </c>
      <c r="G151" s="35">
        <v>-4799.59</v>
      </c>
      <c r="H151" s="33" t="s">
        <v>1184</v>
      </c>
    </row>
    <row r="152" spans="1:8">
      <c r="A152" s="23" t="s">
        <v>1357</v>
      </c>
      <c r="B152" s="31">
        <v>46034</v>
      </c>
      <c r="C152" s="23" t="s">
        <v>1254</v>
      </c>
      <c r="D152" s="23" t="s">
        <v>704</v>
      </c>
      <c r="E152" s="32">
        <v>0</v>
      </c>
      <c r="F152" s="32">
        <v>3605.8</v>
      </c>
      <c r="G152" s="32">
        <v>-3605.8</v>
      </c>
      <c r="H152" s="23" t="s">
        <v>1184</v>
      </c>
    </row>
    <row r="153" spans="1:8">
      <c r="A153" s="33" t="s">
        <v>1358</v>
      </c>
      <c r="B153" s="34">
        <v>46034</v>
      </c>
      <c r="C153" s="33" t="s">
        <v>1202</v>
      </c>
      <c r="D153" s="33" t="s">
        <v>708</v>
      </c>
      <c r="E153" s="35">
        <v>8268.6200000000008</v>
      </c>
      <c r="F153" s="35">
        <v>0</v>
      </c>
      <c r="G153" s="35">
        <v>8268.6200000000008</v>
      </c>
      <c r="H153" s="33" t="s">
        <v>1184</v>
      </c>
    </row>
    <row r="154" spans="1:8">
      <c r="A154" s="23" t="s">
        <v>1359</v>
      </c>
      <c r="B154" s="31">
        <v>46034</v>
      </c>
      <c r="C154" s="23" t="s">
        <v>183</v>
      </c>
      <c r="D154" s="23" t="s">
        <v>726</v>
      </c>
      <c r="E154" s="32">
        <v>0</v>
      </c>
      <c r="F154" s="32">
        <v>7875.22</v>
      </c>
      <c r="G154" s="32">
        <v>-7875.22</v>
      </c>
      <c r="H154" s="23" t="s">
        <v>1184</v>
      </c>
    </row>
    <row r="155" spans="1:8">
      <c r="A155" s="33" t="s">
        <v>1360</v>
      </c>
      <c r="B155" s="34">
        <v>46034</v>
      </c>
      <c r="C155" s="33" t="s">
        <v>192</v>
      </c>
      <c r="D155" s="33" t="s">
        <v>806</v>
      </c>
      <c r="E155" s="35">
        <v>0</v>
      </c>
      <c r="F155" s="35">
        <v>31.66</v>
      </c>
      <c r="G155" s="35">
        <v>-31.66</v>
      </c>
      <c r="H155" s="33" t="s">
        <v>1184</v>
      </c>
    </row>
    <row r="156" spans="1:8">
      <c r="A156" s="23" t="s">
        <v>1361</v>
      </c>
      <c r="B156" s="31">
        <v>46034</v>
      </c>
      <c r="C156" s="23" t="s">
        <v>183</v>
      </c>
      <c r="D156" s="23" t="s">
        <v>820</v>
      </c>
      <c r="E156" s="32">
        <v>0</v>
      </c>
      <c r="F156" s="32">
        <v>11481.44</v>
      </c>
      <c r="G156" s="32">
        <v>-11481.44</v>
      </c>
      <c r="H156" s="23" t="s">
        <v>1184</v>
      </c>
    </row>
    <row r="157" spans="1:8">
      <c r="A157" s="33" t="s">
        <v>1362</v>
      </c>
      <c r="B157" s="34">
        <v>46034</v>
      </c>
      <c r="C157" s="33" t="s">
        <v>164</v>
      </c>
      <c r="D157" s="33" t="s">
        <v>866</v>
      </c>
      <c r="E157" s="35">
        <v>1420.99</v>
      </c>
      <c r="F157" s="35">
        <v>0</v>
      </c>
      <c r="G157" s="35">
        <v>1420.99</v>
      </c>
      <c r="H157" s="33" t="s">
        <v>1184</v>
      </c>
    </row>
    <row r="158" spans="1:8">
      <c r="A158" s="23" t="s">
        <v>1363</v>
      </c>
      <c r="B158" s="31">
        <v>46034</v>
      </c>
      <c r="C158" s="23" t="s">
        <v>1214</v>
      </c>
      <c r="D158" s="23" t="s">
        <v>889</v>
      </c>
      <c r="E158" s="32">
        <v>0</v>
      </c>
      <c r="F158" s="32">
        <v>3549.34</v>
      </c>
      <c r="G158" s="32">
        <v>-3549.34</v>
      </c>
      <c r="H158" s="23" t="s">
        <v>1184</v>
      </c>
    </row>
    <row r="159" spans="1:8">
      <c r="A159" s="33" t="s">
        <v>1364</v>
      </c>
      <c r="B159" s="34">
        <v>46034</v>
      </c>
      <c r="C159" s="33" t="s">
        <v>1188</v>
      </c>
      <c r="D159" s="33" t="s">
        <v>963</v>
      </c>
      <c r="E159" s="35">
        <v>0</v>
      </c>
      <c r="F159" s="35">
        <v>5108.57</v>
      </c>
      <c r="G159" s="35">
        <v>-5108.57</v>
      </c>
      <c r="H159" s="33" t="s">
        <v>1184</v>
      </c>
    </row>
    <row r="160" spans="1:8">
      <c r="A160" s="23" t="s">
        <v>1365</v>
      </c>
      <c r="B160" s="31">
        <v>46034</v>
      </c>
      <c r="C160" s="23" t="s">
        <v>1188</v>
      </c>
      <c r="D160" s="23" t="s">
        <v>979</v>
      </c>
      <c r="E160" s="32">
        <v>0</v>
      </c>
      <c r="F160" s="32">
        <v>1882.64</v>
      </c>
      <c r="G160" s="32">
        <v>-1882.64</v>
      </c>
      <c r="H160" s="23" t="s">
        <v>1184</v>
      </c>
    </row>
    <row r="161" spans="1:8">
      <c r="A161" s="33" t="s">
        <v>1366</v>
      </c>
      <c r="B161" s="34">
        <v>46034</v>
      </c>
      <c r="C161" s="33" t="s">
        <v>1202</v>
      </c>
      <c r="D161" s="33" t="s">
        <v>1029</v>
      </c>
      <c r="E161" s="35">
        <v>4421.1400000000003</v>
      </c>
      <c r="F161" s="35">
        <v>0</v>
      </c>
      <c r="G161" s="35">
        <v>4421.1400000000003</v>
      </c>
      <c r="H161" s="33" t="s">
        <v>1184</v>
      </c>
    </row>
    <row r="162" spans="1:8">
      <c r="A162" s="23" t="s">
        <v>1367</v>
      </c>
      <c r="B162" s="31">
        <v>46034</v>
      </c>
      <c r="C162" s="23" t="s">
        <v>164</v>
      </c>
      <c r="D162" s="23" t="s">
        <v>1075</v>
      </c>
      <c r="E162" s="32">
        <v>0</v>
      </c>
      <c r="F162" s="32">
        <v>843.85</v>
      </c>
      <c r="G162" s="32">
        <v>-843.85</v>
      </c>
      <c r="H162" s="23" t="s">
        <v>1184</v>
      </c>
    </row>
    <row r="163" spans="1:8">
      <c r="A163" s="33" t="s">
        <v>1368</v>
      </c>
      <c r="B163" s="34">
        <v>46035</v>
      </c>
      <c r="C163" s="33" t="s">
        <v>183</v>
      </c>
      <c r="D163" s="33" t="s">
        <v>248</v>
      </c>
      <c r="E163" s="35">
        <v>0</v>
      </c>
      <c r="F163" s="35">
        <v>3139.26</v>
      </c>
      <c r="G163" s="35">
        <v>-3139.26</v>
      </c>
      <c r="H163" s="33" t="s">
        <v>1184</v>
      </c>
    </row>
    <row r="164" spans="1:8">
      <c r="A164" s="23" t="s">
        <v>1369</v>
      </c>
      <c r="B164" s="31">
        <v>46035</v>
      </c>
      <c r="C164" s="23" t="s">
        <v>1254</v>
      </c>
      <c r="D164" s="23" t="s">
        <v>285</v>
      </c>
      <c r="E164" s="32">
        <v>0</v>
      </c>
      <c r="F164" s="32">
        <v>101.43</v>
      </c>
      <c r="G164" s="32">
        <v>-101.43</v>
      </c>
      <c r="H164" s="23" t="s">
        <v>1184</v>
      </c>
    </row>
    <row r="165" spans="1:8">
      <c r="A165" s="33" t="s">
        <v>1370</v>
      </c>
      <c r="B165" s="34">
        <v>46035</v>
      </c>
      <c r="C165" s="33" t="s">
        <v>1198</v>
      </c>
      <c r="D165" s="33" t="s">
        <v>295</v>
      </c>
      <c r="E165" s="35">
        <v>6048.6</v>
      </c>
      <c r="F165" s="35">
        <v>0</v>
      </c>
      <c r="G165" s="35">
        <v>6048.6</v>
      </c>
      <c r="H165" s="33" t="s">
        <v>1184</v>
      </c>
    </row>
    <row r="166" spans="1:8">
      <c r="A166" s="23" t="s">
        <v>1371</v>
      </c>
      <c r="B166" s="31">
        <v>46035</v>
      </c>
      <c r="C166" s="23" t="s">
        <v>1226</v>
      </c>
      <c r="D166" s="23" t="s">
        <v>353</v>
      </c>
      <c r="E166" s="32">
        <v>4073.77</v>
      </c>
      <c r="F166" s="32">
        <v>0</v>
      </c>
      <c r="G166" s="32">
        <v>4073.77</v>
      </c>
      <c r="H166" s="23" t="s">
        <v>1184</v>
      </c>
    </row>
    <row r="167" spans="1:8">
      <c r="A167" s="33" t="s">
        <v>1372</v>
      </c>
      <c r="B167" s="34">
        <v>46035</v>
      </c>
      <c r="C167" s="33" t="s">
        <v>164</v>
      </c>
      <c r="D167" s="33" t="s">
        <v>359</v>
      </c>
      <c r="E167" s="35">
        <v>2042.42</v>
      </c>
      <c r="F167" s="35">
        <v>0</v>
      </c>
      <c r="G167" s="35">
        <v>2042.42</v>
      </c>
      <c r="H167" s="33" t="s">
        <v>1184</v>
      </c>
    </row>
    <row r="168" spans="1:8">
      <c r="A168" s="23" t="s">
        <v>1373</v>
      </c>
      <c r="B168" s="31">
        <v>46035</v>
      </c>
      <c r="C168" s="23" t="s">
        <v>183</v>
      </c>
      <c r="D168" s="23" t="s">
        <v>393</v>
      </c>
      <c r="E168" s="32">
        <v>0</v>
      </c>
      <c r="F168" s="32">
        <v>16564.37</v>
      </c>
      <c r="G168" s="32">
        <v>-16564.37</v>
      </c>
      <c r="H168" s="23" t="s">
        <v>1184</v>
      </c>
    </row>
    <row r="169" spans="1:8">
      <c r="A169" s="33" t="s">
        <v>1374</v>
      </c>
      <c r="B169" s="34">
        <v>46035</v>
      </c>
      <c r="C169" s="33" t="s">
        <v>1214</v>
      </c>
      <c r="D169" s="33" t="s">
        <v>530</v>
      </c>
      <c r="E169" s="35">
        <v>0</v>
      </c>
      <c r="F169" s="35">
        <v>4880.3500000000004</v>
      </c>
      <c r="G169" s="35">
        <v>-4880.3500000000004</v>
      </c>
      <c r="H169" s="33" t="s">
        <v>1184</v>
      </c>
    </row>
    <row r="170" spans="1:8">
      <c r="A170" s="23" t="s">
        <v>1375</v>
      </c>
      <c r="B170" s="31">
        <v>46035</v>
      </c>
      <c r="C170" s="23" t="s">
        <v>1202</v>
      </c>
      <c r="D170" s="23" t="s">
        <v>606</v>
      </c>
      <c r="E170" s="32">
        <v>4308.62</v>
      </c>
      <c r="F170" s="32">
        <v>0</v>
      </c>
      <c r="G170" s="32">
        <v>4308.62</v>
      </c>
      <c r="H170" s="23" t="s">
        <v>1184</v>
      </c>
    </row>
    <row r="171" spans="1:8">
      <c r="A171" s="33" t="s">
        <v>1376</v>
      </c>
      <c r="B171" s="34">
        <v>46035</v>
      </c>
      <c r="C171" s="33" t="s">
        <v>1186</v>
      </c>
      <c r="D171" s="33" t="s">
        <v>678</v>
      </c>
      <c r="E171" s="35">
        <v>0</v>
      </c>
      <c r="F171" s="35">
        <v>3006.47</v>
      </c>
      <c r="G171" s="35">
        <v>-3006.47</v>
      </c>
      <c r="H171" s="33" t="s">
        <v>1184</v>
      </c>
    </row>
    <row r="172" spans="1:8">
      <c r="A172" s="23" t="s">
        <v>1377</v>
      </c>
      <c r="B172" s="31">
        <v>46035</v>
      </c>
      <c r="C172" s="23" t="s">
        <v>1269</v>
      </c>
      <c r="D172" s="23" t="s">
        <v>798</v>
      </c>
      <c r="E172" s="32">
        <v>5064.7299999999996</v>
      </c>
      <c r="F172" s="32">
        <v>0</v>
      </c>
      <c r="G172" s="32">
        <v>5064.7299999999996</v>
      </c>
      <c r="H172" s="23" t="s">
        <v>1184</v>
      </c>
    </row>
    <row r="173" spans="1:8">
      <c r="A173" s="33" t="s">
        <v>1378</v>
      </c>
      <c r="B173" s="34">
        <v>46035</v>
      </c>
      <c r="C173" s="33" t="s">
        <v>1254</v>
      </c>
      <c r="D173" s="33" t="s">
        <v>818</v>
      </c>
      <c r="E173" s="35">
        <v>0</v>
      </c>
      <c r="F173" s="35">
        <v>3368.76</v>
      </c>
      <c r="G173" s="35">
        <v>-3368.76</v>
      </c>
      <c r="H173" s="33" t="s">
        <v>1184</v>
      </c>
    </row>
    <row r="174" spans="1:8">
      <c r="A174" s="23" t="s">
        <v>1379</v>
      </c>
      <c r="B174" s="31">
        <v>46035</v>
      </c>
      <c r="C174" s="23" t="s">
        <v>164</v>
      </c>
      <c r="D174" s="23" t="s">
        <v>858</v>
      </c>
      <c r="E174" s="32">
        <v>400.6</v>
      </c>
      <c r="F174" s="32">
        <v>0</v>
      </c>
      <c r="G174" s="32">
        <v>400.6</v>
      </c>
      <c r="H174" s="23" t="s">
        <v>1184</v>
      </c>
    </row>
    <row r="175" spans="1:8">
      <c r="A175" s="33" t="s">
        <v>1380</v>
      </c>
      <c r="B175" s="34">
        <v>46035</v>
      </c>
      <c r="C175" s="33" t="s">
        <v>1194</v>
      </c>
      <c r="D175" s="33" t="s">
        <v>877</v>
      </c>
      <c r="E175" s="35">
        <v>0</v>
      </c>
      <c r="F175" s="35">
        <v>3370.45</v>
      </c>
      <c r="G175" s="35">
        <v>-3370.45</v>
      </c>
      <c r="H175" s="33" t="s">
        <v>1184</v>
      </c>
    </row>
    <row r="176" spans="1:8">
      <c r="A176" s="23" t="s">
        <v>1381</v>
      </c>
      <c r="B176" s="31">
        <v>46035</v>
      </c>
      <c r="C176" s="23" t="s">
        <v>1188</v>
      </c>
      <c r="D176" s="23" t="s">
        <v>1015</v>
      </c>
      <c r="E176" s="32">
        <v>0</v>
      </c>
      <c r="F176" s="32">
        <v>5698.35</v>
      </c>
      <c r="G176" s="32">
        <v>-5698.35</v>
      </c>
      <c r="H176" s="23" t="s">
        <v>1184</v>
      </c>
    </row>
    <row r="177" spans="1:8">
      <c r="A177" s="33" t="s">
        <v>1382</v>
      </c>
      <c r="B177" s="34">
        <v>46036</v>
      </c>
      <c r="C177" s="33" t="s">
        <v>1188</v>
      </c>
      <c r="D177" s="33" t="s">
        <v>187</v>
      </c>
      <c r="E177" s="35">
        <v>0</v>
      </c>
      <c r="F177" s="35">
        <v>5917.35</v>
      </c>
      <c r="G177" s="35">
        <v>-5917.35</v>
      </c>
      <c r="H177" s="33" t="s">
        <v>1184</v>
      </c>
    </row>
    <row r="178" spans="1:8">
      <c r="A178" s="23" t="s">
        <v>1383</v>
      </c>
      <c r="B178" s="31">
        <v>46036</v>
      </c>
      <c r="C178" s="23" t="s">
        <v>192</v>
      </c>
      <c r="D178" s="23" t="s">
        <v>202</v>
      </c>
      <c r="E178" s="32">
        <v>0</v>
      </c>
      <c r="F178" s="32">
        <v>79.739999999999995</v>
      </c>
      <c r="G178" s="32">
        <v>-79.739999999999995</v>
      </c>
      <c r="H178" s="23" t="s">
        <v>1184</v>
      </c>
    </row>
    <row r="179" spans="1:8">
      <c r="A179" s="33" t="s">
        <v>1384</v>
      </c>
      <c r="B179" s="34">
        <v>46036</v>
      </c>
      <c r="C179" s="33" t="s">
        <v>192</v>
      </c>
      <c r="D179" s="33" t="s">
        <v>227</v>
      </c>
      <c r="E179" s="35">
        <v>0</v>
      </c>
      <c r="F179" s="35">
        <v>95.29</v>
      </c>
      <c r="G179" s="35">
        <v>-95.29</v>
      </c>
      <c r="H179" s="33" t="s">
        <v>1184</v>
      </c>
    </row>
    <row r="180" spans="1:8">
      <c r="A180" s="23" t="s">
        <v>1385</v>
      </c>
      <c r="B180" s="31">
        <v>46036</v>
      </c>
      <c r="C180" s="23" t="s">
        <v>183</v>
      </c>
      <c r="D180" s="23" t="s">
        <v>261</v>
      </c>
      <c r="E180" s="32">
        <v>0</v>
      </c>
      <c r="F180" s="32">
        <v>15028.93</v>
      </c>
      <c r="G180" s="32">
        <v>-15028.93</v>
      </c>
      <c r="H180" s="23" t="s">
        <v>1184</v>
      </c>
    </row>
    <row r="181" spans="1:8">
      <c r="A181" s="33" t="s">
        <v>1386</v>
      </c>
      <c r="B181" s="34">
        <v>46036</v>
      </c>
      <c r="C181" s="33" t="s">
        <v>164</v>
      </c>
      <c r="D181" s="33" t="s">
        <v>454</v>
      </c>
      <c r="E181" s="35">
        <v>3576.39</v>
      </c>
      <c r="F181" s="35">
        <v>0</v>
      </c>
      <c r="G181" s="35">
        <v>3576.39</v>
      </c>
      <c r="H181" s="33" t="s">
        <v>1184</v>
      </c>
    </row>
    <row r="182" spans="1:8">
      <c r="A182" s="23" t="s">
        <v>1387</v>
      </c>
      <c r="B182" s="31">
        <v>46036</v>
      </c>
      <c r="C182" s="23" t="s">
        <v>192</v>
      </c>
      <c r="D182" s="23" t="s">
        <v>512</v>
      </c>
      <c r="E182" s="32">
        <v>0</v>
      </c>
      <c r="F182" s="32">
        <v>65.27</v>
      </c>
      <c r="G182" s="32">
        <v>-65.27</v>
      </c>
      <c r="H182" s="23" t="s">
        <v>1184</v>
      </c>
    </row>
    <row r="183" spans="1:8">
      <c r="A183" s="33" t="s">
        <v>1388</v>
      </c>
      <c r="B183" s="34">
        <v>46036</v>
      </c>
      <c r="C183" s="33" t="s">
        <v>1194</v>
      </c>
      <c r="D183" s="33" t="s">
        <v>540</v>
      </c>
      <c r="E183" s="35">
        <v>0</v>
      </c>
      <c r="F183" s="35">
        <v>2368.64</v>
      </c>
      <c r="G183" s="35">
        <v>-2368.64</v>
      </c>
      <c r="H183" s="33" t="s">
        <v>1184</v>
      </c>
    </row>
    <row r="184" spans="1:8">
      <c r="A184" s="23" t="s">
        <v>1389</v>
      </c>
      <c r="B184" s="31">
        <v>46036</v>
      </c>
      <c r="C184" s="23" t="s">
        <v>1200</v>
      </c>
      <c r="D184" s="23" t="s">
        <v>686</v>
      </c>
      <c r="E184" s="32">
        <v>0</v>
      </c>
      <c r="F184" s="32">
        <v>2875.61</v>
      </c>
      <c r="G184" s="32">
        <v>-2875.61</v>
      </c>
      <c r="H184" s="23" t="s">
        <v>1184</v>
      </c>
    </row>
    <row r="185" spans="1:8">
      <c r="A185" s="33" t="s">
        <v>1390</v>
      </c>
      <c r="B185" s="34">
        <v>46036</v>
      </c>
      <c r="C185" s="33" t="s">
        <v>1190</v>
      </c>
      <c r="D185" s="33" t="s">
        <v>850</v>
      </c>
      <c r="E185" s="35">
        <v>1839.36</v>
      </c>
      <c r="F185" s="35">
        <v>0</v>
      </c>
      <c r="G185" s="35">
        <v>1839.36</v>
      </c>
      <c r="H185" s="33" t="s">
        <v>1184</v>
      </c>
    </row>
    <row r="186" spans="1:8">
      <c r="A186" s="23" t="s">
        <v>1391</v>
      </c>
      <c r="B186" s="31">
        <v>46036</v>
      </c>
      <c r="C186" s="23" t="s">
        <v>164</v>
      </c>
      <c r="D186" s="23" t="s">
        <v>881</v>
      </c>
      <c r="E186" s="32">
        <v>336.63</v>
      </c>
      <c r="F186" s="32">
        <v>0</v>
      </c>
      <c r="G186" s="32">
        <v>336.63</v>
      </c>
      <c r="H186" s="23" t="s">
        <v>1184</v>
      </c>
    </row>
    <row r="187" spans="1:8">
      <c r="A187" s="33" t="s">
        <v>1392</v>
      </c>
      <c r="B187" s="34">
        <v>46036</v>
      </c>
      <c r="C187" s="33" t="s">
        <v>183</v>
      </c>
      <c r="D187" s="33" t="s">
        <v>931</v>
      </c>
      <c r="E187" s="35">
        <v>0</v>
      </c>
      <c r="F187" s="35">
        <v>8227.48</v>
      </c>
      <c r="G187" s="35">
        <v>-8227.48</v>
      </c>
      <c r="H187" s="33" t="s">
        <v>1184</v>
      </c>
    </row>
    <row r="188" spans="1:8">
      <c r="A188" s="23" t="s">
        <v>1393</v>
      </c>
      <c r="B188" s="31">
        <v>46036</v>
      </c>
      <c r="C188" s="23" t="s">
        <v>1226</v>
      </c>
      <c r="D188" s="23" t="s">
        <v>935</v>
      </c>
      <c r="E188" s="32">
        <v>4149.91</v>
      </c>
      <c r="F188" s="32">
        <v>0</v>
      </c>
      <c r="G188" s="32">
        <v>4149.91</v>
      </c>
      <c r="H188" s="23" t="s">
        <v>1184</v>
      </c>
    </row>
    <row r="189" spans="1:8">
      <c r="A189" s="33" t="s">
        <v>1394</v>
      </c>
      <c r="B189" s="34">
        <v>46036</v>
      </c>
      <c r="C189" s="33" t="s">
        <v>1214</v>
      </c>
      <c r="D189" s="33" t="s">
        <v>995</v>
      </c>
      <c r="E189" s="35">
        <v>0</v>
      </c>
      <c r="F189" s="35">
        <v>3918.62</v>
      </c>
      <c r="G189" s="35">
        <v>-3918.62</v>
      </c>
      <c r="H189" s="33" t="s">
        <v>1184</v>
      </c>
    </row>
    <row r="190" spans="1:8">
      <c r="A190" s="23" t="s">
        <v>1395</v>
      </c>
      <c r="B190" s="31">
        <v>46036</v>
      </c>
      <c r="C190" s="23" t="s">
        <v>1183</v>
      </c>
      <c r="D190" s="23" t="s">
        <v>1003</v>
      </c>
      <c r="E190" s="32">
        <v>0</v>
      </c>
      <c r="F190" s="32">
        <v>2521.1999999999998</v>
      </c>
      <c r="G190" s="32">
        <v>-2521.1999999999998</v>
      </c>
      <c r="H190" s="23" t="s">
        <v>1184</v>
      </c>
    </row>
    <row r="191" spans="1:8">
      <c r="A191" s="33" t="s">
        <v>1396</v>
      </c>
      <c r="B191" s="34">
        <v>46036</v>
      </c>
      <c r="C191" s="33" t="s">
        <v>1214</v>
      </c>
      <c r="D191" s="33" t="s">
        <v>1021</v>
      </c>
      <c r="E191" s="35">
        <v>0</v>
      </c>
      <c r="F191" s="35">
        <v>3582.22</v>
      </c>
      <c r="G191" s="35">
        <v>-3582.22</v>
      </c>
      <c r="H191" s="33" t="s">
        <v>1184</v>
      </c>
    </row>
    <row r="192" spans="1:8">
      <c r="A192" s="23" t="s">
        <v>1397</v>
      </c>
      <c r="B192" s="31">
        <v>46036</v>
      </c>
      <c r="C192" s="23" t="s">
        <v>1269</v>
      </c>
      <c r="D192" s="23" t="s">
        <v>1023</v>
      </c>
      <c r="E192" s="32">
        <v>224.3</v>
      </c>
      <c r="F192" s="32">
        <v>0</v>
      </c>
      <c r="G192" s="32">
        <v>224.3</v>
      </c>
      <c r="H192" s="23" t="s">
        <v>1184</v>
      </c>
    </row>
    <row r="193" spans="1:8">
      <c r="A193" s="33" t="s">
        <v>1398</v>
      </c>
      <c r="B193" s="34">
        <v>46036</v>
      </c>
      <c r="C193" s="33" t="s">
        <v>183</v>
      </c>
      <c r="D193" s="33" t="s">
        <v>1165</v>
      </c>
      <c r="E193" s="35">
        <v>0</v>
      </c>
      <c r="F193" s="35">
        <v>5455.9</v>
      </c>
      <c r="G193" s="35">
        <v>-5455.9</v>
      </c>
      <c r="H193" s="33" t="s">
        <v>1184</v>
      </c>
    </row>
    <row r="194" spans="1:8">
      <c r="A194" s="23" t="s">
        <v>1399</v>
      </c>
      <c r="B194" s="31">
        <v>46036</v>
      </c>
      <c r="C194" s="23" t="s">
        <v>1269</v>
      </c>
      <c r="D194" s="23" t="s">
        <v>1169</v>
      </c>
      <c r="E194" s="32">
        <v>3527.14</v>
      </c>
      <c r="F194" s="32">
        <v>0</v>
      </c>
      <c r="G194" s="32">
        <v>3527.14</v>
      </c>
      <c r="H194" s="23" t="s">
        <v>1184</v>
      </c>
    </row>
    <row r="195" spans="1:8">
      <c r="A195" s="33" t="s">
        <v>1400</v>
      </c>
      <c r="B195" s="34">
        <v>46037</v>
      </c>
      <c r="C195" s="33" t="s">
        <v>1214</v>
      </c>
      <c r="D195" s="33" t="s">
        <v>269</v>
      </c>
      <c r="E195" s="35">
        <v>0</v>
      </c>
      <c r="F195" s="35">
        <v>1999.71</v>
      </c>
      <c r="G195" s="35">
        <v>-1999.71</v>
      </c>
      <c r="H195" s="33" t="s">
        <v>1184</v>
      </c>
    </row>
    <row r="196" spans="1:8">
      <c r="A196" s="23" t="s">
        <v>1401</v>
      </c>
      <c r="B196" s="31">
        <v>46037</v>
      </c>
      <c r="C196" s="23" t="s">
        <v>1214</v>
      </c>
      <c r="D196" s="23" t="s">
        <v>307</v>
      </c>
      <c r="E196" s="32">
        <v>0</v>
      </c>
      <c r="F196" s="32">
        <v>5463.4</v>
      </c>
      <c r="G196" s="32">
        <v>-5463.4</v>
      </c>
      <c r="H196" s="23" t="s">
        <v>1184</v>
      </c>
    </row>
    <row r="197" spans="1:8">
      <c r="A197" s="33" t="s">
        <v>1402</v>
      </c>
      <c r="B197" s="34">
        <v>46037</v>
      </c>
      <c r="C197" s="33" t="s">
        <v>164</v>
      </c>
      <c r="D197" s="33" t="s">
        <v>313</v>
      </c>
      <c r="E197" s="35">
        <v>0</v>
      </c>
      <c r="F197" s="35">
        <v>1876.03</v>
      </c>
      <c r="G197" s="35">
        <v>-1876.03</v>
      </c>
      <c r="H197" s="33" t="s">
        <v>1184</v>
      </c>
    </row>
    <row r="198" spans="1:8">
      <c r="A198" s="23" t="s">
        <v>1403</v>
      </c>
      <c r="B198" s="31">
        <v>46037</v>
      </c>
      <c r="C198" s="23" t="s">
        <v>1194</v>
      </c>
      <c r="D198" s="23" t="s">
        <v>349</v>
      </c>
      <c r="E198" s="32">
        <v>0</v>
      </c>
      <c r="F198" s="32">
        <v>6138.99</v>
      </c>
      <c r="G198" s="32">
        <v>-6138.99</v>
      </c>
      <c r="H198" s="23" t="s">
        <v>1184</v>
      </c>
    </row>
    <row r="199" spans="1:8">
      <c r="A199" s="33" t="s">
        <v>1404</v>
      </c>
      <c r="B199" s="34">
        <v>46037</v>
      </c>
      <c r="C199" s="33" t="s">
        <v>192</v>
      </c>
      <c r="D199" s="33" t="s">
        <v>432</v>
      </c>
      <c r="E199" s="35">
        <v>0</v>
      </c>
      <c r="F199" s="35">
        <v>18.350000000000001</v>
      </c>
      <c r="G199" s="35">
        <v>-18.350000000000001</v>
      </c>
      <c r="H199" s="33" t="s">
        <v>1184</v>
      </c>
    </row>
    <row r="200" spans="1:8">
      <c r="A200" s="23" t="s">
        <v>1405</v>
      </c>
      <c r="B200" s="31">
        <v>46037</v>
      </c>
      <c r="C200" s="23" t="s">
        <v>1188</v>
      </c>
      <c r="D200" s="23" t="s">
        <v>468</v>
      </c>
      <c r="E200" s="32">
        <v>0</v>
      </c>
      <c r="F200" s="32">
        <v>2222.6999999999998</v>
      </c>
      <c r="G200" s="32">
        <v>-2222.6999999999998</v>
      </c>
      <c r="H200" s="23" t="s">
        <v>1184</v>
      </c>
    </row>
    <row r="201" spans="1:8">
      <c r="A201" s="33" t="s">
        <v>1406</v>
      </c>
      <c r="B201" s="34">
        <v>46037</v>
      </c>
      <c r="C201" s="33" t="s">
        <v>1214</v>
      </c>
      <c r="D201" s="33" t="s">
        <v>510</v>
      </c>
      <c r="E201" s="35">
        <v>0</v>
      </c>
      <c r="F201" s="35">
        <v>2181.84</v>
      </c>
      <c r="G201" s="35">
        <v>-2181.84</v>
      </c>
      <c r="H201" s="33" t="s">
        <v>1184</v>
      </c>
    </row>
    <row r="202" spans="1:8">
      <c r="A202" s="23" t="s">
        <v>1407</v>
      </c>
      <c r="B202" s="31">
        <v>46037</v>
      </c>
      <c r="C202" s="23" t="s">
        <v>1214</v>
      </c>
      <c r="D202" s="23" t="s">
        <v>666</v>
      </c>
      <c r="E202" s="32">
        <v>0</v>
      </c>
      <c r="F202" s="32">
        <v>744.4</v>
      </c>
      <c r="G202" s="32">
        <v>-744.4</v>
      </c>
      <c r="H202" s="23" t="s">
        <v>1184</v>
      </c>
    </row>
    <row r="203" spans="1:8">
      <c r="A203" s="33" t="s">
        <v>1408</v>
      </c>
      <c r="B203" s="34">
        <v>46037</v>
      </c>
      <c r="C203" s="33" t="s">
        <v>1186</v>
      </c>
      <c r="D203" s="33" t="s">
        <v>672</v>
      </c>
      <c r="E203" s="35">
        <v>0</v>
      </c>
      <c r="F203" s="35">
        <v>121.8</v>
      </c>
      <c r="G203" s="35">
        <v>-121.8</v>
      </c>
      <c r="H203" s="33" t="s">
        <v>1184</v>
      </c>
    </row>
    <row r="204" spans="1:8">
      <c r="A204" s="23" t="s">
        <v>1409</v>
      </c>
      <c r="B204" s="31">
        <v>46037</v>
      </c>
      <c r="C204" s="23" t="s">
        <v>1188</v>
      </c>
      <c r="D204" s="23" t="s">
        <v>688</v>
      </c>
      <c r="E204" s="32">
        <v>0</v>
      </c>
      <c r="F204" s="32">
        <v>4644.32</v>
      </c>
      <c r="G204" s="32">
        <v>-4644.32</v>
      </c>
      <c r="H204" s="23" t="s">
        <v>1184</v>
      </c>
    </row>
    <row r="205" spans="1:8">
      <c r="A205" s="33" t="s">
        <v>1410</v>
      </c>
      <c r="B205" s="34">
        <v>46037</v>
      </c>
      <c r="C205" s="33" t="s">
        <v>1194</v>
      </c>
      <c r="D205" s="33" t="s">
        <v>762</v>
      </c>
      <c r="E205" s="35">
        <v>0</v>
      </c>
      <c r="F205" s="35">
        <v>4123.3100000000004</v>
      </c>
      <c r="G205" s="35">
        <v>-4123.3100000000004</v>
      </c>
      <c r="H205" s="33" t="s">
        <v>1184</v>
      </c>
    </row>
    <row r="206" spans="1:8">
      <c r="A206" s="23" t="s">
        <v>1411</v>
      </c>
      <c r="B206" s="31">
        <v>46037</v>
      </c>
      <c r="C206" s="23" t="s">
        <v>183</v>
      </c>
      <c r="D206" s="23" t="s">
        <v>778</v>
      </c>
      <c r="E206" s="32">
        <v>0</v>
      </c>
      <c r="F206" s="32">
        <v>14962.87</v>
      </c>
      <c r="G206" s="32">
        <v>-14962.87</v>
      </c>
      <c r="H206" s="23" t="s">
        <v>1184</v>
      </c>
    </row>
    <row r="207" spans="1:8">
      <c r="A207" s="33" t="s">
        <v>1412</v>
      </c>
      <c r="B207" s="34">
        <v>46037</v>
      </c>
      <c r="C207" s="33" t="s">
        <v>1188</v>
      </c>
      <c r="D207" s="33" t="s">
        <v>796</v>
      </c>
      <c r="E207" s="35">
        <v>0</v>
      </c>
      <c r="F207" s="35">
        <v>1663.48</v>
      </c>
      <c r="G207" s="35">
        <v>-1663.48</v>
      </c>
      <c r="H207" s="33" t="s">
        <v>1184</v>
      </c>
    </row>
    <row r="208" spans="1:8">
      <c r="A208" s="23" t="s">
        <v>1413</v>
      </c>
      <c r="B208" s="31">
        <v>46037</v>
      </c>
      <c r="C208" s="23" t="s">
        <v>1202</v>
      </c>
      <c r="D208" s="23" t="s">
        <v>800</v>
      </c>
      <c r="E208" s="32">
        <v>1119.18</v>
      </c>
      <c r="F208" s="32">
        <v>0</v>
      </c>
      <c r="G208" s="32">
        <v>1119.18</v>
      </c>
      <c r="H208" s="23" t="s">
        <v>1184</v>
      </c>
    </row>
    <row r="209" spans="1:8">
      <c r="A209" s="33" t="s">
        <v>1414</v>
      </c>
      <c r="B209" s="34">
        <v>46037</v>
      </c>
      <c r="C209" s="33" t="s">
        <v>1200</v>
      </c>
      <c r="D209" s="33" t="s">
        <v>1105</v>
      </c>
      <c r="E209" s="35">
        <v>0</v>
      </c>
      <c r="F209" s="35">
        <v>2816.06</v>
      </c>
      <c r="G209" s="35">
        <v>-2816.06</v>
      </c>
      <c r="H209" s="33" t="s">
        <v>1184</v>
      </c>
    </row>
    <row r="210" spans="1:8">
      <c r="A210" s="23" t="s">
        <v>1415</v>
      </c>
      <c r="B210" s="31">
        <v>46037</v>
      </c>
      <c r="C210" s="23" t="s">
        <v>1240</v>
      </c>
      <c r="D210" s="23" t="s">
        <v>1416</v>
      </c>
      <c r="E210" s="32">
        <v>0</v>
      </c>
      <c r="F210" s="32">
        <v>1121.71</v>
      </c>
      <c r="G210" s="32">
        <v>-1121.71</v>
      </c>
      <c r="H210" s="23" t="s">
        <v>1242</v>
      </c>
    </row>
    <row r="211" spans="1:8">
      <c r="A211" s="33" t="s">
        <v>1417</v>
      </c>
      <c r="B211" s="34">
        <v>46038</v>
      </c>
      <c r="C211" s="33" t="s">
        <v>1194</v>
      </c>
      <c r="D211" s="33" t="s">
        <v>335</v>
      </c>
      <c r="E211" s="35">
        <v>0</v>
      </c>
      <c r="F211" s="35">
        <v>5899.37</v>
      </c>
      <c r="G211" s="35">
        <v>-5899.37</v>
      </c>
      <c r="H211" s="33" t="s">
        <v>1184</v>
      </c>
    </row>
    <row r="212" spans="1:8">
      <c r="A212" s="23" t="s">
        <v>1418</v>
      </c>
      <c r="B212" s="31">
        <v>46038</v>
      </c>
      <c r="C212" s="23" t="s">
        <v>1186</v>
      </c>
      <c r="D212" s="23" t="s">
        <v>355</v>
      </c>
      <c r="E212" s="32">
        <v>0</v>
      </c>
      <c r="F212" s="32">
        <v>5734.34</v>
      </c>
      <c r="G212" s="32">
        <v>-5734.34</v>
      </c>
      <c r="H212" s="23" t="s">
        <v>1184</v>
      </c>
    </row>
    <row r="213" spans="1:8">
      <c r="A213" s="33" t="s">
        <v>1419</v>
      </c>
      <c r="B213" s="34">
        <v>46038</v>
      </c>
      <c r="C213" s="33" t="s">
        <v>1254</v>
      </c>
      <c r="D213" s="33" t="s">
        <v>375</v>
      </c>
      <c r="E213" s="35">
        <v>0</v>
      </c>
      <c r="F213" s="35">
        <v>3806.29</v>
      </c>
      <c r="G213" s="35">
        <v>-3806.29</v>
      </c>
      <c r="H213" s="33" t="s">
        <v>1184</v>
      </c>
    </row>
    <row r="214" spans="1:8">
      <c r="A214" s="23" t="s">
        <v>1420</v>
      </c>
      <c r="B214" s="31">
        <v>46038</v>
      </c>
      <c r="C214" s="23" t="s">
        <v>1194</v>
      </c>
      <c r="D214" s="23" t="s">
        <v>464</v>
      </c>
      <c r="E214" s="32">
        <v>0</v>
      </c>
      <c r="F214" s="32">
        <v>3517.5</v>
      </c>
      <c r="G214" s="32">
        <v>-3517.5</v>
      </c>
      <c r="H214" s="23" t="s">
        <v>1184</v>
      </c>
    </row>
    <row r="215" spans="1:8">
      <c r="A215" s="33" t="s">
        <v>1421</v>
      </c>
      <c r="B215" s="34">
        <v>46038</v>
      </c>
      <c r="C215" s="33" t="s">
        <v>1188</v>
      </c>
      <c r="D215" s="33" t="s">
        <v>590</v>
      </c>
      <c r="E215" s="35">
        <v>0</v>
      </c>
      <c r="F215" s="35">
        <v>482.38</v>
      </c>
      <c r="G215" s="35">
        <v>-482.38</v>
      </c>
      <c r="H215" s="33" t="s">
        <v>1184</v>
      </c>
    </row>
    <row r="216" spans="1:8">
      <c r="A216" s="23" t="s">
        <v>1422</v>
      </c>
      <c r="B216" s="31">
        <v>46038</v>
      </c>
      <c r="C216" s="23" t="s">
        <v>1192</v>
      </c>
      <c r="D216" s="23" t="s">
        <v>618</v>
      </c>
      <c r="E216" s="32">
        <v>4303.04</v>
      </c>
      <c r="F216" s="32">
        <v>0</v>
      </c>
      <c r="G216" s="32">
        <v>4303.04</v>
      </c>
      <c r="H216" s="23" t="s">
        <v>1184</v>
      </c>
    </row>
    <row r="217" spans="1:8">
      <c r="A217" s="33" t="s">
        <v>1423</v>
      </c>
      <c r="B217" s="34">
        <v>46038</v>
      </c>
      <c r="C217" s="33" t="s">
        <v>192</v>
      </c>
      <c r="D217" s="33" t="s">
        <v>690</v>
      </c>
      <c r="E217" s="35">
        <v>0</v>
      </c>
      <c r="F217" s="35">
        <v>112.48</v>
      </c>
      <c r="G217" s="35">
        <v>-112.48</v>
      </c>
      <c r="H217" s="33" t="s">
        <v>1184</v>
      </c>
    </row>
    <row r="218" spans="1:8">
      <c r="A218" s="23" t="s">
        <v>1424</v>
      </c>
      <c r="B218" s="31">
        <v>46038</v>
      </c>
      <c r="C218" s="23" t="s">
        <v>1188</v>
      </c>
      <c r="D218" s="23" t="s">
        <v>720</v>
      </c>
      <c r="E218" s="32">
        <v>0</v>
      </c>
      <c r="F218" s="32">
        <v>1376.26</v>
      </c>
      <c r="G218" s="32">
        <v>-1376.26</v>
      </c>
      <c r="H218" s="23" t="s">
        <v>1184</v>
      </c>
    </row>
    <row r="219" spans="1:8">
      <c r="A219" s="33" t="s">
        <v>1425</v>
      </c>
      <c r="B219" s="34">
        <v>46038</v>
      </c>
      <c r="C219" s="33" t="s">
        <v>164</v>
      </c>
      <c r="D219" s="33" t="s">
        <v>774</v>
      </c>
      <c r="E219" s="35">
        <v>1295.9100000000001</v>
      </c>
      <c r="F219" s="35">
        <v>0</v>
      </c>
      <c r="G219" s="35">
        <v>1295.9100000000001</v>
      </c>
      <c r="H219" s="33" t="s">
        <v>1184</v>
      </c>
    </row>
    <row r="220" spans="1:8">
      <c r="A220" s="23" t="s">
        <v>1426</v>
      </c>
      <c r="B220" s="31">
        <v>46038</v>
      </c>
      <c r="C220" s="23" t="s">
        <v>1200</v>
      </c>
      <c r="D220" s="23" t="s">
        <v>991</v>
      </c>
      <c r="E220" s="32">
        <v>0</v>
      </c>
      <c r="F220" s="32">
        <v>5605</v>
      </c>
      <c r="G220" s="32">
        <v>-5605</v>
      </c>
      <c r="H220" s="23" t="s">
        <v>1184</v>
      </c>
    </row>
    <row r="221" spans="1:8">
      <c r="A221" s="33" t="s">
        <v>1427</v>
      </c>
      <c r="B221" s="34">
        <v>46038</v>
      </c>
      <c r="C221" s="33" t="s">
        <v>1240</v>
      </c>
      <c r="D221" s="33" t="s">
        <v>1428</v>
      </c>
      <c r="E221" s="35">
        <v>1385.9</v>
      </c>
      <c r="F221" s="35">
        <v>0</v>
      </c>
      <c r="G221" s="35">
        <v>1385.9</v>
      </c>
      <c r="H221" s="33" t="s">
        <v>1242</v>
      </c>
    </row>
    <row r="222" spans="1:8">
      <c r="A222" s="23" t="s">
        <v>1429</v>
      </c>
      <c r="B222" s="31">
        <v>46039</v>
      </c>
      <c r="C222" s="23" t="s">
        <v>183</v>
      </c>
      <c r="D222" s="23" t="s">
        <v>231</v>
      </c>
      <c r="E222" s="32">
        <v>0</v>
      </c>
      <c r="F222" s="32">
        <v>10201.33</v>
      </c>
      <c r="G222" s="32">
        <v>-10201.33</v>
      </c>
      <c r="H222" s="23" t="s">
        <v>1184</v>
      </c>
    </row>
    <row r="223" spans="1:8">
      <c r="A223" s="33" t="s">
        <v>1430</v>
      </c>
      <c r="B223" s="34">
        <v>46039</v>
      </c>
      <c r="C223" s="33" t="s">
        <v>1192</v>
      </c>
      <c r="D223" s="33" t="s">
        <v>235</v>
      </c>
      <c r="E223" s="35">
        <v>7954.8</v>
      </c>
      <c r="F223" s="35">
        <v>0</v>
      </c>
      <c r="G223" s="35">
        <v>7954.8</v>
      </c>
      <c r="H223" s="33" t="s">
        <v>1184</v>
      </c>
    </row>
    <row r="224" spans="1:8">
      <c r="A224" s="23" t="s">
        <v>1431</v>
      </c>
      <c r="B224" s="31">
        <v>46039</v>
      </c>
      <c r="C224" s="23" t="s">
        <v>1192</v>
      </c>
      <c r="D224" s="23" t="s">
        <v>385</v>
      </c>
      <c r="E224" s="32">
        <v>2925.87</v>
      </c>
      <c r="F224" s="32">
        <v>0</v>
      </c>
      <c r="G224" s="32">
        <v>2925.87</v>
      </c>
      <c r="H224" s="23" t="s">
        <v>1184</v>
      </c>
    </row>
    <row r="225" spans="1:8">
      <c r="A225" s="33" t="s">
        <v>1432</v>
      </c>
      <c r="B225" s="34">
        <v>46039</v>
      </c>
      <c r="C225" s="33" t="s">
        <v>183</v>
      </c>
      <c r="D225" s="33" t="s">
        <v>407</v>
      </c>
      <c r="E225" s="35">
        <v>0</v>
      </c>
      <c r="F225" s="35">
        <v>12325.36</v>
      </c>
      <c r="G225" s="35">
        <v>-12325.36</v>
      </c>
      <c r="H225" s="33" t="s">
        <v>1184</v>
      </c>
    </row>
    <row r="226" spans="1:8">
      <c r="A226" s="23" t="s">
        <v>1433</v>
      </c>
      <c r="B226" s="31">
        <v>46039</v>
      </c>
      <c r="C226" s="23" t="s">
        <v>1194</v>
      </c>
      <c r="D226" s="23" t="s">
        <v>552</v>
      </c>
      <c r="E226" s="32">
        <v>0</v>
      </c>
      <c r="F226" s="32">
        <v>3418.53</v>
      </c>
      <c r="G226" s="32">
        <v>-3418.53</v>
      </c>
      <c r="H226" s="23" t="s">
        <v>1184</v>
      </c>
    </row>
    <row r="227" spans="1:8">
      <c r="A227" s="33" t="s">
        <v>1434</v>
      </c>
      <c r="B227" s="34">
        <v>46039</v>
      </c>
      <c r="C227" s="33" t="s">
        <v>1188</v>
      </c>
      <c r="D227" s="33" t="s">
        <v>566</v>
      </c>
      <c r="E227" s="35">
        <v>0</v>
      </c>
      <c r="F227" s="35">
        <v>4529.74</v>
      </c>
      <c r="G227" s="35">
        <v>-4529.74</v>
      </c>
      <c r="H227" s="33" t="s">
        <v>1184</v>
      </c>
    </row>
    <row r="228" spans="1:8">
      <c r="A228" s="23" t="s">
        <v>1435</v>
      </c>
      <c r="B228" s="31">
        <v>46039</v>
      </c>
      <c r="C228" s="23" t="s">
        <v>1214</v>
      </c>
      <c r="D228" s="23" t="s">
        <v>784</v>
      </c>
      <c r="E228" s="32">
        <v>0</v>
      </c>
      <c r="F228" s="32">
        <v>3446.61</v>
      </c>
      <c r="G228" s="32">
        <v>-3446.61</v>
      </c>
      <c r="H228" s="23" t="s">
        <v>1184</v>
      </c>
    </row>
    <row r="229" spans="1:8">
      <c r="A229" s="33" t="s">
        <v>1436</v>
      </c>
      <c r="B229" s="34">
        <v>46039</v>
      </c>
      <c r="C229" s="33" t="s">
        <v>1190</v>
      </c>
      <c r="D229" s="33" t="s">
        <v>802</v>
      </c>
      <c r="E229" s="35">
        <v>965.15</v>
      </c>
      <c r="F229" s="35">
        <v>0</v>
      </c>
      <c r="G229" s="35">
        <v>965.15</v>
      </c>
      <c r="H229" s="33" t="s">
        <v>1184</v>
      </c>
    </row>
    <row r="230" spans="1:8">
      <c r="A230" s="23" t="s">
        <v>1437</v>
      </c>
      <c r="B230" s="31">
        <v>46039</v>
      </c>
      <c r="C230" s="23" t="s">
        <v>164</v>
      </c>
      <c r="D230" s="23" t="s">
        <v>927</v>
      </c>
      <c r="E230" s="32">
        <v>0</v>
      </c>
      <c r="F230" s="32">
        <v>466</v>
      </c>
      <c r="G230" s="32">
        <v>-466</v>
      </c>
      <c r="H230" s="23" t="s">
        <v>1184</v>
      </c>
    </row>
    <row r="231" spans="1:8">
      <c r="A231" s="33" t="s">
        <v>1438</v>
      </c>
      <c r="B231" s="34">
        <v>46039</v>
      </c>
      <c r="C231" s="33" t="s">
        <v>164</v>
      </c>
      <c r="D231" s="33" t="s">
        <v>957</v>
      </c>
      <c r="E231" s="35">
        <v>3945.61</v>
      </c>
      <c r="F231" s="35">
        <v>0</v>
      </c>
      <c r="G231" s="35">
        <v>3945.61</v>
      </c>
      <c r="H231" s="33" t="s">
        <v>1184</v>
      </c>
    </row>
    <row r="232" spans="1:8">
      <c r="A232" s="23" t="s">
        <v>1439</v>
      </c>
      <c r="B232" s="31">
        <v>46039</v>
      </c>
      <c r="C232" s="23" t="s">
        <v>1186</v>
      </c>
      <c r="D232" s="23" t="s">
        <v>1049</v>
      </c>
      <c r="E232" s="32">
        <v>0</v>
      </c>
      <c r="F232" s="32">
        <v>1998.09</v>
      </c>
      <c r="G232" s="32">
        <v>-1998.09</v>
      </c>
      <c r="H232" s="23" t="s">
        <v>1184</v>
      </c>
    </row>
    <row r="233" spans="1:8">
      <c r="A233" s="33" t="s">
        <v>1440</v>
      </c>
      <c r="B233" s="34">
        <v>46039</v>
      </c>
      <c r="C233" s="33" t="s">
        <v>183</v>
      </c>
      <c r="D233" s="33" t="s">
        <v>1127</v>
      </c>
      <c r="E233" s="35">
        <v>0</v>
      </c>
      <c r="F233" s="35">
        <v>12822.18</v>
      </c>
      <c r="G233" s="35">
        <v>-12822.18</v>
      </c>
      <c r="H233" s="33" t="s">
        <v>1184</v>
      </c>
    </row>
    <row r="234" spans="1:8">
      <c r="A234" s="23" t="s">
        <v>1441</v>
      </c>
      <c r="B234" s="31">
        <v>46039</v>
      </c>
      <c r="C234" s="23" t="s">
        <v>1192</v>
      </c>
      <c r="D234" s="23" t="s">
        <v>1153</v>
      </c>
      <c r="E234" s="32">
        <v>1997</v>
      </c>
      <c r="F234" s="32">
        <v>0</v>
      </c>
      <c r="G234" s="32">
        <v>1997</v>
      </c>
      <c r="H234" s="23" t="s">
        <v>1184</v>
      </c>
    </row>
    <row r="235" spans="1:8">
      <c r="A235" s="33" t="s">
        <v>1442</v>
      </c>
      <c r="B235" s="34">
        <v>46040</v>
      </c>
      <c r="C235" s="33" t="s">
        <v>1186</v>
      </c>
      <c r="D235" s="33" t="s">
        <v>171</v>
      </c>
      <c r="E235" s="35">
        <v>0</v>
      </c>
      <c r="F235" s="35">
        <v>5668.39</v>
      </c>
      <c r="G235" s="35">
        <v>-5668.39</v>
      </c>
      <c r="H235" s="33" t="s">
        <v>1184</v>
      </c>
    </row>
    <row r="236" spans="1:8">
      <c r="A236" s="23" t="s">
        <v>1443</v>
      </c>
      <c r="B236" s="31">
        <v>46040</v>
      </c>
      <c r="C236" s="23" t="s">
        <v>164</v>
      </c>
      <c r="D236" s="23" t="s">
        <v>315</v>
      </c>
      <c r="E236" s="32">
        <v>0</v>
      </c>
      <c r="F236" s="32">
        <v>2013.44</v>
      </c>
      <c r="G236" s="32">
        <v>-2013.44</v>
      </c>
      <c r="H236" s="23" t="s">
        <v>1184</v>
      </c>
    </row>
    <row r="237" spans="1:8">
      <c r="A237" s="33" t="s">
        <v>1444</v>
      </c>
      <c r="B237" s="34">
        <v>46040</v>
      </c>
      <c r="C237" s="33" t="s">
        <v>183</v>
      </c>
      <c r="D237" s="33" t="s">
        <v>317</v>
      </c>
      <c r="E237" s="35">
        <v>0</v>
      </c>
      <c r="F237" s="35">
        <v>14045.29</v>
      </c>
      <c r="G237" s="35">
        <v>-14045.29</v>
      </c>
      <c r="H237" s="33" t="s">
        <v>1184</v>
      </c>
    </row>
    <row r="238" spans="1:8">
      <c r="A238" s="23" t="s">
        <v>1445</v>
      </c>
      <c r="B238" s="31">
        <v>46040</v>
      </c>
      <c r="C238" s="23" t="s">
        <v>183</v>
      </c>
      <c r="D238" s="23" t="s">
        <v>413</v>
      </c>
      <c r="E238" s="32">
        <v>0</v>
      </c>
      <c r="F238" s="32">
        <v>13785.52</v>
      </c>
      <c r="G238" s="32">
        <v>-13785.52</v>
      </c>
      <c r="H238" s="23" t="s">
        <v>1184</v>
      </c>
    </row>
    <row r="239" spans="1:8">
      <c r="A239" s="33" t="s">
        <v>1446</v>
      </c>
      <c r="B239" s="34">
        <v>46040</v>
      </c>
      <c r="C239" s="33" t="s">
        <v>1202</v>
      </c>
      <c r="D239" s="33" t="s">
        <v>478</v>
      </c>
      <c r="E239" s="35">
        <v>1449.09</v>
      </c>
      <c r="F239" s="35">
        <v>0</v>
      </c>
      <c r="G239" s="35">
        <v>1449.09</v>
      </c>
      <c r="H239" s="33" t="s">
        <v>1184</v>
      </c>
    </row>
    <row r="240" spans="1:8">
      <c r="A240" s="23" t="s">
        <v>1447</v>
      </c>
      <c r="B240" s="31">
        <v>46040</v>
      </c>
      <c r="C240" s="23" t="s">
        <v>1192</v>
      </c>
      <c r="D240" s="23" t="s">
        <v>610</v>
      </c>
      <c r="E240" s="32">
        <v>5215.6099999999997</v>
      </c>
      <c r="F240" s="32">
        <v>0</v>
      </c>
      <c r="G240" s="32">
        <v>5215.6099999999997</v>
      </c>
      <c r="H240" s="23" t="s">
        <v>1184</v>
      </c>
    </row>
    <row r="241" spans="1:8">
      <c r="A241" s="33" t="s">
        <v>1448</v>
      </c>
      <c r="B241" s="34">
        <v>46040</v>
      </c>
      <c r="C241" s="33" t="s">
        <v>1226</v>
      </c>
      <c r="D241" s="33" t="s">
        <v>790</v>
      </c>
      <c r="E241" s="35">
        <v>4380.22</v>
      </c>
      <c r="F241" s="35">
        <v>0</v>
      </c>
      <c r="G241" s="35">
        <v>4380.22</v>
      </c>
      <c r="H241" s="33" t="s">
        <v>1184</v>
      </c>
    </row>
    <row r="242" spans="1:8">
      <c r="A242" s="23" t="s">
        <v>1449</v>
      </c>
      <c r="B242" s="31">
        <v>46040</v>
      </c>
      <c r="C242" s="23" t="s">
        <v>164</v>
      </c>
      <c r="D242" s="23" t="s">
        <v>1159</v>
      </c>
      <c r="E242" s="32">
        <v>0</v>
      </c>
      <c r="F242" s="32">
        <v>4561.1099999999997</v>
      </c>
      <c r="G242" s="32">
        <v>-4561.1099999999997</v>
      </c>
      <c r="H242" s="23" t="s">
        <v>1184</v>
      </c>
    </row>
    <row r="243" spans="1:8">
      <c r="A243" s="33" t="s">
        <v>1450</v>
      </c>
      <c r="B243" s="34">
        <v>46040</v>
      </c>
      <c r="C243" s="33" t="s">
        <v>1240</v>
      </c>
      <c r="D243" s="33" t="s">
        <v>1451</v>
      </c>
      <c r="E243" s="35">
        <v>1375.6</v>
      </c>
      <c r="F243" s="35">
        <v>0</v>
      </c>
      <c r="G243" s="35">
        <v>1375.6</v>
      </c>
      <c r="H243" s="33" t="s">
        <v>1242</v>
      </c>
    </row>
    <row r="244" spans="1:8">
      <c r="A244" s="23" t="s">
        <v>1452</v>
      </c>
      <c r="B244" s="31">
        <v>46041</v>
      </c>
      <c r="C244" s="23" t="s">
        <v>1214</v>
      </c>
      <c r="D244" s="23" t="s">
        <v>141</v>
      </c>
      <c r="E244" s="32">
        <v>0</v>
      </c>
      <c r="F244" s="32">
        <v>119.77</v>
      </c>
      <c r="G244" s="32">
        <v>-119.77</v>
      </c>
      <c r="H244" s="23" t="s">
        <v>1184</v>
      </c>
    </row>
    <row r="245" spans="1:8">
      <c r="A245" s="33" t="s">
        <v>1453</v>
      </c>
      <c r="B245" s="34">
        <v>46041</v>
      </c>
      <c r="C245" s="33" t="s">
        <v>1186</v>
      </c>
      <c r="D245" s="33" t="s">
        <v>446</v>
      </c>
      <c r="E245" s="35">
        <v>0</v>
      </c>
      <c r="F245" s="35">
        <v>752.75</v>
      </c>
      <c r="G245" s="35">
        <v>-752.75</v>
      </c>
      <c r="H245" s="33" t="s">
        <v>1184</v>
      </c>
    </row>
    <row r="246" spans="1:8">
      <c r="A246" s="23" t="s">
        <v>1454</v>
      </c>
      <c r="B246" s="31">
        <v>46041</v>
      </c>
      <c r="C246" s="23" t="s">
        <v>1269</v>
      </c>
      <c r="D246" s="23" t="s">
        <v>456</v>
      </c>
      <c r="E246" s="32">
        <v>2865.3</v>
      </c>
      <c r="F246" s="32">
        <v>0</v>
      </c>
      <c r="G246" s="32">
        <v>2865.3</v>
      </c>
      <c r="H246" s="23" t="s">
        <v>1184</v>
      </c>
    </row>
    <row r="247" spans="1:8">
      <c r="A247" s="33" t="s">
        <v>1455</v>
      </c>
      <c r="B247" s="34">
        <v>46041</v>
      </c>
      <c r="C247" s="33" t="s">
        <v>1200</v>
      </c>
      <c r="D247" s="33" t="s">
        <v>476</v>
      </c>
      <c r="E247" s="35">
        <v>0</v>
      </c>
      <c r="F247" s="35">
        <v>2856.31</v>
      </c>
      <c r="G247" s="35">
        <v>-2856.31</v>
      </c>
      <c r="H247" s="33" t="s">
        <v>1184</v>
      </c>
    </row>
    <row r="248" spans="1:8">
      <c r="A248" s="23" t="s">
        <v>1456</v>
      </c>
      <c r="B248" s="31">
        <v>46041</v>
      </c>
      <c r="C248" s="23" t="s">
        <v>1200</v>
      </c>
      <c r="D248" s="23" t="s">
        <v>490</v>
      </c>
      <c r="E248" s="32">
        <v>0</v>
      </c>
      <c r="F248" s="32">
        <v>207.64</v>
      </c>
      <c r="G248" s="32">
        <v>-207.64</v>
      </c>
      <c r="H248" s="23" t="s">
        <v>1184</v>
      </c>
    </row>
    <row r="249" spans="1:8">
      <c r="A249" s="33" t="s">
        <v>1457</v>
      </c>
      <c r="B249" s="34">
        <v>46041</v>
      </c>
      <c r="C249" s="33" t="s">
        <v>1183</v>
      </c>
      <c r="D249" s="33" t="s">
        <v>642</v>
      </c>
      <c r="E249" s="35">
        <v>0</v>
      </c>
      <c r="F249" s="35">
        <v>4216.32</v>
      </c>
      <c r="G249" s="35">
        <v>-4216.32</v>
      </c>
      <c r="H249" s="33" t="s">
        <v>1184</v>
      </c>
    </row>
    <row r="250" spans="1:8">
      <c r="A250" s="23" t="s">
        <v>1458</v>
      </c>
      <c r="B250" s="31">
        <v>46041</v>
      </c>
      <c r="C250" s="23" t="s">
        <v>1214</v>
      </c>
      <c r="D250" s="23" t="s">
        <v>682</v>
      </c>
      <c r="E250" s="32">
        <v>0</v>
      </c>
      <c r="F250" s="32">
        <v>3431.61</v>
      </c>
      <c r="G250" s="32">
        <v>-3431.61</v>
      </c>
      <c r="H250" s="23" t="s">
        <v>1184</v>
      </c>
    </row>
    <row r="251" spans="1:8">
      <c r="A251" s="33" t="s">
        <v>1459</v>
      </c>
      <c r="B251" s="34">
        <v>46041</v>
      </c>
      <c r="C251" s="33" t="s">
        <v>1226</v>
      </c>
      <c r="D251" s="33" t="s">
        <v>873</v>
      </c>
      <c r="E251" s="35">
        <v>5865.07</v>
      </c>
      <c r="F251" s="35">
        <v>0</v>
      </c>
      <c r="G251" s="35">
        <v>5865.07</v>
      </c>
      <c r="H251" s="33" t="s">
        <v>1184</v>
      </c>
    </row>
    <row r="252" spans="1:8">
      <c r="A252" s="23" t="s">
        <v>1460</v>
      </c>
      <c r="B252" s="31">
        <v>46041</v>
      </c>
      <c r="C252" s="23" t="s">
        <v>1190</v>
      </c>
      <c r="D252" s="23" t="s">
        <v>939</v>
      </c>
      <c r="E252" s="32">
        <v>2408.14</v>
      </c>
      <c r="F252" s="32">
        <v>0</v>
      </c>
      <c r="G252" s="32">
        <v>2408.14</v>
      </c>
      <c r="H252" s="23" t="s">
        <v>1184</v>
      </c>
    </row>
    <row r="253" spans="1:8">
      <c r="A253" s="33" t="s">
        <v>1461</v>
      </c>
      <c r="B253" s="34">
        <v>46041</v>
      </c>
      <c r="C253" s="33" t="s">
        <v>1214</v>
      </c>
      <c r="D253" s="33" t="s">
        <v>1043</v>
      </c>
      <c r="E253" s="35">
        <v>0</v>
      </c>
      <c r="F253" s="35">
        <v>800.82</v>
      </c>
      <c r="G253" s="35">
        <v>-800.82</v>
      </c>
      <c r="H253" s="33" t="s">
        <v>1184</v>
      </c>
    </row>
    <row r="254" spans="1:8">
      <c r="A254" s="23" t="s">
        <v>1462</v>
      </c>
      <c r="B254" s="31">
        <v>46041</v>
      </c>
      <c r="C254" s="23" t="s">
        <v>1240</v>
      </c>
      <c r="D254" s="23" t="s">
        <v>1463</v>
      </c>
      <c r="E254" s="32">
        <v>0</v>
      </c>
      <c r="F254" s="32">
        <v>1423.65</v>
      </c>
      <c r="G254" s="32">
        <v>-1423.65</v>
      </c>
      <c r="H254" s="23" t="s">
        <v>1242</v>
      </c>
    </row>
    <row r="255" spans="1:8">
      <c r="A255" s="33" t="s">
        <v>1464</v>
      </c>
      <c r="B255" s="34">
        <v>46042</v>
      </c>
      <c r="C255" s="33" t="s">
        <v>183</v>
      </c>
      <c r="D255" s="33" t="s">
        <v>184</v>
      </c>
      <c r="E255" s="35">
        <v>0</v>
      </c>
      <c r="F255" s="35">
        <v>2666.47</v>
      </c>
      <c r="G255" s="35">
        <v>-2666.47</v>
      </c>
      <c r="H255" s="33" t="s">
        <v>1184</v>
      </c>
    </row>
    <row r="256" spans="1:8">
      <c r="A256" s="23" t="s">
        <v>1465</v>
      </c>
      <c r="B256" s="31">
        <v>46042</v>
      </c>
      <c r="C256" s="23" t="s">
        <v>1183</v>
      </c>
      <c r="D256" s="23" t="s">
        <v>246</v>
      </c>
      <c r="E256" s="32">
        <v>0</v>
      </c>
      <c r="F256" s="32">
        <v>1326.02</v>
      </c>
      <c r="G256" s="32">
        <v>-1326.02</v>
      </c>
      <c r="H256" s="23" t="s">
        <v>1184</v>
      </c>
    </row>
    <row r="257" spans="1:8">
      <c r="A257" s="33" t="s">
        <v>1466</v>
      </c>
      <c r="B257" s="34">
        <v>46042</v>
      </c>
      <c r="C257" s="33" t="s">
        <v>1183</v>
      </c>
      <c r="D257" s="33" t="s">
        <v>265</v>
      </c>
      <c r="E257" s="35">
        <v>0</v>
      </c>
      <c r="F257" s="35">
        <v>1785.05</v>
      </c>
      <c r="G257" s="35">
        <v>-1785.05</v>
      </c>
      <c r="H257" s="33" t="s">
        <v>1184</v>
      </c>
    </row>
    <row r="258" spans="1:8">
      <c r="A258" s="23" t="s">
        <v>1467</v>
      </c>
      <c r="B258" s="31">
        <v>46042</v>
      </c>
      <c r="C258" s="23" t="s">
        <v>164</v>
      </c>
      <c r="D258" s="23" t="s">
        <v>303</v>
      </c>
      <c r="E258" s="32">
        <v>0</v>
      </c>
      <c r="F258" s="32">
        <v>3634.7</v>
      </c>
      <c r="G258" s="32">
        <v>-3634.7</v>
      </c>
      <c r="H258" s="23" t="s">
        <v>1184</v>
      </c>
    </row>
    <row r="259" spans="1:8">
      <c r="A259" s="33" t="s">
        <v>1468</v>
      </c>
      <c r="B259" s="34">
        <v>46042</v>
      </c>
      <c r="C259" s="33" t="s">
        <v>1254</v>
      </c>
      <c r="D259" s="33" t="s">
        <v>305</v>
      </c>
      <c r="E259" s="35">
        <v>0</v>
      </c>
      <c r="F259" s="35">
        <v>2703.11</v>
      </c>
      <c r="G259" s="35">
        <v>-2703.11</v>
      </c>
      <c r="H259" s="33" t="s">
        <v>1184</v>
      </c>
    </row>
    <row r="260" spans="1:8">
      <c r="A260" s="23" t="s">
        <v>1469</v>
      </c>
      <c r="B260" s="31">
        <v>46042</v>
      </c>
      <c r="C260" s="23" t="s">
        <v>1200</v>
      </c>
      <c r="D260" s="23" t="s">
        <v>526</v>
      </c>
      <c r="E260" s="32">
        <v>0</v>
      </c>
      <c r="F260" s="32">
        <v>1024.03</v>
      </c>
      <c r="G260" s="32">
        <v>-1024.03</v>
      </c>
      <c r="H260" s="23" t="s">
        <v>1184</v>
      </c>
    </row>
    <row r="261" spans="1:8">
      <c r="A261" s="33" t="s">
        <v>1470</v>
      </c>
      <c r="B261" s="34">
        <v>46042</v>
      </c>
      <c r="C261" s="33" t="s">
        <v>1214</v>
      </c>
      <c r="D261" s="33" t="s">
        <v>604</v>
      </c>
      <c r="E261" s="35">
        <v>0</v>
      </c>
      <c r="F261" s="35">
        <v>253.65</v>
      </c>
      <c r="G261" s="35">
        <v>-253.65</v>
      </c>
      <c r="H261" s="33" t="s">
        <v>1184</v>
      </c>
    </row>
    <row r="262" spans="1:8">
      <c r="A262" s="23" t="s">
        <v>1471</v>
      </c>
      <c r="B262" s="31">
        <v>46042</v>
      </c>
      <c r="C262" s="23" t="s">
        <v>164</v>
      </c>
      <c r="D262" s="23" t="s">
        <v>632</v>
      </c>
      <c r="E262" s="32">
        <v>0</v>
      </c>
      <c r="F262" s="32">
        <v>2988.94</v>
      </c>
      <c r="G262" s="32">
        <v>-2988.94</v>
      </c>
      <c r="H262" s="23" t="s">
        <v>1184</v>
      </c>
    </row>
    <row r="263" spans="1:8">
      <c r="A263" s="33" t="s">
        <v>1472</v>
      </c>
      <c r="B263" s="34">
        <v>46042</v>
      </c>
      <c r="C263" s="33" t="s">
        <v>1226</v>
      </c>
      <c r="D263" s="33" t="s">
        <v>636</v>
      </c>
      <c r="E263" s="35">
        <v>5387.36</v>
      </c>
      <c r="F263" s="35">
        <v>0</v>
      </c>
      <c r="G263" s="35">
        <v>5387.36</v>
      </c>
      <c r="H263" s="33" t="s">
        <v>1184</v>
      </c>
    </row>
    <row r="264" spans="1:8">
      <c r="A264" s="23" t="s">
        <v>1473</v>
      </c>
      <c r="B264" s="31">
        <v>46042</v>
      </c>
      <c r="C264" s="23" t="s">
        <v>1214</v>
      </c>
      <c r="D264" s="23" t="s">
        <v>754</v>
      </c>
      <c r="E264" s="32">
        <v>0</v>
      </c>
      <c r="F264" s="32">
        <v>4441.79</v>
      </c>
      <c r="G264" s="32">
        <v>-4441.79</v>
      </c>
      <c r="H264" s="23" t="s">
        <v>1184</v>
      </c>
    </row>
    <row r="265" spans="1:8">
      <c r="A265" s="33" t="s">
        <v>1474</v>
      </c>
      <c r="B265" s="34">
        <v>46042</v>
      </c>
      <c r="C265" s="33" t="s">
        <v>1202</v>
      </c>
      <c r="D265" s="33" t="s">
        <v>768</v>
      </c>
      <c r="E265" s="35">
        <v>369.29</v>
      </c>
      <c r="F265" s="35">
        <v>0</v>
      </c>
      <c r="G265" s="35">
        <v>369.29</v>
      </c>
      <c r="H265" s="33" t="s">
        <v>1184</v>
      </c>
    </row>
    <row r="266" spans="1:8">
      <c r="A266" s="23" t="s">
        <v>1475</v>
      </c>
      <c r="B266" s="31">
        <v>46042</v>
      </c>
      <c r="C266" s="23" t="s">
        <v>164</v>
      </c>
      <c r="D266" s="23" t="s">
        <v>891</v>
      </c>
      <c r="E266" s="32">
        <v>3716.86</v>
      </c>
      <c r="F266" s="32">
        <v>0</v>
      </c>
      <c r="G266" s="32">
        <v>3716.86</v>
      </c>
      <c r="H266" s="23" t="s">
        <v>1184</v>
      </c>
    </row>
    <row r="267" spans="1:8">
      <c r="A267" s="33" t="s">
        <v>1476</v>
      </c>
      <c r="B267" s="34">
        <v>46042</v>
      </c>
      <c r="C267" s="33" t="s">
        <v>164</v>
      </c>
      <c r="D267" s="33" t="s">
        <v>1171</v>
      </c>
      <c r="E267" s="35">
        <v>0</v>
      </c>
      <c r="F267" s="35">
        <v>3792</v>
      </c>
      <c r="G267" s="35">
        <v>-3792</v>
      </c>
      <c r="H267" s="33" t="s">
        <v>1184</v>
      </c>
    </row>
    <row r="268" spans="1:8">
      <c r="A268" s="23" t="s">
        <v>1477</v>
      </c>
      <c r="B268" s="31">
        <v>46042</v>
      </c>
      <c r="C268" s="23" t="s">
        <v>1240</v>
      </c>
      <c r="D268" s="23" t="s">
        <v>1478</v>
      </c>
      <c r="E268" s="32">
        <v>1653.66</v>
      </c>
      <c r="F268" s="32">
        <v>0</v>
      </c>
      <c r="G268" s="32">
        <v>1653.66</v>
      </c>
      <c r="H268" s="23" t="s">
        <v>1242</v>
      </c>
    </row>
    <row r="269" spans="1:8">
      <c r="A269" s="33" t="s">
        <v>1479</v>
      </c>
      <c r="B269" s="34">
        <v>46043</v>
      </c>
      <c r="C269" s="33" t="s">
        <v>1254</v>
      </c>
      <c r="D269" s="33" t="s">
        <v>128</v>
      </c>
      <c r="E269" s="35">
        <v>0</v>
      </c>
      <c r="F269" s="35">
        <v>1763.18</v>
      </c>
      <c r="G269" s="35">
        <v>-1763.18</v>
      </c>
      <c r="H269" s="33" t="s">
        <v>1184</v>
      </c>
    </row>
    <row r="270" spans="1:8">
      <c r="A270" s="23" t="s">
        <v>1480</v>
      </c>
      <c r="B270" s="31">
        <v>46043</v>
      </c>
      <c r="C270" s="23" t="s">
        <v>183</v>
      </c>
      <c r="D270" s="23" t="s">
        <v>198</v>
      </c>
      <c r="E270" s="32">
        <v>0</v>
      </c>
      <c r="F270" s="32">
        <v>16680.78</v>
      </c>
      <c r="G270" s="32">
        <v>-16680.78</v>
      </c>
      <c r="H270" s="23" t="s">
        <v>1184</v>
      </c>
    </row>
    <row r="271" spans="1:8">
      <c r="A271" s="33" t="s">
        <v>1481</v>
      </c>
      <c r="B271" s="34">
        <v>46043</v>
      </c>
      <c r="C271" s="33" t="s">
        <v>1183</v>
      </c>
      <c r="D271" s="33" t="s">
        <v>237</v>
      </c>
      <c r="E271" s="35">
        <v>0</v>
      </c>
      <c r="F271" s="35">
        <v>5765.59</v>
      </c>
      <c r="G271" s="35">
        <v>-5765.59</v>
      </c>
      <c r="H271" s="33" t="s">
        <v>1184</v>
      </c>
    </row>
    <row r="272" spans="1:8">
      <c r="A272" s="23" t="s">
        <v>1482</v>
      </c>
      <c r="B272" s="31">
        <v>46043</v>
      </c>
      <c r="C272" s="23" t="s">
        <v>183</v>
      </c>
      <c r="D272" s="23" t="s">
        <v>253</v>
      </c>
      <c r="E272" s="32">
        <v>0</v>
      </c>
      <c r="F272" s="32">
        <v>10411.06</v>
      </c>
      <c r="G272" s="32">
        <v>-10411.06</v>
      </c>
      <c r="H272" s="23" t="s">
        <v>1184</v>
      </c>
    </row>
    <row r="273" spans="1:8">
      <c r="A273" s="33" t="s">
        <v>1483</v>
      </c>
      <c r="B273" s="34">
        <v>46043</v>
      </c>
      <c r="C273" s="33" t="s">
        <v>1190</v>
      </c>
      <c r="D273" s="33" t="s">
        <v>365</v>
      </c>
      <c r="E273" s="35">
        <v>8241.61</v>
      </c>
      <c r="F273" s="35">
        <v>0</v>
      </c>
      <c r="G273" s="35">
        <v>8241.61</v>
      </c>
      <c r="H273" s="33" t="s">
        <v>1184</v>
      </c>
    </row>
    <row r="274" spans="1:8">
      <c r="A274" s="23" t="s">
        <v>1484</v>
      </c>
      <c r="B274" s="31">
        <v>46043</v>
      </c>
      <c r="C274" s="23" t="s">
        <v>1192</v>
      </c>
      <c r="D274" s="23" t="s">
        <v>436</v>
      </c>
      <c r="E274" s="32">
        <v>423.18</v>
      </c>
      <c r="F274" s="32">
        <v>0</v>
      </c>
      <c r="G274" s="32">
        <v>423.18</v>
      </c>
      <c r="H274" s="23" t="s">
        <v>1184</v>
      </c>
    </row>
    <row r="275" spans="1:8">
      <c r="A275" s="33" t="s">
        <v>1485</v>
      </c>
      <c r="B275" s="34">
        <v>46043</v>
      </c>
      <c r="C275" s="33" t="s">
        <v>183</v>
      </c>
      <c r="D275" s="33" t="s">
        <v>472</v>
      </c>
      <c r="E275" s="35">
        <v>0</v>
      </c>
      <c r="F275" s="35">
        <v>6377.99</v>
      </c>
      <c r="G275" s="35">
        <v>-6377.99</v>
      </c>
      <c r="H275" s="33" t="s">
        <v>1184</v>
      </c>
    </row>
    <row r="276" spans="1:8">
      <c r="A276" s="23" t="s">
        <v>1486</v>
      </c>
      <c r="B276" s="31">
        <v>46043</v>
      </c>
      <c r="C276" s="23" t="s">
        <v>164</v>
      </c>
      <c r="D276" s="23" t="s">
        <v>732</v>
      </c>
      <c r="E276" s="32">
        <v>0</v>
      </c>
      <c r="F276" s="32">
        <v>882.76</v>
      </c>
      <c r="G276" s="32">
        <v>-882.76</v>
      </c>
      <c r="H276" s="23" t="s">
        <v>1184</v>
      </c>
    </row>
    <row r="277" spans="1:8">
      <c r="A277" s="33" t="s">
        <v>1487</v>
      </c>
      <c r="B277" s="34">
        <v>46043</v>
      </c>
      <c r="C277" s="33" t="s">
        <v>1194</v>
      </c>
      <c r="D277" s="33" t="s">
        <v>836</v>
      </c>
      <c r="E277" s="35">
        <v>0</v>
      </c>
      <c r="F277" s="35">
        <v>1716.14</v>
      </c>
      <c r="G277" s="35">
        <v>-1716.14</v>
      </c>
      <c r="H277" s="33" t="s">
        <v>1184</v>
      </c>
    </row>
    <row r="278" spans="1:8">
      <c r="A278" s="23" t="s">
        <v>1488</v>
      </c>
      <c r="B278" s="31">
        <v>46043</v>
      </c>
      <c r="C278" s="23" t="s">
        <v>164</v>
      </c>
      <c r="D278" s="23" t="s">
        <v>1089</v>
      </c>
      <c r="E278" s="32">
        <v>0</v>
      </c>
      <c r="F278" s="32">
        <v>563.38</v>
      </c>
      <c r="G278" s="32">
        <v>-563.38</v>
      </c>
      <c r="H278" s="23" t="s">
        <v>1184</v>
      </c>
    </row>
    <row r="279" spans="1:8">
      <c r="A279" s="33" t="s">
        <v>1489</v>
      </c>
      <c r="B279" s="34">
        <v>46043</v>
      </c>
      <c r="C279" s="33" t="s">
        <v>1194</v>
      </c>
      <c r="D279" s="33" t="s">
        <v>1109</v>
      </c>
      <c r="E279" s="35">
        <v>0</v>
      </c>
      <c r="F279" s="35">
        <v>3521.48</v>
      </c>
      <c r="G279" s="35">
        <v>-3521.48</v>
      </c>
      <c r="H279" s="33" t="s">
        <v>1184</v>
      </c>
    </row>
    <row r="280" spans="1:8">
      <c r="A280" s="23" t="s">
        <v>1490</v>
      </c>
      <c r="B280" s="31">
        <v>46043</v>
      </c>
      <c r="C280" s="23" t="s">
        <v>1188</v>
      </c>
      <c r="D280" s="23" t="s">
        <v>1117</v>
      </c>
      <c r="E280" s="32">
        <v>0</v>
      </c>
      <c r="F280" s="32">
        <v>5772.92</v>
      </c>
      <c r="G280" s="32">
        <v>-5772.92</v>
      </c>
      <c r="H280" s="23" t="s">
        <v>1184</v>
      </c>
    </row>
    <row r="281" spans="1:8">
      <c r="A281" s="33" t="s">
        <v>1491</v>
      </c>
      <c r="B281" s="34">
        <v>46043</v>
      </c>
      <c r="C281" s="33" t="s">
        <v>1226</v>
      </c>
      <c r="D281" s="33" t="s">
        <v>1157</v>
      </c>
      <c r="E281" s="35">
        <v>2185.96</v>
      </c>
      <c r="F281" s="35">
        <v>0</v>
      </c>
      <c r="G281" s="35">
        <v>2185.96</v>
      </c>
      <c r="H281" s="33" t="s">
        <v>1184</v>
      </c>
    </row>
    <row r="282" spans="1:8">
      <c r="A282" s="23" t="s">
        <v>1492</v>
      </c>
      <c r="B282" s="31">
        <v>46043</v>
      </c>
      <c r="C282" s="23" t="s">
        <v>1240</v>
      </c>
      <c r="D282" s="23" t="s">
        <v>1493</v>
      </c>
      <c r="E282" s="32">
        <v>0</v>
      </c>
      <c r="F282" s="32">
        <v>1380.92</v>
      </c>
      <c r="G282" s="32">
        <v>-1380.92</v>
      </c>
      <c r="H282" s="23" t="s">
        <v>1242</v>
      </c>
    </row>
    <row r="283" spans="1:8">
      <c r="A283" s="33" t="s">
        <v>1494</v>
      </c>
      <c r="B283" s="34">
        <v>46043</v>
      </c>
      <c r="C283" s="33" t="s">
        <v>1240</v>
      </c>
      <c r="D283" s="33" t="s">
        <v>1495</v>
      </c>
      <c r="E283" s="35">
        <v>0</v>
      </c>
      <c r="F283" s="35">
        <v>1522.47</v>
      </c>
      <c r="G283" s="35">
        <v>-1522.47</v>
      </c>
      <c r="H283" s="33" t="s">
        <v>1242</v>
      </c>
    </row>
    <row r="284" spans="1:8">
      <c r="A284" s="23" t="s">
        <v>1496</v>
      </c>
      <c r="B284" s="31">
        <v>46044</v>
      </c>
      <c r="C284" s="23" t="s">
        <v>192</v>
      </c>
      <c r="D284" s="23" t="s">
        <v>212</v>
      </c>
      <c r="E284" s="32">
        <v>0</v>
      </c>
      <c r="F284" s="32">
        <v>70.67</v>
      </c>
      <c r="G284" s="32">
        <v>-70.67</v>
      </c>
      <c r="H284" s="23" t="s">
        <v>1184</v>
      </c>
    </row>
    <row r="285" spans="1:8">
      <c r="A285" s="33" t="s">
        <v>1497</v>
      </c>
      <c r="B285" s="34">
        <v>46044</v>
      </c>
      <c r="C285" s="33" t="s">
        <v>1186</v>
      </c>
      <c r="D285" s="33" t="s">
        <v>275</v>
      </c>
      <c r="E285" s="35">
        <v>0</v>
      </c>
      <c r="F285" s="35">
        <v>1254.06</v>
      </c>
      <c r="G285" s="35">
        <v>-1254.06</v>
      </c>
      <c r="H285" s="33" t="s">
        <v>1184</v>
      </c>
    </row>
    <row r="286" spans="1:8">
      <c r="A286" s="23" t="s">
        <v>1498</v>
      </c>
      <c r="B286" s="31">
        <v>46044</v>
      </c>
      <c r="C286" s="23" t="s">
        <v>164</v>
      </c>
      <c r="D286" s="23" t="s">
        <v>548</v>
      </c>
      <c r="E286" s="32">
        <v>0</v>
      </c>
      <c r="F286" s="32">
        <v>360.9</v>
      </c>
      <c r="G286" s="32">
        <v>-360.9</v>
      </c>
      <c r="H286" s="23" t="s">
        <v>1184</v>
      </c>
    </row>
    <row r="287" spans="1:8">
      <c r="A287" s="33" t="s">
        <v>1499</v>
      </c>
      <c r="B287" s="34">
        <v>46044</v>
      </c>
      <c r="C287" s="33" t="s">
        <v>164</v>
      </c>
      <c r="D287" s="33" t="s">
        <v>702</v>
      </c>
      <c r="E287" s="35">
        <v>1261.43</v>
      </c>
      <c r="F287" s="35">
        <v>0</v>
      </c>
      <c r="G287" s="35">
        <v>1261.43</v>
      </c>
      <c r="H287" s="33" t="s">
        <v>1184</v>
      </c>
    </row>
    <row r="288" spans="1:8">
      <c r="A288" s="23" t="s">
        <v>1500</v>
      </c>
      <c r="B288" s="31">
        <v>46044</v>
      </c>
      <c r="C288" s="23" t="s">
        <v>1198</v>
      </c>
      <c r="D288" s="23" t="s">
        <v>722</v>
      </c>
      <c r="E288" s="32">
        <v>3461.88</v>
      </c>
      <c r="F288" s="32">
        <v>0</v>
      </c>
      <c r="G288" s="32">
        <v>3461.88</v>
      </c>
      <c r="H288" s="23" t="s">
        <v>1184</v>
      </c>
    </row>
    <row r="289" spans="1:8">
      <c r="A289" s="33" t="s">
        <v>1501</v>
      </c>
      <c r="B289" s="34">
        <v>46044</v>
      </c>
      <c r="C289" s="33" t="s">
        <v>183</v>
      </c>
      <c r="D289" s="33" t="s">
        <v>750</v>
      </c>
      <c r="E289" s="35">
        <v>0</v>
      </c>
      <c r="F289" s="35">
        <v>9394.75</v>
      </c>
      <c r="G289" s="35">
        <v>-9394.75</v>
      </c>
      <c r="H289" s="33" t="s">
        <v>1184</v>
      </c>
    </row>
    <row r="290" spans="1:8">
      <c r="A290" s="23" t="s">
        <v>1502</v>
      </c>
      <c r="B290" s="31">
        <v>46044</v>
      </c>
      <c r="C290" s="23" t="s">
        <v>1254</v>
      </c>
      <c r="D290" s="23" t="s">
        <v>1005</v>
      </c>
      <c r="E290" s="32">
        <v>0</v>
      </c>
      <c r="F290" s="32">
        <v>2988.34</v>
      </c>
      <c r="G290" s="32">
        <v>-2988.34</v>
      </c>
      <c r="H290" s="23" t="s">
        <v>1184</v>
      </c>
    </row>
    <row r="291" spans="1:8">
      <c r="A291" s="33" t="s">
        <v>1503</v>
      </c>
      <c r="B291" s="34">
        <v>46044</v>
      </c>
      <c r="C291" s="33" t="s">
        <v>164</v>
      </c>
      <c r="D291" s="33" t="s">
        <v>1033</v>
      </c>
      <c r="E291" s="35">
        <v>0</v>
      </c>
      <c r="F291" s="35">
        <v>4036.88</v>
      </c>
      <c r="G291" s="35">
        <v>-4036.88</v>
      </c>
      <c r="H291" s="33" t="s">
        <v>1184</v>
      </c>
    </row>
    <row r="292" spans="1:8">
      <c r="A292" s="23" t="s">
        <v>1504</v>
      </c>
      <c r="B292" s="31">
        <v>46044</v>
      </c>
      <c r="C292" s="23" t="s">
        <v>1240</v>
      </c>
      <c r="D292" s="23" t="s">
        <v>1505</v>
      </c>
      <c r="E292" s="32">
        <v>0</v>
      </c>
      <c r="F292" s="32">
        <v>2219.14</v>
      </c>
      <c r="G292" s="32">
        <v>-2219.14</v>
      </c>
      <c r="H292" s="23" t="s">
        <v>1242</v>
      </c>
    </row>
    <row r="293" spans="1:8">
      <c r="A293" s="33" t="s">
        <v>1506</v>
      </c>
      <c r="B293" s="34">
        <v>46044</v>
      </c>
      <c r="C293" s="33" t="s">
        <v>1240</v>
      </c>
      <c r="D293" s="33" t="s">
        <v>1507</v>
      </c>
      <c r="E293" s="35">
        <v>182.4</v>
      </c>
      <c r="F293" s="35">
        <v>0</v>
      </c>
      <c r="G293" s="35">
        <v>182.4</v>
      </c>
      <c r="H293" s="33" t="s">
        <v>1242</v>
      </c>
    </row>
    <row r="294" spans="1:8">
      <c r="A294" s="23" t="s">
        <v>1508</v>
      </c>
      <c r="B294" s="31">
        <v>46044</v>
      </c>
      <c r="C294" s="23" t="s">
        <v>1240</v>
      </c>
      <c r="D294" s="23" t="s">
        <v>1509</v>
      </c>
      <c r="E294" s="32">
        <v>1643.85</v>
      </c>
      <c r="F294" s="32">
        <v>0</v>
      </c>
      <c r="G294" s="32">
        <v>1643.85</v>
      </c>
      <c r="H294" s="23" t="s">
        <v>1242</v>
      </c>
    </row>
    <row r="295" spans="1:8">
      <c r="A295" s="33" t="s">
        <v>1510</v>
      </c>
      <c r="B295" s="34">
        <v>46044</v>
      </c>
      <c r="C295" s="33" t="s">
        <v>1240</v>
      </c>
      <c r="D295" s="33" t="s">
        <v>1511</v>
      </c>
      <c r="E295" s="35">
        <v>0</v>
      </c>
      <c r="F295" s="35">
        <v>1836.44</v>
      </c>
      <c r="G295" s="35">
        <v>-1836.44</v>
      </c>
      <c r="H295" s="33" t="s">
        <v>1242</v>
      </c>
    </row>
    <row r="296" spans="1:8">
      <c r="A296" s="23" t="s">
        <v>1512</v>
      </c>
      <c r="B296" s="31">
        <v>46045</v>
      </c>
      <c r="C296" s="23" t="s">
        <v>1226</v>
      </c>
      <c r="D296" s="23" t="s">
        <v>271</v>
      </c>
      <c r="E296" s="32">
        <v>7878.55</v>
      </c>
      <c r="F296" s="32">
        <v>0</v>
      </c>
      <c r="G296" s="32">
        <v>7878.55</v>
      </c>
      <c r="H296" s="23" t="s">
        <v>1184</v>
      </c>
    </row>
    <row r="297" spans="1:8">
      <c r="A297" s="33" t="s">
        <v>1513</v>
      </c>
      <c r="B297" s="34">
        <v>46045</v>
      </c>
      <c r="C297" s="33" t="s">
        <v>1200</v>
      </c>
      <c r="D297" s="33" t="s">
        <v>283</v>
      </c>
      <c r="E297" s="35">
        <v>0</v>
      </c>
      <c r="F297" s="35">
        <v>5503.16</v>
      </c>
      <c r="G297" s="35">
        <v>-5503.16</v>
      </c>
      <c r="H297" s="33" t="s">
        <v>1184</v>
      </c>
    </row>
    <row r="298" spans="1:8">
      <c r="A298" s="23" t="s">
        <v>1514</v>
      </c>
      <c r="B298" s="31">
        <v>46045</v>
      </c>
      <c r="C298" s="23" t="s">
        <v>1190</v>
      </c>
      <c r="D298" s="23" t="s">
        <v>299</v>
      </c>
      <c r="E298" s="32">
        <v>199.23</v>
      </c>
      <c r="F298" s="32">
        <v>0</v>
      </c>
      <c r="G298" s="32">
        <v>199.23</v>
      </c>
      <c r="H298" s="23" t="s">
        <v>1184</v>
      </c>
    </row>
    <row r="299" spans="1:8">
      <c r="A299" s="33" t="s">
        <v>1515</v>
      </c>
      <c r="B299" s="34">
        <v>46045</v>
      </c>
      <c r="C299" s="33" t="s">
        <v>1254</v>
      </c>
      <c r="D299" s="33" t="s">
        <v>379</v>
      </c>
      <c r="E299" s="35">
        <v>0</v>
      </c>
      <c r="F299" s="35">
        <v>1753.36</v>
      </c>
      <c r="G299" s="35">
        <v>-1753.36</v>
      </c>
      <c r="H299" s="33" t="s">
        <v>1184</v>
      </c>
    </row>
    <row r="300" spans="1:8">
      <c r="A300" s="23" t="s">
        <v>1516</v>
      </c>
      <c r="B300" s="31">
        <v>46045</v>
      </c>
      <c r="C300" s="23" t="s">
        <v>1188</v>
      </c>
      <c r="D300" s="23" t="s">
        <v>399</v>
      </c>
      <c r="E300" s="32">
        <v>0</v>
      </c>
      <c r="F300" s="32">
        <v>4733.46</v>
      </c>
      <c r="G300" s="32">
        <v>-4733.46</v>
      </c>
      <c r="H300" s="23" t="s">
        <v>1184</v>
      </c>
    </row>
    <row r="301" spans="1:8">
      <c r="A301" s="33" t="s">
        <v>1517</v>
      </c>
      <c r="B301" s="34">
        <v>46045</v>
      </c>
      <c r="C301" s="33" t="s">
        <v>164</v>
      </c>
      <c r="D301" s="33" t="s">
        <v>482</v>
      </c>
      <c r="E301" s="35">
        <v>2658.32</v>
      </c>
      <c r="F301" s="35">
        <v>0</v>
      </c>
      <c r="G301" s="35">
        <v>2658.32</v>
      </c>
      <c r="H301" s="33" t="s">
        <v>1184</v>
      </c>
    </row>
    <row r="302" spans="1:8">
      <c r="A302" s="23" t="s">
        <v>1518</v>
      </c>
      <c r="B302" s="31">
        <v>46045</v>
      </c>
      <c r="C302" s="23" t="s">
        <v>1194</v>
      </c>
      <c r="D302" s="23" t="s">
        <v>514</v>
      </c>
      <c r="E302" s="32">
        <v>0</v>
      </c>
      <c r="F302" s="32">
        <v>400.48</v>
      </c>
      <c r="G302" s="32">
        <v>-400.48</v>
      </c>
      <c r="H302" s="23" t="s">
        <v>1184</v>
      </c>
    </row>
    <row r="303" spans="1:8">
      <c r="A303" s="33" t="s">
        <v>1519</v>
      </c>
      <c r="B303" s="34">
        <v>46045</v>
      </c>
      <c r="C303" s="33" t="s">
        <v>1200</v>
      </c>
      <c r="D303" s="33" t="s">
        <v>634</v>
      </c>
      <c r="E303" s="35">
        <v>0</v>
      </c>
      <c r="F303" s="35">
        <v>3652.26</v>
      </c>
      <c r="G303" s="35">
        <v>-3652.26</v>
      </c>
      <c r="H303" s="33" t="s">
        <v>1184</v>
      </c>
    </row>
    <row r="304" spans="1:8">
      <c r="A304" s="23" t="s">
        <v>1520</v>
      </c>
      <c r="B304" s="31">
        <v>46045</v>
      </c>
      <c r="C304" s="23" t="s">
        <v>1190</v>
      </c>
      <c r="D304" s="23" t="s">
        <v>714</v>
      </c>
      <c r="E304" s="32">
        <v>2177.87</v>
      </c>
      <c r="F304" s="32">
        <v>0</v>
      </c>
      <c r="G304" s="32">
        <v>2177.87</v>
      </c>
      <c r="H304" s="23" t="s">
        <v>1184</v>
      </c>
    </row>
    <row r="305" spans="1:8">
      <c r="A305" s="33" t="s">
        <v>1521</v>
      </c>
      <c r="B305" s="34">
        <v>46045</v>
      </c>
      <c r="C305" s="33" t="s">
        <v>1192</v>
      </c>
      <c r="D305" s="33" t="s">
        <v>724</v>
      </c>
      <c r="E305" s="35">
        <v>2334.04</v>
      </c>
      <c r="F305" s="35">
        <v>0</v>
      </c>
      <c r="G305" s="35">
        <v>2334.04</v>
      </c>
      <c r="H305" s="33" t="s">
        <v>1184</v>
      </c>
    </row>
    <row r="306" spans="1:8">
      <c r="A306" s="23" t="s">
        <v>1522</v>
      </c>
      <c r="B306" s="31">
        <v>46045</v>
      </c>
      <c r="C306" s="23" t="s">
        <v>183</v>
      </c>
      <c r="D306" s="23" t="s">
        <v>840</v>
      </c>
      <c r="E306" s="32">
        <v>0</v>
      </c>
      <c r="F306" s="32">
        <v>8194.16</v>
      </c>
      <c r="G306" s="32">
        <v>-8194.16</v>
      </c>
      <c r="H306" s="23" t="s">
        <v>1184</v>
      </c>
    </row>
    <row r="307" spans="1:8">
      <c r="A307" s="33" t="s">
        <v>1523</v>
      </c>
      <c r="B307" s="34">
        <v>46045</v>
      </c>
      <c r="C307" s="33" t="s">
        <v>1183</v>
      </c>
      <c r="D307" s="33" t="s">
        <v>921</v>
      </c>
      <c r="E307" s="35">
        <v>0</v>
      </c>
      <c r="F307" s="35">
        <v>2513.77</v>
      </c>
      <c r="G307" s="35">
        <v>-2513.77</v>
      </c>
      <c r="H307" s="33" t="s">
        <v>1184</v>
      </c>
    </row>
    <row r="308" spans="1:8">
      <c r="A308" s="23" t="s">
        <v>1524</v>
      </c>
      <c r="B308" s="31">
        <v>46045</v>
      </c>
      <c r="C308" s="23" t="s">
        <v>164</v>
      </c>
      <c r="D308" s="23" t="s">
        <v>977</v>
      </c>
      <c r="E308" s="32">
        <v>0</v>
      </c>
      <c r="F308" s="32">
        <v>2723.62</v>
      </c>
      <c r="G308" s="32">
        <v>-2723.62</v>
      </c>
      <c r="H308" s="23" t="s">
        <v>1184</v>
      </c>
    </row>
    <row r="309" spans="1:8">
      <c r="A309" s="33" t="s">
        <v>1525</v>
      </c>
      <c r="B309" s="34">
        <v>46045</v>
      </c>
      <c r="C309" s="33" t="s">
        <v>1192</v>
      </c>
      <c r="D309" s="33" t="s">
        <v>1011</v>
      </c>
      <c r="E309" s="35">
        <v>7005.5</v>
      </c>
      <c r="F309" s="35">
        <v>0</v>
      </c>
      <c r="G309" s="35">
        <v>7005.5</v>
      </c>
      <c r="H309" s="33" t="s">
        <v>1184</v>
      </c>
    </row>
    <row r="310" spans="1:8">
      <c r="A310" s="23" t="s">
        <v>1526</v>
      </c>
      <c r="B310" s="31">
        <v>46045</v>
      </c>
      <c r="C310" s="23" t="s">
        <v>1194</v>
      </c>
      <c r="D310" s="23" t="s">
        <v>1037</v>
      </c>
      <c r="E310" s="32">
        <v>0</v>
      </c>
      <c r="F310" s="32">
        <v>3986.48</v>
      </c>
      <c r="G310" s="32">
        <v>-3986.48</v>
      </c>
      <c r="H310" s="23" t="s">
        <v>1184</v>
      </c>
    </row>
    <row r="311" spans="1:8">
      <c r="A311" s="33" t="s">
        <v>1527</v>
      </c>
      <c r="B311" s="34">
        <v>46045</v>
      </c>
      <c r="C311" s="33" t="s">
        <v>183</v>
      </c>
      <c r="D311" s="33" t="s">
        <v>1097</v>
      </c>
      <c r="E311" s="35">
        <v>0</v>
      </c>
      <c r="F311" s="35">
        <v>10026.950000000001</v>
      </c>
      <c r="G311" s="35">
        <v>-10026.950000000001</v>
      </c>
      <c r="H311" s="33" t="s">
        <v>1184</v>
      </c>
    </row>
    <row r="312" spans="1:8">
      <c r="A312" s="23" t="s">
        <v>1528</v>
      </c>
      <c r="B312" s="31">
        <v>46045</v>
      </c>
      <c r="C312" s="23" t="s">
        <v>1198</v>
      </c>
      <c r="D312" s="23" t="s">
        <v>1137</v>
      </c>
      <c r="E312" s="32">
        <v>6349.15</v>
      </c>
      <c r="F312" s="32">
        <v>0</v>
      </c>
      <c r="G312" s="32">
        <v>6349.15</v>
      </c>
      <c r="H312" s="23" t="s">
        <v>1184</v>
      </c>
    </row>
    <row r="313" spans="1:8">
      <c r="A313" s="33" t="s">
        <v>1529</v>
      </c>
      <c r="B313" s="34">
        <v>46045</v>
      </c>
      <c r="C313" s="33" t="s">
        <v>1186</v>
      </c>
      <c r="D313" s="33" t="s">
        <v>1151</v>
      </c>
      <c r="E313" s="35">
        <v>0</v>
      </c>
      <c r="F313" s="35">
        <v>5936.76</v>
      </c>
      <c r="G313" s="35">
        <v>-5936.76</v>
      </c>
      <c r="H313" s="33" t="s">
        <v>1184</v>
      </c>
    </row>
    <row r="314" spans="1:8">
      <c r="A314" s="23" t="s">
        <v>1530</v>
      </c>
      <c r="B314" s="31">
        <v>46045</v>
      </c>
      <c r="C314" s="23" t="s">
        <v>1240</v>
      </c>
      <c r="D314" s="23" t="s">
        <v>1531</v>
      </c>
      <c r="E314" s="32">
        <v>0</v>
      </c>
      <c r="F314" s="32">
        <v>1853.44</v>
      </c>
      <c r="G314" s="32">
        <v>-1853.44</v>
      </c>
      <c r="H314" s="23" t="s">
        <v>1242</v>
      </c>
    </row>
    <row r="315" spans="1:8">
      <c r="A315" s="33" t="s">
        <v>1532</v>
      </c>
      <c r="B315" s="34">
        <v>46046</v>
      </c>
      <c r="C315" s="33" t="s">
        <v>1214</v>
      </c>
      <c r="D315" s="33" t="s">
        <v>218</v>
      </c>
      <c r="E315" s="35">
        <v>0</v>
      </c>
      <c r="F315" s="35">
        <v>748.73</v>
      </c>
      <c r="G315" s="35">
        <v>-748.73</v>
      </c>
      <c r="H315" s="33" t="s">
        <v>1184</v>
      </c>
    </row>
    <row r="316" spans="1:8">
      <c r="A316" s="23" t="s">
        <v>1533</v>
      </c>
      <c r="B316" s="31">
        <v>46046</v>
      </c>
      <c r="C316" s="23" t="s">
        <v>1200</v>
      </c>
      <c r="D316" s="23" t="s">
        <v>279</v>
      </c>
      <c r="E316" s="32">
        <v>0</v>
      </c>
      <c r="F316" s="32">
        <v>4937.66</v>
      </c>
      <c r="G316" s="32">
        <v>-4937.66</v>
      </c>
      <c r="H316" s="23" t="s">
        <v>1184</v>
      </c>
    </row>
    <row r="317" spans="1:8">
      <c r="A317" s="33" t="s">
        <v>1534</v>
      </c>
      <c r="B317" s="34">
        <v>46046</v>
      </c>
      <c r="C317" s="33" t="s">
        <v>1202</v>
      </c>
      <c r="D317" s="33" t="s">
        <v>325</v>
      </c>
      <c r="E317" s="35">
        <v>4277.46</v>
      </c>
      <c r="F317" s="35">
        <v>0</v>
      </c>
      <c r="G317" s="35">
        <v>4277.46</v>
      </c>
      <c r="H317" s="33" t="s">
        <v>1184</v>
      </c>
    </row>
    <row r="318" spans="1:8">
      <c r="A318" s="23" t="s">
        <v>1535</v>
      </c>
      <c r="B318" s="31">
        <v>46046</v>
      </c>
      <c r="C318" s="23" t="s">
        <v>1226</v>
      </c>
      <c r="D318" s="23" t="s">
        <v>329</v>
      </c>
      <c r="E318" s="32">
        <v>6480.67</v>
      </c>
      <c r="F318" s="32">
        <v>0</v>
      </c>
      <c r="G318" s="32">
        <v>6480.67</v>
      </c>
      <c r="H318" s="23" t="s">
        <v>1184</v>
      </c>
    </row>
    <row r="319" spans="1:8">
      <c r="A319" s="33" t="s">
        <v>1536</v>
      </c>
      <c r="B319" s="34">
        <v>46046</v>
      </c>
      <c r="C319" s="33" t="s">
        <v>1192</v>
      </c>
      <c r="D319" s="33" t="s">
        <v>333</v>
      </c>
      <c r="E319" s="35">
        <v>6018.84</v>
      </c>
      <c r="F319" s="35">
        <v>0</v>
      </c>
      <c r="G319" s="35">
        <v>6018.84</v>
      </c>
      <c r="H319" s="33" t="s">
        <v>1184</v>
      </c>
    </row>
    <row r="320" spans="1:8">
      <c r="A320" s="23" t="s">
        <v>1537</v>
      </c>
      <c r="B320" s="31">
        <v>46046</v>
      </c>
      <c r="C320" s="23" t="s">
        <v>1200</v>
      </c>
      <c r="D320" s="23" t="s">
        <v>343</v>
      </c>
      <c r="E320" s="32">
        <v>0</v>
      </c>
      <c r="F320" s="32">
        <v>2775.67</v>
      </c>
      <c r="G320" s="32">
        <v>-2775.67</v>
      </c>
      <c r="H320" s="23" t="s">
        <v>1184</v>
      </c>
    </row>
    <row r="321" spans="1:8">
      <c r="A321" s="33" t="s">
        <v>1538</v>
      </c>
      <c r="B321" s="34">
        <v>46046</v>
      </c>
      <c r="C321" s="33" t="s">
        <v>164</v>
      </c>
      <c r="D321" s="33" t="s">
        <v>363</v>
      </c>
      <c r="E321" s="35">
        <v>0</v>
      </c>
      <c r="F321" s="35">
        <v>2902.42</v>
      </c>
      <c r="G321" s="35">
        <v>-2902.42</v>
      </c>
      <c r="H321" s="33" t="s">
        <v>1184</v>
      </c>
    </row>
    <row r="322" spans="1:8">
      <c r="A322" s="23" t="s">
        <v>1539</v>
      </c>
      <c r="B322" s="31">
        <v>46046</v>
      </c>
      <c r="C322" s="23" t="s">
        <v>164</v>
      </c>
      <c r="D322" s="23" t="s">
        <v>425</v>
      </c>
      <c r="E322" s="32">
        <v>0</v>
      </c>
      <c r="F322" s="32">
        <v>4837.99</v>
      </c>
      <c r="G322" s="32">
        <v>-4837.99</v>
      </c>
      <c r="H322" s="23" t="s">
        <v>1184</v>
      </c>
    </row>
    <row r="323" spans="1:8">
      <c r="A323" s="33" t="s">
        <v>1540</v>
      </c>
      <c r="B323" s="34">
        <v>46046</v>
      </c>
      <c r="C323" s="33" t="s">
        <v>164</v>
      </c>
      <c r="D323" s="33" t="s">
        <v>428</v>
      </c>
      <c r="E323" s="35">
        <v>0</v>
      </c>
      <c r="F323" s="35">
        <v>2943.57</v>
      </c>
      <c r="G323" s="35">
        <v>-2943.57</v>
      </c>
      <c r="H323" s="33" t="s">
        <v>1184</v>
      </c>
    </row>
    <row r="324" spans="1:8">
      <c r="A324" s="23" t="s">
        <v>1541</v>
      </c>
      <c r="B324" s="31">
        <v>46046</v>
      </c>
      <c r="C324" s="23" t="s">
        <v>1254</v>
      </c>
      <c r="D324" s="23" t="s">
        <v>458</v>
      </c>
      <c r="E324" s="32">
        <v>0</v>
      </c>
      <c r="F324" s="32">
        <v>4063.61</v>
      </c>
      <c r="G324" s="32">
        <v>-4063.61</v>
      </c>
      <c r="H324" s="23" t="s">
        <v>1184</v>
      </c>
    </row>
    <row r="325" spans="1:8">
      <c r="A325" s="33" t="s">
        <v>1542</v>
      </c>
      <c r="B325" s="34">
        <v>46046</v>
      </c>
      <c r="C325" s="33" t="s">
        <v>183</v>
      </c>
      <c r="D325" s="33" t="s">
        <v>516</v>
      </c>
      <c r="E325" s="35">
        <v>0</v>
      </c>
      <c r="F325" s="35">
        <v>16483.95</v>
      </c>
      <c r="G325" s="35">
        <v>-16483.95</v>
      </c>
      <c r="H325" s="33" t="s">
        <v>1184</v>
      </c>
    </row>
    <row r="326" spans="1:8">
      <c r="A326" s="23" t="s">
        <v>1543</v>
      </c>
      <c r="B326" s="31">
        <v>46046</v>
      </c>
      <c r="C326" s="23" t="s">
        <v>1190</v>
      </c>
      <c r="D326" s="23" t="s">
        <v>546</v>
      </c>
      <c r="E326" s="32">
        <v>1078.4100000000001</v>
      </c>
      <c r="F326" s="32">
        <v>0</v>
      </c>
      <c r="G326" s="32">
        <v>1078.4100000000001</v>
      </c>
      <c r="H326" s="23" t="s">
        <v>1184</v>
      </c>
    </row>
    <row r="327" spans="1:8">
      <c r="A327" s="33" t="s">
        <v>1544</v>
      </c>
      <c r="B327" s="34">
        <v>46046</v>
      </c>
      <c r="C327" s="33" t="s">
        <v>164</v>
      </c>
      <c r="D327" s="33" t="s">
        <v>556</v>
      </c>
      <c r="E327" s="35">
        <v>0</v>
      </c>
      <c r="F327" s="35">
        <v>269.45999999999998</v>
      </c>
      <c r="G327" s="35">
        <v>-269.45999999999998</v>
      </c>
      <c r="H327" s="33" t="s">
        <v>1184</v>
      </c>
    </row>
    <row r="328" spans="1:8">
      <c r="A328" s="23" t="s">
        <v>1545</v>
      </c>
      <c r="B328" s="31">
        <v>46046</v>
      </c>
      <c r="C328" s="23" t="s">
        <v>164</v>
      </c>
      <c r="D328" s="23" t="s">
        <v>640</v>
      </c>
      <c r="E328" s="32">
        <v>733.51</v>
      </c>
      <c r="F328" s="32">
        <v>0</v>
      </c>
      <c r="G328" s="32">
        <v>733.51</v>
      </c>
      <c r="H328" s="23" t="s">
        <v>1184</v>
      </c>
    </row>
    <row r="329" spans="1:8">
      <c r="A329" s="33" t="s">
        <v>1546</v>
      </c>
      <c r="B329" s="34">
        <v>46046</v>
      </c>
      <c r="C329" s="33" t="s">
        <v>1188</v>
      </c>
      <c r="D329" s="33" t="s">
        <v>652</v>
      </c>
      <c r="E329" s="35">
        <v>0</v>
      </c>
      <c r="F329" s="35">
        <v>3847.94</v>
      </c>
      <c r="G329" s="35">
        <v>-3847.94</v>
      </c>
      <c r="H329" s="33" t="s">
        <v>1184</v>
      </c>
    </row>
    <row r="330" spans="1:8">
      <c r="A330" s="23" t="s">
        <v>1547</v>
      </c>
      <c r="B330" s="31">
        <v>46046</v>
      </c>
      <c r="C330" s="23" t="s">
        <v>183</v>
      </c>
      <c r="D330" s="23" t="s">
        <v>730</v>
      </c>
      <c r="E330" s="32">
        <v>0</v>
      </c>
      <c r="F330" s="32">
        <v>9739.8700000000008</v>
      </c>
      <c r="G330" s="32">
        <v>-9739.8700000000008</v>
      </c>
      <c r="H330" s="23" t="s">
        <v>1184</v>
      </c>
    </row>
    <row r="331" spans="1:8">
      <c r="A331" s="33" t="s">
        <v>1548</v>
      </c>
      <c r="B331" s="34">
        <v>46046</v>
      </c>
      <c r="C331" s="33" t="s">
        <v>1214</v>
      </c>
      <c r="D331" s="33" t="s">
        <v>848</v>
      </c>
      <c r="E331" s="35">
        <v>0</v>
      </c>
      <c r="F331" s="35">
        <v>3037.77</v>
      </c>
      <c r="G331" s="35">
        <v>-3037.77</v>
      </c>
      <c r="H331" s="33" t="s">
        <v>1184</v>
      </c>
    </row>
    <row r="332" spans="1:8">
      <c r="A332" s="23" t="s">
        <v>1549</v>
      </c>
      <c r="B332" s="31">
        <v>46046</v>
      </c>
      <c r="C332" s="23" t="s">
        <v>1214</v>
      </c>
      <c r="D332" s="23" t="s">
        <v>895</v>
      </c>
      <c r="E332" s="32">
        <v>0</v>
      </c>
      <c r="F332" s="32">
        <v>556.66999999999996</v>
      </c>
      <c r="G332" s="32">
        <v>-556.66999999999996</v>
      </c>
      <c r="H332" s="23" t="s">
        <v>1184</v>
      </c>
    </row>
    <row r="333" spans="1:8">
      <c r="A333" s="33" t="s">
        <v>1550</v>
      </c>
      <c r="B333" s="34">
        <v>46046</v>
      </c>
      <c r="C333" s="33" t="s">
        <v>1186</v>
      </c>
      <c r="D333" s="33" t="s">
        <v>907</v>
      </c>
      <c r="E333" s="35">
        <v>0</v>
      </c>
      <c r="F333" s="35">
        <v>3322.46</v>
      </c>
      <c r="G333" s="35">
        <v>-3322.46</v>
      </c>
      <c r="H333" s="33" t="s">
        <v>1184</v>
      </c>
    </row>
    <row r="334" spans="1:8">
      <c r="A334" s="23" t="s">
        <v>1551</v>
      </c>
      <c r="B334" s="31">
        <v>46046</v>
      </c>
      <c r="C334" s="23" t="s">
        <v>164</v>
      </c>
      <c r="D334" s="23" t="s">
        <v>1001</v>
      </c>
      <c r="E334" s="32">
        <v>0</v>
      </c>
      <c r="F334" s="32">
        <v>1466.16</v>
      </c>
      <c r="G334" s="32">
        <v>-1466.16</v>
      </c>
      <c r="H334" s="23" t="s">
        <v>1184</v>
      </c>
    </row>
    <row r="335" spans="1:8">
      <c r="A335" s="33" t="s">
        <v>1552</v>
      </c>
      <c r="B335" s="34">
        <v>46046</v>
      </c>
      <c r="C335" s="33" t="s">
        <v>1190</v>
      </c>
      <c r="D335" s="33" t="s">
        <v>1145</v>
      </c>
      <c r="E335" s="35">
        <v>489.3</v>
      </c>
      <c r="F335" s="35">
        <v>0</v>
      </c>
      <c r="G335" s="35">
        <v>489.3</v>
      </c>
      <c r="H335" s="33" t="s">
        <v>1184</v>
      </c>
    </row>
    <row r="336" spans="1:8">
      <c r="A336" s="23" t="s">
        <v>1553</v>
      </c>
      <c r="B336" s="31">
        <v>46046</v>
      </c>
      <c r="C336" s="23" t="s">
        <v>1240</v>
      </c>
      <c r="D336" s="23" t="s">
        <v>1554</v>
      </c>
      <c r="E336" s="32">
        <v>202.37</v>
      </c>
      <c r="F336" s="32">
        <v>0</v>
      </c>
      <c r="G336" s="32">
        <v>202.37</v>
      </c>
      <c r="H336" s="23" t="s">
        <v>1242</v>
      </c>
    </row>
    <row r="337" spans="1:8">
      <c r="A337" s="33" t="s">
        <v>1555</v>
      </c>
      <c r="B337" s="34">
        <v>46047</v>
      </c>
      <c r="C337" s="33" t="s">
        <v>1188</v>
      </c>
      <c r="D337" s="33" t="s">
        <v>146</v>
      </c>
      <c r="E337" s="35">
        <v>0</v>
      </c>
      <c r="F337" s="35">
        <v>2405.16</v>
      </c>
      <c r="G337" s="35">
        <v>-2405.16</v>
      </c>
      <c r="H337" s="33" t="s">
        <v>1184</v>
      </c>
    </row>
    <row r="338" spans="1:8">
      <c r="A338" s="23" t="s">
        <v>1556</v>
      </c>
      <c r="B338" s="31">
        <v>46047</v>
      </c>
      <c r="C338" s="23" t="s">
        <v>192</v>
      </c>
      <c r="D338" s="23" t="s">
        <v>193</v>
      </c>
      <c r="E338" s="32">
        <v>0</v>
      </c>
      <c r="F338" s="32">
        <v>110.63</v>
      </c>
      <c r="G338" s="32">
        <v>-110.63</v>
      </c>
      <c r="H338" s="23" t="s">
        <v>1184</v>
      </c>
    </row>
    <row r="339" spans="1:8">
      <c r="A339" s="33" t="s">
        <v>1557</v>
      </c>
      <c r="B339" s="34">
        <v>46047</v>
      </c>
      <c r="C339" s="33" t="s">
        <v>1214</v>
      </c>
      <c r="D339" s="33" t="s">
        <v>289</v>
      </c>
      <c r="E339" s="35">
        <v>0</v>
      </c>
      <c r="F339" s="35">
        <v>5535.53</v>
      </c>
      <c r="G339" s="35">
        <v>-5535.53</v>
      </c>
      <c r="H339" s="33" t="s">
        <v>1184</v>
      </c>
    </row>
    <row r="340" spans="1:8">
      <c r="A340" s="23" t="s">
        <v>1558</v>
      </c>
      <c r="B340" s="31">
        <v>46047</v>
      </c>
      <c r="C340" s="23" t="s">
        <v>1192</v>
      </c>
      <c r="D340" s="23" t="s">
        <v>309</v>
      </c>
      <c r="E340" s="32">
        <v>2022.26</v>
      </c>
      <c r="F340" s="32">
        <v>0</v>
      </c>
      <c r="G340" s="32">
        <v>2022.26</v>
      </c>
      <c r="H340" s="23" t="s">
        <v>1184</v>
      </c>
    </row>
    <row r="341" spans="1:8">
      <c r="A341" s="33" t="s">
        <v>1559</v>
      </c>
      <c r="B341" s="34">
        <v>46047</v>
      </c>
      <c r="C341" s="33" t="s">
        <v>1183</v>
      </c>
      <c r="D341" s="33" t="s">
        <v>466</v>
      </c>
      <c r="E341" s="35">
        <v>0</v>
      </c>
      <c r="F341" s="35">
        <v>3754.51</v>
      </c>
      <c r="G341" s="35">
        <v>-3754.51</v>
      </c>
      <c r="H341" s="33" t="s">
        <v>1184</v>
      </c>
    </row>
    <row r="342" spans="1:8">
      <c r="A342" s="23" t="s">
        <v>1560</v>
      </c>
      <c r="B342" s="31">
        <v>46047</v>
      </c>
      <c r="C342" s="23" t="s">
        <v>192</v>
      </c>
      <c r="D342" s="23" t="s">
        <v>558</v>
      </c>
      <c r="E342" s="32">
        <v>0</v>
      </c>
      <c r="F342" s="32">
        <v>9.25</v>
      </c>
      <c r="G342" s="32">
        <v>-9.25</v>
      </c>
      <c r="H342" s="23" t="s">
        <v>1184</v>
      </c>
    </row>
    <row r="343" spans="1:8">
      <c r="A343" s="33" t="s">
        <v>1561</v>
      </c>
      <c r="B343" s="34">
        <v>46047</v>
      </c>
      <c r="C343" s="33" t="s">
        <v>1194</v>
      </c>
      <c r="D343" s="33" t="s">
        <v>628</v>
      </c>
      <c r="E343" s="35">
        <v>0</v>
      </c>
      <c r="F343" s="35">
        <v>3195.83</v>
      </c>
      <c r="G343" s="35">
        <v>-3195.83</v>
      </c>
      <c r="H343" s="33" t="s">
        <v>1184</v>
      </c>
    </row>
    <row r="344" spans="1:8">
      <c r="A344" s="23" t="s">
        <v>1562</v>
      </c>
      <c r="B344" s="31">
        <v>46047</v>
      </c>
      <c r="C344" s="23" t="s">
        <v>1198</v>
      </c>
      <c r="D344" s="23" t="s">
        <v>808</v>
      </c>
      <c r="E344" s="32">
        <v>3903.95</v>
      </c>
      <c r="F344" s="32">
        <v>0</v>
      </c>
      <c r="G344" s="32">
        <v>3903.95</v>
      </c>
      <c r="H344" s="23" t="s">
        <v>1184</v>
      </c>
    </row>
    <row r="345" spans="1:8">
      <c r="A345" s="33" t="s">
        <v>1563</v>
      </c>
      <c r="B345" s="34">
        <v>46047</v>
      </c>
      <c r="C345" s="33" t="s">
        <v>164</v>
      </c>
      <c r="D345" s="33" t="s">
        <v>810</v>
      </c>
      <c r="E345" s="35">
        <v>359.69</v>
      </c>
      <c r="F345" s="35">
        <v>0</v>
      </c>
      <c r="G345" s="35">
        <v>359.69</v>
      </c>
      <c r="H345" s="33" t="s">
        <v>1184</v>
      </c>
    </row>
    <row r="346" spans="1:8">
      <c r="A346" s="23" t="s">
        <v>1564</v>
      </c>
      <c r="B346" s="31">
        <v>46047</v>
      </c>
      <c r="C346" s="23" t="s">
        <v>1198</v>
      </c>
      <c r="D346" s="23" t="s">
        <v>846</v>
      </c>
      <c r="E346" s="32">
        <v>8233.8700000000008</v>
      </c>
      <c r="F346" s="32">
        <v>0</v>
      </c>
      <c r="G346" s="32">
        <v>8233.8700000000008</v>
      </c>
      <c r="H346" s="23" t="s">
        <v>1184</v>
      </c>
    </row>
    <row r="347" spans="1:8">
      <c r="A347" s="33" t="s">
        <v>1565</v>
      </c>
      <c r="B347" s="34">
        <v>46047</v>
      </c>
      <c r="C347" s="33" t="s">
        <v>1254</v>
      </c>
      <c r="D347" s="33" t="s">
        <v>854</v>
      </c>
      <c r="E347" s="35">
        <v>0</v>
      </c>
      <c r="F347" s="35">
        <v>638.14</v>
      </c>
      <c r="G347" s="35">
        <v>-638.14</v>
      </c>
      <c r="H347" s="33" t="s">
        <v>1184</v>
      </c>
    </row>
    <row r="348" spans="1:8">
      <c r="A348" s="23" t="s">
        <v>1566</v>
      </c>
      <c r="B348" s="31">
        <v>46047</v>
      </c>
      <c r="C348" s="23" t="s">
        <v>183</v>
      </c>
      <c r="D348" s="23" t="s">
        <v>860</v>
      </c>
      <c r="E348" s="32">
        <v>0</v>
      </c>
      <c r="F348" s="32">
        <v>15180.21</v>
      </c>
      <c r="G348" s="32">
        <v>-15180.21</v>
      </c>
      <c r="H348" s="23" t="s">
        <v>1184</v>
      </c>
    </row>
    <row r="349" spans="1:8">
      <c r="A349" s="33" t="s">
        <v>1567</v>
      </c>
      <c r="B349" s="34">
        <v>46047</v>
      </c>
      <c r="C349" s="33" t="s">
        <v>183</v>
      </c>
      <c r="D349" s="33" t="s">
        <v>885</v>
      </c>
      <c r="E349" s="35">
        <v>0</v>
      </c>
      <c r="F349" s="35">
        <v>6259.08</v>
      </c>
      <c r="G349" s="35">
        <v>-6259.08</v>
      </c>
      <c r="H349" s="33" t="s">
        <v>1184</v>
      </c>
    </row>
    <row r="350" spans="1:8">
      <c r="A350" s="23" t="s">
        <v>1568</v>
      </c>
      <c r="B350" s="31">
        <v>46047</v>
      </c>
      <c r="C350" s="23" t="s">
        <v>1198</v>
      </c>
      <c r="D350" s="23" t="s">
        <v>993</v>
      </c>
      <c r="E350" s="32">
        <v>8267.58</v>
      </c>
      <c r="F350" s="32">
        <v>0</v>
      </c>
      <c r="G350" s="32">
        <v>8267.58</v>
      </c>
      <c r="H350" s="23" t="s">
        <v>1184</v>
      </c>
    </row>
    <row r="351" spans="1:8">
      <c r="A351" s="33" t="s">
        <v>1569</v>
      </c>
      <c r="B351" s="34">
        <v>46047</v>
      </c>
      <c r="C351" s="33" t="s">
        <v>1240</v>
      </c>
      <c r="D351" s="33" t="s">
        <v>1570</v>
      </c>
      <c r="E351" s="35">
        <v>1481.24</v>
      </c>
      <c r="F351" s="35">
        <v>0</v>
      </c>
      <c r="G351" s="35">
        <v>1481.24</v>
      </c>
      <c r="H351" s="33" t="s">
        <v>1242</v>
      </c>
    </row>
    <row r="352" spans="1:8">
      <c r="A352" s="23" t="s">
        <v>1571</v>
      </c>
      <c r="B352" s="31">
        <v>46048</v>
      </c>
      <c r="C352" s="23" t="s">
        <v>1202</v>
      </c>
      <c r="D352" s="23" t="s">
        <v>267</v>
      </c>
      <c r="E352" s="32">
        <v>1163.0999999999999</v>
      </c>
      <c r="F352" s="32">
        <v>0</v>
      </c>
      <c r="G352" s="32">
        <v>1163.0999999999999</v>
      </c>
      <c r="H352" s="23" t="s">
        <v>1184</v>
      </c>
    </row>
    <row r="353" spans="1:8">
      <c r="A353" s="33" t="s">
        <v>1572</v>
      </c>
      <c r="B353" s="34">
        <v>46048</v>
      </c>
      <c r="C353" s="33" t="s">
        <v>1190</v>
      </c>
      <c r="D353" s="33" t="s">
        <v>460</v>
      </c>
      <c r="E353" s="35">
        <v>6242.26</v>
      </c>
      <c r="F353" s="35">
        <v>0</v>
      </c>
      <c r="G353" s="35">
        <v>6242.26</v>
      </c>
      <c r="H353" s="33" t="s">
        <v>1184</v>
      </c>
    </row>
    <row r="354" spans="1:8">
      <c r="A354" s="23" t="s">
        <v>1573</v>
      </c>
      <c r="B354" s="31">
        <v>46048</v>
      </c>
      <c r="C354" s="23" t="s">
        <v>1226</v>
      </c>
      <c r="D354" s="23" t="s">
        <v>470</v>
      </c>
      <c r="E354" s="32">
        <v>8287.4599999999991</v>
      </c>
      <c r="F354" s="32">
        <v>0</v>
      </c>
      <c r="G354" s="32">
        <v>8287.4599999999991</v>
      </c>
      <c r="H354" s="23" t="s">
        <v>1184</v>
      </c>
    </row>
    <row r="355" spans="1:8">
      <c r="A355" s="33" t="s">
        <v>1574</v>
      </c>
      <c r="B355" s="34">
        <v>46048</v>
      </c>
      <c r="C355" s="33" t="s">
        <v>1183</v>
      </c>
      <c r="D355" s="33" t="s">
        <v>502</v>
      </c>
      <c r="E355" s="35">
        <v>0</v>
      </c>
      <c r="F355" s="35">
        <v>3699.49</v>
      </c>
      <c r="G355" s="35">
        <v>-3699.49</v>
      </c>
      <c r="H355" s="33" t="s">
        <v>1184</v>
      </c>
    </row>
    <row r="356" spans="1:8">
      <c r="A356" s="23" t="s">
        <v>1575</v>
      </c>
      <c r="B356" s="31">
        <v>46048</v>
      </c>
      <c r="C356" s="23" t="s">
        <v>183</v>
      </c>
      <c r="D356" s="23" t="s">
        <v>608</v>
      </c>
      <c r="E356" s="32">
        <v>0</v>
      </c>
      <c r="F356" s="32">
        <v>8388.34</v>
      </c>
      <c r="G356" s="32">
        <v>-8388.34</v>
      </c>
      <c r="H356" s="23" t="s">
        <v>1184</v>
      </c>
    </row>
    <row r="357" spans="1:8">
      <c r="A357" s="33" t="s">
        <v>1576</v>
      </c>
      <c r="B357" s="34">
        <v>46048</v>
      </c>
      <c r="C357" s="33" t="s">
        <v>1183</v>
      </c>
      <c r="D357" s="33" t="s">
        <v>696</v>
      </c>
      <c r="E357" s="35">
        <v>0</v>
      </c>
      <c r="F357" s="35">
        <v>2913.58</v>
      </c>
      <c r="G357" s="35">
        <v>-2913.58</v>
      </c>
      <c r="H357" s="33" t="s">
        <v>1184</v>
      </c>
    </row>
    <row r="358" spans="1:8">
      <c r="A358" s="23" t="s">
        <v>1577</v>
      </c>
      <c r="B358" s="31">
        <v>46048</v>
      </c>
      <c r="C358" s="23" t="s">
        <v>1198</v>
      </c>
      <c r="D358" s="23" t="s">
        <v>883</v>
      </c>
      <c r="E358" s="32">
        <v>1147.3499999999999</v>
      </c>
      <c r="F358" s="32">
        <v>0</v>
      </c>
      <c r="G358" s="32">
        <v>1147.3499999999999</v>
      </c>
      <c r="H358" s="23" t="s">
        <v>1184</v>
      </c>
    </row>
    <row r="359" spans="1:8">
      <c r="A359" s="33" t="s">
        <v>1578</v>
      </c>
      <c r="B359" s="34">
        <v>46048</v>
      </c>
      <c r="C359" s="33" t="s">
        <v>183</v>
      </c>
      <c r="D359" s="33" t="s">
        <v>899</v>
      </c>
      <c r="E359" s="35">
        <v>0</v>
      </c>
      <c r="F359" s="35">
        <v>7245.86</v>
      </c>
      <c r="G359" s="35">
        <v>-7245.86</v>
      </c>
      <c r="H359" s="33" t="s">
        <v>1184</v>
      </c>
    </row>
    <row r="360" spans="1:8">
      <c r="A360" s="23" t="s">
        <v>1579</v>
      </c>
      <c r="B360" s="31">
        <v>46048</v>
      </c>
      <c r="C360" s="23" t="s">
        <v>1214</v>
      </c>
      <c r="D360" s="23" t="s">
        <v>941</v>
      </c>
      <c r="E360" s="32">
        <v>0</v>
      </c>
      <c r="F360" s="32">
        <v>6148.17</v>
      </c>
      <c r="G360" s="32">
        <v>-6148.17</v>
      </c>
      <c r="H360" s="23" t="s">
        <v>1184</v>
      </c>
    </row>
    <row r="361" spans="1:8">
      <c r="A361" s="33" t="s">
        <v>1580</v>
      </c>
      <c r="B361" s="34">
        <v>46048</v>
      </c>
      <c r="C361" s="33" t="s">
        <v>1254</v>
      </c>
      <c r="D361" s="33" t="s">
        <v>959</v>
      </c>
      <c r="E361" s="35">
        <v>0</v>
      </c>
      <c r="F361" s="35">
        <v>5886.03</v>
      </c>
      <c r="G361" s="35">
        <v>-5886.03</v>
      </c>
      <c r="H361" s="33" t="s">
        <v>1184</v>
      </c>
    </row>
    <row r="362" spans="1:8">
      <c r="A362" s="23" t="s">
        <v>1581</v>
      </c>
      <c r="B362" s="31">
        <v>46048</v>
      </c>
      <c r="C362" s="23" t="s">
        <v>183</v>
      </c>
      <c r="D362" s="23" t="s">
        <v>969</v>
      </c>
      <c r="E362" s="32">
        <v>0</v>
      </c>
      <c r="F362" s="32">
        <v>11939.06</v>
      </c>
      <c r="G362" s="32">
        <v>-11939.06</v>
      </c>
      <c r="H362" s="23" t="s">
        <v>1184</v>
      </c>
    </row>
    <row r="363" spans="1:8">
      <c r="A363" s="33" t="s">
        <v>1582</v>
      </c>
      <c r="B363" s="34">
        <v>46048</v>
      </c>
      <c r="C363" s="33" t="s">
        <v>1188</v>
      </c>
      <c r="D363" s="33" t="s">
        <v>981</v>
      </c>
      <c r="E363" s="35">
        <v>0</v>
      </c>
      <c r="F363" s="35">
        <v>2978.25</v>
      </c>
      <c r="G363" s="35">
        <v>-2978.25</v>
      </c>
      <c r="H363" s="33" t="s">
        <v>1184</v>
      </c>
    </row>
    <row r="364" spans="1:8">
      <c r="A364" s="23" t="s">
        <v>1583</v>
      </c>
      <c r="B364" s="31">
        <v>46048</v>
      </c>
      <c r="C364" s="23" t="s">
        <v>192</v>
      </c>
      <c r="D364" s="23" t="s">
        <v>1017</v>
      </c>
      <c r="E364" s="32">
        <v>0</v>
      </c>
      <c r="F364" s="32">
        <v>83.34</v>
      </c>
      <c r="G364" s="32">
        <v>-83.34</v>
      </c>
      <c r="H364" s="23" t="s">
        <v>1184</v>
      </c>
    </row>
    <row r="365" spans="1:8">
      <c r="A365" s="33" t="s">
        <v>1584</v>
      </c>
      <c r="B365" s="34">
        <v>46048</v>
      </c>
      <c r="C365" s="33" t="s">
        <v>1240</v>
      </c>
      <c r="D365" s="33" t="s">
        <v>1585</v>
      </c>
      <c r="E365" s="35">
        <v>0</v>
      </c>
      <c r="F365" s="35">
        <v>1996.75</v>
      </c>
      <c r="G365" s="35">
        <v>-1996.75</v>
      </c>
      <c r="H365" s="33" t="s">
        <v>1242</v>
      </c>
    </row>
    <row r="366" spans="1:8">
      <c r="A366" s="23" t="s">
        <v>1586</v>
      </c>
      <c r="B366" s="31">
        <v>46049</v>
      </c>
      <c r="C366" s="23" t="s">
        <v>192</v>
      </c>
      <c r="D366" s="23" t="s">
        <v>740</v>
      </c>
      <c r="E366" s="32">
        <v>0</v>
      </c>
      <c r="F366" s="32">
        <v>25.62</v>
      </c>
      <c r="G366" s="32">
        <v>-25.62</v>
      </c>
      <c r="H366" s="23" t="s">
        <v>1184</v>
      </c>
    </row>
    <row r="367" spans="1:8">
      <c r="A367" s="33" t="s">
        <v>1587</v>
      </c>
      <c r="B367" s="34">
        <v>46049</v>
      </c>
      <c r="C367" s="33" t="s">
        <v>1200</v>
      </c>
      <c r="D367" s="33" t="s">
        <v>782</v>
      </c>
      <c r="E367" s="35">
        <v>0</v>
      </c>
      <c r="F367" s="35">
        <v>1795.44</v>
      </c>
      <c r="G367" s="35">
        <v>-1795.44</v>
      </c>
      <c r="H367" s="33" t="s">
        <v>1184</v>
      </c>
    </row>
    <row r="368" spans="1:8">
      <c r="A368" s="23" t="s">
        <v>1588</v>
      </c>
      <c r="B368" s="31">
        <v>46049</v>
      </c>
      <c r="C368" s="23" t="s">
        <v>1198</v>
      </c>
      <c r="D368" s="23" t="s">
        <v>830</v>
      </c>
      <c r="E368" s="32">
        <v>2635.87</v>
      </c>
      <c r="F368" s="32">
        <v>0</v>
      </c>
      <c r="G368" s="32">
        <v>2635.87</v>
      </c>
      <c r="H368" s="23" t="s">
        <v>1184</v>
      </c>
    </row>
    <row r="369" spans="1:8">
      <c r="A369" s="33" t="s">
        <v>1589</v>
      </c>
      <c r="B369" s="34">
        <v>46049</v>
      </c>
      <c r="C369" s="33" t="s">
        <v>1188</v>
      </c>
      <c r="D369" s="33" t="s">
        <v>834</v>
      </c>
      <c r="E369" s="35">
        <v>0</v>
      </c>
      <c r="F369" s="35">
        <v>3568.85</v>
      </c>
      <c r="G369" s="35">
        <v>-3568.85</v>
      </c>
      <c r="H369" s="33" t="s">
        <v>1184</v>
      </c>
    </row>
    <row r="370" spans="1:8">
      <c r="A370" s="23" t="s">
        <v>1590</v>
      </c>
      <c r="B370" s="31">
        <v>46049</v>
      </c>
      <c r="C370" s="23" t="s">
        <v>192</v>
      </c>
      <c r="D370" s="23" t="s">
        <v>973</v>
      </c>
      <c r="E370" s="32">
        <v>0</v>
      </c>
      <c r="F370" s="32">
        <v>43.86</v>
      </c>
      <c r="G370" s="32">
        <v>-43.86</v>
      </c>
      <c r="H370" s="23" t="s">
        <v>1184</v>
      </c>
    </row>
    <row r="371" spans="1:8">
      <c r="A371" s="33" t="s">
        <v>1591</v>
      </c>
      <c r="B371" s="34">
        <v>46049</v>
      </c>
      <c r="C371" s="33" t="s">
        <v>164</v>
      </c>
      <c r="D371" s="33" t="s">
        <v>1099</v>
      </c>
      <c r="E371" s="35">
        <v>0</v>
      </c>
      <c r="F371" s="35">
        <v>785.84</v>
      </c>
      <c r="G371" s="35">
        <v>-785.84</v>
      </c>
      <c r="H371" s="33" t="s">
        <v>1184</v>
      </c>
    </row>
    <row r="372" spans="1:8">
      <c r="A372" s="23" t="s">
        <v>1592</v>
      </c>
      <c r="B372" s="31">
        <v>46049</v>
      </c>
      <c r="C372" s="23" t="s">
        <v>192</v>
      </c>
      <c r="D372" s="23" t="s">
        <v>1149</v>
      </c>
      <c r="E372" s="32">
        <v>0</v>
      </c>
      <c r="F372" s="32">
        <v>75.790000000000006</v>
      </c>
      <c r="G372" s="32">
        <v>-75.790000000000006</v>
      </c>
      <c r="H372" s="23" t="s">
        <v>1184</v>
      </c>
    </row>
    <row r="373" spans="1:8">
      <c r="A373" s="33" t="s">
        <v>1593</v>
      </c>
      <c r="B373" s="34">
        <v>46049</v>
      </c>
      <c r="C373" s="33" t="s">
        <v>1240</v>
      </c>
      <c r="D373" s="33" t="s">
        <v>1594</v>
      </c>
      <c r="E373" s="35">
        <v>0</v>
      </c>
      <c r="F373" s="35">
        <v>1461</v>
      </c>
      <c r="G373" s="35">
        <v>-1461</v>
      </c>
      <c r="H373" s="33" t="s">
        <v>1242</v>
      </c>
    </row>
    <row r="374" spans="1:8">
      <c r="A374" s="23" t="s">
        <v>1595</v>
      </c>
      <c r="B374" s="31">
        <v>46050</v>
      </c>
      <c r="C374" s="23" t="s">
        <v>1198</v>
      </c>
      <c r="D374" s="23" t="s">
        <v>175</v>
      </c>
      <c r="E374" s="32">
        <v>2361.75</v>
      </c>
      <c r="F374" s="32">
        <v>0</v>
      </c>
      <c r="G374" s="32">
        <v>2361.75</v>
      </c>
      <c r="H374" s="23" t="s">
        <v>1184</v>
      </c>
    </row>
    <row r="375" spans="1:8">
      <c r="A375" s="33" t="s">
        <v>1596</v>
      </c>
      <c r="B375" s="34">
        <v>46050</v>
      </c>
      <c r="C375" s="33" t="s">
        <v>183</v>
      </c>
      <c r="D375" s="33" t="s">
        <v>259</v>
      </c>
      <c r="E375" s="35">
        <v>0</v>
      </c>
      <c r="F375" s="35">
        <v>15280.53</v>
      </c>
      <c r="G375" s="35">
        <v>-15280.53</v>
      </c>
      <c r="H375" s="33" t="s">
        <v>1184</v>
      </c>
    </row>
    <row r="376" spans="1:8">
      <c r="A376" s="23" t="s">
        <v>1597</v>
      </c>
      <c r="B376" s="31">
        <v>46050</v>
      </c>
      <c r="C376" s="23" t="s">
        <v>1183</v>
      </c>
      <c r="D376" s="23" t="s">
        <v>273</v>
      </c>
      <c r="E376" s="32">
        <v>0</v>
      </c>
      <c r="F376" s="32">
        <v>4139.93</v>
      </c>
      <c r="G376" s="32">
        <v>-4139.93</v>
      </c>
      <c r="H376" s="23" t="s">
        <v>1184</v>
      </c>
    </row>
    <row r="377" spans="1:8">
      <c r="A377" s="33" t="s">
        <v>1598</v>
      </c>
      <c r="B377" s="34">
        <v>46050</v>
      </c>
      <c r="C377" s="33" t="s">
        <v>1200</v>
      </c>
      <c r="D377" s="33" t="s">
        <v>367</v>
      </c>
      <c r="E377" s="35">
        <v>0</v>
      </c>
      <c r="F377" s="35">
        <v>4325.28</v>
      </c>
      <c r="G377" s="35">
        <v>-4325.28</v>
      </c>
      <c r="H377" s="33" t="s">
        <v>1184</v>
      </c>
    </row>
    <row r="378" spans="1:8">
      <c r="A378" s="23" t="s">
        <v>1599</v>
      </c>
      <c r="B378" s="31">
        <v>46050</v>
      </c>
      <c r="C378" s="23" t="s">
        <v>1269</v>
      </c>
      <c r="D378" s="23" t="s">
        <v>381</v>
      </c>
      <c r="E378" s="32">
        <v>7492.37</v>
      </c>
      <c r="F378" s="32">
        <v>0</v>
      </c>
      <c r="G378" s="32">
        <v>7492.37</v>
      </c>
      <c r="H378" s="23" t="s">
        <v>1184</v>
      </c>
    </row>
    <row r="379" spans="1:8">
      <c r="A379" s="33" t="s">
        <v>1600</v>
      </c>
      <c r="B379" s="34">
        <v>46050</v>
      </c>
      <c r="C379" s="33" t="s">
        <v>1200</v>
      </c>
      <c r="D379" s="33" t="s">
        <v>387</v>
      </c>
      <c r="E379" s="35">
        <v>0</v>
      </c>
      <c r="F379" s="35">
        <v>1509.4</v>
      </c>
      <c r="G379" s="35">
        <v>-1509.4</v>
      </c>
      <c r="H379" s="33" t="s">
        <v>1184</v>
      </c>
    </row>
    <row r="380" spans="1:8">
      <c r="A380" s="23" t="s">
        <v>1601</v>
      </c>
      <c r="B380" s="31">
        <v>46050</v>
      </c>
      <c r="C380" s="23" t="s">
        <v>164</v>
      </c>
      <c r="D380" s="23" t="s">
        <v>584</v>
      </c>
      <c r="E380" s="32">
        <v>0</v>
      </c>
      <c r="F380" s="32">
        <v>4062.04</v>
      </c>
      <c r="G380" s="32">
        <v>-4062.04</v>
      </c>
      <c r="H380" s="23" t="s">
        <v>1184</v>
      </c>
    </row>
    <row r="381" spans="1:8">
      <c r="A381" s="33" t="s">
        <v>1602</v>
      </c>
      <c r="B381" s="34">
        <v>46050</v>
      </c>
      <c r="C381" s="33" t="s">
        <v>1254</v>
      </c>
      <c r="D381" s="33" t="s">
        <v>586</v>
      </c>
      <c r="E381" s="35">
        <v>0</v>
      </c>
      <c r="F381" s="35">
        <v>5755.23</v>
      </c>
      <c r="G381" s="35">
        <v>-5755.23</v>
      </c>
      <c r="H381" s="33" t="s">
        <v>1184</v>
      </c>
    </row>
    <row r="382" spans="1:8">
      <c r="A382" s="23" t="s">
        <v>1603</v>
      </c>
      <c r="B382" s="31">
        <v>46050</v>
      </c>
      <c r="C382" s="23" t="s">
        <v>1190</v>
      </c>
      <c r="D382" s="23" t="s">
        <v>630</v>
      </c>
      <c r="E382" s="32">
        <v>1393.65</v>
      </c>
      <c r="F382" s="32">
        <v>0</v>
      </c>
      <c r="G382" s="32">
        <v>1393.65</v>
      </c>
      <c r="H382" s="23" t="s">
        <v>1184</v>
      </c>
    </row>
    <row r="383" spans="1:8">
      <c r="A383" s="33" t="s">
        <v>1604</v>
      </c>
      <c r="B383" s="34">
        <v>46050</v>
      </c>
      <c r="C383" s="33" t="s">
        <v>1198</v>
      </c>
      <c r="D383" s="33" t="s">
        <v>680</v>
      </c>
      <c r="E383" s="35">
        <v>6511.53</v>
      </c>
      <c r="F383" s="35">
        <v>0</v>
      </c>
      <c r="G383" s="35">
        <v>6511.53</v>
      </c>
      <c r="H383" s="33" t="s">
        <v>1184</v>
      </c>
    </row>
    <row r="384" spans="1:8">
      <c r="A384" s="23" t="s">
        <v>1605</v>
      </c>
      <c r="B384" s="31">
        <v>46050</v>
      </c>
      <c r="C384" s="23" t="s">
        <v>183</v>
      </c>
      <c r="D384" s="23" t="s">
        <v>734</v>
      </c>
      <c r="E384" s="32">
        <v>0</v>
      </c>
      <c r="F384" s="32">
        <v>16205.23</v>
      </c>
      <c r="G384" s="32">
        <v>-16205.23</v>
      </c>
      <c r="H384" s="23" t="s">
        <v>1184</v>
      </c>
    </row>
    <row r="385" spans="1:8">
      <c r="A385" s="33" t="s">
        <v>1606</v>
      </c>
      <c r="B385" s="34">
        <v>46050</v>
      </c>
      <c r="C385" s="33" t="s">
        <v>1269</v>
      </c>
      <c r="D385" s="33" t="s">
        <v>792</v>
      </c>
      <c r="E385" s="35">
        <v>7785.25</v>
      </c>
      <c r="F385" s="35">
        <v>0</v>
      </c>
      <c r="G385" s="35">
        <v>7785.25</v>
      </c>
      <c r="H385" s="33" t="s">
        <v>1184</v>
      </c>
    </row>
    <row r="386" spans="1:8">
      <c r="A386" s="23" t="s">
        <v>1607</v>
      </c>
      <c r="B386" s="31">
        <v>46050</v>
      </c>
      <c r="C386" s="23" t="s">
        <v>1269</v>
      </c>
      <c r="D386" s="23" t="s">
        <v>812</v>
      </c>
      <c r="E386" s="32">
        <v>2766.92</v>
      </c>
      <c r="F386" s="32">
        <v>0</v>
      </c>
      <c r="G386" s="32">
        <v>2766.92</v>
      </c>
      <c r="H386" s="23" t="s">
        <v>1184</v>
      </c>
    </row>
    <row r="387" spans="1:8">
      <c r="A387" s="33" t="s">
        <v>1608</v>
      </c>
      <c r="B387" s="34">
        <v>46050</v>
      </c>
      <c r="C387" s="33" t="s">
        <v>1198</v>
      </c>
      <c r="D387" s="33" t="s">
        <v>814</v>
      </c>
      <c r="E387" s="35">
        <v>6944.71</v>
      </c>
      <c r="F387" s="35">
        <v>0</v>
      </c>
      <c r="G387" s="35">
        <v>6944.71</v>
      </c>
      <c r="H387" s="33" t="s">
        <v>1184</v>
      </c>
    </row>
    <row r="388" spans="1:8">
      <c r="A388" s="23" t="s">
        <v>1609</v>
      </c>
      <c r="B388" s="31">
        <v>46050</v>
      </c>
      <c r="C388" s="23" t="s">
        <v>1269</v>
      </c>
      <c r="D388" s="23" t="s">
        <v>923</v>
      </c>
      <c r="E388" s="32">
        <v>4743.51</v>
      </c>
      <c r="F388" s="32">
        <v>0</v>
      </c>
      <c r="G388" s="32">
        <v>4743.51</v>
      </c>
      <c r="H388" s="23" t="s">
        <v>1184</v>
      </c>
    </row>
    <row r="389" spans="1:8">
      <c r="A389" s="33" t="s">
        <v>1610</v>
      </c>
      <c r="B389" s="34">
        <v>46050</v>
      </c>
      <c r="C389" s="33" t="s">
        <v>1188</v>
      </c>
      <c r="D389" s="33" t="s">
        <v>953</v>
      </c>
      <c r="E389" s="35">
        <v>0</v>
      </c>
      <c r="F389" s="35">
        <v>5260.46</v>
      </c>
      <c r="G389" s="35">
        <v>-5260.46</v>
      </c>
      <c r="H389" s="33" t="s">
        <v>1184</v>
      </c>
    </row>
    <row r="390" spans="1:8">
      <c r="A390" s="23" t="s">
        <v>1611</v>
      </c>
      <c r="B390" s="31">
        <v>46050</v>
      </c>
      <c r="C390" s="23" t="s">
        <v>1226</v>
      </c>
      <c r="D390" s="23" t="s">
        <v>1019</v>
      </c>
      <c r="E390" s="32">
        <v>3070.5</v>
      </c>
      <c r="F390" s="32">
        <v>0</v>
      </c>
      <c r="G390" s="32">
        <v>3070.5</v>
      </c>
      <c r="H390" s="23" t="s">
        <v>1184</v>
      </c>
    </row>
    <row r="391" spans="1:8">
      <c r="A391" s="33" t="s">
        <v>1612</v>
      </c>
      <c r="B391" s="34">
        <v>46050</v>
      </c>
      <c r="C391" s="33" t="s">
        <v>164</v>
      </c>
      <c r="D391" s="33" t="s">
        <v>1129</v>
      </c>
      <c r="E391" s="35">
        <v>0</v>
      </c>
      <c r="F391" s="35">
        <v>3267.93</v>
      </c>
      <c r="G391" s="35">
        <v>-3267.93</v>
      </c>
      <c r="H391" s="33" t="s">
        <v>1184</v>
      </c>
    </row>
    <row r="392" spans="1:8">
      <c r="A392" s="23" t="s">
        <v>1613</v>
      </c>
      <c r="B392" s="31">
        <v>46050</v>
      </c>
      <c r="C392" s="23" t="s">
        <v>1240</v>
      </c>
      <c r="D392" s="23" t="s">
        <v>1614</v>
      </c>
      <c r="E392" s="32">
        <v>0</v>
      </c>
      <c r="F392" s="32">
        <v>1881.34</v>
      </c>
      <c r="G392" s="32">
        <v>-1881.34</v>
      </c>
      <c r="H392" s="23" t="s">
        <v>1242</v>
      </c>
    </row>
    <row r="393" spans="1:8">
      <c r="A393" s="33" t="s">
        <v>1615</v>
      </c>
      <c r="B393" s="34">
        <v>46050</v>
      </c>
      <c r="C393" s="33" t="s">
        <v>1240</v>
      </c>
      <c r="D393" s="33" t="s">
        <v>1616</v>
      </c>
      <c r="E393" s="35">
        <v>2068.71</v>
      </c>
      <c r="F393" s="35">
        <v>0</v>
      </c>
      <c r="G393" s="35">
        <v>2068.71</v>
      </c>
      <c r="H393" s="33" t="s">
        <v>1242</v>
      </c>
    </row>
    <row r="394" spans="1:8">
      <c r="A394" s="23" t="s">
        <v>1617</v>
      </c>
      <c r="B394" s="31">
        <v>46050</v>
      </c>
      <c r="C394" s="23" t="s">
        <v>1240</v>
      </c>
      <c r="D394" s="23" t="s">
        <v>1618</v>
      </c>
      <c r="E394" s="32">
        <v>1275.3399999999999</v>
      </c>
      <c r="F394" s="32">
        <v>0</v>
      </c>
      <c r="G394" s="32">
        <v>1275.3399999999999</v>
      </c>
      <c r="H394" s="23" t="s">
        <v>1242</v>
      </c>
    </row>
    <row r="395" spans="1:8">
      <c r="A395" s="33" t="s">
        <v>1619</v>
      </c>
      <c r="B395" s="34">
        <v>46051</v>
      </c>
      <c r="C395" s="33" t="s">
        <v>192</v>
      </c>
      <c r="D395" s="33" t="s">
        <v>196</v>
      </c>
      <c r="E395" s="35">
        <v>0</v>
      </c>
      <c r="F395" s="35">
        <v>97.78</v>
      </c>
      <c r="G395" s="35">
        <v>-97.78</v>
      </c>
      <c r="H395" s="33" t="s">
        <v>1184</v>
      </c>
    </row>
    <row r="396" spans="1:8">
      <c r="A396" s="23" t="s">
        <v>1620</v>
      </c>
      <c r="B396" s="31">
        <v>46051</v>
      </c>
      <c r="C396" s="23" t="s">
        <v>183</v>
      </c>
      <c r="D396" s="23" t="s">
        <v>291</v>
      </c>
      <c r="E396" s="32">
        <v>0</v>
      </c>
      <c r="F396" s="32">
        <v>9026.01</v>
      </c>
      <c r="G396" s="32">
        <v>-9026.01</v>
      </c>
      <c r="H396" s="23" t="s">
        <v>1184</v>
      </c>
    </row>
    <row r="397" spans="1:8">
      <c r="A397" s="33" t="s">
        <v>1621</v>
      </c>
      <c r="B397" s="34">
        <v>46051</v>
      </c>
      <c r="C397" s="33" t="s">
        <v>1226</v>
      </c>
      <c r="D397" s="33" t="s">
        <v>301</v>
      </c>
      <c r="E397" s="35">
        <v>7671.72</v>
      </c>
      <c r="F397" s="35">
        <v>0</v>
      </c>
      <c r="G397" s="35">
        <v>7671.72</v>
      </c>
      <c r="H397" s="33" t="s">
        <v>1184</v>
      </c>
    </row>
    <row r="398" spans="1:8">
      <c r="A398" s="23" t="s">
        <v>1622</v>
      </c>
      <c r="B398" s="31">
        <v>46051</v>
      </c>
      <c r="C398" s="23" t="s">
        <v>1186</v>
      </c>
      <c r="D398" s="23" t="s">
        <v>357</v>
      </c>
      <c r="E398" s="32">
        <v>0</v>
      </c>
      <c r="F398" s="32">
        <v>517.03</v>
      </c>
      <c r="G398" s="32">
        <v>-517.03</v>
      </c>
      <c r="H398" s="23" t="s">
        <v>1184</v>
      </c>
    </row>
    <row r="399" spans="1:8">
      <c r="A399" s="33" t="s">
        <v>1623</v>
      </c>
      <c r="B399" s="34">
        <v>46051</v>
      </c>
      <c r="C399" s="33" t="s">
        <v>1202</v>
      </c>
      <c r="D399" s="33" t="s">
        <v>417</v>
      </c>
      <c r="E399" s="35">
        <v>2729.59</v>
      </c>
      <c r="F399" s="35">
        <v>0</v>
      </c>
      <c r="G399" s="35">
        <v>2729.59</v>
      </c>
      <c r="H399" s="33" t="s">
        <v>1184</v>
      </c>
    </row>
    <row r="400" spans="1:8">
      <c r="A400" s="23" t="s">
        <v>1624</v>
      </c>
      <c r="B400" s="31">
        <v>46051</v>
      </c>
      <c r="C400" s="23" t="s">
        <v>1269</v>
      </c>
      <c r="D400" s="23" t="s">
        <v>500</v>
      </c>
      <c r="E400" s="32">
        <v>8387.5400000000009</v>
      </c>
      <c r="F400" s="32">
        <v>0</v>
      </c>
      <c r="G400" s="32">
        <v>8387.5400000000009</v>
      </c>
      <c r="H400" s="23" t="s">
        <v>1184</v>
      </c>
    </row>
    <row r="401" spans="1:8">
      <c r="A401" s="33" t="s">
        <v>1625</v>
      </c>
      <c r="B401" s="34">
        <v>46051</v>
      </c>
      <c r="C401" s="33" t="s">
        <v>1190</v>
      </c>
      <c r="D401" s="33" t="s">
        <v>670</v>
      </c>
      <c r="E401" s="35">
        <v>4452.59</v>
      </c>
      <c r="F401" s="35">
        <v>0</v>
      </c>
      <c r="G401" s="35">
        <v>4452.59</v>
      </c>
      <c r="H401" s="33" t="s">
        <v>1184</v>
      </c>
    </row>
    <row r="402" spans="1:8">
      <c r="A402" s="23" t="s">
        <v>1626</v>
      </c>
      <c r="B402" s="31">
        <v>46051</v>
      </c>
      <c r="C402" s="23" t="s">
        <v>1254</v>
      </c>
      <c r="D402" s="23" t="s">
        <v>706</v>
      </c>
      <c r="E402" s="32">
        <v>0</v>
      </c>
      <c r="F402" s="32">
        <v>3270.06</v>
      </c>
      <c r="G402" s="32">
        <v>-3270.06</v>
      </c>
      <c r="H402" s="23" t="s">
        <v>1184</v>
      </c>
    </row>
    <row r="403" spans="1:8">
      <c r="A403" s="33" t="s">
        <v>1627</v>
      </c>
      <c r="B403" s="34">
        <v>46051</v>
      </c>
      <c r="C403" s="33" t="s">
        <v>1183</v>
      </c>
      <c r="D403" s="33" t="s">
        <v>766</v>
      </c>
      <c r="E403" s="35">
        <v>0</v>
      </c>
      <c r="F403" s="35">
        <v>4739.4399999999996</v>
      </c>
      <c r="G403" s="35">
        <v>-4739.4399999999996</v>
      </c>
      <c r="H403" s="33" t="s">
        <v>1184</v>
      </c>
    </row>
    <row r="404" spans="1:8">
      <c r="A404" s="23" t="s">
        <v>1628</v>
      </c>
      <c r="B404" s="31">
        <v>46051</v>
      </c>
      <c r="C404" s="23" t="s">
        <v>192</v>
      </c>
      <c r="D404" s="23" t="s">
        <v>945</v>
      </c>
      <c r="E404" s="32">
        <v>0</v>
      </c>
      <c r="F404" s="32">
        <v>24.98</v>
      </c>
      <c r="G404" s="32">
        <v>-24.98</v>
      </c>
      <c r="H404" s="23" t="s">
        <v>1184</v>
      </c>
    </row>
    <row r="405" spans="1:8">
      <c r="A405" s="33" t="s">
        <v>1629</v>
      </c>
      <c r="B405" s="34">
        <v>46051</v>
      </c>
      <c r="C405" s="33" t="s">
        <v>1192</v>
      </c>
      <c r="D405" s="33" t="s">
        <v>1039</v>
      </c>
      <c r="E405" s="35">
        <v>964.99</v>
      </c>
      <c r="F405" s="35">
        <v>0</v>
      </c>
      <c r="G405" s="35">
        <v>964.99</v>
      </c>
      <c r="H405" s="33" t="s">
        <v>1184</v>
      </c>
    </row>
    <row r="406" spans="1:8">
      <c r="A406" s="23" t="s">
        <v>1630</v>
      </c>
      <c r="B406" s="31">
        <v>46051</v>
      </c>
      <c r="C406" s="23" t="s">
        <v>1186</v>
      </c>
      <c r="D406" s="23" t="s">
        <v>1057</v>
      </c>
      <c r="E406" s="32">
        <v>0</v>
      </c>
      <c r="F406" s="32">
        <v>708.57</v>
      </c>
      <c r="G406" s="32">
        <v>-708.57</v>
      </c>
      <c r="H406" s="23" t="s">
        <v>1184</v>
      </c>
    </row>
    <row r="407" spans="1:8">
      <c r="A407" s="33" t="s">
        <v>1631</v>
      </c>
      <c r="B407" s="34">
        <v>46051</v>
      </c>
      <c r="C407" s="33" t="s">
        <v>164</v>
      </c>
      <c r="D407" s="33" t="s">
        <v>1115</v>
      </c>
      <c r="E407" s="35">
        <v>0</v>
      </c>
      <c r="F407" s="35">
        <v>2633.83</v>
      </c>
      <c r="G407" s="35">
        <v>-2633.83</v>
      </c>
      <c r="H407" s="33" t="s">
        <v>1184</v>
      </c>
    </row>
    <row r="408" spans="1:8">
      <c r="A408" s="23" t="s">
        <v>1632</v>
      </c>
      <c r="B408" s="31">
        <v>46051</v>
      </c>
      <c r="C408" s="23" t="s">
        <v>183</v>
      </c>
      <c r="D408" s="23" t="s">
        <v>1131</v>
      </c>
      <c r="E408" s="32">
        <v>0</v>
      </c>
      <c r="F408" s="32">
        <v>6645.96</v>
      </c>
      <c r="G408" s="32">
        <v>-6645.96</v>
      </c>
      <c r="H408" s="23" t="s">
        <v>1184</v>
      </c>
    </row>
    <row r="409" spans="1:8">
      <c r="A409" s="33" t="s">
        <v>1633</v>
      </c>
      <c r="B409" s="34">
        <v>46051</v>
      </c>
      <c r="C409" s="33" t="s">
        <v>164</v>
      </c>
      <c r="D409" s="33" t="s">
        <v>1141</v>
      </c>
      <c r="E409" s="35">
        <v>0</v>
      </c>
      <c r="F409" s="35">
        <v>4158.42</v>
      </c>
      <c r="G409" s="35">
        <v>-4158.42</v>
      </c>
      <c r="H409" s="33" t="s">
        <v>1184</v>
      </c>
    </row>
    <row r="410" spans="1:8">
      <c r="A410" s="23" t="s">
        <v>1634</v>
      </c>
      <c r="B410" s="31">
        <v>46052</v>
      </c>
      <c r="C410" s="23" t="s">
        <v>1188</v>
      </c>
      <c r="D410" s="23" t="s">
        <v>160</v>
      </c>
      <c r="E410" s="32">
        <v>0</v>
      </c>
      <c r="F410" s="32">
        <v>2406.37</v>
      </c>
      <c r="G410" s="32">
        <v>-2406.37</v>
      </c>
      <c r="H410" s="23" t="s">
        <v>1184</v>
      </c>
    </row>
    <row r="411" spans="1:8">
      <c r="A411" s="33" t="s">
        <v>1635</v>
      </c>
      <c r="B411" s="34">
        <v>46052</v>
      </c>
      <c r="C411" s="33" t="s">
        <v>1226</v>
      </c>
      <c r="D411" s="33" t="s">
        <v>169</v>
      </c>
      <c r="E411" s="35">
        <v>1983.79</v>
      </c>
      <c r="F411" s="35">
        <v>0</v>
      </c>
      <c r="G411" s="35">
        <v>1983.79</v>
      </c>
      <c r="H411" s="33" t="s">
        <v>1184</v>
      </c>
    </row>
    <row r="412" spans="1:8">
      <c r="A412" s="23" t="s">
        <v>1636</v>
      </c>
      <c r="B412" s="31">
        <v>46052</v>
      </c>
      <c r="C412" s="23" t="s">
        <v>1183</v>
      </c>
      <c r="D412" s="23" t="s">
        <v>210</v>
      </c>
      <c r="E412" s="32">
        <v>0</v>
      </c>
      <c r="F412" s="32">
        <v>513.65</v>
      </c>
      <c r="G412" s="32">
        <v>-513.65</v>
      </c>
      <c r="H412" s="23" t="s">
        <v>1184</v>
      </c>
    </row>
    <row r="413" spans="1:8">
      <c r="A413" s="33" t="s">
        <v>1637</v>
      </c>
      <c r="B413" s="34">
        <v>46052</v>
      </c>
      <c r="C413" s="33" t="s">
        <v>164</v>
      </c>
      <c r="D413" s="33" t="s">
        <v>224</v>
      </c>
      <c r="E413" s="35">
        <v>873.24</v>
      </c>
      <c r="F413" s="35">
        <v>0</v>
      </c>
      <c r="G413" s="35">
        <v>873.24</v>
      </c>
      <c r="H413" s="33" t="s">
        <v>1184</v>
      </c>
    </row>
    <row r="414" spans="1:8">
      <c r="A414" s="23" t="s">
        <v>1638</v>
      </c>
      <c r="B414" s="31">
        <v>46052</v>
      </c>
      <c r="C414" s="23" t="s">
        <v>1190</v>
      </c>
      <c r="D414" s="23" t="s">
        <v>492</v>
      </c>
      <c r="E414" s="32">
        <v>7201.44</v>
      </c>
      <c r="F414" s="32">
        <v>0</v>
      </c>
      <c r="G414" s="32">
        <v>7201.44</v>
      </c>
      <c r="H414" s="23" t="s">
        <v>1184</v>
      </c>
    </row>
    <row r="415" spans="1:8">
      <c r="A415" s="33" t="s">
        <v>1639</v>
      </c>
      <c r="B415" s="34">
        <v>46052</v>
      </c>
      <c r="C415" s="33" t="s">
        <v>1192</v>
      </c>
      <c r="D415" s="33" t="s">
        <v>598</v>
      </c>
      <c r="E415" s="35">
        <v>7213.55</v>
      </c>
      <c r="F415" s="35">
        <v>0</v>
      </c>
      <c r="G415" s="35">
        <v>7213.55</v>
      </c>
      <c r="H415" s="33" t="s">
        <v>1184</v>
      </c>
    </row>
    <row r="416" spans="1:8">
      <c r="A416" s="23" t="s">
        <v>1640</v>
      </c>
      <c r="B416" s="31">
        <v>46052</v>
      </c>
      <c r="C416" s="23" t="s">
        <v>1183</v>
      </c>
      <c r="D416" s="23" t="s">
        <v>622</v>
      </c>
      <c r="E416" s="32">
        <v>0</v>
      </c>
      <c r="F416" s="32">
        <v>4754.8</v>
      </c>
      <c r="G416" s="32">
        <v>-4754.8</v>
      </c>
      <c r="H416" s="23" t="s">
        <v>1184</v>
      </c>
    </row>
    <row r="417" spans="1:8">
      <c r="A417" s="33" t="s">
        <v>1641</v>
      </c>
      <c r="B417" s="34">
        <v>46052</v>
      </c>
      <c r="C417" s="33" t="s">
        <v>183</v>
      </c>
      <c r="D417" s="33" t="s">
        <v>656</v>
      </c>
      <c r="E417" s="35">
        <v>0</v>
      </c>
      <c r="F417" s="35">
        <v>9397.64</v>
      </c>
      <c r="G417" s="35">
        <v>-9397.64</v>
      </c>
      <c r="H417" s="33" t="s">
        <v>1184</v>
      </c>
    </row>
    <row r="418" spans="1:8">
      <c r="A418" s="23" t="s">
        <v>1642</v>
      </c>
      <c r="B418" s="31">
        <v>46052</v>
      </c>
      <c r="C418" s="23" t="s">
        <v>183</v>
      </c>
      <c r="D418" s="23" t="s">
        <v>700</v>
      </c>
      <c r="E418" s="32">
        <v>0</v>
      </c>
      <c r="F418" s="32">
        <v>2726.86</v>
      </c>
      <c r="G418" s="32">
        <v>-2726.86</v>
      </c>
      <c r="H418" s="23" t="s">
        <v>1184</v>
      </c>
    </row>
    <row r="419" spans="1:8">
      <c r="A419" s="33" t="s">
        <v>1643</v>
      </c>
      <c r="B419" s="34">
        <v>46052</v>
      </c>
      <c r="C419" s="33" t="s">
        <v>1226</v>
      </c>
      <c r="D419" s="33" t="s">
        <v>756</v>
      </c>
      <c r="E419" s="35">
        <v>2911.19</v>
      </c>
      <c r="F419" s="35">
        <v>0</v>
      </c>
      <c r="G419" s="35">
        <v>2911.19</v>
      </c>
      <c r="H419" s="33" t="s">
        <v>1184</v>
      </c>
    </row>
    <row r="420" spans="1:8">
      <c r="A420" s="23" t="s">
        <v>1644</v>
      </c>
      <c r="B420" s="31">
        <v>46052</v>
      </c>
      <c r="C420" s="23" t="s">
        <v>1214</v>
      </c>
      <c r="D420" s="23" t="s">
        <v>1055</v>
      </c>
      <c r="E420" s="32">
        <v>0</v>
      </c>
      <c r="F420" s="32">
        <v>3329.93</v>
      </c>
      <c r="G420" s="32">
        <v>-3329.93</v>
      </c>
      <c r="H420" s="23" t="s">
        <v>1184</v>
      </c>
    </row>
    <row r="421" spans="1:8">
      <c r="A421" s="33" t="s">
        <v>1645</v>
      </c>
      <c r="B421" s="34">
        <v>46052</v>
      </c>
      <c r="C421" s="33" t="s">
        <v>183</v>
      </c>
      <c r="D421" s="33" t="s">
        <v>1063</v>
      </c>
      <c r="E421" s="35">
        <v>0</v>
      </c>
      <c r="F421" s="35">
        <v>2777.31</v>
      </c>
      <c r="G421" s="35">
        <v>-2777.31</v>
      </c>
      <c r="H421" s="33" t="s">
        <v>1184</v>
      </c>
    </row>
    <row r="422" spans="1:8">
      <c r="A422" s="23" t="s">
        <v>1646</v>
      </c>
      <c r="B422" s="31">
        <v>46052</v>
      </c>
      <c r="C422" s="23" t="s">
        <v>1194</v>
      </c>
      <c r="D422" s="23" t="s">
        <v>1077</v>
      </c>
      <c r="E422" s="32">
        <v>0</v>
      </c>
      <c r="F422" s="32">
        <v>4174.41</v>
      </c>
      <c r="G422" s="32">
        <v>-4174.41</v>
      </c>
      <c r="H422" s="23" t="s">
        <v>1184</v>
      </c>
    </row>
    <row r="423" spans="1:8">
      <c r="A423" s="33" t="s">
        <v>1647</v>
      </c>
      <c r="B423" s="34">
        <v>46052</v>
      </c>
      <c r="C423" s="33" t="s">
        <v>183</v>
      </c>
      <c r="D423" s="33" t="s">
        <v>1083</v>
      </c>
      <c r="E423" s="35">
        <v>0</v>
      </c>
      <c r="F423" s="35">
        <v>2640.25</v>
      </c>
      <c r="G423" s="35">
        <v>-2640.25</v>
      </c>
      <c r="H423" s="33" t="s">
        <v>1184</v>
      </c>
    </row>
    <row r="424" spans="1:8">
      <c r="A424" s="23" t="s">
        <v>1648</v>
      </c>
      <c r="B424" s="31">
        <v>46052</v>
      </c>
      <c r="C424" s="23" t="s">
        <v>1226</v>
      </c>
      <c r="D424" s="23" t="s">
        <v>1111</v>
      </c>
      <c r="E424" s="32">
        <v>6557.93</v>
      </c>
      <c r="F424" s="32">
        <v>0</v>
      </c>
      <c r="G424" s="32">
        <v>6557.93</v>
      </c>
      <c r="H424" s="23" t="s">
        <v>1184</v>
      </c>
    </row>
    <row r="425" spans="1:8">
      <c r="A425" s="33" t="s">
        <v>1649</v>
      </c>
      <c r="B425" s="34">
        <v>46052</v>
      </c>
      <c r="C425" s="33" t="s">
        <v>1183</v>
      </c>
      <c r="D425" s="33" t="s">
        <v>1125</v>
      </c>
      <c r="E425" s="35">
        <v>0</v>
      </c>
      <c r="F425" s="35">
        <v>2851.42</v>
      </c>
      <c r="G425" s="35">
        <v>-2851.42</v>
      </c>
      <c r="H425" s="33" t="s">
        <v>1184</v>
      </c>
    </row>
    <row r="426" spans="1:8">
      <c r="A426" s="23" t="s">
        <v>1650</v>
      </c>
      <c r="B426" s="31">
        <v>46052</v>
      </c>
      <c r="C426" s="23" t="s">
        <v>1190</v>
      </c>
      <c r="D426" s="23" t="s">
        <v>1155</v>
      </c>
      <c r="E426" s="32">
        <v>8471.8700000000008</v>
      </c>
      <c r="F426" s="32">
        <v>0</v>
      </c>
      <c r="G426" s="32">
        <v>8471.8700000000008</v>
      </c>
      <c r="H426" s="23" t="s">
        <v>1184</v>
      </c>
    </row>
    <row r="427" spans="1:8">
      <c r="A427" s="33" t="s">
        <v>1651</v>
      </c>
      <c r="B427" s="34">
        <v>46053</v>
      </c>
      <c r="C427" s="33" t="s">
        <v>1202</v>
      </c>
      <c r="D427" s="33" t="s">
        <v>383</v>
      </c>
      <c r="E427" s="35">
        <v>2511.71</v>
      </c>
      <c r="F427" s="35">
        <v>0</v>
      </c>
      <c r="G427" s="35">
        <v>2511.71</v>
      </c>
      <c r="H427" s="33" t="s">
        <v>1184</v>
      </c>
    </row>
    <row r="428" spans="1:8">
      <c r="A428" s="23" t="s">
        <v>1652</v>
      </c>
      <c r="B428" s="31">
        <v>46053</v>
      </c>
      <c r="C428" s="23" t="s">
        <v>1186</v>
      </c>
      <c r="D428" s="23" t="s">
        <v>403</v>
      </c>
      <c r="E428" s="32">
        <v>0</v>
      </c>
      <c r="F428" s="32">
        <v>563.29</v>
      </c>
      <c r="G428" s="32">
        <v>-563.29</v>
      </c>
      <c r="H428" s="23" t="s">
        <v>1184</v>
      </c>
    </row>
    <row r="429" spans="1:8">
      <c r="A429" s="33" t="s">
        <v>1653</v>
      </c>
      <c r="B429" s="34">
        <v>46053</v>
      </c>
      <c r="C429" s="33" t="s">
        <v>1214</v>
      </c>
      <c r="D429" s="33" t="s">
        <v>588</v>
      </c>
      <c r="E429" s="35">
        <v>0</v>
      </c>
      <c r="F429" s="35">
        <v>3103.41</v>
      </c>
      <c r="G429" s="35">
        <v>-3103.41</v>
      </c>
      <c r="H429" s="33" t="s">
        <v>1184</v>
      </c>
    </row>
    <row r="430" spans="1:8">
      <c r="A430" s="23" t="s">
        <v>1654</v>
      </c>
      <c r="B430" s="31">
        <v>46053</v>
      </c>
      <c r="C430" s="23" t="s">
        <v>183</v>
      </c>
      <c r="D430" s="23" t="s">
        <v>662</v>
      </c>
      <c r="E430" s="32">
        <v>0</v>
      </c>
      <c r="F430" s="32">
        <v>6697.27</v>
      </c>
      <c r="G430" s="32">
        <v>-6697.27</v>
      </c>
      <c r="H430" s="23" t="s">
        <v>1184</v>
      </c>
    </row>
    <row r="431" spans="1:8">
      <c r="A431" s="33" t="s">
        <v>1655</v>
      </c>
      <c r="B431" s="34">
        <v>46053</v>
      </c>
      <c r="C431" s="33" t="s">
        <v>1183</v>
      </c>
      <c r="D431" s="33" t="s">
        <v>933</v>
      </c>
      <c r="E431" s="35">
        <v>0</v>
      </c>
      <c r="F431" s="35">
        <v>2809.59</v>
      </c>
      <c r="G431" s="35">
        <v>-2809.59</v>
      </c>
      <c r="H431" s="33" t="s">
        <v>1184</v>
      </c>
    </row>
    <row r="432" spans="1:8">
      <c r="A432" s="23" t="s">
        <v>1656</v>
      </c>
      <c r="B432" s="31">
        <v>46053</v>
      </c>
      <c r="C432" s="23" t="s">
        <v>1269</v>
      </c>
      <c r="D432" s="23" t="s">
        <v>961</v>
      </c>
      <c r="E432" s="32">
        <v>4872.34</v>
      </c>
      <c r="F432" s="32">
        <v>0</v>
      </c>
      <c r="G432" s="32">
        <v>4872.34</v>
      </c>
      <c r="H432" s="23" t="s">
        <v>1184</v>
      </c>
    </row>
    <row r="433" spans="1:8">
      <c r="A433" s="33" t="s">
        <v>1657</v>
      </c>
      <c r="B433" s="34">
        <v>46053</v>
      </c>
      <c r="C433" s="33" t="s">
        <v>1188</v>
      </c>
      <c r="D433" s="33" t="s">
        <v>1041</v>
      </c>
      <c r="E433" s="35">
        <v>0</v>
      </c>
      <c r="F433" s="35">
        <v>1440.19</v>
      </c>
      <c r="G433" s="35">
        <v>-1440.19</v>
      </c>
      <c r="H433" s="33" t="s">
        <v>1184</v>
      </c>
    </row>
    <row r="434" spans="1:8">
      <c r="A434" s="23" t="s">
        <v>1658</v>
      </c>
      <c r="B434" s="31">
        <v>46053</v>
      </c>
      <c r="C434" s="23" t="s">
        <v>1240</v>
      </c>
      <c r="D434" s="23" t="s">
        <v>1659</v>
      </c>
      <c r="E434" s="32">
        <v>0</v>
      </c>
      <c r="F434" s="32">
        <v>1590.6</v>
      </c>
      <c r="G434" s="32">
        <v>-1590.6</v>
      </c>
      <c r="H434" s="23" t="s">
        <v>1242</v>
      </c>
    </row>
    <row r="435" spans="1:8">
      <c r="A435" s="33" t="s">
        <v>1660</v>
      </c>
      <c r="B435" s="34">
        <v>46053</v>
      </c>
      <c r="C435" s="33" t="s">
        <v>1240</v>
      </c>
      <c r="D435" s="33" t="s">
        <v>1661</v>
      </c>
      <c r="E435" s="35">
        <v>2374.42</v>
      </c>
      <c r="F435" s="35">
        <v>0</v>
      </c>
      <c r="G435" s="35">
        <v>2374.42</v>
      </c>
      <c r="H435" s="33" t="s">
        <v>1242</v>
      </c>
    </row>
    <row r="436" spans="1:8">
      <c r="A436" s="23" t="s">
        <v>1662</v>
      </c>
      <c r="B436" s="31">
        <v>46053</v>
      </c>
      <c r="C436" s="23" t="s">
        <v>1240</v>
      </c>
      <c r="D436" s="23" t="s">
        <v>1663</v>
      </c>
      <c r="E436" s="32">
        <v>837.16</v>
      </c>
      <c r="F436" s="32">
        <v>0</v>
      </c>
      <c r="G436" s="32">
        <v>837.16</v>
      </c>
      <c r="H436" s="23" t="s">
        <v>1242</v>
      </c>
    </row>
    <row r="437" spans="1:8">
      <c r="A437" s="33" t="s">
        <v>1664</v>
      </c>
      <c r="B437" s="34">
        <v>46053</v>
      </c>
      <c r="C437" s="33" t="s">
        <v>1240</v>
      </c>
      <c r="D437" s="33" t="s">
        <v>1665</v>
      </c>
      <c r="E437" s="35">
        <v>1079.3399999999999</v>
      </c>
      <c r="F437" s="35">
        <v>0</v>
      </c>
      <c r="G437" s="35">
        <v>1079.3399999999999</v>
      </c>
      <c r="H437" s="33" t="s">
        <v>1242</v>
      </c>
    </row>
    <row r="438" spans="1:8">
      <c r="A438" s="23" t="s">
        <v>1666</v>
      </c>
      <c r="B438" s="31">
        <v>46054</v>
      </c>
      <c r="C438" s="23" t="s">
        <v>1183</v>
      </c>
      <c r="D438" s="23" t="s">
        <v>277</v>
      </c>
      <c r="E438" s="32">
        <v>0</v>
      </c>
      <c r="F438" s="32">
        <v>1366.32</v>
      </c>
      <c r="G438" s="32">
        <v>-1366.32</v>
      </c>
      <c r="H438" s="23" t="s">
        <v>1184</v>
      </c>
    </row>
    <row r="439" spans="1:8">
      <c r="A439" s="33" t="s">
        <v>1667</v>
      </c>
      <c r="B439" s="34">
        <v>46054</v>
      </c>
      <c r="C439" s="33" t="s">
        <v>1198</v>
      </c>
      <c r="D439" s="33" t="s">
        <v>321</v>
      </c>
      <c r="E439" s="35">
        <v>3786.32</v>
      </c>
      <c r="F439" s="35">
        <v>0</v>
      </c>
      <c r="G439" s="35">
        <v>3786.32</v>
      </c>
      <c r="H439" s="33" t="s">
        <v>1184</v>
      </c>
    </row>
    <row r="440" spans="1:8">
      <c r="A440" s="23" t="s">
        <v>1668</v>
      </c>
      <c r="B440" s="31">
        <v>46054</v>
      </c>
      <c r="C440" s="23" t="s">
        <v>164</v>
      </c>
      <c r="D440" s="23" t="s">
        <v>323</v>
      </c>
      <c r="E440" s="32">
        <v>1645.41</v>
      </c>
      <c r="F440" s="32">
        <v>0</v>
      </c>
      <c r="G440" s="32">
        <v>1645.41</v>
      </c>
      <c r="H440" s="23" t="s">
        <v>1184</v>
      </c>
    </row>
    <row r="441" spans="1:8">
      <c r="A441" s="33" t="s">
        <v>1669</v>
      </c>
      <c r="B441" s="34">
        <v>46054</v>
      </c>
      <c r="C441" s="33" t="s">
        <v>183</v>
      </c>
      <c r="D441" s="33" t="s">
        <v>496</v>
      </c>
      <c r="E441" s="35">
        <v>0</v>
      </c>
      <c r="F441" s="35">
        <v>14318.04</v>
      </c>
      <c r="G441" s="35">
        <v>-14318.04</v>
      </c>
      <c r="H441" s="33" t="s">
        <v>1184</v>
      </c>
    </row>
    <row r="442" spans="1:8">
      <c r="A442" s="23" t="s">
        <v>1670</v>
      </c>
      <c r="B442" s="31">
        <v>46054</v>
      </c>
      <c r="C442" s="23" t="s">
        <v>1269</v>
      </c>
      <c r="D442" s="23" t="s">
        <v>1007</v>
      </c>
      <c r="E442" s="32">
        <v>5868.51</v>
      </c>
      <c r="F442" s="32">
        <v>0</v>
      </c>
      <c r="G442" s="32">
        <v>5868.51</v>
      </c>
      <c r="H442" s="23" t="s">
        <v>1184</v>
      </c>
    </row>
    <row r="443" spans="1:8">
      <c r="A443" s="33" t="s">
        <v>1671</v>
      </c>
      <c r="B443" s="34">
        <v>46055</v>
      </c>
      <c r="C443" s="33" t="s">
        <v>1202</v>
      </c>
      <c r="D443" s="33" t="s">
        <v>684</v>
      </c>
      <c r="E443" s="35">
        <v>5830.47</v>
      </c>
      <c r="F443" s="35">
        <v>0</v>
      </c>
      <c r="G443" s="35">
        <v>5830.47</v>
      </c>
      <c r="H443" s="33" t="s">
        <v>1184</v>
      </c>
    </row>
    <row r="444" spans="1:8">
      <c r="A444" s="23" t="s">
        <v>1672</v>
      </c>
      <c r="B444" s="31">
        <v>46055</v>
      </c>
      <c r="C444" s="23" t="s">
        <v>1183</v>
      </c>
      <c r="D444" s="23" t="s">
        <v>913</v>
      </c>
      <c r="E444" s="32">
        <v>0</v>
      </c>
      <c r="F444" s="32">
        <v>1677.26</v>
      </c>
      <c r="G444" s="32">
        <v>-1677.26</v>
      </c>
      <c r="H444" s="23" t="s">
        <v>1184</v>
      </c>
    </row>
    <row r="445" spans="1:8">
      <c r="A445" s="33" t="s">
        <v>1673</v>
      </c>
      <c r="B445" s="34">
        <v>46056</v>
      </c>
      <c r="C445" s="33" t="s">
        <v>1183</v>
      </c>
      <c r="D445" s="33" t="s">
        <v>616</v>
      </c>
      <c r="E445" s="35">
        <v>0</v>
      </c>
      <c r="F445" s="35">
        <v>5794.56</v>
      </c>
      <c r="G445" s="35">
        <v>-5794.56</v>
      </c>
      <c r="H445" s="33" t="s">
        <v>1184</v>
      </c>
    </row>
    <row r="446" spans="1:8">
      <c r="A446" s="23" t="s">
        <v>1674</v>
      </c>
      <c r="B446" s="31">
        <v>46056</v>
      </c>
      <c r="C446" s="23" t="s">
        <v>164</v>
      </c>
      <c r="D446" s="23" t="s">
        <v>937</v>
      </c>
      <c r="E446" s="32">
        <v>0</v>
      </c>
      <c r="F446" s="32">
        <v>3172.23</v>
      </c>
      <c r="G446" s="32">
        <v>-3172.23</v>
      </c>
      <c r="H446" s="23" t="s">
        <v>1184</v>
      </c>
    </row>
    <row r="447" spans="1:8">
      <c r="A447" s="33" t="s">
        <v>1675</v>
      </c>
      <c r="B447" s="34">
        <v>46058</v>
      </c>
      <c r="C447" s="33" t="s">
        <v>164</v>
      </c>
      <c r="D447" s="33" t="s">
        <v>281</v>
      </c>
      <c r="E447" s="35">
        <v>0</v>
      </c>
      <c r="F447" s="35">
        <v>1586.58</v>
      </c>
      <c r="G447" s="35">
        <v>-1586.58</v>
      </c>
      <c r="H447" s="33" t="s">
        <v>1184</v>
      </c>
    </row>
    <row r="448" spans="1:8">
      <c r="A448" s="23" t="s">
        <v>1676</v>
      </c>
      <c r="B448" s="31">
        <v>46058</v>
      </c>
      <c r="C448" s="23" t="s">
        <v>1269</v>
      </c>
      <c r="D448" s="23" t="s">
        <v>822</v>
      </c>
      <c r="E448" s="32">
        <v>4283</v>
      </c>
      <c r="F448" s="32">
        <v>0</v>
      </c>
      <c r="G448" s="32">
        <v>4283</v>
      </c>
      <c r="H448" s="23" t="s">
        <v>1184</v>
      </c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E44AD"/>
  </sheetPr>
  <dimension ref="A1:S503"/>
  <sheetViews>
    <sheetView workbookViewId="0">
      <pane ySplit="3" topLeftCell="A4" activePane="bottomLeft" state="frozen"/>
      <selection pane="bottomLeft" sqref="A1:S1"/>
    </sheetView>
  </sheetViews>
  <sheetFormatPr defaultRowHeight="13.8"/>
  <cols>
    <col min="1" max="1" width="28" customWidth="1"/>
    <col min="2" max="2" width="21" customWidth="1"/>
    <col min="3" max="3" width="11" customWidth="1"/>
    <col min="4" max="4" width="25" customWidth="1"/>
    <col min="5" max="5" width="14" customWidth="1"/>
    <col min="6" max="6" width="12" customWidth="1"/>
    <col min="7" max="7" width="28" customWidth="1"/>
    <col min="8" max="8" width="24" customWidth="1"/>
    <col min="9" max="14" width="28" customWidth="1"/>
    <col min="15" max="15" width="21" customWidth="1"/>
    <col min="16" max="16" width="23" customWidth="1"/>
    <col min="17" max="17" width="11" customWidth="1"/>
    <col min="18" max="18" width="14" customWidth="1"/>
    <col min="19" max="19" width="28" customWidth="1"/>
  </cols>
  <sheetData>
    <row r="1" spans="1:19" ht="24" customHeight="1">
      <c r="A1" s="103" t="s">
        <v>1677</v>
      </c>
      <c r="B1" s="104"/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  <c r="P1" s="104"/>
      <c r="Q1" s="104"/>
      <c r="R1" s="104"/>
      <c r="S1" s="104"/>
    </row>
    <row r="2" spans="1:19" ht="22.05" customHeight="1">
      <c r="A2" s="36"/>
      <c r="B2" s="36"/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</row>
    <row r="3" spans="1:19" ht="22.05" customHeight="1">
      <c r="A3" s="37" t="s">
        <v>111</v>
      </c>
      <c r="B3" s="37" t="s">
        <v>112</v>
      </c>
      <c r="C3" s="37" t="s">
        <v>114</v>
      </c>
      <c r="D3" s="37" t="s">
        <v>115</v>
      </c>
      <c r="E3" s="37" t="s">
        <v>117</v>
      </c>
      <c r="F3" s="37" t="s">
        <v>1678</v>
      </c>
      <c r="G3" s="37" t="s">
        <v>1679</v>
      </c>
      <c r="H3" s="37" t="s">
        <v>1680</v>
      </c>
      <c r="I3" s="37" t="s">
        <v>1176</v>
      </c>
      <c r="J3" s="37" t="s">
        <v>1681</v>
      </c>
      <c r="K3" s="37" t="s">
        <v>1682</v>
      </c>
      <c r="L3" s="37" t="s">
        <v>1683</v>
      </c>
      <c r="M3" s="37" t="s">
        <v>65</v>
      </c>
      <c r="N3" s="37" t="s">
        <v>1684</v>
      </c>
      <c r="O3" s="37" t="s">
        <v>123</v>
      </c>
      <c r="P3" s="37" t="s">
        <v>1685</v>
      </c>
      <c r="Q3" s="37" t="s">
        <v>1686</v>
      </c>
      <c r="R3" s="37" t="s">
        <v>1687</v>
      </c>
      <c r="S3" s="37" t="s">
        <v>1688</v>
      </c>
    </row>
    <row r="4" spans="1:19">
      <c r="A4" s="23" t="s">
        <v>124</v>
      </c>
      <c r="B4" s="31">
        <v>46043</v>
      </c>
      <c r="C4" s="23" t="s">
        <v>72</v>
      </c>
      <c r="D4" s="23" t="s">
        <v>126</v>
      </c>
      <c r="E4" s="23" t="s">
        <v>128</v>
      </c>
      <c r="F4" s="32">
        <v>-1763.18</v>
      </c>
      <c r="G4" s="38" t="str">
        <f ca="1">IFERROR(_xludf.XLOOKUP(E4,Bank_Statement!$D$4:$D$448,Bank_Statement!$G$4:$G$448,""),"")</f>
        <v/>
      </c>
      <c r="H4" s="32" t="str">
        <f t="shared" ref="H4:H67" ca="1" si="0">IF(G4="","",F4-G4)</f>
        <v/>
      </c>
      <c r="I4" s="39" t="str">
        <f ca="1">IFERROR(_xludf.XLOOKUP(E4,Bank_Statement!$D$4:$D$448,Bank_Statement!$B$4:$B$448,""),"")</f>
        <v/>
      </c>
      <c r="J4" s="40" t="str">
        <f t="shared" ref="J4:J67" ca="1" si="1">IF(I4="","",ABS(B4-I4))</f>
        <v/>
      </c>
      <c r="K4" s="41" t="str">
        <f ca="1">IF(G4="","Unmatched ERP",IF(AND(ABS(H4)&lt;=Mapping_Rules!$B$4,ABS(J4)&lt;=Mapping_Rules!$B$5),"Matched","Review"))</f>
        <v>Unmatched ERP</v>
      </c>
      <c r="L4" s="41" t="str">
        <f ca="1">IF(K4="Matched","None",IF(G4="","Missing from bank",IF(ABS(H4)&gt;Mapping_Rules!$B$4,"Amount variance","Date variance")))</f>
        <v>Missing from bank</v>
      </c>
      <c r="M4" s="41" t="str">
        <f ca="1">IF(K4="Matched","Low",IF(OR(IFERROR(ABS(H4),0)&gt;Mapping_Rules!$B$7,IFERROR(J4,0)&gt;Mapping_Rules!$B$8),"High","Medium"))</f>
        <v>High</v>
      </c>
      <c r="N4" s="41" t="str">
        <f t="shared" ref="N4:N67" ca="1" si="2">IF(K4="Matched","No action needed",IF(L4="Missing from bank","Check bank date or posting",IF(L4="Amount variance","Check invoice/payment amount","Check timing difference")))</f>
        <v>Check bank date or posting</v>
      </c>
      <c r="O4" s="23" t="s">
        <v>131</v>
      </c>
      <c r="P4" s="23" t="s">
        <v>77</v>
      </c>
      <c r="Q4" s="23" t="s">
        <v>1689</v>
      </c>
      <c r="R4" s="42"/>
      <c r="S4" s="43">
        <f ca="1">IF(K4="Matched",0,Mapping_Rules!$B$6-B4)</f>
        <v>10</v>
      </c>
    </row>
    <row r="5" spans="1:19">
      <c r="A5" s="44" t="s">
        <v>132</v>
      </c>
      <c r="B5" s="45">
        <v>46024</v>
      </c>
      <c r="C5" s="44" t="s">
        <v>72</v>
      </c>
      <c r="D5" s="44" t="s">
        <v>133</v>
      </c>
      <c r="E5" s="44" t="s">
        <v>135</v>
      </c>
      <c r="F5" s="46">
        <v>-1503.88</v>
      </c>
      <c r="G5" s="47" t="str">
        <f ca="1">IFERROR(_xludf.XLOOKUP(E5,Bank_Statement!$D$4:$D$448,Bank_Statement!$G$4:$G$448,""),"")</f>
        <v/>
      </c>
      <c r="H5" s="46" t="str">
        <f t="shared" ca="1" si="0"/>
        <v/>
      </c>
      <c r="I5" s="48" t="str">
        <f ca="1">IFERROR(_xludf.XLOOKUP(E5,Bank_Statement!$D$4:$D$448,Bank_Statement!$B$4:$B$448,""),"")</f>
        <v/>
      </c>
      <c r="J5" s="49" t="str">
        <f t="shared" ca="1" si="1"/>
        <v/>
      </c>
      <c r="K5" s="50" t="str">
        <f ca="1">IF(G5="","Unmatched ERP",IF(AND(ABS(H5)&lt;=Mapping_Rules!$B$4,ABS(J5)&lt;=Mapping_Rules!$B$5),"Matched","Review"))</f>
        <v>Unmatched ERP</v>
      </c>
      <c r="L5" s="50" t="str">
        <f ca="1">IF(K5="Matched","None",IF(G5="","Missing from bank",IF(ABS(H5)&gt;Mapping_Rules!$B$4,"Amount variance","Date variance")))</f>
        <v>Missing from bank</v>
      </c>
      <c r="M5" s="50" t="str">
        <f ca="1">IF(K5="Matched","Low",IF(OR(IFERROR(ABS(H5),0)&gt;Mapping_Rules!$B$7,IFERROR(J5,0)&gt;Mapping_Rules!$B$8),"High","Medium"))</f>
        <v>High</v>
      </c>
      <c r="N5" s="50" t="str">
        <f t="shared" ca="1" si="2"/>
        <v>Check bank date or posting</v>
      </c>
      <c r="O5" s="44" t="s">
        <v>131</v>
      </c>
      <c r="P5" s="44" t="s">
        <v>77</v>
      </c>
      <c r="Q5" s="44" t="s">
        <v>1689</v>
      </c>
      <c r="R5" s="51"/>
      <c r="S5" s="52">
        <f ca="1">IF(K5="Matched",0,Mapping_Rules!$B$6-B5)</f>
        <v>29</v>
      </c>
    </row>
    <row r="6" spans="1:19">
      <c r="A6" s="23" t="s">
        <v>138</v>
      </c>
      <c r="B6" s="31">
        <v>46041</v>
      </c>
      <c r="C6" s="23" t="s">
        <v>72</v>
      </c>
      <c r="D6" s="23" t="s">
        <v>139</v>
      </c>
      <c r="E6" s="23" t="s">
        <v>141</v>
      </c>
      <c r="F6" s="32">
        <v>-119.77</v>
      </c>
      <c r="G6" s="38" t="str">
        <f ca="1">IFERROR(_xludf.XLOOKUP(E6,Bank_Statement!$D$4:$D$448,Bank_Statement!$G$4:$G$448,""),"")</f>
        <v/>
      </c>
      <c r="H6" s="32" t="str">
        <f t="shared" ca="1" si="0"/>
        <v/>
      </c>
      <c r="I6" s="39" t="str">
        <f ca="1">IFERROR(_xludf.XLOOKUP(E6,Bank_Statement!$D$4:$D$448,Bank_Statement!$B$4:$B$448,""),"")</f>
        <v/>
      </c>
      <c r="J6" s="40" t="str">
        <f t="shared" ca="1" si="1"/>
        <v/>
      </c>
      <c r="K6" s="41" t="str">
        <f ca="1">IF(G6="","Unmatched ERP",IF(AND(ABS(H6)&lt;=Mapping_Rules!$B$4,ABS(J6)&lt;=Mapping_Rules!$B$5),"Matched","Review"))</f>
        <v>Unmatched ERP</v>
      </c>
      <c r="L6" s="41" t="str">
        <f ca="1">IF(K6="Matched","None",IF(G6="","Missing from bank",IF(ABS(H6)&gt;Mapping_Rules!$B$4,"Amount variance","Date variance")))</f>
        <v>Missing from bank</v>
      </c>
      <c r="M6" s="41" t="str">
        <f ca="1">IF(K6="Matched","Low",IF(OR(IFERROR(ABS(H6),0)&gt;Mapping_Rules!$B$7,IFERROR(J6,0)&gt;Mapping_Rules!$B$8),"High","Medium"))</f>
        <v>High</v>
      </c>
      <c r="N6" s="41" t="str">
        <f t="shared" ca="1" si="2"/>
        <v>Check bank date or posting</v>
      </c>
      <c r="O6" s="23" t="s">
        <v>131</v>
      </c>
      <c r="P6" s="23" t="s">
        <v>77</v>
      </c>
      <c r="Q6" s="23" t="s">
        <v>1689</v>
      </c>
      <c r="R6" s="42"/>
      <c r="S6" s="43">
        <f ca="1">IF(K6="Matched",0,Mapping_Rules!$B$6-B6)</f>
        <v>12</v>
      </c>
    </row>
    <row r="7" spans="1:19">
      <c r="A7" s="44" t="s">
        <v>143</v>
      </c>
      <c r="B7" s="45">
        <v>46047</v>
      </c>
      <c r="C7" s="44" t="s">
        <v>72</v>
      </c>
      <c r="D7" s="44" t="s">
        <v>144</v>
      </c>
      <c r="E7" s="44" t="s">
        <v>146</v>
      </c>
      <c r="F7" s="46">
        <v>-2405.16</v>
      </c>
      <c r="G7" s="47" t="str">
        <f ca="1">IFERROR(_xludf.XLOOKUP(E7,Bank_Statement!$D$4:$D$448,Bank_Statement!$G$4:$G$448,""),"")</f>
        <v/>
      </c>
      <c r="H7" s="46" t="str">
        <f t="shared" ca="1" si="0"/>
        <v/>
      </c>
      <c r="I7" s="48" t="str">
        <f ca="1">IFERROR(_xludf.XLOOKUP(E7,Bank_Statement!$D$4:$D$448,Bank_Statement!$B$4:$B$448,""),"")</f>
        <v/>
      </c>
      <c r="J7" s="49" t="str">
        <f t="shared" ca="1" si="1"/>
        <v/>
      </c>
      <c r="K7" s="50" t="str">
        <f ca="1">IF(G7="","Unmatched ERP",IF(AND(ABS(H7)&lt;=Mapping_Rules!$B$4,ABS(J7)&lt;=Mapping_Rules!$B$5),"Matched","Review"))</f>
        <v>Unmatched ERP</v>
      </c>
      <c r="L7" s="50" t="str">
        <f ca="1">IF(K7="Matched","None",IF(G7="","Missing from bank",IF(ABS(H7)&gt;Mapping_Rules!$B$4,"Amount variance","Date variance")))</f>
        <v>Missing from bank</v>
      </c>
      <c r="M7" s="50" t="str">
        <f ca="1">IF(K7="Matched","Low",IF(OR(IFERROR(ABS(H7),0)&gt;Mapping_Rules!$B$7,IFERROR(J7,0)&gt;Mapping_Rules!$B$8),"High","Medium"))</f>
        <v>High</v>
      </c>
      <c r="N7" s="50" t="str">
        <f t="shared" ca="1" si="2"/>
        <v>Check bank date or posting</v>
      </c>
      <c r="O7" s="44" t="s">
        <v>131</v>
      </c>
      <c r="P7" s="44" t="s">
        <v>77</v>
      </c>
      <c r="Q7" s="44" t="s">
        <v>1689</v>
      </c>
      <c r="R7" s="51"/>
      <c r="S7" s="52">
        <f ca="1">IF(K7="Matched",0,Mapping_Rules!$B$6-B7)</f>
        <v>6</v>
      </c>
    </row>
    <row r="8" spans="1:19">
      <c r="A8" s="23" t="s">
        <v>149</v>
      </c>
      <c r="B8" s="31">
        <v>46040</v>
      </c>
      <c r="C8" s="23" t="s">
        <v>72</v>
      </c>
      <c r="D8" s="23" t="s">
        <v>150</v>
      </c>
      <c r="E8" s="23" t="s">
        <v>152</v>
      </c>
      <c r="F8" s="32">
        <v>-562.26</v>
      </c>
      <c r="G8" s="38" t="str">
        <f ca="1">IFERROR(_xludf.XLOOKUP(E8,Bank_Statement!$D$4:$D$448,Bank_Statement!$G$4:$G$448,""),"")</f>
        <v/>
      </c>
      <c r="H8" s="32" t="str">
        <f t="shared" ca="1" si="0"/>
        <v/>
      </c>
      <c r="I8" s="39" t="str">
        <f ca="1">IFERROR(_xludf.XLOOKUP(E8,Bank_Statement!$D$4:$D$448,Bank_Statement!$B$4:$B$448,""),"")</f>
        <v/>
      </c>
      <c r="J8" s="40" t="str">
        <f t="shared" ca="1" si="1"/>
        <v/>
      </c>
      <c r="K8" s="41" t="str">
        <f ca="1">IF(G8="","Unmatched ERP",IF(AND(ABS(H8)&lt;=Mapping_Rules!$B$4,ABS(J8)&lt;=Mapping_Rules!$B$5),"Matched","Review"))</f>
        <v>Unmatched ERP</v>
      </c>
      <c r="L8" s="41" t="str">
        <f ca="1">IF(K8="Matched","None",IF(G8="","Missing from bank",IF(ABS(H8)&gt;Mapping_Rules!$B$4,"Amount variance","Date variance")))</f>
        <v>Missing from bank</v>
      </c>
      <c r="M8" s="41" t="str">
        <f ca="1">IF(K8="Matched","Low",IF(OR(IFERROR(ABS(H8),0)&gt;Mapping_Rules!$B$7,IFERROR(J8,0)&gt;Mapping_Rules!$B$8),"High","Medium"))</f>
        <v>High</v>
      </c>
      <c r="N8" s="41" t="str">
        <f t="shared" ca="1" si="2"/>
        <v>Check bank date or posting</v>
      </c>
      <c r="O8" s="23" t="s">
        <v>131</v>
      </c>
      <c r="P8" s="23" t="s">
        <v>77</v>
      </c>
      <c r="Q8" s="23" t="s">
        <v>1689</v>
      </c>
      <c r="R8" s="42"/>
      <c r="S8" s="43">
        <f ca="1">IF(K8="Matched",0,Mapping_Rules!$B$6-B8)</f>
        <v>13</v>
      </c>
    </row>
    <row r="9" spans="1:19">
      <c r="A9" s="44" t="s">
        <v>154</v>
      </c>
      <c r="B9" s="45">
        <v>46034</v>
      </c>
      <c r="C9" s="44" t="s">
        <v>81</v>
      </c>
      <c r="D9" s="44" t="s">
        <v>155</v>
      </c>
      <c r="E9" s="44" t="s">
        <v>157</v>
      </c>
      <c r="F9" s="46">
        <v>730.79</v>
      </c>
      <c r="G9" s="47" t="str">
        <f ca="1">IFERROR(_xludf.XLOOKUP(E9,Bank_Statement!$D$4:$D$448,Bank_Statement!$G$4:$G$448,""),"")</f>
        <v/>
      </c>
      <c r="H9" s="46" t="str">
        <f t="shared" ca="1" si="0"/>
        <v/>
      </c>
      <c r="I9" s="48" t="str">
        <f ca="1">IFERROR(_xludf.XLOOKUP(E9,Bank_Statement!$D$4:$D$448,Bank_Statement!$B$4:$B$448,""),"")</f>
        <v/>
      </c>
      <c r="J9" s="49" t="str">
        <f t="shared" ca="1" si="1"/>
        <v/>
      </c>
      <c r="K9" s="50" t="str">
        <f ca="1">IF(G9="","Unmatched ERP",IF(AND(ABS(H9)&lt;=Mapping_Rules!$B$4,ABS(J9)&lt;=Mapping_Rules!$B$5),"Matched","Review"))</f>
        <v>Unmatched ERP</v>
      </c>
      <c r="L9" s="50" t="str">
        <f ca="1">IF(K9="Matched","None",IF(G9="","Missing from bank",IF(ABS(H9)&gt;Mapping_Rules!$B$4,"Amount variance","Date variance")))</f>
        <v>Missing from bank</v>
      </c>
      <c r="M9" s="50" t="str">
        <f ca="1">IF(K9="Matched","Low",IF(OR(IFERROR(ABS(H9),0)&gt;Mapping_Rules!$B$7,IFERROR(J9,0)&gt;Mapping_Rules!$B$8),"High","Medium"))</f>
        <v>High</v>
      </c>
      <c r="N9" s="50" t="str">
        <f t="shared" ca="1" si="2"/>
        <v>Check bank date or posting</v>
      </c>
      <c r="O9" s="44" t="s">
        <v>158</v>
      </c>
      <c r="P9" s="44" t="s">
        <v>86</v>
      </c>
      <c r="Q9" s="44" t="s">
        <v>1689</v>
      </c>
      <c r="R9" s="51"/>
      <c r="S9" s="52">
        <f ca="1">IF(K9="Matched",0,Mapping_Rules!$B$6-B9)</f>
        <v>19</v>
      </c>
    </row>
    <row r="10" spans="1:19">
      <c r="A10" s="23" t="s">
        <v>159</v>
      </c>
      <c r="B10" s="31">
        <v>46050</v>
      </c>
      <c r="C10" s="23" t="s">
        <v>72</v>
      </c>
      <c r="D10" s="23" t="s">
        <v>144</v>
      </c>
      <c r="E10" s="23" t="s">
        <v>160</v>
      </c>
      <c r="F10" s="32">
        <v>-2406.37</v>
      </c>
      <c r="G10" s="38" t="str">
        <f ca="1">IFERROR(_xludf.XLOOKUP(E10,Bank_Statement!$D$4:$D$448,Bank_Statement!$G$4:$G$448,""),"")</f>
        <v/>
      </c>
      <c r="H10" s="32" t="str">
        <f t="shared" ca="1" si="0"/>
        <v/>
      </c>
      <c r="I10" s="39" t="str">
        <f ca="1">IFERROR(_xludf.XLOOKUP(E10,Bank_Statement!$D$4:$D$448,Bank_Statement!$B$4:$B$448,""),"")</f>
        <v/>
      </c>
      <c r="J10" s="40" t="str">
        <f t="shared" ca="1" si="1"/>
        <v/>
      </c>
      <c r="K10" s="41" t="str">
        <f ca="1">IF(G10="","Unmatched ERP",IF(AND(ABS(H10)&lt;=Mapping_Rules!$B$4,ABS(J10)&lt;=Mapping_Rules!$B$5),"Matched","Review"))</f>
        <v>Unmatched ERP</v>
      </c>
      <c r="L10" s="41" t="str">
        <f ca="1">IF(K10="Matched","None",IF(G10="","Missing from bank",IF(ABS(H10)&gt;Mapping_Rules!$B$4,"Amount variance","Date variance")))</f>
        <v>Missing from bank</v>
      </c>
      <c r="M10" s="41" t="str">
        <f ca="1">IF(K10="Matched","Low",IF(OR(IFERROR(ABS(H10),0)&gt;Mapping_Rules!$B$7,IFERROR(J10,0)&gt;Mapping_Rules!$B$8),"High","Medium"))</f>
        <v>High</v>
      </c>
      <c r="N10" s="41" t="str">
        <f t="shared" ca="1" si="2"/>
        <v>Check bank date or posting</v>
      </c>
      <c r="O10" s="23" t="s">
        <v>131</v>
      </c>
      <c r="P10" s="23" t="s">
        <v>77</v>
      </c>
      <c r="Q10" s="23" t="s">
        <v>1689</v>
      </c>
      <c r="R10" s="42"/>
      <c r="S10" s="43">
        <f ca="1">IF(K10="Matched",0,Mapping_Rules!$B$6-B10)</f>
        <v>3</v>
      </c>
    </row>
    <row r="11" spans="1:19">
      <c r="A11" s="44" t="s">
        <v>162</v>
      </c>
      <c r="B11" s="45">
        <v>46031</v>
      </c>
      <c r="C11" s="44" t="s">
        <v>90</v>
      </c>
      <c r="D11" s="44" t="s">
        <v>163</v>
      </c>
      <c r="E11" s="44" t="s">
        <v>165</v>
      </c>
      <c r="F11" s="46">
        <v>-3257.78</v>
      </c>
      <c r="G11" s="47" t="str">
        <f ca="1">IFERROR(_xludf.XLOOKUP(E11,Bank_Statement!$D$4:$D$448,Bank_Statement!$G$4:$G$448,""),"")</f>
        <v/>
      </c>
      <c r="H11" s="46" t="str">
        <f t="shared" ca="1" si="0"/>
        <v/>
      </c>
      <c r="I11" s="48" t="str">
        <f ca="1">IFERROR(_xludf.XLOOKUP(E11,Bank_Statement!$D$4:$D$448,Bank_Statement!$B$4:$B$448,""),"")</f>
        <v/>
      </c>
      <c r="J11" s="49" t="str">
        <f t="shared" ca="1" si="1"/>
        <v/>
      </c>
      <c r="K11" s="50" t="str">
        <f ca="1">IF(G11="","Unmatched ERP",IF(AND(ABS(H11)&lt;=Mapping_Rules!$B$4,ABS(J11)&lt;=Mapping_Rules!$B$5),"Matched","Review"))</f>
        <v>Unmatched ERP</v>
      </c>
      <c r="L11" s="50" t="str">
        <f ca="1">IF(K11="Matched","None",IF(G11="","Missing from bank",IF(ABS(H11)&gt;Mapping_Rules!$B$4,"Amount variance","Date variance")))</f>
        <v>Missing from bank</v>
      </c>
      <c r="M11" s="50" t="str">
        <f ca="1">IF(K11="Matched","Low",IF(OR(IFERROR(ABS(H11),0)&gt;Mapping_Rules!$B$7,IFERROR(J11,0)&gt;Mapping_Rules!$B$8),"High","Medium"))</f>
        <v>High</v>
      </c>
      <c r="N11" s="50" t="str">
        <f t="shared" ca="1" si="2"/>
        <v>Check bank date or posting</v>
      </c>
      <c r="O11" s="44" t="s">
        <v>131</v>
      </c>
      <c r="P11" s="44" t="s">
        <v>95</v>
      </c>
      <c r="Q11" s="44" t="s">
        <v>1689</v>
      </c>
      <c r="R11" s="51"/>
      <c r="S11" s="52">
        <f ca="1">IF(K11="Matched",0,Mapping_Rules!$B$6-B11)</f>
        <v>22</v>
      </c>
    </row>
    <row r="12" spans="1:19">
      <c r="A12" s="23" t="s">
        <v>166</v>
      </c>
      <c r="B12" s="31">
        <v>46052</v>
      </c>
      <c r="C12" s="23" t="s">
        <v>81</v>
      </c>
      <c r="D12" s="23" t="s">
        <v>167</v>
      </c>
      <c r="E12" s="23" t="s">
        <v>169</v>
      </c>
      <c r="F12" s="32">
        <v>1983.79</v>
      </c>
      <c r="G12" s="38" t="str">
        <f ca="1">IFERROR(_xludf.XLOOKUP(E12,Bank_Statement!$D$4:$D$448,Bank_Statement!$G$4:$G$448,""),"")</f>
        <v/>
      </c>
      <c r="H12" s="32" t="str">
        <f t="shared" ca="1" si="0"/>
        <v/>
      </c>
      <c r="I12" s="39" t="str">
        <f ca="1">IFERROR(_xludf.XLOOKUP(E12,Bank_Statement!$D$4:$D$448,Bank_Statement!$B$4:$B$448,""),"")</f>
        <v/>
      </c>
      <c r="J12" s="40" t="str">
        <f t="shared" ca="1" si="1"/>
        <v/>
      </c>
      <c r="K12" s="41" t="str">
        <f ca="1">IF(G12="","Unmatched ERP",IF(AND(ABS(H12)&lt;=Mapping_Rules!$B$4,ABS(J12)&lt;=Mapping_Rules!$B$5),"Matched","Review"))</f>
        <v>Unmatched ERP</v>
      </c>
      <c r="L12" s="41" t="str">
        <f ca="1">IF(K12="Matched","None",IF(G12="","Missing from bank",IF(ABS(H12)&gt;Mapping_Rules!$B$4,"Amount variance","Date variance")))</f>
        <v>Missing from bank</v>
      </c>
      <c r="M12" s="41" t="str">
        <f ca="1">IF(K12="Matched","Low",IF(OR(IFERROR(ABS(H12),0)&gt;Mapping_Rules!$B$7,IFERROR(J12,0)&gt;Mapping_Rules!$B$8),"High","Medium"))</f>
        <v>High</v>
      </c>
      <c r="N12" s="41" t="str">
        <f t="shared" ca="1" si="2"/>
        <v>Check bank date or posting</v>
      </c>
      <c r="O12" s="23" t="s">
        <v>158</v>
      </c>
      <c r="P12" s="23" t="s">
        <v>86</v>
      </c>
      <c r="Q12" s="23" t="s">
        <v>1689</v>
      </c>
      <c r="R12" s="42"/>
      <c r="S12" s="43">
        <f ca="1">IF(K12="Matched",0,Mapping_Rules!$B$6-B12)</f>
        <v>1</v>
      </c>
    </row>
    <row r="13" spans="1:19">
      <c r="A13" s="44" t="s">
        <v>170</v>
      </c>
      <c r="B13" s="45">
        <v>46035</v>
      </c>
      <c r="C13" s="44" t="s">
        <v>72</v>
      </c>
      <c r="D13" s="44" t="s">
        <v>133</v>
      </c>
      <c r="E13" s="44" t="s">
        <v>171</v>
      </c>
      <c r="F13" s="46">
        <v>-5668.39</v>
      </c>
      <c r="G13" s="47" t="str">
        <f ca="1">IFERROR(_xludf.XLOOKUP(E13,Bank_Statement!$D$4:$D$448,Bank_Statement!$G$4:$G$448,""),"")</f>
        <v/>
      </c>
      <c r="H13" s="46" t="str">
        <f t="shared" ca="1" si="0"/>
        <v/>
      </c>
      <c r="I13" s="48" t="str">
        <f ca="1">IFERROR(_xludf.XLOOKUP(E13,Bank_Statement!$D$4:$D$448,Bank_Statement!$B$4:$B$448,""),"")</f>
        <v/>
      </c>
      <c r="J13" s="49" t="str">
        <f t="shared" ca="1" si="1"/>
        <v/>
      </c>
      <c r="K13" s="50" t="str">
        <f ca="1">IF(G13="","Unmatched ERP",IF(AND(ABS(H13)&lt;=Mapping_Rules!$B$4,ABS(J13)&lt;=Mapping_Rules!$B$5),"Matched","Review"))</f>
        <v>Unmatched ERP</v>
      </c>
      <c r="L13" s="50" t="str">
        <f ca="1">IF(K13="Matched","None",IF(G13="","Missing from bank",IF(ABS(H13)&gt;Mapping_Rules!$B$4,"Amount variance","Date variance")))</f>
        <v>Missing from bank</v>
      </c>
      <c r="M13" s="50" t="str">
        <f ca="1">IF(K13="Matched","Low",IF(OR(IFERROR(ABS(H13),0)&gt;Mapping_Rules!$B$7,IFERROR(J13,0)&gt;Mapping_Rules!$B$8),"High","Medium"))</f>
        <v>High</v>
      </c>
      <c r="N13" s="50" t="str">
        <f t="shared" ca="1" si="2"/>
        <v>Check bank date or posting</v>
      </c>
      <c r="O13" s="44" t="s">
        <v>131</v>
      </c>
      <c r="P13" s="44" t="s">
        <v>77</v>
      </c>
      <c r="Q13" s="44" t="s">
        <v>1689</v>
      </c>
      <c r="R13" s="51"/>
      <c r="S13" s="52">
        <f ca="1">IF(K13="Matched",0,Mapping_Rules!$B$6-B13)</f>
        <v>18</v>
      </c>
    </row>
    <row r="14" spans="1:19">
      <c r="A14" s="23" t="s">
        <v>172</v>
      </c>
      <c r="B14" s="31">
        <v>46052</v>
      </c>
      <c r="C14" s="23" t="s">
        <v>81</v>
      </c>
      <c r="D14" s="23" t="s">
        <v>173</v>
      </c>
      <c r="E14" s="23" t="s">
        <v>175</v>
      </c>
      <c r="F14" s="32">
        <v>2361.75</v>
      </c>
      <c r="G14" s="38" t="str">
        <f ca="1">IFERROR(_xludf.XLOOKUP(E14,Bank_Statement!$D$4:$D$448,Bank_Statement!$G$4:$G$448,""),"")</f>
        <v/>
      </c>
      <c r="H14" s="32" t="str">
        <f t="shared" ca="1" si="0"/>
        <v/>
      </c>
      <c r="I14" s="39" t="str">
        <f ca="1">IFERROR(_xludf.XLOOKUP(E14,Bank_Statement!$D$4:$D$448,Bank_Statement!$B$4:$B$448,""),"")</f>
        <v/>
      </c>
      <c r="J14" s="40" t="str">
        <f t="shared" ca="1" si="1"/>
        <v/>
      </c>
      <c r="K14" s="41" t="str">
        <f ca="1">IF(G14="","Unmatched ERP",IF(AND(ABS(H14)&lt;=Mapping_Rules!$B$4,ABS(J14)&lt;=Mapping_Rules!$B$5),"Matched","Review"))</f>
        <v>Unmatched ERP</v>
      </c>
      <c r="L14" s="41" t="str">
        <f ca="1">IF(K14="Matched","None",IF(G14="","Missing from bank",IF(ABS(H14)&gt;Mapping_Rules!$B$4,"Amount variance","Date variance")))</f>
        <v>Missing from bank</v>
      </c>
      <c r="M14" s="41" t="str">
        <f ca="1">IF(K14="Matched","Low",IF(OR(IFERROR(ABS(H14),0)&gt;Mapping_Rules!$B$7,IFERROR(J14,0)&gt;Mapping_Rules!$B$8),"High","Medium"))</f>
        <v>High</v>
      </c>
      <c r="N14" s="41" t="str">
        <f t="shared" ca="1" si="2"/>
        <v>Check bank date or posting</v>
      </c>
      <c r="O14" s="23" t="s">
        <v>158</v>
      </c>
      <c r="P14" s="23" t="s">
        <v>86</v>
      </c>
      <c r="Q14" s="23" t="s">
        <v>1689</v>
      </c>
      <c r="R14" s="42"/>
      <c r="S14" s="43">
        <f ca="1">IF(K14="Matched",0,Mapping_Rules!$B$6-B14)</f>
        <v>1</v>
      </c>
    </row>
    <row r="15" spans="1:19">
      <c r="A15" s="44" t="s">
        <v>176</v>
      </c>
      <c r="B15" s="45">
        <v>46035</v>
      </c>
      <c r="C15" s="44" t="s">
        <v>81</v>
      </c>
      <c r="D15" s="44" t="s">
        <v>173</v>
      </c>
      <c r="E15" s="44" t="s">
        <v>177</v>
      </c>
      <c r="F15" s="46">
        <v>4404.54</v>
      </c>
      <c r="G15" s="47" t="str">
        <f ca="1">IFERROR(_xludf.XLOOKUP(E15,Bank_Statement!$D$4:$D$448,Bank_Statement!$G$4:$G$448,""),"")</f>
        <v/>
      </c>
      <c r="H15" s="46" t="str">
        <f t="shared" ca="1" si="0"/>
        <v/>
      </c>
      <c r="I15" s="48" t="str">
        <f ca="1">IFERROR(_xludf.XLOOKUP(E15,Bank_Statement!$D$4:$D$448,Bank_Statement!$B$4:$B$448,""),"")</f>
        <v/>
      </c>
      <c r="J15" s="49" t="str">
        <f t="shared" ca="1" si="1"/>
        <v/>
      </c>
      <c r="K15" s="50" t="str">
        <f ca="1">IF(G15="","Unmatched ERP",IF(AND(ABS(H15)&lt;=Mapping_Rules!$B$4,ABS(J15)&lt;=Mapping_Rules!$B$5),"Matched","Review"))</f>
        <v>Unmatched ERP</v>
      </c>
      <c r="L15" s="50" t="str">
        <f ca="1">IF(K15="Matched","None",IF(G15="","Missing from bank",IF(ABS(H15)&gt;Mapping_Rules!$B$4,"Amount variance","Date variance")))</f>
        <v>Missing from bank</v>
      </c>
      <c r="M15" s="50" t="str">
        <f ca="1">IF(K15="Matched","Low",IF(OR(IFERROR(ABS(H15),0)&gt;Mapping_Rules!$B$7,IFERROR(J15,0)&gt;Mapping_Rules!$B$8),"High","Medium"))</f>
        <v>High</v>
      </c>
      <c r="N15" s="50" t="str">
        <f t="shared" ca="1" si="2"/>
        <v>Check bank date or posting</v>
      </c>
      <c r="O15" s="44" t="s">
        <v>158</v>
      </c>
      <c r="P15" s="44" t="s">
        <v>86</v>
      </c>
      <c r="Q15" s="44" t="s">
        <v>1689</v>
      </c>
      <c r="R15" s="51"/>
      <c r="S15" s="52">
        <f ca="1">IF(K15="Matched",0,Mapping_Rules!$B$6-B15)</f>
        <v>18</v>
      </c>
    </row>
    <row r="16" spans="1:19">
      <c r="A16" s="23" t="s">
        <v>179</v>
      </c>
      <c r="B16" s="31">
        <v>46027</v>
      </c>
      <c r="C16" s="23" t="s">
        <v>81</v>
      </c>
      <c r="D16" s="23" t="s">
        <v>155</v>
      </c>
      <c r="E16" s="23" t="s">
        <v>180</v>
      </c>
      <c r="F16" s="32">
        <v>3675.04</v>
      </c>
      <c r="G16" s="38" t="str">
        <f ca="1">IFERROR(_xludf.XLOOKUP(E16,Bank_Statement!$D$4:$D$448,Bank_Statement!$G$4:$G$448,""),"")</f>
        <v/>
      </c>
      <c r="H16" s="32" t="str">
        <f t="shared" ca="1" si="0"/>
        <v/>
      </c>
      <c r="I16" s="39" t="str">
        <f ca="1">IFERROR(_xludf.XLOOKUP(E16,Bank_Statement!$D$4:$D$448,Bank_Statement!$B$4:$B$448,""),"")</f>
        <v/>
      </c>
      <c r="J16" s="40" t="str">
        <f t="shared" ca="1" si="1"/>
        <v/>
      </c>
      <c r="K16" s="41" t="str">
        <f ca="1">IF(G16="","Unmatched ERP",IF(AND(ABS(H16)&lt;=Mapping_Rules!$B$4,ABS(J16)&lt;=Mapping_Rules!$B$5),"Matched","Review"))</f>
        <v>Unmatched ERP</v>
      </c>
      <c r="L16" s="41" t="str">
        <f ca="1">IF(K16="Matched","None",IF(G16="","Missing from bank",IF(ABS(H16)&gt;Mapping_Rules!$B$4,"Amount variance","Date variance")))</f>
        <v>Missing from bank</v>
      </c>
      <c r="M16" s="41" t="str">
        <f ca="1">IF(K16="Matched","Low",IF(OR(IFERROR(ABS(H16),0)&gt;Mapping_Rules!$B$7,IFERROR(J16,0)&gt;Mapping_Rules!$B$8),"High","Medium"))</f>
        <v>High</v>
      </c>
      <c r="N16" s="41" t="str">
        <f t="shared" ca="1" si="2"/>
        <v>Check bank date or posting</v>
      </c>
      <c r="O16" s="23" t="s">
        <v>158</v>
      </c>
      <c r="P16" s="23" t="s">
        <v>86</v>
      </c>
      <c r="Q16" s="23" t="s">
        <v>1689</v>
      </c>
      <c r="R16" s="42"/>
      <c r="S16" s="43">
        <f ca="1">IF(K16="Matched",0,Mapping_Rules!$B$6-B16)</f>
        <v>26</v>
      </c>
    </row>
    <row r="17" spans="1:19">
      <c r="A17" s="44" t="s">
        <v>181</v>
      </c>
      <c r="B17" s="45">
        <v>46040</v>
      </c>
      <c r="C17" s="44" t="s">
        <v>99</v>
      </c>
      <c r="D17" s="44" t="s">
        <v>182</v>
      </c>
      <c r="E17" s="44" t="s">
        <v>184</v>
      </c>
      <c r="F17" s="46">
        <v>-2666.47</v>
      </c>
      <c r="G17" s="47" t="str">
        <f ca="1">IFERROR(_xludf.XLOOKUP(E17,Bank_Statement!$D$4:$D$448,Bank_Statement!$G$4:$G$448,""),"")</f>
        <v/>
      </c>
      <c r="H17" s="46" t="str">
        <f t="shared" ca="1" si="0"/>
        <v/>
      </c>
      <c r="I17" s="48" t="str">
        <f ca="1">IFERROR(_xludf.XLOOKUP(E17,Bank_Statement!$D$4:$D$448,Bank_Statement!$B$4:$B$448,""),"")</f>
        <v/>
      </c>
      <c r="J17" s="49" t="str">
        <f t="shared" ca="1" si="1"/>
        <v/>
      </c>
      <c r="K17" s="50" t="str">
        <f ca="1">IF(G17="","Unmatched ERP",IF(AND(ABS(H17)&lt;=Mapping_Rules!$B$4,ABS(J17)&lt;=Mapping_Rules!$B$5),"Matched","Review"))</f>
        <v>Unmatched ERP</v>
      </c>
      <c r="L17" s="50" t="str">
        <f ca="1">IF(K17="Matched","None",IF(G17="","Missing from bank",IF(ABS(H17)&gt;Mapping_Rules!$B$4,"Amount variance","Date variance")))</f>
        <v>Missing from bank</v>
      </c>
      <c r="M17" s="50" t="str">
        <f ca="1">IF(K17="Matched","Low",IF(OR(IFERROR(ABS(H17),0)&gt;Mapping_Rules!$B$7,IFERROR(J17,0)&gt;Mapping_Rules!$B$8),"High","Medium"))</f>
        <v>High</v>
      </c>
      <c r="N17" s="50" t="str">
        <f t="shared" ca="1" si="2"/>
        <v>Check bank date or posting</v>
      </c>
      <c r="O17" s="44" t="s">
        <v>185</v>
      </c>
      <c r="P17" s="44" t="s">
        <v>95</v>
      </c>
      <c r="Q17" s="44" t="s">
        <v>1689</v>
      </c>
      <c r="R17" s="51"/>
      <c r="S17" s="52">
        <f ca="1">IF(K17="Matched",0,Mapping_Rules!$B$6-B17)</f>
        <v>13</v>
      </c>
    </row>
    <row r="18" spans="1:19">
      <c r="A18" s="23" t="s">
        <v>186</v>
      </c>
      <c r="B18" s="31">
        <v>46036</v>
      </c>
      <c r="C18" s="23" t="s">
        <v>72</v>
      </c>
      <c r="D18" s="23" t="s">
        <v>144</v>
      </c>
      <c r="E18" s="23" t="s">
        <v>187</v>
      </c>
      <c r="F18" s="32">
        <v>-5917.35</v>
      </c>
      <c r="G18" s="38" t="str">
        <f ca="1">IFERROR(_xludf.XLOOKUP(E18,Bank_Statement!$D$4:$D$448,Bank_Statement!$G$4:$G$448,""),"")</f>
        <v/>
      </c>
      <c r="H18" s="32" t="str">
        <f t="shared" ca="1" si="0"/>
        <v/>
      </c>
      <c r="I18" s="39" t="str">
        <f ca="1">IFERROR(_xludf.XLOOKUP(E18,Bank_Statement!$D$4:$D$448,Bank_Statement!$B$4:$B$448,""),"")</f>
        <v/>
      </c>
      <c r="J18" s="40" t="str">
        <f t="shared" ca="1" si="1"/>
        <v/>
      </c>
      <c r="K18" s="41" t="str">
        <f ca="1">IF(G18="","Unmatched ERP",IF(AND(ABS(H18)&lt;=Mapping_Rules!$B$4,ABS(J18)&lt;=Mapping_Rules!$B$5),"Matched","Review"))</f>
        <v>Unmatched ERP</v>
      </c>
      <c r="L18" s="41" t="str">
        <f ca="1">IF(K18="Matched","None",IF(G18="","Missing from bank",IF(ABS(H18)&gt;Mapping_Rules!$B$4,"Amount variance","Date variance")))</f>
        <v>Missing from bank</v>
      </c>
      <c r="M18" s="41" t="str">
        <f ca="1">IF(K18="Matched","Low",IF(OR(IFERROR(ABS(H18),0)&gt;Mapping_Rules!$B$7,IFERROR(J18,0)&gt;Mapping_Rules!$B$8),"High","Medium"))</f>
        <v>High</v>
      </c>
      <c r="N18" s="41" t="str">
        <f t="shared" ca="1" si="2"/>
        <v>Check bank date or posting</v>
      </c>
      <c r="O18" s="23" t="s">
        <v>131</v>
      </c>
      <c r="P18" s="23" t="s">
        <v>77</v>
      </c>
      <c r="Q18" s="23" t="s">
        <v>1689</v>
      </c>
      <c r="R18" s="42"/>
      <c r="S18" s="43">
        <f ca="1">IF(K18="Matched",0,Mapping_Rules!$B$6-B18)</f>
        <v>17</v>
      </c>
    </row>
    <row r="19" spans="1:19">
      <c r="A19" s="44" t="s">
        <v>188</v>
      </c>
      <c r="B19" s="45">
        <v>46032</v>
      </c>
      <c r="C19" s="44" t="s">
        <v>99</v>
      </c>
      <c r="D19" s="44" t="s">
        <v>182</v>
      </c>
      <c r="E19" s="44" t="s">
        <v>189</v>
      </c>
      <c r="F19" s="46">
        <v>-9861.11</v>
      </c>
      <c r="G19" s="47" t="str">
        <f ca="1">IFERROR(_xludf.XLOOKUP(E19,Bank_Statement!$D$4:$D$448,Bank_Statement!$G$4:$G$448,""),"")</f>
        <v/>
      </c>
      <c r="H19" s="46" t="str">
        <f t="shared" ca="1" si="0"/>
        <v/>
      </c>
      <c r="I19" s="48" t="str">
        <f ca="1">IFERROR(_xludf.XLOOKUP(E19,Bank_Statement!$D$4:$D$448,Bank_Statement!$B$4:$B$448,""),"")</f>
        <v/>
      </c>
      <c r="J19" s="49" t="str">
        <f t="shared" ca="1" si="1"/>
        <v/>
      </c>
      <c r="K19" s="50" t="str">
        <f ca="1">IF(G19="","Unmatched ERP",IF(AND(ABS(H19)&lt;=Mapping_Rules!$B$4,ABS(J19)&lt;=Mapping_Rules!$B$5),"Matched","Review"))</f>
        <v>Unmatched ERP</v>
      </c>
      <c r="L19" s="50" t="str">
        <f ca="1">IF(K19="Matched","None",IF(G19="","Missing from bank",IF(ABS(H19)&gt;Mapping_Rules!$B$4,"Amount variance","Date variance")))</f>
        <v>Missing from bank</v>
      </c>
      <c r="M19" s="50" t="str">
        <f ca="1">IF(K19="Matched","Low",IF(OR(IFERROR(ABS(H19),0)&gt;Mapping_Rules!$B$7,IFERROR(J19,0)&gt;Mapping_Rules!$B$8),"High","Medium"))</f>
        <v>High</v>
      </c>
      <c r="N19" s="50" t="str">
        <f t="shared" ca="1" si="2"/>
        <v>Check bank date or posting</v>
      </c>
      <c r="O19" s="44" t="s">
        <v>185</v>
      </c>
      <c r="P19" s="44" t="s">
        <v>95</v>
      </c>
      <c r="Q19" s="44" t="s">
        <v>1689</v>
      </c>
      <c r="R19" s="51"/>
      <c r="S19" s="52">
        <f ca="1">IF(K19="Matched",0,Mapping_Rules!$B$6-B19)</f>
        <v>21</v>
      </c>
    </row>
    <row r="20" spans="1:19">
      <c r="A20" s="23" t="s">
        <v>190</v>
      </c>
      <c r="B20" s="31">
        <v>46047</v>
      </c>
      <c r="C20" s="23" t="s">
        <v>107</v>
      </c>
      <c r="D20" s="23" t="s">
        <v>191</v>
      </c>
      <c r="E20" s="23" t="s">
        <v>193</v>
      </c>
      <c r="F20" s="32">
        <v>-110.63</v>
      </c>
      <c r="G20" s="38" t="str">
        <f ca="1">IFERROR(_xludf.XLOOKUP(E20,Bank_Statement!$D$4:$D$448,Bank_Statement!$G$4:$G$448,""),"")</f>
        <v/>
      </c>
      <c r="H20" s="32" t="str">
        <f t="shared" ca="1" si="0"/>
        <v/>
      </c>
      <c r="I20" s="39" t="str">
        <f ca="1">IFERROR(_xludf.XLOOKUP(E20,Bank_Statement!$D$4:$D$448,Bank_Statement!$B$4:$B$448,""),"")</f>
        <v/>
      </c>
      <c r="J20" s="40" t="str">
        <f t="shared" ca="1" si="1"/>
        <v/>
      </c>
      <c r="K20" s="41" t="str">
        <f ca="1">IF(G20="","Unmatched ERP",IF(AND(ABS(H20)&lt;=Mapping_Rules!$B$4,ABS(J20)&lt;=Mapping_Rules!$B$5),"Matched","Review"))</f>
        <v>Unmatched ERP</v>
      </c>
      <c r="L20" s="41" t="str">
        <f ca="1">IF(K20="Matched","None",IF(G20="","Missing from bank",IF(ABS(H20)&gt;Mapping_Rules!$B$4,"Amount variance","Date variance")))</f>
        <v>Missing from bank</v>
      </c>
      <c r="M20" s="41" t="str">
        <f ca="1">IF(K20="Matched","Low",IF(OR(IFERROR(ABS(H20),0)&gt;Mapping_Rules!$B$7,IFERROR(J20,0)&gt;Mapping_Rules!$B$8),"High","Medium"))</f>
        <v>High</v>
      </c>
      <c r="N20" s="41" t="str">
        <f t="shared" ca="1" si="2"/>
        <v>Check bank date or posting</v>
      </c>
      <c r="O20" s="23" t="s">
        <v>194</v>
      </c>
      <c r="P20" s="23" t="s">
        <v>95</v>
      </c>
      <c r="Q20" s="23" t="s">
        <v>1689</v>
      </c>
      <c r="R20" s="42"/>
      <c r="S20" s="43">
        <f ca="1">IF(K20="Matched",0,Mapping_Rules!$B$6-B20)</f>
        <v>6</v>
      </c>
    </row>
    <row r="21" spans="1:19">
      <c r="A21" s="44" t="s">
        <v>195</v>
      </c>
      <c r="B21" s="45">
        <v>46051</v>
      </c>
      <c r="C21" s="44" t="s">
        <v>107</v>
      </c>
      <c r="D21" s="44" t="s">
        <v>191</v>
      </c>
      <c r="E21" s="44" t="s">
        <v>196</v>
      </c>
      <c r="F21" s="46">
        <v>-97.78</v>
      </c>
      <c r="G21" s="47" t="str">
        <f ca="1">IFERROR(_xludf.XLOOKUP(E21,Bank_Statement!$D$4:$D$448,Bank_Statement!$G$4:$G$448,""),"")</f>
        <v/>
      </c>
      <c r="H21" s="46" t="str">
        <f t="shared" ca="1" si="0"/>
        <v/>
      </c>
      <c r="I21" s="48" t="str">
        <f ca="1">IFERROR(_xludf.XLOOKUP(E21,Bank_Statement!$D$4:$D$448,Bank_Statement!$B$4:$B$448,""),"")</f>
        <v/>
      </c>
      <c r="J21" s="49" t="str">
        <f t="shared" ca="1" si="1"/>
        <v/>
      </c>
      <c r="K21" s="50" t="str">
        <f ca="1">IF(G21="","Unmatched ERP",IF(AND(ABS(H21)&lt;=Mapping_Rules!$B$4,ABS(J21)&lt;=Mapping_Rules!$B$5),"Matched","Review"))</f>
        <v>Unmatched ERP</v>
      </c>
      <c r="L21" s="50" t="str">
        <f ca="1">IF(K21="Matched","None",IF(G21="","Missing from bank",IF(ABS(H21)&gt;Mapping_Rules!$B$4,"Amount variance","Date variance")))</f>
        <v>Missing from bank</v>
      </c>
      <c r="M21" s="50" t="str">
        <f ca="1">IF(K21="Matched","Low",IF(OR(IFERROR(ABS(H21),0)&gt;Mapping_Rules!$B$7,IFERROR(J21,0)&gt;Mapping_Rules!$B$8),"High","Medium"))</f>
        <v>High</v>
      </c>
      <c r="N21" s="50" t="str">
        <f t="shared" ca="1" si="2"/>
        <v>Check bank date or posting</v>
      </c>
      <c r="O21" s="44" t="s">
        <v>194</v>
      </c>
      <c r="P21" s="44" t="s">
        <v>95</v>
      </c>
      <c r="Q21" s="44" t="s">
        <v>1689</v>
      </c>
      <c r="R21" s="51"/>
      <c r="S21" s="52">
        <f ca="1">IF(K21="Matched",0,Mapping_Rules!$B$6-B21)</f>
        <v>2</v>
      </c>
    </row>
    <row r="22" spans="1:19">
      <c r="A22" s="23" t="s">
        <v>197</v>
      </c>
      <c r="B22" s="31">
        <v>46038</v>
      </c>
      <c r="C22" s="23" t="s">
        <v>99</v>
      </c>
      <c r="D22" s="23" t="s">
        <v>182</v>
      </c>
      <c r="E22" s="23" t="s">
        <v>198</v>
      </c>
      <c r="F22" s="32">
        <v>-16680.78</v>
      </c>
      <c r="G22" s="38" t="str">
        <f ca="1">IFERROR(_xludf.XLOOKUP(E22,Bank_Statement!$D$4:$D$448,Bank_Statement!$G$4:$G$448,""),"")</f>
        <v/>
      </c>
      <c r="H22" s="32" t="str">
        <f t="shared" ca="1" si="0"/>
        <v/>
      </c>
      <c r="I22" s="39" t="str">
        <f ca="1">IFERROR(_xludf.XLOOKUP(E22,Bank_Statement!$D$4:$D$448,Bank_Statement!$B$4:$B$448,""),"")</f>
        <v/>
      </c>
      <c r="J22" s="40" t="str">
        <f t="shared" ca="1" si="1"/>
        <v/>
      </c>
      <c r="K22" s="41" t="str">
        <f ca="1">IF(G22="","Unmatched ERP",IF(AND(ABS(H22)&lt;=Mapping_Rules!$B$4,ABS(J22)&lt;=Mapping_Rules!$B$5),"Matched","Review"))</f>
        <v>Unmatched ERP</v>
      </c>
      <c r="L22" s="41" t="str">
        <f ca="1">IF(K22="Matched","None",IF(G22="","Missing from bank",IF(ABS(H22)&gt;Mapping_Rules!$B$4,"Amount variance","Date variance")))</f>
        <v>Missing from bank</v>
      </c>
      <c r="M22" s="41" t="str">
        <f ca="1">IF(K22="Matched","Low",IF(OR(IFERROR(ABS(H22),0)&gt;Mapping_Rules!$B$7,IFERROR(J22,0)&gt;Mapping_Rules!$B$8),"High","Medium"))</f>
        <v>High</v>
      </c>
      <c r="N22" s="41" t="str">
        <f t="shared" ca="1" si="2"/>
        <v>Check bank date or posting</v>
      </c>
      <c r="O22" s="23" t="s">
        <v>185</v>
      </c>
      <c r="P22" s="23" t="s">
        <v>95</v>
      </c>
      <c r="Q22" s="23" t="s">
        <v>1689</v>
      </c>
      <c r="R22" s="42"/>
      <c r="S22" s="43">
        <f ca="1">IF(K22="Matched",0,Mapping_Rules!$B$6-B22)</f>
        <v>15</v>
      </c>
    </row>
    <row r="23" spans="1:19">
      <c r="A23" s="44" t="s">
        <v>199</v>
      </c>
      <c r="B23" s="45">
        <v>46028</v>
      </c>
      <c r="C23" s="44" t="s">
        <v>72</v>
      </c>
      <c r="D23" s="44" t="s">
        <v>139</v>
      </c>
      <c r="E23" s="44" t="s">
        <v>200</v>
      </c>
      <c r="F23" s="46">
        <v>-3792.35</v>
      </c>
      <c r="G23" s="47" t="str">
        <f ca="1">IFERROR(_xludf.XLOOKUP(E23,Bank_Statement!$D$4:$D$448,Bank_Statement!$G$4:$G$448,""),"")</f>
        <v/>
      </c>
      <c r="H23" s="46" t="str">
        <f t="shared" ca="1" si="0"/>
        <v/>
      </c>
      <c r="I23" s="48" t="str">
        <f ca="1">IFERROR(_xludf.XLOOKUP(E23,Bank_Statement!$D$4:$D$448,Bank_Statement!$B$4:$B$448,""),"")</f>
        <v/>
      </c>
      <c r="J23" s="49" t="str">
        <f t="shared" ca="1" si="1"/>
        <v/>
      </c>
      <c r="K23" s="50" t="str">
        <f ca="1">IF(G23="","Unmatched ERP",IF(AND(ABS(H23)&lt;=Mapping_Rules!$B$4,ABS(J23)&lt;=Mapping_Rules!$B$5),"Matched","Review"))</f>
        <v>Unmatched ERP</v>
      </c>
      <c r="L23" s="50" t="str">
        <f ca="1">IF(K23="Matched","None",IF(G23="","Missing from bank",IF(ABS(H23)&gt;Mapping_Rules!$B$4,"Amount variance","Date variance")))</f>
        <v>Missing from bank</v>
      </c>
      <c r="M23" s="50" t="str">
        <f ca="1">IF(K23="Matched","Low",IF(OR(IFERROR(ABS(H23),0)&gt;Mapping_Rules!$B$7,IFERROR(J23,0)&gt;Mapping_Rules!$B$8),"High","Medium"))</f>
        <v>High</v>
      </c>
      <c r="N23" s="50" t="str">
        <f t="shared" ca="1" si="2"/>
        <v>Check bank date or posting</v>
      </c>
      <c r="O23" s="44" t="s">
        <v>131</v>
      </c>
      <c r="P23" s="44" t="s">
        <v>77</v>
      </c>
      <c r="Q23" s="44" t="s">
        <v>1689</v>
      </c>
      <c r="R23" s="51"/>
      <c r="S23" s="52">
        <f ca="1">IF(K23="Matched",0,Mapping_Rules!$B$6-B23)</f>
        <v>25</v>
      </c>
    </row>
    <row r="24" spans="1:19">
      <c r="A24" s="23" t="s">
        <v>201</v>
      </c>
      <c r="B24" s="31">
        <v>46035</v>
      </c>
      <c r="C24" s="23" t="s">
        <v>107</v>
      </c>
      <c r="D24" s="23" t="s">
        <v>191</v>
      </c>
      <c r="E24" s="23" t="s">
        <v>202</v>
      </c>
      <c r="F24" s="32">
        <v>-79.739999999999995</v>
      </c>
      <c r="G24" s="38" t="str">
        <f ca="1">IFERROR(_xludf.XLOOKUP(E24,Bank_Statement!$D$4:$D$448,Bank_Statement!$G$4:$G$448,""),"")</f>
        <v/>
      </c>
      <c r="H24" s="32" t="str">
        <f t="shared" ca="1" si="0"/>
        <v/>
      </c>
      <c r="I24" s="39" t="str">
        <f ca="1">IFERROR(_xludf.XLOOKUP(E24,Bank_Statement!$D$4:$D$448,Bank_Statement!$B$4:$B$448,""),"")</f>
        <v/>
      </c>
      <c r="J24" s="40" t="str">
        <f t="shared" ca="1" si="1"/>
        <v/>
      </c>
      <c r="K24" s="41" t="str">
        <f ca="1">IF(G24="","Unmatched ERP",IF(AND(ABS(H24)&lt;=Mapping_Rules!$B$4,ABS(J24)&lt;=Mapping_Rules!$B$5),"Matched","Review"))</f>
        <v>Unmatched ERP</v>
      </c>
      <c r="L24" s="41" t="str">
        <f ca="1">IF(K24="Matched","None",IF(G24="","Missing from bank",IF(ABS(H24)&gt;Mapping_Rules!$B$4,"Amount variance","Date variance")))</f>
        <v>Missing from bank</v>
      </c>
      <c r="M24" s="41" t="str">
        <f ca="1">IF(K24="Matched","Low",IF(OR(IFERROR(ABS(H24),0)&gt;Mapping_Rules!$B$7,IFERROR(J24,0)&gt;Mapping_Rules!$B$8),"High","Medium"))</f>
        <v>High</v>
      </c>
      <c r="N24" s="41" t="str">
        <f t="shared" ca="1" si="2"/>
        <v>Check bank date or posting</v>
      </c>
      <c r="O24" s="23" t="s">
        <v>194</v>
      </c>
      <c r="P24" s="23" t="s">
        <v>95</v>
      </c>
      <c r="Q24" s="23" t="s">
        <v>1689</v>
      </c>
      <c r="R24" s="42"/>
      <c r="S24" s="43">
        <f ca="1">IF(K24="Matched",0,Mapping_Rules!$B$6-B24)</f>
        <v>18</v>
      </c>
    </row>
    <row r="25" spans="1:19">
      <c r="A25" s="44" t="s">
        <v>203</v>
      </c>
      <c r="B25" s="45">
        <v>46033</v>
      </c>
      <c r="C25" s="44" t="s">
        <v>72</v>
      </c>
      <c r="D25" s="44" t="s">
        <v>204</v>
      </c>
      <c r="E25" s="44" t="s">
        <v>206</v>
      </c>
      <c r="F25" s="46">
        <v>-1488.3</v>
      </c>
      <c r="G25" s="47" t="str">
        <f ca="1">IFERROR(_xludf.XLOOKUP(E25,Bank_Statement!$D$4:$D$448,Bank_Statement!$G$4:$G$448,""),"")</f>
        <v/>
      </c>
      <c r="H25" s="46" t="str">
        <f t="shared" ca="1" si="0"/>
        <v/>
      </c>
      <c r="I25" s="48" t="str">
        <f ca="1">IFERROR(_xludf.XLOOKUP(E25,Bank_Statement!$D$4:$D$448,Bank_Statement!$B$4:$B$448,""),"")</f>
        <v/>
      </c>
      <c r="J25" s="49" t="str">
        <f t="shared" ca="1" si="1"/>
        <v/>
      </c>
      <c r="K25" s="50" t="str">
        <f ca="1">IF(G25="","Unmatched ERP",IF(AND(ABS(H25)&lt;=Mapping_Rules!$B$4,ABS(J25)&lt;=Mapping_Rules!$B$5),"Matched","Review"))</f>
        <v>Unmatched ERP</v>
      </c>
      <c r="L25" s="50" t="str">
        <f ca="1">IF(K25="Matched","None",IF(G25="","Missing from bank",IF(ABS(H25)&gt;Mapping_Rules!$B$4,"Amount variance","Date variance")))</f>
        <v>Missing from bank</v>
      </c>
      <c r="M25" s="50" t="str">
        <f ca="1">IF(K25="Matched","Low",IF(OR(IFERROR(ABS(H25),0)&gt;Mapping_Rules!$B$7,IFERROR(J25,0)&gt;Mapping_Rules!$B$8),"High","Medium"))</f>
        <v>High</v>
      </c>
      <c r="N25" s="50" t="str">
        <f t="shared" ca="1" si="2"/>
        <v>Check bank date or posting</v>
      </c>
      <c r="O25" s="44" t="s">
        <v>131</v>
      </c>
      <c r="P25" s="44" t="s">
        <v>77</v>
      </c>
      <c r="Q25" s="44" t="s">
        <v>1689</v>
      </c>
      <c r="R25" s="51"/>
      <c r="S25" s="52">
        <f ca="1">IF(K25="Matched",0,Mapping_Rules!$B$6-B25)</f>
        <v>20</v>
      </c>
    </row>
    <row r="26" spans="1:19">
      <c r="A26" s="23" t="s">
        <v>207</v>
      </c>
      <c r="B26" s="31">
        <v>46051</v>
      </c>
      <c r="C26" s="23" t="s">
        <v>72</v>
      </c>
      <c r="D26" s="23" t="s">
        <v>208</v>
      </c>
      <c r="E26" s="23" t="s">
        <v>210</v>
      </c>
      <c r="F26" s="32">
        <v>-513.65</v>
      </c>
      <c r="G26" s="38" t="str">
        <f ca="1">IFERROR(_xludf.XLOOKUP(E26,Bank_Statement!$D$4:$D$448,Bank_Statement!$G$4:$G$448,""),"")</f>
        <v/>
      </c>
      <c r="H26" s="32" t="str">
        <f t="shared" ca="1" si="0"/>
        <v/>
      </c>
      <c r="I26" s="39" t="str">
        <f ca="1">IFERROR(_xludf.XLOOKUP(E26,Bank_Statement!$D$4:$D$448,Bank_Statement!$B$4:$B$448,""),"")</f>
        <v/>
      </c>
      <c r="J26" s="40" t="str">
        <f t="shared" ca="1" si="1"/>
        <v/>
      </c>
      <c r="K26" s="41" t="str">
        <f ca="1">IF(G26="","Unmatched ERP",IF(AND(ABS(H26)&lt;=Mapping_Rules!$B$4,ABS(J26)&lt;=Mapping_Rules!$B$5),"Matched","Review"))</f>
        <v>Unmatched ERP</v>
      </c>
      <c r="L26" s="41" t="str">
        <f ca="1">IF(K26="Matched","None",IF(G26="","Missing from bank",IF(ABS(H26)&gt;Mapping_Rules!$B$4,"Amount variance","Date variance")))</f>
        <v>Missing from bank</v>
      </c>
      <c r="M26" s="41" t="str">
        <f ca="1">IF(K26="Matched","Low",IF(OR(IFERROR(ABS(H26),0)&gt;Mapping_Rules!$B$7,IFERROR(J26,0)&gt;Mapping_Rules!$B$8),"High","Medium"))</f>
        <v>High</v>
      </c>
      <c r="N26" s="41" t="str">
        <f t="shared" ca="1" si="2"/>
        <v>Check bank date or posting</v>
      </c>
      <c r="O26" s="23" t="s">
        <v>131</v>
      </c>
      <c r="P26" s="23" t="s">
        <v>77</v>
      </c>
      <c r="Q26" s="23" t="s">
        <v>1689</v>
      </c>
      <c r="R26" s="42"/>
      <c r="S26" s="43">
        <f ca="1">IF(K26="Matched",0,Mapping_Rules!$B$6-B26)</f>
        <v>2</v>
      </c>
    </row>
    <row r="27" spans="1:19">
      <c r="A27" s="44" t="s">
        <v>211</v>
      </c>
      <c r="B27" s="45">
        <v>46046</v>
      </c>
      <c r="C27" s="44" t="s">
        <v>107</v>
      </c>
      <c r="D27" s="44" t="s">
        <v>191</v>
      </c>
      <c r="E27" s="44" t="s">
        <v>212</v>
      </c>
      <c r="F27" s="46">
        <v>-70.67</v>
      </c>
      <c r="G27" s="47" t="str">
        <f ca="1">IFERROR(_xludf.XLOOKUP(E27,Bank_Statement!$D$4:$D$448,Bank_Statement!$G$4:$G$448,""),"")</f>
        <v/>
      </c>
      <c r="H27" s="46" t="str">
        <f t="shared" ca="1" si="0"/>
        <v/>
      </c>
      <c r="I27" s="48" t="str">
        <f ca="1">IFERROR(_xludf.XLOOKUP(E27,Bank_Statement!$D$4:$D$448,Bank_Statement!$B$4:$B$448,""),"")</f>
        <v/>
      </c>
      <c r="J27" s="49" t="str">
        <f t="shared" ca="1" si="1"/>
        <v/>
      </c>
      <c r="K27" s="50" t="str">
        <f ca="1">IF(G27="","Unmatched ERP",IF(AND(ABS(H27)&lt;=Mapping_Rules!$B$4,ABS(J27)&lt;=Mapping_Rules!$B$5),"Matched","Review"))</f>
        <v>Unmatched ERP</v>
      </c>
      <c r="L27" s="50" t="str">
        <f ca="1">IF(K27="Matched","None",IF(G27="","Missing from bank",IF(ABS(H27)&gt;Mapping_Rules!$B$4,"Amount variance","Date variance")))</f>
        <v>Missing from bank</v>
      </c>
      <c r="M27" s="50" t="str">
        <f ca="1">IF(K27="Matched","Low",IF(OR(IFERROR(ABS(H27),0)&gt;Mapping_Rules!$B$7,IFERROR(J27,0)&gt;Mapping_Rules!$B$8),"High","Medium"))</f>
        <v>High</v>
      </c>
      <c r="N27" s="50" t="str">
        <f t="shared" ca="1" si="2"/>
        <v>Check bank date or posting</v>
      </c>
      <c r="O27" s="44" t="s">
        <v>194</v>
      </c>
      <c r="P27" s="44" t="s">
        <v>95</v>
      </c>
      <c r="Q27" s="44" t="s">
        <v>1689</v>
      </c>
      <c r="R27" s="51"/>
      <c r="S27" s="52">
        <f ca="1">IF(K27="Matched",0,Mapping_Rules!$B$6-B27)</f>
        <v>7</v>
      </c>
    </row>
    <row r="28" spans="1:19">
      <c r="A28" s="23" t="s">
        <v>213</v>
      </c>
      <c r="B28" s="31">
        <v>46026</v>
      </c>
      <c r="C28" s="23" t="s">
        <v>81</v>
      </c>
      <c r="D28" s="23" t="s">
        <v>214</v>
      </c>
      <c r="E28" s="23" t="s">
        <v>216</v>
      </c>
      <c r="F28" s="32">
        <v>3686.88</v>
      </c>
      <c r="G28" s="38" t="str">
        <f ca="1">IFERROR(_xludf.XLOOKUP(E28,Bank_Statement!$D$4:$D$448,Bank_Statement!$G$4:$G$448,""),"")</f>
        <v/>
      </c>
      <c r="H28" s="32" t="str">
        <f t="shared" ca="1" si="0"/>
        <v/>
      </c>
      <c r="I28" s="39" t="str">
        <f ca="1">IFERROR(_xludf.XLOOKUP(E28,Bank_Statement!$D$4:$D$448,Bank_Statement!$B$4:$B$448,""),"")</f>
        <v/>
      </c>
      <c r="J28" s="40" t="str">
        <f t="shared" ca="1" si="1"/>
        <v/>
      </c>
      <c r="K28" s="41" t="str">
        <f ca="1">IF(G28="","Unmatched ERP",IF(AND(ABS(H28)&lt;=Mapping_Rules!$B$4,ABS(J28)&lt;=Mapping_Rules!$B$5),"Matched","Review"))</f>
        <v>Unmatched ERP</v>
      </c>
      <c r="L28" s="41" t="str">
        <f ca="1">IF(K28="Matched","None",IF(G28="","Missing from bank",IF(ABS(H28)&gt;Mapping_Rules!$B$4,"Amount variance","Date variance")))</f>
        <v>Missing from bank</v>
      </c>
      <c r="M28" s="41" t="str">
        <f ca="1">IF(K28="Matched","Low",IF(OR(IFERROR(ABS(H28),0)&gt;Mapping_Rules!$B$7,IFERROR(J28,0)&gt;Mapping_Rules!$B$8),"High","Medium"))</f>
        <v>High</v>
      </c>
      <c r="N28" s="41" t="str">
        <f t="shared" ca="1" si="2"/>
        <v>Check bank date or posting</v>
      </c>
      <c r="O28" s="23" t="s">
        <v>158</v>
      </c>
      <c r="P28" s="23" t="s">
        <v>86</v>
      </c>
      <c r="Q28" s="23" t="s">
        <v>1689</v>
      </c>
      <c r="R28" s="42"/>
      <c r="S28" s="43">
        <f ca="1">IF(K28="Matched",0,Mapping_Rules!$B$6-B28)</f>
        <v>27</v>
      </c>
    </row>
    <row r="29" spans="1:19">
      <c r="A29" s="44" t="s">
        <v>217</v>
      </c>
      <c r="B29" s="45">
        <v>46046</v>
      </c>
      <c r="C29" s="44" t="s">
        <v>72</v>
      </c>
      <c r="D29" s="44" t="s">
        <v>139</v>
      </c>
      <c r="E29" s="44" t="s">
        <v>218</v>
      </c>
      <c r="F29" s="46">
        <v>-748.73</v>
      </c>
      <c r="G29" s="47" t="str">
        <f ca="1">IFERROR(_xludf.XLOOKUP(E29,Bank_Statement!$D$4:$D$448,Bank_Statement!$G$4:$G$448,""),"")</f>
        <v/>
      </c>
      <c r="H29" s="46" t="str">
        <f t="shared" ca="1" si="0"/>
        <v/>
      </c>
      <c r="I29" s="48" t="str">
        <f ca="1">IFERROR(_xludf.XLOOKUP(E29,Bank_Statement!$D$4:$D$448,Bank_Statement!$B$4:$B$448,""),"")</f>
        <v/>
      </c>
      <c r="J29" s="49" t="str">
        <f t="shared" ca="1" si="1"/>
        <v/>
      </c>
      <c r="K29" s="50" t="str">
        <f ca="1">IF(G29="","Unmatched ERP",IF(AND(ABS(H29)&lt;=Mapping_Rules!$B$4,ABS(J29)&lt;=Mapping_Rules!$B$5),"Matched","Review"))</f>
        <v>Unmatched ERP</v>
      </c>
      <c r="L29" s="50" t="str">
        <f ca="1">IF(K29="Matched","None",IF(G29="","Missing from bank",IF(ABS(H29)&gt;Mapping_Rules!$B$4,"Amount variance","Date variance")))</f>
        <v>Missing from bank</v>
      </c>
      <c r="M29" s="50" t="str">
        <f ca="1">IF(K29="Matched","Low",IF(OR(IFERROR(ABS(H29),0)&gt;Mapping_Rules!$B$7,IFERROR(J29,0)&gt;Mapping_Rules!$B$8),"High","Medium"))</f>
        <v>High</v>
      </c>
      <c r="N29" s="50" t="str">
        <f t="shared" ca="1" si="2"/>
        <v>Check bank date or posting</v>
      </c>
      <c r="O29" s="44" t="s">
        <v>131</v>
      </c>
      <c r="P29" s="44" t="s">
        <v>77</v>
      </c>
      <c r="Q29" s="44" t="s">
        <v>1689</v>
      </c>
      <c r="R29" s="51"/>
      <c r="S29" s="52">
        <f ca="1">IF(K29="Matched",0,Mapping_Rules!$B$6-B29)</f>
        <v>7</v>
      </c>
    </row>
    <row r="30" spans="1:19">
      <c r="A30" s="23" t="s">
        <v>219</v>
      </c>
      <c r="B30" s="31">
        <v>46031</v>
      </c>
      <c r="C30" s="23" t="s">
        <v>81</v>
      </c>
      <c r="D30" s="23" t="s">
        <v>220</v>
      </c>
      <c r="E30" s="23" t="s">
        <v>222</v>
      </c>
      <c r="F30" s="32">
        <v>3850.14</v>
      </c>
      <c r="G30" s="38" t="str">
        <f ca="1">IFERROR(_xludf.XLOOKUP(E30,Bank_Statement!$D$4:$D$448,Bank_Statement!$G$4:$G$448,""),"")</f>
        <v/>
      </c>
      <c r="H30" s="32" t="str">
        <f t="shared" ca="1" si="0"/>
        <v/>
      </c>
      <c r="I30" s="39" t="str">
        <f ca="1">IFERROR(_xludf.XLOOKUP(E30,Bank_Statement!$D$4:$D$448,Bank_Statement!$B$4:$B$448,""),"")</f>
        <v/>
      </c>
      <c r="J30" s="40" t="str">
        <f t="shared" ca="1" si="1"/>
        <v/>
      </c>
      <c r="K30" s="41" t="str">
        <f ca="1">IF(G30="","Unmatched ERP",IF(AND(ABS(H30)&lt;=Mapping_Rules!$B$4,ABS(J30)&lt;=Mapping_Rules!$B$5),"Matched","Review"))</f>
        <v>Unmatched ERP</v>
      </c>
      <c r="L30" s="41" t="str">
        <f ca="1">IF(K30="Matched","None",IF(G30="","Missing from bank",IF(ABS(H30)&gt;Mapping_Rules!$B$4,"Amount variance","Date variance")))</f>
        <v>Missing from bank</v>
      </c>
      <c r="M30" s="41" t="str">
        <f ca="1">IF(K30="Matched","Low",IF(OR(IFERROR(ABS(H30),0)&gt;Mapping_Rules!$B$7,IFERROR(J30,0)&gt;Mapping_Rules!$B$8),"High","Medium"))</f>
        <v>High</v>
      </c>
      <c r="N30" s="41" t="str">
        <f t="shared" ca="1" si="2"/>
        <v>Check bank date or posting</v>
      </c>
      <c r="O30" s="23" t="s">
        <v>158</v>
      </c>
      <c r="P30" s="23" t="s">
        <v>86</v>
      </c>
      <c r="Q30" s="23" t="s">
        <v>1689</v>
      </c>
      <c r="R30" s="42"/>
      <c r="S30" s="43">
        <f ca="1">IF(K30="Matched",0,Mapping_Rules!$B$6-B30)</f>
        <v>22</v>
      </c>
    </row>
    <row r="31" spans="1:19">
      <c r="A31" s="44" t="s">
        <v>223</v>
      </c>
      <c r="B31" s="45">
        <v>46052</v>
      </c>
      <c r="C31" s="44" t="s">
        <v>90</v>
      </c>
      <c r="D31" s="44" t="s">
        <v>150</v>
      </c>
      <c r="E31" s="44" t="s">
        <v>224</v>
      </c>
      <c r="F31" s="46">
        <v>873.24</v>
      </c>
      <c r="G31" s="47" t="str">
        <f ca="1">IFERROR(_xludf.XLOOKUP(E31,Bank_Statement!$D$4:$D$448,Bank_Statement!$G$4:$G$448,""),"")</f>
        <v/>
      </c>
      <c r="H31" s="46" t="str">
        <f t="shared" ca="1" si="0"/>
        <v/>
      </c>
      <c r="I31" s="48" t="str">
        <f ca="1">IFERROR(_xludf.XLOOKUP(E31,Bank_Statement!$D$4:$D$448,Bank_Statement!$B$4:$B$448,""),"")</f>
        <v/>
      </c>
      <c r="J31" s="49" t="str">
        <f t="shared" ca="1" si="1"/>
        <v/>
      </c>
      <c r="K31" s="50" t="str">
        <f ca="1">IF(G31="","Unmatched ERP",IF(AND(ABS(H31)&lt;=Mapping_Rules!$B$4,ABS(J31)&lt;=Mapping_Rules!$B$5),"Matched","Review"))</f>
        <v>Unmatched ERP</v>
      </c>
      <c r="L31" s="50" t="str">
        <f ca="1">IF(K31="Matched","None",IF(G31="","Missing from bank",IF(ABS(H31)&gt;Mapping_Rules!$B$4,"Amount variance","Date variance")))</f>
        <v>Missing from bank</v>
      </c>
      <c r="M31" s="50" t="str">
        <f ca="1">IF(K31="Matched","Low",IF(OR(IFERROR(ABS(H31),0)&gt;Mapping_Rules!$B$7,IFERROR(J31,0)&gt;Mapping_Rules!$B$8),"High","Medium"))</f>
        <v>High</v>
      </c>
      <c r="N31" s="50" t="str">
        <f t="shared" ca="1" si="2"/>
        <v>Check bank date or posting</v>
      </c>
      <c r="O31" s="44" t="s">
        <v>225</v>
      </c>
      <c r="P31" s="44" t="s">
        <v>95</v>
      </c>
      <c r="Q31" s="44" t="s">
        <v>1689</v>
      </c>
      <c r="R31" s="51"/>
      <c r="S31" s="52">
        <f ca="1">IF(K31="Matched",0,Mapping_Rules!$B$6-B31)</f>
        <v>1</v>
      </c>
    </row>
    <row r="32" spans="1:19">
      <c r="A32" s="23" t="s">
        <v>226</v>
      </c>
      <c r="B32" s="31">
        <v>46031</v>
      </c>
      <c r="C32" s="23" t="s">
        <v>107</v>
      </c>
      <c r="D32" s="23" t="s">
        <v>191</v>
      </c>
      <c r="E32" s="23" t="s">
        <v>227</v>
      </c>
      <c r="F32" s="32">
        <v>-95.29</v>
      </c>
      <c r="G32" s="38" t="str">
        <f ca="1">IFERROR(_xludf.XLOOKUP(E32,Bank_Statement!$D$4:$D$448,Bank_Statement!$G$4:$G$448,""),"")</f>
        <v/>
      </c>
      <c r="H32" s="32" t="str">
        <f t="shared" ca="1" si="0"/>
        <v/>
      </c>
      <c r="I32" s="39" t="str">
        <f ca="1">IFERROR(_xludf.XLOOKUP(E32,Bank_Statement!$D$4:$D$448,Bank_Statement!$B$4:$B$448,""),"")</f>
        <v/>
      </c>
      <c r="J32" s="40" t="str">
        <f t="shared" ca="1" si="1"/>
        <v/>
      </c>
      <c r="K32" s="41" t="str">
        <f ca="1">IF(G32="","Unmatched ERP",IF(AND(ABS(H32)&lt;=Mapping_Rules!$B$4,ABS(J32)&lt;=Mapping_Rules!$B$5),"Matched","Review"))</f>
        <v>Unmatched ERP</v>
      </c>
      <c r="L32" s="41" t="str">
        <f ca="1">IF(K32="Matched","None",IF(G32="","Missing from bank",IF(ABS(H32)&gt;Mapping_Rules!$B$4,"Amount variance","Date variance")))</f>
        <v>Missing from bank</v>
      </c>
      <c r="M32" s="41" t="str">
        <f ca="1">IF(K32="Matched","Low",IF(OR(IFERROR(ABS(H32),0)&gt;Mapping_Rules!$B$7,IFERROR(J32,0)&gt;Mapping_Rules!$B$8),"High","Medium"))</f>
        <v>High</v>
      </c>
      <c r="N32" s="41" t="str">
        <f t="shared" ca="1" si="2"/>
        <v>Check bank date or posting</v>
      </c>
      <c r="O32" s="23" t="s">
        <v>194</v>
      </c>
      <c r="P32" s="23" t="s">
        <v>95</v>
      </c>
      <c r="Q32" s="23" t="s">
        <v>1689</v>
      </c>
      <c r="R32" s="42"/>
      <c r="S32" s="43">
        <f ca="1">IF(K32="Matched",0,Mapping_Rules!$B$6-B32)</f>
        <v>22</v>
      </c>
    </row>
    <row r="33" spans="1:19">
      <c r="A33" s="44" t="s">
        <v>228</v>
      </c>
      <c r="B33" s="45">
        <v>46032</v>
      </c>
      <c r="C33" s="44" t="s">
        <v>72</v>
      </c>
      <c r="D33" s="44" t="s">
        <v>144</v>
      </c>
      <c r="E33" s="44" t="s">
        <v>229</v>
      </c>
      <c r="F33" s="46">
        <v>-3624.58</v>
      </c>
      <c r="G33" s="47" t="str">
        <f ca="1">IFERROR(_xludf.XLOOKUP(E33,Bank_Statement!$D$4:$D$448,Bank_Statement!$G$4:$G$448,""),"")</f>
        <v/>
      </c>
      <c r="H33" s="46" t="str">
        <f t="shared" ca="1" si="0"/>
        <v/>
      </c>
      <c r="I33" s="48" t="str">
        <f ca="1">IFERROR(_xludf.XLOOKUP(E33,Bank_Statement!$D$4:$D$448,Bank_Statement!$B$4:$B$448,""),"")</f>
        <v/>
      </c>
      <c r="J33" s="49" t="str">
        <f t="shared" ca="1" si="1"/>
        <v/>
      </c>
      <c r="K33" s="50" t="str">
        <f ca="1">IF(G33="","Unmatched ERP",IF(AND(ABS(H33)&lt;=Mapping_Rules!$B$4,ABS(J33)&lt;=Mapping_Rules!$B$5),"Matched","Review"))</f>
        <v>Unmatched ERP</v>
      </c>
      <c r="L33" s="50" t="str">
        <f ca="1">IF(K33="Matched","None",IF(G33="","Missing from bank",IF(ABS(H33)&gt;Mapping_Rules!$B$4,"Amount variance","Date variance")))</f>
        <v>Missing from bank</v>
      </c>
      <c r="M33" s="50" t="str">
        <f ca="1">IF(K33="Matched","Low",IF(OR(IFERROR(ABS(H33),0)&gt;Mapping_Rules!$B$7,IFERROR(J33,0)&gt;Mapping_Rules!$B$8),"High","Medium"))</f>
        <v>High</v>
      </c>
      <c r="N33" s="50" t="str">
        <f t="shared" ca="1" si="2"/>
        <v>Check bank date or posting</v>
      </c>
      <c r="O33" s="44" t="s">
        <v>131</v>
      </c>
      <c r="P33" s="44" t="s">
        <v>77</v>
      </c>
      <c r="Q33" s="44" t="s">
        <v>1689</v>
      </c>
      <c r="R33" s="51"/>
      <c r="S33" s="52">
        <f ca="1">IF(K33="Matched",0,Mapping_Rules!$B$6-B33)</f>
        <v>21</v>
      </c>
    </row>
    <row r="34" spans="1:19">
      <c r="A34" s="23" t="s">
        <v>230</v>
      </c>
      <c r="B34" s="31">
        <v>46039</v>
      </c>
      <c r="C34" s="23" t="s">
        <v>99</v>
      </c>
      <c r="D34" s="23" t="s">
        <v>182</v>
      </c>
      <c r="E34" s="23" t="s">
        <v>231</v>
      </c>
      <c r="F34" s="32">
        <v>-10201.33</v>
      </c>
      <c r="G34" s="38" t="str">
        <f ca="1">IFERROR(_xludf.XLOOKUP(E34,Bank_Statement!$D$4:$D$448,Bank_Statement!$G$4:$G$448,""),"")</f>
        <v/>
      </c>
      <c r="H34" s="32" t="str">
        <f t="shared" ca="1" si="0"/>
        <v/>
      </c>
      <c r="I34" s="39" t="str">
        <f ca="1">IFERROR(_xludf.XLOOKUP(E34,Bank_Statement!$D$4:$D$448,Bank_Statement!$B$4:$B$448,""),"")</f>
        <v/>
      </c>
      <c r="J34" s="40" t="str">
        <f t="shared" ca="1" si="1"/>
        <v/>
      </c>
      <c r="K34" s="41" t="str">
        <f ca="1">IF(G34="","Unmatched ERP",IF(AND(ABS(H34)&lt;=Mapping_Rules!$B$4,ABS(J34)&lt;=Mapping_Rules!$B$5),"Matched","Review"))</f>
        <v>Unmatched ERP</v>
      </c>
      <c r="L34" s="41" t="str">
        <f ca="1">IF(K34="Matched","None",IF(G34="","Missing from bank",IF(ABS(H34)&gt;Mapping_Rules!$B$4,"Amount variance","Date variance")))</f>
        <v>Missing from bank</v>
      </c>
      <c r="M34" s="41" t="str">
        <f ca="1">IF(K34="Matched","Low",IF(OR(IFERROR(ABS(H34),0)&gt;Mapping_Rules!$B$7,IFERROR(J34,0)&gt;Mapping_Rules!$B$8),"High","Medium"))</f>
        <v>High</v>
      </c>
      <c r="N34" s="41" t="str">
        <f t="shared" ca="1" si="2"/>
        <v>Check bank date or posting</v>
      </c>
      <c r="O34" s="23" t="s">
        <v>185</v>
      </c>
      <c r="P34" s="23" t="s">
        <v>95</v>
      </c>
      <c r="Q34" s="23" t="s">
        <v>1689</v>
      </c>
      <c r="R34" s="42"/>
      <c r="S34" s="43">
        <f ca="1">IF(K34="Matched",0,Mapping_Rules!$B$6-B34)</f>
        <v>14</v>
      </c>
    </row>
    <row r="35" spans="1:19">
      <c r="A35" s="44" t="s">
        <v>232</v>
      </c>
      <c r="B35" s="45">
        <v>46025</v>
      </c>
      <c r="C35" s="44" t="s">
        <v>90</v>
      </c>
      <c r="D35" s="44" t="s">
        <v>150</v>
      </c>
      <c r="E35" s="44" t="s">
        <v>233</v>
      </c>
      <c r="F35" s="46">
        <v>-2048.69</v>
      </c>
      <c r="G35" s="47" t="str">
        <f ca="1">IFERROR(_xludf.XLOOKUP(E35,Bank_Statement!$D$4:$D$448,Bank_Statement!$G$4:$G$448,""),"")</f>
        <v/>
      </c>
      <c r="H35" s="46" t="str">
        <f t="shared" ca="1" si="0"/>
        <v/>
      </c>
      <c r="I35" s="48" t="str">
        <f ca="1">IFERROR(_xludf.XLOOKUP(E35,Bank_Statement!$D$4:$D$448,Bank_Statement!$B$4:$B$448,""),"")</f>
        <v/>
      </c>
      <c r="J35" s="49" t="str">
        <f t="shared" ca="1" si="1"/>
        <v/>
      </c>
      <c r="K35" s="50" t="str">
        <f ca="1">IF(G35="","Unmatched ERP",IF(AND(ABS(H35)&lt;=Mapping_Rules!$B$4,ABS(J35)&lt;=Mapping_Rules!$B$5),"Matched","Review"))</f>
        <v>Unmatched ERP</v>
      </c>
      <c r="L35" s="50" t="str">
        <f ca="1">IF(K35="Matched","None",IF(G35="","Missing from bank",IF(ABS(H35)&gt;Mapping_Rules!$B$4,"Amount variance","Date variance")))</f>
        <v>Missing from bank</v>
      </c>
      <c r="M35" s="50" t="str">
        <f ca="1">IF(K35="Matched","Low",IF(OR(IFERROR(ABS(H35),0)&gt;Mapping_Rules!$B$7,IFERROR(J35,0)&gt;Mapping_Rules!$B$8),"High","Medium"))</f>
        <v>High</v>
      </c>
      <c r="N35" s="50" t="str">
        <f t="shared" ca="1" si="2"/>
        <v>Check bank date or posting</v>
      </c>
      <c r="O35" s="44" t="s">
        <v>225</v>
      </c>
      <c r="P35" s="44" t="s">
        <v>95</v>
      </c>
      <c r="Q35" s="44" t="s">
        <v>1689</v>
      </c>
      <c r="R35" s="51"/>
      <c r="S35" s="52">
        <f ca="1">IF(K35="Matched",0,Mapping_Rules!$B$6-B35)</f>
        <v>28</v>
      </c>
    </row>
    <row r="36" spans="1:19">
      <c r="A36" s="23" t="s">
        <v>234</v>
      </c>
      <c r="B36" s="31">
        <v>46041</v>
      </c>
      <c r="C36" s="23" t="s">
        <v>81</v>
      </c>
      <c r="D36" s="23" t="s">
        <v>214</v>
      </c>
      <c r="E36" s="23" t="s">
        <v>235</v>
      </c>
      <c r="F36" s="32">
        <v>7954.8</v>
      </c>
      <c r="G36" s="38" t="str">
        <f ca="1">IFERROR(_xludf.XLOOKUP(E36,Bank_Statement!$D$4:$D$448,Bank_Statement!$G$4:$G$448,""),"")</f>
        <v/>
      </c>
      <c r="H36" s="32" t="str">
        <f t="shared" ca="1" si="0"/>
        <v/>
      </c>
      <c r="I36" s="39" t="str">
        <f ca="1">IFERROR(_xludf.XLOOKUP(E36,Bank_Statement!$D$4:$D$448,Bank_Statement!$B$4:$B$448,""),"")</f>
        <v/>
      </c>
      <c r="J36" s="40" t="str">
        <f t="shared" ca="1" si="1"/>
        <v/>
      </c>
      <c r="K36" s="41" t="str">
        <f ca="1">IF(G36="","Unmatched ERP",IF(AND(ABS(H36)&lt;=Mapping_Rules!$B$4,ABS(J36)&lt;=Mapping_Rules!$B$5),"Matched","Review"))</f>
        <v>Unmatched ERP</v>
      </c>
      <c r="L36" s="41" t="str">
        <f ca="1">IF(K36="Matched","None",IF(G36="","Missing from bank",IF(ABS(H36)&gt;Mapping_Rules!$B$4,"Amount variance","Date variance")))</f>
        <v>Missing from bank</v>
      </c>
      <c r="M36" s="41" t="str">
        <f ca="1">IF(K36="Matched","Low",IF(OR(IFERROR(ABS(H36),0)&gt;Mapping_Rules!$B$7,IFERROR(J36,0)&gt;Mapping_Rules!$B$8),"High","Medium"))</f>
        <v>High</v>
      </c>
      <c r="N36" s="41" t="str">
        <f t="shared" ca="1" si="2"/>
        <v>Check bank date or posting</v>
      </c>
      <c r="O36" s="23" t="s">
        <v>158</v>
      </c>
      <c r="P36" s="23" t="s">
        <v>86</v>
      </c>
      <c r="Q36" s="23" t="s">
        <v>1689</v>
      </c>
      <c r="R36" s="42"/>
      <c r="S36" s="43">
        <f ca="1">IF(K36="Matched",0,Mapping_Rules!$B$6-B36)</f>
        <v>12</v>
      </c>
    </row>
    <row r="37" spans="1:19">
      <c r="A37" s="44" t="s">
        <v>236</v>
      </c>
      <c r="B37" s="45">
        <v>46043</v>
      </c>
      <c r="C37" s="44" t="s">
        <v>72</v>
      </c>
      <c r="D37" s="44" t="s">
        <v>208</v>
      </c>
      <c r="E37" s="44" t="s">
        <v>237</v>
      </c>
      <c r="F37" s="46">
        <v>-5765.59</v>
      </c>
      <c r="G37" s="47" t="str">
        <f ca="1">IFERROR(_xludf.XLOOKUP(E37,Bank_Statement!$D$4:$D$448,Bank_Statement!$G$4:$G$448,""),"")</f>
        <v/>
      </c>
      <c r="H37" s="46" t="str">
        <f t="shared" ca="1" si="0"/>
        <v/>
      </c>
      <c r="I37" s="48" t="str">
        <f ca="1">IFERROR(_xludf.XLOOKUP(E37,Bank_Statement!$D$4:$D$448,Bank_Statement!$B$4:$B$448,""),"")</f>
        <v/>
      </c>
      <c r="J37" s="49" t="str">
        <f t="shared" ca="1" si="1"/>
        <v/>
      </c>
      <c r="K37" s="50" t="str">
        <f ca="1">IF(G37="","Unmatched ERP",IF(AND(ABS(H37)&lt;=Mapping_Rules!$B$4,ABS(J37)&lt;=Mapping_Rules!$B$5),"Matched","Review"))</f>
        <v>Unmatched ERP</v>
      </c>
      <c r="L37" s="50" t="str">
        <f ca="1">IF(K37="Matched","None",IF(G37="","Missing from bank",IF(ABS(H37)&gt;Mapping_Rules!$B$4,"Amount variance","Date variance")))</f>
        <v>Missing from bank</v>
      </c>
      <c r="M37" s="50" t="str">
        <f ca="1">IF(K37="Matched","Low",IF(OR(IFERROR(ABS(H37),0)&gt;Mapping_Rules!$B$7,IFERROR(J37,0)&gt;Mapping_Rules!$B$8),"High","Medium"))</f>
        <v>High</v>
      </c>
      <c r="N37" s="50" t="str">
        <f t="shared" ca="1" si="2"/>
        <v>Check bank date or posting</v>
      </c>
      <c r="O37" s="44" t="s">
        <v>131</v>
      </c>
      <c r="P37" s="44" t="s">
        <v>77</v>
      </c>
      <c r="Q37" s="44" t="s">
        <v>1689</v>
      </c>
      <c r="R37" s="51"/>
      <c r="S37" s="52">
        <f ca="1">IF(K37="Matched",0,Mapping_Rules!$B$6-B37)</f>
        <v>10</v>
      </c>
    </row>
    <row r="38" spans="1:19">
      <c r="A38" s="23" t="s">
        <v>238</v>
      </c>
      <c r="B38" s="31">
        <v>46029</v>
      </c>
      <c r="C38" s="23" t="s">
        <v>81</v>
      </c>
      <c r="D38" s="23" t="s">
        <v>173</v>
      </c>
      <c r="E38" s="23" t="s">
        <v>239</v>
      </c>
      <c r="F38" s="32">
        <v>7942.72</v>
      </c>
      <c r="G38" s="38" t="str">
        <f ca="1">IFERROR(_xludf.XLOOKUP(E38,Bank_Statement!$D$4:$D$448,Bank_Statement!$G$4:$G$448,""),"")</f>
        <v/>
      </c>
      <c r="H38" s="32" t="str">
        <f t="shared" ca="1" si="0"/>
        <v/>
      </c>
      <c r="I38" s="39" t="str">
        <f ca="1">IFERROR(_xludf.XLOOKUP(E38,Bank_Statement!$D$4:$D$448,Bank_Statement!$B$4:$B$448,""),"")</f>
        <v/>
      </c>
      <c r="J38" s="40" t="str">
        <f t="shared" ca="1" si="1"/>
        <v/>
      </c>
      <c r="K38" s="41" t="str">
        <f ca="1">IF(G38="","Unmatched ERP",IF(AND(ABS(H38)&lt;=Mapping_Rules!$B$4,ABS(J38)&lt;=Mapping_Rules!$B$5),"Matched","Review"))</f>
        <v>Unmatched ERP</v>
      </c>
      <c r="L38" s="41" t="str">
        <f ca="1">IF(K38="Matched","None",IF(G38="","Missing from bank",IF(ABS(H38)&gt;Mapping_Rules!$B$4,"Amount variance","Date variance")))</f>
        <v>Missing from bank</v>
      </c>
      <c r="M38" s="41" t="str">
        <f ca="1">IF(K38="Matched","Low",IF(OR(IFERROR(ABS(H38),0)&gt;Mapping_Rules!$B$7,IFERROR(J38,0)&gt;Mapping_Rules!$B$8),"High","Medium"))</f>
        <v>High</v>
      </c>
      <c r="N38" s="41" t="str">
        <f t="shared" ca="1" si="2"/>
        <v>Check bank date or posting</v>
      </c>
      <c r="O38" s="23" t="s">
        <v>158</v>
      </c>
      <c r="P38" s="23" t="s">
        <v>86</v>
      </c>
      <c r="Q38" s="23" t="s">
        <v>1689</v>
      </c>
      <c r="R38" s="42"/>
      <c r="S38" s="43">
        <f ca="1">IF(K38="Matched",0,Mapping_Rules!$B$6-B38)</f>
        <v>24</v>
      </c>
    </row>
    <row r="39" spans="1:19">
      <c r="A39" s="44" t="s">
        <v>240</v>
      </c>
      <c r="B39" s="45">
        <v>46040</v>
      </c>
      <c r="C39" s="44" t="s">
        <v>90</v>
      </c>
      <c r="D39" s="44" t="s">
        <v>214</v>
      </c>
      <c r="E39" s="44" t="s">
        <v>241</v>
      </c>
      <c r="F39" s="46">
        <v>-4920.07</v>
      </c>
      <c r="G39" s="47" t="str">
        <f ca="1">IFERROR(_xludf.XLOOKUP(E39,Bank_Statement!$D$4:$D$448,Bank_Statement!$G$4:$G$448,""),"")</f>
        <v/>
      </c>
      <c r="H39" s="46" t="str">
        <f t="shared" ca="1" si="0"/>
        <v/>
      </c>
      <c r="I39" s="48" t="str">
        <f ca="1">IFERROR(_xludf.XLOOKUP(E39,Bank_Statement!$D$4:$D$448,Bank_Statement!$B$4:$B$448,""),"")</f>
        <v/>
      </c>
      <c r="J39" s="49" t="str">
        <f t="shared" ca="1" si="1"/>
        <v/>
      </c>
      <c r="K39" s="50" t="str">
        <f ca="1">IF(G39="","Unmatched ERP",IF(AND(ABS(H39)&lt;=Mapping_Rules!$B$4,ABS(J39)&lt;=Mapping_Rules!$B$5),"Matched","Review"))</f>
        <v>Unmatched ERP</v>
      </c>
      <c r="L39" s="50" t="str">
        <f ca="1">IF(K39="Matched","None",IF(G39="","Missing from bank",IF(ABS(H39)&gt;Mapping_Rules!$B$4,"Amount variance","Date variance")))</f>
        <v>Missing from bank</v>
      </c>
      <c r="M39" s="50" t="str">
        <f ca="1">IF(K39="Matched","Low",IF(OR(IFERROR(ABS(H39),0)&gt;Mapping_Rules!$B$7,IFERROR(J39,0)&gt;Mapping_Rules!$B$8),"High","Medium"))</f>
        <v>High</v>
      </c>
      <c r="N39" s="50" t="str">
        <f t="shared" ca="1" si="2"/>
        <v>Check bank date or posting</v>
      </c>
      <c r="O39" s="44" t="s">
        <v>242</v>
      </c>
      <c r="P39" s="44" t="s">
        <v>95</v>
      </c>
      <c r="Q39" s="44" t="s">
        <v>1689</v>
      </c>
      <c r="R39" s="51"/>
      <c r="S39" s="52">
        <f ca="1">IF(K39="Matched",0,Mapping_Rules!$B$6-B39)</f>
        <v>13</v>
      </c>
    </row>
    <row r="40" spans="1:19">
      <c r="A40" s="23" t="s">
        <v>243</v>
      </c>
      <c r="B40" s="31">
        <v>46026</v>
      </c>
      <c r="C40" s="23" t="s">
        <v>107</v>
      </c>
      <c r="D40" s="23" t="s">
        <v>191</v>
      </c>
      <c r="E40" s="23" t="s">
        <v>244</v>
      </c>
      <c r="F40" s="32">
        <v>-20.440000000000001</v>
      </c>
      <c r="G40" s="38" t="str">
        <f ca="1">IFERROR(_xludf.XLOOKUP(E40,Bank_Statement!$D$4:$D$448,Bank_Statement!$G$4:$G$448,""),"")</f>
        <v/>
      </c>
      <c r="H40" s="32" t="str">
        <f t="shared" ca="1" si="0"/>
        <v/>
      </c>
      <c r="I40" s="39" t="str">
        <f ca="1">IFERROR(_xludf.XLOOKUP(E40,Bank_Statement!$D$4:$D$448,Bank_Statement!$B$4:$B$448,""),"")</f>
        <v/>
      </c>
      <c r="J40" s="40" t="str">
        <f t="shared" ca="1" si="1"/>
        <v/>
      </c>
      <c r="K40" s="41" t="str">
        <f ca="1">IF(G40="","Unmatched ERP",IF(AND(ABS(H40)&lt;=Mapping_Rules!$B$4,ABS(J40)&lt;=Mapping_Rules!$B$5),"Matched","Review"))</f>
        <v>Unmatched ERP</v>
      </c>
      <c r="L40" s="41" t="str">
        <f ca="1">IF(K40="Matched","None",IF(G40="","Missing from bank",IF(ABS(H40)&gt;Mapping_Rules!$B$4,"Amount variance","Date variance")))</f>
        <v>Missing from bank</v>
      </c>
      <c r="M40" s="41" t="str">
        <f ca="1">IF(K40="Matched","Low",IF(OR(IFERROR(ABS(H40),0)&gt;Mapping_Rules!$B$7,IFERROR(J40,0)&gt;Mapping_Rules!$B$8),"High","Medium"))</f>
        <v>High</v>
      </c>
      <c r="N40" s="41" t="str">
        <f t="shared" ca="1" si="2"/>
        <v>Check bank date or posting</v>
      </c>
      <c r="O40" s="23" t="s">
        <v>194</v>
      </c>
      <c r="P40" s="23" t="s">
        <v>95</v>
      </c>
      <c r="Q40" s="23" t="s">
        <v>1689</v>
      </c>
      <c r="R40" s="42"/>
      <c r="S40" s="43">
        <f ca="1">IF(K40="Matched",0,Mapping_Rules!$B$6-B40)</f>
        <v>27</v>
      </c>
    </row>
    <row r="41" spans="1:19">
      <c r="A41" s="44" t="s">
        <v>245</v>
      </c>
      <c r="B41" s="45">
        <v>46042</v>
      </c>
      <c r="C41" s="44" t="s">
        <v>72</v>
      </c>
      <c r="D41" s="44" t="s">
        <v>208</v>
      </c>
      <c r="E41" s="44" t="s">
        <v>246</v>
      </c>
      <c r="F41" s="46">
        <v>-1326.02</v>
      </c>
      <c r="G41" s="47" t="str">
        <f ca="1">IFERROR(_xludf.XLOOKUP(E41,Bank_Statement!$D$4:$D$448,Bank_Statement!$G$4:$G$448,""),"")</f>
        <v/>
      </c>
      <c r="H41" s="46" t="str">
        <f t="shared" ca="1" si="0"/>
        <v/>
      </c>
      <c r="I41" s="48" t="str">
        <f ca="1">IFERROR(_xludf.XLOOKUP(E41,Bank_Statement!$D$4:$D$448,Bank_Statement!$B$4:$B$448,""),"")</f>
        <v/>
      </c>
      <c r="J41" s="49" t="str">
        <f t="shared" ca="1" si="1"/>
        <v/>
      </c>
      <c r="K41" s="50" t="str">
        <f ca="1">IF(G41="","Unmatched ERP",IF(AND(ABS(H41)&lt;=Mapping_Rules!$B$4,ABS(J41)&lt;=Mapping_Rules!$B$5),"Matched","Review"))</f>
        <v>Unmatched ERP</v>
      </c>
      <c r="L41" s="50" t="str">
        <f ca="1">IF(K41="Matched","None",IF(G41="","Missing from bank",IF(ABS(H41)&gt;Mapping_Rules!$B$4,"Amount variance","Date variance")))</f>
        <v>Missing from bank</v>
      </c>
      <c r="M41" s="50" t="str">
        <f ca="1">IF(K41="Matched","Low",IF(OR(IFERROR(ABS(H41),0)&gt;Mapping_Rules!$B$7,IFERROR(J41,0)&gt;Mapping_Rules!$B$8),"High","Medium"))</f>
        <v>High</v>
      </c>
      <c r="N41" s="50" t="str">
        <f t="shared" ca="1" si="2"/>
        <v>Check bank date or posting</v>
      </c>
      <c r="O41" s="44" t="s">
        <v>131</v>
      </c>
      <c r="P41" s="44" t="s">
        <v>77</v>
      </c>
      <c r="Q41" s="44" t="s">
        <v>1689</v>
      </c>
      <c r="R41" s="51"/>
      <c r="S41" s="52">
        <f ca="1">IF(K41="Matched",0,Mapping_Rules!$B$6-B41)</f>
        <v>11</v>
      </c>
    </row>
    <row r="42" spans="1:19">
      <c r="A42" s="23" t="s">
        <v>247</v>
      </c>
      <c r="B42" s="31">
        <v>46036</v>
      </c>
      <c r="C42" s="23" t="s">
        <v>99</v>
      </c>
      <c r="D42" s="23" t="s">
        <v>182</v>
      </c>
      <c r="E42" s="23" t="s">
        <v>248</v>
      </c>
      <c r="F42" s="32">
        <v>-3139.26</v>
      </c>
      <c r="G42" s="38" t="str">
        <f ca="1">IFERROR(_xludf.XLOOKUP(E42,Bank_Statement!$D$4:$D$448,Bank_Statement!$G$4:$G$448,""),"")</f>
        <v/>
      </c>
      <c r="H42" s="32" t="str">
        <f t="shared" ca="1" si="0"/>
        <v/>
      </c>
      <c r="I42" s="39" t="str">
        <f ca="1">IFERROR(_xludf.XLOOKUP(E42,Bank_Statement!$D$4:$D$448,Bank_Statement!$B$4:$B$448,""),"")</f>
        <v/>
      </c>
      <c r="J42" s="40" t="str">
        <f t="shared" ca="1" si="1"/>
        <v/>
      </c>
      <c r="K42" s="41" t="str">
        <f ca="1">IF(G42="","Unmatched ERP",IF(AND(ABS(H42)&lt;=Mapping_Rules!$B$4,ABS(J42)&lt;=Mapping_Rules!$B$5),"Matched","Review"))</f>
        <v>Unmatched ERP</v>
      </c>
      <c r="L42" s="41" t="str">
        <f ca="1">IF(K42="Matched","None",IF(G42="","Missing from bank",IF(ABS(H42)&gt;Mapping_Rules!$B$4,"Amount variance","Date variance")))</f>
        <v>Missing from bank</v>
      </c>
      <c r="M42" s="41" t="str">
        <f ca="1">IF(K42="Matched","Low",IF(OR(IFERROR(ABS(H42),0)&gt;Mapping_Rules!$B$7,IFERROR(J42,0)&gt;Mapping_Rules!$B$8),"High","Medium"))</f>
        <v>High</v>
      </c>
      <c r="N42" s="41" t="str">
        <f t="shared" ca="1" si="2"/>
        <v>Check bank date or posting</v>
      </c>
      <c r="O42" s="23" t="s">
        <v>185</v>
      </c>
      <c r="P42" s="23" t="s">
        <v>95</v>
      </c>
      <c r="Q42" s="23" t="s">
        <v>1689</v>
      </c>
      <c r="R42" s="42"/>
      <c r="S42" s="43">
        <f ca="1">IF(K42="Matched",0,Mapping_Rules!$B$6-B42)</f>
        <v>17</v>
      </c>
    </row>
    <row r="43" spans="1:19">
      <c r="A43" s="44" t="s">
        <v>249</v>
      </c>
      <c r="B43" s="45">
        <v>46037</v>
      </c>
      <c r="C43" s="44" t="s">
        <v>81</v>
      </c>
      <c r="D43" s="44" t="s">
        <v>163</v>
      </c>
      <c r="E43" s="44" t="s">
        <v>251</v>
      </c>
      <c r="F43" s="46">
        <v>4833.57</v>
      </c>
      <c r="G43" s="47" t="str">
        <f ca="1">IFERROR(_xludf.XLOOKUP(E43,Bank_Statement!$D$4:$D$448,Bank_Statement!$G$4:$G$448,""),"")</f>
        <v/>
      </c>
      <c r="H43" s="46" t="str">
        <f t="shared" ca="1" si="0"/>
        <v/>
      </c>
      <c r="I43" s="48" t="str">
        <f ca="1">IFERROR(_xludf.XLOOKUP(E43,Bank_Statement!$D$4:$D$448,Bank_Statement!$B$4:$B$448,""),"")</f>
        <v/>
      </c>
      <c r="J43" s="49" t="str">
        <f t="shared" ca="1" si="1"/>
        <v/>
      </c>
      <c r="K43" s="50" t="str">
        <f ca="1">IF(G43="","Unmatched ERP",IF(AND(ABS(H43)&lt;=Mapping_Rules!$B$4,ABS(J43)&lt;=Mapping_Rules!$B$5),"Matched","Review"))</f>
        <v>Unmatched ERP</v>
      </c>
      <c r="L43" s="50" t="str">
        <f ca="1">IF(K43="Matched","None",IF(G43="","Missing from bank",IF(ABS(H43)&gt;Mapping_Rules!$B$4,"Amount variance","Date variance")))</f>
        <v>Missing from bank</v>
      </c>
      <c r="M43" s="50" t="str">
        <f ca="1">IF(K43="Matched","Low",IF(OR(IFERROR(ABS(H43),0)&gt;Mapping_Rules!$B$7,IFERROR(J43,0)&gt;Mapping_Rules!$B$8),"High","Medium"))</f>
        <v>High</v>
      </c>
      <c r="N43" s="50" t="str">
        <f t="shared" ca="1" si="2"/>
        <v>Check bank date or posting</v>
      </c>
      <c r="O43" s="44" t="s">
        <v>158</v>
      </c>
      <c r="P43" s="44" t="s">
        <v>86</v>
      </c>
      <c r="Q43" s="44" t="s">
        <v>1689</v>
      </c>
      <c r="R43" s="51"/>
      <c r="S43" s="52">
        <f ca="1">IF(K43="Matched",0,Mapping_Rules!$B$6-B43)</f>
        <v>16</v>
      </c>
    </row>
    <row r="44" spans="1:19">
      <c r="A44" s="23" t="s">
        <v>252</v>
      </c>
      <c r="B44" s="31">
        <v>46045</v>
      </c>
      <c r="C44" s="23" t="s">
        <v>99</v>
      </c>
      <c r="D44" s="23" t="s">
        <v>182</v>
      </c>
      <c r="E44" s="23" t="s">
        <v>253</v>
      </c>
      <c r="F44" s="32">
        <v>-10411.06</v>
      </c>
      <c r="G44" s="38" t="str">
        <f ca="1">IFERROR(_xludf.XLOOKUP(E44,Bank_Statement!$D$4:$D$448,Bank_Statement!$G$4:$G$448,""),"")</f>
        <v/>
      </c>
      <c r="H44" s="32" t="str">
        <f t="shared" ca="1" si="0"/>
        <v/>
      </c>
      <c r="I44" s="39" t="str">
        <f ca="1">IFERROR(_xludf.XLOOKUP(E44,Bank_Statement!$D$4:$D$448,Bank_Statement!$B$4:$B$448,""),"")</f>
        <v/>
      </c>
      <c r="J44" s="40" t="str">
        <f t="shared" ca="1" si="1"/>
        <v/>
      </c>
      <c r="K44" s="41" t="str">
        <f ca="1">IF(G44="","Unmatched ERP",IF(AND(ABS(H44)&lt;=Mapping_Rules!$B$4,ABS(J44)&lt;=Mapping_Rules!$B$5),"Matched","Review"))</f>
        <v>Unmatched ERP</v>
      </c>
      <c r="L44" s="41" t="str">
        <f ca="1">IF(K44="Matched","None",IF(G44="","Missing from bank",IF(ABS(H44)&gt;Mapping_Rules!$B$4,"Amount variance","Date variance")))</f>
        <v>Missing from bank</v>
      </c>
      <c r="M44" s="41" t="str">
        <f ca="1">IF(K44="Matched","Low",IF(OR(IFERROR(ABS(H44),0)&gt;Mapping_Rules!$B$7,IFERROR(J44,0)&gt;Mapping_Rules!$B$8),"High","Medium"))</f>
        <v>High</v>
      </c>
      <c r="N44" s="41" t="str">
        <f t="shared" ca="1" si="2"/>
        <v>Check bank date or posting</v>
      </c>
      <c r="O44" s="23" t="s">
        <v>185</v>
      </c>
      <c r="P44" s="23" t="s">
        <v>95</v>
      </c>
      <c r="Q44" s="23" t="s">
        <v>1689</v>
      </c>
      <c r="R44" s="42"/>
      <c r="S44" s="43">
        <f ca="1">IF(K44="Matched",0,Mapping_Rules!$B$6-B44)</f>
        <v>8</v>
      </c>
    </row>
    <row r="45" spans="1:19">
      <c r="A45" s="44" t="s">
        <v>254</v>
      </c>
      <c r="B45" s="45">
        <v>46032</v>
      </c>
      <c r="C45" s="44" t="s">
        <v>81</v>
      </c>
      <c r="D45" s="44" t="s">
        <v>220</v>
      </c>
      <c r="E45" s="44" t="s">
        <v>255</v>
      </c>
      <c r="F45" s="46">
        <v>7656.02</v>
      </c>
      <c r="G45" s="47" t="str">
        <f ca="1">IFERROR(_xludf.XLOOKUP(E45,Bank_Statement!$D$4:$D$448,Bank_Statement!$G$4:$G$448,""),"")</f>
        <v/>
      </c>
      <c r="H45" s="46" t="str">
        <f t="shared" ca="1" si="0"/>
        <v/>
      </c>
      <c r="I45" s="48" t="str">
        <f ca="1">IFERROR(_xludf.XLOOKUP(E45,Bank_Statement!$D$4:$D$448,Bank_Statement!$B$4:$B$448,""),"")</f>
        <v/>
      </c>
      <c r="J45" s="49" t="str">
        <f t="shared" ca="1" si="1"/>
        <v/>
      </c>
      <c r="K45" s="50" t="str">
        <f ca="1">IF(G45="","Unmatched ERP",IF(AND(ABS(H45)&lt;=Mapping_Rules!$B$4,ABS(J45)&lt;=Mapping_Rules!$B$5),"Matched","Review"))</f>
        <v>Unmatched ERP</v>
      </c>
      <c r="L45" s="50" t="str">
        <f ca="1">IF(K45="Matched","None",IF(G45="","Missing from bank",IF(ABS(H45)&gt;Mapping_Rules!$B$4,"Amount variance","Date variance")))</f>
        <v>Missing from bank</v>
      </c>
      <c r="M45" s="50" t="str">
        <f ca="1">IF(K45="Matched","Low",IF(OR(IFERROR(ABS(H45),0)&gt;Mapping_Rules!$B$7,IFERROR(J45,0)&gt;Mapping_Rules!$B$8),"High","Medium"))</f>
        <v>High</v>
      </c>
      <c r="N45" s="50" t="str">
        <f t="shared" ca="1" si="2"/>
        <v>Check bank date or posting</v>
      </c>
      <c r="O45" s="44" t="s">
        <v>158</v>
      </c>
      <c r="P45" s="44" t="s">
        <v>86</v>
      </c>
      <c r="Q45" s="44" t="s">
        <v>1689</v>
      </c>
      <c r="R45" s="51"/>
      <c r="S45" s="52">
        <f ca="1">IF(K45="Matched",0,Mapping_Rules!$B$6-B45)</f>
        <v>21</v>
      </c>
    </row>
    <row r="46" spans="1:19">
      <c r="A46" s="23" t="s">
        <v>256</v>
      </c>
      <c r="B46" s="31">
        <v>46051</v>
      </c>
      <c r="C46" s="23" t="s">
        <v>99</v>
      </c>
      <c r="D46" s="23" t="s">
        <v>182</v>
      </c>
      <c r="E46" s="23" t="s">
        <v>257</v>
      </c>
      <c r="F46" s="32">
        <v>-16620.64</v>
      </c>
      <c r="G46" s="38" t="str">
        <f ca="1">IFERROR(_xludf.XLOOKUP(E46,Bank_Statement!$D$4:$D$448,Bank_Statement!$G$4:$G$448,""),"")</f>
        <v/>
      </c>
      <c r="H46" s="32" t="str">
        <f t="shared" ca="1" si="0"/>
        <v/>
      </c>
      <c r="I46" s="39" t="str">
        <f ca="1">IFERROR(_xludf.XLOOKUP(E46,Bank_Statement!$D$4:$D$448,Bank_Statement!$B$4:$B$448,""),"")</f>
        <v/>
      </c>
      <c r="J46" s="40" t="str">
        <f t="shared" ca="1" si="1"/>
        <v/>
      </c>
      <c r="K46" s="41" t="str">
        <f ca="1">IF(G46="","Unmatched ERP",IF(AND(ABS(H46)&lt;=Mapping_Rules!$B$4,ABS(J46)&lt;=Mapping_Rules!$B$5),"Matched","Review"))</f>
        <v>Unmatched ERP</v>
      </c>
      <c r="L46" s="41" t="str">
        <f ca="1">IF(K46="Matched","None",IF(G46="","Missing from bank",IF(ABS(H46)&gt;Mapping_Rules!$B$4,"Amount variance","Date variance")))</f>
        <v>Missing from bank</v>
      </c>
      <c r="M46" s="41" t="str">
        <f ca="1">IF(K46="Matched","Low",IF(OR(IFERROR(ABS(H46),0)&gt;Mapping_Rules!$B$7,IFERROR(J46,0)&gt;Mapping_Rules!$B$8),"High","Medium"))</f>
        <v>High</v>
      </c>
      <c r="N46" s="41" t="str">
        <f t="shared" ca="1" si="2"/>
        <v>Check bank date or posting</v>
      </c>
      <c r="O46" s="23" t="s">
        <v>185</v>
      </c>
      <c r="P46" s="23" t="s">
        <v>95</v>
      </c>
      <c r="Q46" s="23" t="s">
        <v>1689</v>
      </c>
      <c r="R46" s="42"/>
      <c r="S46" s="43">
        <f ca="1">IF(K46="Matched",0,Mapping_Rules!$B$6-B46)</f>
        <v>2</v>
      </c>
    </row>
    <row r="47" spans="1:19">
      <c r="A47" s="44" t="s">
        <v>258</v>
      </c>
      <c r="B47" s="45">
        <v>46048</v>
      </c>
      <c r="C47" s="44" t="s">
        <v>99</v>
      </c>
      <c r="D47" s="44" t="s">
        <v>182</v>
      </c>
      <c r="E47" s="44" t="s">
        <v>259</v>
      </c>
      <c r="F47" s="46">
        <v>-15280.53</v>
      </c>
      <c r="G47" s="47" t="str">
        <f ca="1">IFERROR(_xludf.XLOOKUP(E47,Bank_Statement!$D$4:$D$448,Bank_Statement!$G$4:$G$448,""),"")</f>
        <v/>
      </c>
      <c r="H47" s="46" t="str">
        <f t="shared" ca="1" si="0"/>
        <v/>
      </c>
      <c r="I47" s="48" t="str">
        <f ca="1">IFERROR(_xludf.XLOOKUP(E47,Bank_Statement!$D$4:$D$448,Bank_Statement!$B$4:$B$448,""),"")</f>
        <v/>
      </c>
      <c r="J47" s="49" t="str">
        <f t="shared" ca="1" si="1"/>
        <v/>
      </c>
      <c r="K47" s="50" t="str">
        <f ca="1">IF(G47="","Unmatched ERP",IF(AND(ABS(H47)&lt;=Mapping_Rules!$B$4,ABS(J47)&lt;=Mapping_Rules!$B$5),"Matched","Review"))</f>
        <v>Unmatched ERP</v>
      </c>
      <c r="L47" s="50" t="str">
        <f ca="1">IF(K47="Matched","None",IF(G47="","Missing from bank",IF(ABS(H47)&gt;Mapping_Rules!$B$4,"Amount variance","Date variance")))</f>
        <v>Missing from bank</v>
      </c>
      <c r="M47" s="50" t="str">
        <f ca="1">IF(K47="Matched","Low",IF(OR(IFERROR(ABS(H47),0)&gt;Mapping_Rules!$B$7,IFERROR(J47,0)&gt;Mapping_Rules!$B$8),"High","Medium"))</f>
        <v>High</v>
      </c>
      <c r="N47" s="50" t="str">
        <f t="shared" ca="1" si="2"/>
        <v>Check bank date or posting</v>
      </c>
      <c r="O47" s="44" t="s">
        <v>185</v>
      </c>
      <c r="P47" s="44" t="s">
        <v>95</v>
      </c>
      <c r="Q47" s="44" t="s">
        <v>1689</v>
      </c>
      <c r="R47" s="51"/>
      <c r="S47" s="52">
        <f ca="1">IF(K47="Matched",0,Mapping_Rules!$B$6-B47)</f>
        <v>5</v>
      </c>
    </row>
    <row r="48" spans="1:19">
      <c r="A48" s="23" t="s">
        <v>260</v>
      </c>
      <c r="B48" s="31">
        <v>46036</v>
      </c>
      <c r="C48" s="23" t="s">
        <v>99</v>
      </c>
      <c r="D48" s="23" t="s">
        <v>182</v>
      </c>
      <c r="E48" s="23" t="s">
        <v>261</v>
      </c>
      <c r="F48" s="32">
        <v>-15028.93</v>
      </c>
      <c r="G48" s="38" t="str">
        <f ca="1">IFERROR(_xludf.XLOOKUP(E48,Bank_Statement!$D$4:$D$448,Bank_Statement!$G$4:$G$448,""),"")</f>
        <v/>
      </c>
      <c r="H48" s="32" t="str">
        <f t="shared" ca="1" si="0"/>
        <v/>
      </c>
      <c r="I48" s="39" t="str">
        <f ca="1">IFERROR(_xludf.XLOOKUP(E48,Bank_Statement!$D$4:$D$448,Bank_Statement!$B$4:$B$448,""),"")</f>
        <v/>
      </c>
      <c r="J48" s="40" t="str">
        <f t="shared" ca="1" si="1"/>
        <v/>
      </c>
      <c r="K48" s="41" t="str">
        <f ca="1">IF(G48="","Unmatched ERP",IF(AND(ABS(H48)&lt;=Mapping_Rules!$B$4,ABS(J48)&lt;=Mapping_Rules!$B$5),"Matched","Review"))</f>
        <v>Unmatched ERP</v>
      </c>
      <c r="L48" s="41" t="str">
        <f ca="1">IF(K48="Matched","None",IF(G48="","Missing from bank",IF(ABS(H48)&gt;Mapping_Rules!$B$4,"Amount variance","Date variance")))</f>
        <v>Missing from bank</v>
      </c>
      <c r="M48" s="41" t="str">
        <f ca="1">IF(K48="Matched","Low",IF(OR(IFERROR(ABS(H48),0)&gt;Mapping_Rules!$B$7,IFERROR(J48,0)&gt;Mapping_Rules!$B$8),"High","Medium"))</f>
        <v>High</v>
      </c>
      <c r="N48" s="41" t="str">
        <f t="shared" ca="1" si="2"/>
        <v>Check bank date or posting</v>
      </c>
      <c r="O48" s="23" t="s">
        <v>185</v>
      </c>
      <c r="P48" s="23" t="s">
        <v>95</v>
      </c>
      <c r="Q48" s="23" t="s">
        <v>1689</v>
      </c>
      <c r="R48" s="42"/>
      <c r="S48" s="43">
        <f ca="1">IF(K48="Matched",0,Mapping_Rules!$B$6-B48)</f>
        <v>17</v>
      </c>
    </row>
    <row r="49" spans="1:19">
      <c r="A49" s="44" t="s">
        <v>262</v>
      </c>
      <c r="B49" s="45">
        <v>46024</v>
      </c>
      <c r="C49" s="44" t="s">
        <v>99</v>
      </c>
      <c r="D49" s="44" t="s">
        <v>182</v>
      </c>
      <c r="E49" s="44" t="s">
        <v>263</v>
      </c>
      <c r="F49" s="46">
        <v>-5725.29</v>
      </c>
      <c r="G49" s="47" t="str">
        <f ca="1">IFERROR(_xludf.XLOOKUP(E49,Bank_Statement!$D$4:$D$448,Bank_Statement!$G$4:$G$448,""),"")</f>
        <v/>
      </c>
      <c r="H49" s="46" t="str">
        <f t="shared" ca="1" si="0"/>
        <v/>
      </c>
      <c r="I49" s="48" t="str">
        <f ca="1">IFERROR(_xludf.XLOOKUP(E49,Bank_Statement!$D$4:$D$448,Bank_Statement!$B$4:$B$448,""),"")</f>
        <v/>
      </c>
      <c r="J49" s="49" t="str">
        <f t="shared" ca="1" si="1"/>
        <v/>
      </c>
      <c r="K49" s="50" t="str">
        <f ca="1">IF(G49="","Unmatched ERP",IF(AND(ABS(H49)&lt;=Mapping_Rules!$B$4,ABS(J49)&lt;=Mapping_Rules!$B$5),"Matched","Review"))</f>
        <v>Unmatched ERP</v>
      </c>
      <c r="L49" s="50" t="str">
        <f ca="1">IF(K49="Matched","None",IF(G49="","Missing from bank",IF(ABS(H49)&gt;Mapping_Rules!$B$4,"Amount variance","Date variance")))</f>
        <v>Missing from bank</v>
      </c>
      <c r="M49" s="50" t="str">
        <f ca="1">IF(K49="Matched","Low",IF(OR(IFERROR(ABS(H49),0)&gt;Mapping_Rules!$B$7,IFERROR(J49,0)&gt;Mapping_Rules!$B$8),"High","Medium"))</f>
        <v>High</v>
      </c>
      <c r="N49" s="50" t="str">
        <f t="shared" ca="1" si="2"/>
        <v>Check bank date or posting</v>
      </c>
      <c r="O49" s="44" t="s">
        <v>185</v>
      </c>
      <c r="P49" s="44" t="s">
        <v>95</v>
      </c>
      <c r="Q49" s="44" t="s">
        <v>1689</v>
      </c>
      <c r="R49" s="51"/>
      <c r="S49" s="52">
        <f ca="1">IF(K49="Matched",0,Mapping_Rules!$B$6-B49)</f>
        <v>29</v>
      </c>
    </row>
    <row r="50" spans="1:19">
      <c r="A50" s="23" t="s">
        <v>264</v>
      </c>
      <c r="B50" s="31">
        <v>46044</v>
      </c>
      <c r="C50" s="23" t="s">
        <v>72</v>
      </c>
      <c r="D50" s="23" t="s">
        <v>208</v>
      </c>
      <c r="E50" s="23" t="s">
        <v>265</v>
      </c>
      <c r="F50" s="32">
        <v>-1785.05</v>
      </c>
      <c r="G50" s="38" t="str">
        <f ca="1">IFERROR(_xludf.XLOOKUP(E50,Bank_Statement!$D$4:$D$448,Bank_Statement!$G$4:$G$448,""),"")</f>
        <v/>
      </c>
      <c r="H50" s="32" t="str">
        <f t="shared" ca="1" si="0"/>
        <v/>
      </c>
      <c r="I50" s="39" t="str">
        <f ca="1">IFERROR(_xludf.XLOOKUP(E50,Bank_Statement!$D$4:$D$448,Bank_Statement!$B$4:$B$448,""),"")</f>
        <v/>
      </c>
      <c r="J50" s="40" t="str">
        <f t="shared" ca="1" si="1"/>
        <v/>
      </c>
      <c r="K50" s="41" t="str">
        <f ca="1">IF(G50="","Unmatched ERP",IF(AND(ABS(H50)&lt;=Mapping_Rules!$B$4,ABS(J50)&lt;=Mapping_Rules!$B$5),"Matched","Review"))</f>
        <v>Unmatched ERP</v>
      </c>
      <c r="L50" s="41" t="str">
        <f ca="1">IF(K50="Matched","None",IF(G50="","Missing from bank",IF(ABS(H50)&gt;Mapping_Rules!$B$4,"Amount variance","Date variance")))</f>
        <v>Missing from bank</v>
      </c>
      <c r="M50" s="41" t="str">
        <f ca="1">IF(K50="Matched","Low",IF(OR(IFERROR(ABS(H50),0)&gt;Mapping_Rules!$B$7,IFERROR(J50,0)&gt;Mapping_Rules!$B$8),"High","Medium"))</f>
        <v>High</v>
      </c>
      <c r="N50" s="41" t="str">
        <f t="shared" ca="1" si="2"/>
        <v>Check bank date or posting</v>
      </c>
      <c r="O50" s="23" t="s">
        <v>131</v>
      </c>
      <c r="P50" s="23" t="s">
        <v>77</v>
      </c>
      <c r="Q50" s="23" t="s">
        <v>1689</v>
      </c>
      <c r="R50" s="42"/>
      <c r="S50" s="43">
        <f ca="1">IF(K50="Matched",0,Mapping_Rules!$B$6-B50)</f>
        <v>9</v>
      </c>
    </row>
    <row r="51" spans="1:19">
      <c r="A51" s="44" t="s">
        <v>266</v>
      </c>
      <c r="B51" s="45">
        <v>46049</v>
      </c>
      <c r="C51" s="44" t="s">
        <v>81</v>
      </c>
      <c r="D51" s="44" t="s">
        <v>220</v>
      </c>
      <c r="E51" s="44" t="s">
        <v>267</v>
      </c>
      <c r="F51" s="46">
        <v>1113.0999999999999</v>
      </c>
      <c r="G51" s="47" t="str">
        <f ca="1">IFERROR(_xludf.XLOOKUP(E51,Bank_Statement!$D$4:$D$448,Bank_Statement!$G$4:$G$448,""),"")</f>
        <v/>
      </c>
      <c r="H51" s="46" t="str">
        <f t="shared" ca="1" si="0"/>
        <v/>
      </c>
      <c r="I51" s="48" t="str">
        <f ca="1">IFERROR(_xludf.XLOOKUP(E51,Bank_Statement!$D$4:$D$448,Bank_Statement!$B$4:$B$448,""),"")</f>
        <v/>
      </c>
      <c r="J51" s="49" t="str">
        <f t="shared" ca="1" si="1"/>
        <v/>
      </c>
      <c r="K51" s="50" t="str">
        <f ca="1">IF(G51="","Unmatched ERP",IF(AND(ABS(H51)&lt;=Mapping_Rules!$B$4,ABS(J51)&lt;=Mapping_Rules!$B$5),"Matched","Review"))</f>
        <v>Unmatched ERP</v>
      </c>
      <c r="L51" s="50" t="str">
        <f ca="1">IF(K51="Matched","None",IF(G51="","Missing from bank",IF(ABS(H51)&gt;Mapping_Rules!$B$4,"Amount variance","Date variance")))</f>
        <v>Missing from bank</v>
      </c>
      <c r="M51" s="50" t="str">
        <f ca="1">IF(K51="Matched","Low",IF(OR(IFERROR(ABS(H51),0)&gt;Mapping_Rules!$B$7,IFERROR(J51,0)&gt;Mapping_Rules!$B$8),"High","Medium"))</f>
        <v>High</v>
      </c>
      <c r="N51" s="50" t="str">
        <f t="shared" ca="1" si="2"/>
        <v>Check bank date or posting</v>
      </c>
      <c r="O51" s="44" t="s">
        <v>158</v>
      </c>
      <c r="P51" s="44" t="s">
        <v>86</v>
      </c>
      <c r="Q51" s="44" t="s">
        <v>1689</v>
      </c>
      <c r="R51" s="51"/>
      <c r="S51" s="52">
        <f ca="1">IF(K51="Matched",0,Mapping_Rules!$B$6-B51)</f>
        <v>4</v>
      </c>
    </row>
    <row r="52" spans="1:19">
      <c r="A52" s="23" t="s">
        <v>268</v>
      </c>
      <c r="B52" s="31">
        <v>46036</v>
      </c>
      <c r="C52" s="23" t="s">
        <v>72</v>
      </c>
      <c r="D52" s="23" t="s">
        <v>139</v>
      </c>
      <c r="E52" s="23" t="s">
        <v>269</v>
      </c>
      <c r="F52" s="32">
        <v>-1999.71</v>
      </c>
      <c r="G52" s="38" t="str">
        <f ca="1">IFERROR(_xludf.XLOOKUP(E52,Bank_Statement!$D$4:$D$448,Bank_Statement!$G$4:$G$448,""),"")</f>
        <v/>
      </c>
      <c r="H52" s="32" t="str">
        <f t="shared" ca="1" si="0"/>
        <v/>
      </c>
      <c r="I52" s="39" t="str">
        <f ca="1">IFERROR(_xludf.XLOOKUP(E52,Bank_Statement!$D$4:$D$448,Bank_Statement!$B$4:$B$448,""),"")</f>
        <v/>
      </c>
      <c r="J52" s="40" t="str">
        <f t="shared" ca="1" si="1"/>
        <v/>
      </c>
      <c r="K52" s="41" t="str">
        <f ca="1">IF(G52="","Unmatched ERP",IF(AND(ABS(H52)&lt;=Mapping_Rules!$B$4,ABS(J52)&lt;=Mapping_Rules!$B$5),"Matched","Review"))</f>
        <v>Unmatched ERP</v>
      </c>
      <c r="L52" s="41" t="str">
        <f ca="1">IF(K52="Matched","None",IF(G52="","Missing from bank",IF(ABS(H52)&gt;Mapping_Rules!$B$4,"Amount variance","Date variance")))</f>
        <v>Missing from bank</v>
      </c>
      <c r="M52" s="41" t="str">
        <f ca="1">IF(K52="Matched","Low",IF(OR(IFERROR(ABS(H52),0)&gt;Mapping_Rules!$B$7,IFERROR(J52,0)&gt;Mapping_Rules!$B$8),"High","Medium"))</f>
        <v>High</v>
      </c>
      <c r="N52" s="41" t="str">
        <f t="shared" ca="1" si="2"/>
        <v>Check bank date or posting</v>
      </c>
      <c r="O52" s="23" t="s">
        <v>131</v>
      </c>
      <c r="P52" s="23" t="s">
        <v>77</v>
      </c>
      <c r="Q52" s="23" t="s">
        <v>1689</v>
      </c>
      <c r="R52" s="42"/>
      <c r="S52" s="43">
        <f ca="1">IF(K52="Matched",0,Mapping_Rules!$B$6-B52)</f>
        <v>17</v>
      </c>
    </row>
    <row r="53" spans="1:19">
      <c r="A53" s="44" t="s">
        <v>270</v>
      </c>
      <c r="B53" s="45">
        <v>46045</v>
      </c>
      <c r="C53" s="44" t="s">
        <v>81</v>
      </c>
      <c r="D53" s="44" t="s">
        <v>167</v>
      </c>
      <c r="E53" s="44" t="s">
        <v>271</v>
      </c>
      <c r="F53" s="46">
        <v>7878.55</v>
      </c>
      <c r="G53" s="47" t="str">
        <f ca="1">IFERROR(_xludf.XLOOKUP(E53,Bank_Statement!$D$4:$D$448,Bank_Statement!$G$4:$G$448,""),"")</f>
        <v/>
      </c>
      <c r="H53" s="46" t="str">
        <f t="shared" ca="1" si="0"/>
        <v/>
      </c>
      <c r="I53" s="48" t="str">
        <f ca="1">IFERROR(_xludf.XLOOKUP(E53,Bank_Statement!$D$4:$D$448,Bank_Statement!$B$4:$B$448,""),"")</f>
        <v/>
      </c>
      <c r="J53" s="49" t="str">
        <f t="shared" ca="1" si="1"/>
        <v/>
      </c>
      <c r="K53" s="50" t="str">
        <f ca="1">IF(G53="","Unmatched ERP",IF(AND(ABS(H53)&lt;=Mapping_Rules!$B$4,ABS(J53)&lt;=Mapping_Rules!$B$5),"Matched","Review"))</f>
        <v>Unmatched ERP</v>
      </c>
      <c r="L53" s="50" t="str">
        <f ca="1">IF(K53="Matched","None",IF(G53="","Missing from bank",IF(ABS(H53)&gt;Mapping_Rules!$B$4,"Amount variance","Date variance")))</f>
        <v>Missing from bank</v>
      </c>
      <c r="M53" s="50" t="str">
        <f ca="1">IF(K53="Matched","Low",IF(OR(IFERROR(ABS(H53),0)&gt;Mapping_Rules!$B$7,IFERROR(J53,0)&gt;Mapping_Rules!$B$8),"High","Medium"))</f>
        <v>High</v>
      </c>
      <c r="N53" s="50" t="str">
        <f t="shared" ca="1" si="2"/>
        <v>Check bank date or posting</v>
      </c>
      <c r="O53" s="44" t="s">
        <v>158</v>
      </c>
      <c r="P53" s="44" t="s">
        <v>86</v>
      </c>
      <c r="Q53" s="44" t="s">
        <v>1689</v>
      </c>
      <c r="R53" s="51"/>
      <c r="S53" s="52">
        <f ca="1">IF(K53="Matched",0,Mapping_Rules!$B$6-B53)</f>
        <v>8</v>
      </c>
    </row>
    <row r="54" spans="1:19">
      <c r="A54" s="23" t="s">
        <v>272</v>
      </c>
      <c r="B54" s="31">
        <v>46052</v>
      </c>
      <c r="C54" s="23" t="s">
        <v>72</v>
      </c>
      <c r="D54" s="23" t="s">
        <v>208</v>
      </c>
      <c r="E54" s="23" t="s">
        <v>273</v>
      </c>
      <c r="F54" s="32">
        <v>-4139.93</v>
      </c>
      <c r="G54" s="38" t="str">
        <f ca="1">IFERROR(_xludf.XLOOKUP(E54,Bank_Statement!$D$4:$D$448,Bank_Statement!$G$4:$G$448,""),"")</f>
        <v/>
      </c>
      <c r="H54" s="32" t="str">
        <f t="shared" ca="1" si="0"/>
        <v/>
      </c>
      <c r="I54" s="39" t="str">
        <f ca="1">IFERROR(_xludf.XLOOKUP(E54,Bank_Statement!$D$4:$D$448,Bank_Statement!$B$4:$B$448,""),"")</f>
        <v/>
      </c>
      <c r="J54" s="40" t="str">
        <f t="shared" ca="1" si="1"/>
        <v/>
      </c>
      <c r="K54" s="41" t="str">
        <f ca="1">IF(G54="","Unmatched ERP",IF(AND(ABS(H54)&lt;=Mapping_Rules!$B$4,ABS(J54)&lt;=Mapping_Rules!$B$5),"Matched","Review"))</f>
        <v>Unmatched ERP</v>
      </c>
      <c r="L54" s="41" t="str">
        <f ca="1">IF(K54="Matched","None",IF(G54="","Missing from bank",IF(ABS(H54)&gt;Mapping_Rules!$B$4,"Amount variance","Date variance")))</f>
        <v>Missing from bank</v>
      </c>
      <c r="M54" s="41" t="str">
        <f ca="1">IF(K54="Matched","Low",IF(OR(IFERROR(ABS(H54),0)&gt;Mapping_Rules!$B$7,IFERROR(J54,0)&gt;Mapping_Rules!$B$8),"High","Medium"))</f>
        <v>High</v>
      </c>
      <c r="N54" s="41" t="str">
        <f t="shared" ca="1" si="2"/>
        <v>Check bank date or posting</v>
      </c>
      <c r="O54" s="23" t="s">
        <v>131</v>
      </c>
      <c r="P54" s="23" t="s">
        <v>77</v>
      </c>
      <c r="Q54" s="23" t="s">
        <v>1689</v>
      </c>
      <c r="R54" s="42"/>
      <c r="S54" s="43">
        <f ca="1">IF(K54="Matched",0,Mapping_Rules!$B$6-B54)</f>
        <v>1</v>
      </c>
    </row>
    <row r="55" spans="1:19">
      <c r="A55" s="44" t="s">
        <v>274</v>
      </c>
      <c r="B55" s="45">
        <v>46045</v>
      </c>
      <c r="C55" s="44" t="s">
        <v>72</v>
      </c>
      <c r="D55" s="44" t="s">
        <v>133</v>
      </c>
      <c r="E55" s="44" t="s">
        <v>275</v>
      </c>
      <c r="F55" s="46">
        <v>-1254.06</v>
      </c>
      <c r="G55" s="47" t="str">
        <f ca="1">IFERROR(_xludf.XLOOKUP(E55,Bank_Statement!$D$4:$D$448,Bank_Statement!$G$4:$G$448,""),"")</f>
        <v/>
      </c>
      <c r="H55" s="46" t="str">
        <f t="shared" ca="1" si="0"/>
        <v/>
      </c>
      <c r="I55" s="48" t="str">
        <f ca="1">IFERROR(_xludf.XLOOKUP(E55,Bank_Statement!$D$4:$D$448,Bank_Statement!$B$4:$B$448,""),"")</f>
        <v/>
      </c>
      <c r="J55" s="49" t="str">
        <f t="shared" ca="1" si="1"/>
        <v/>
      </c>
      <c r="K55" s="50" t="str">
        <f ca="1">IF(G55="","Unmatched ERP",IF(AND(ABS(H55)&lt;=Mapping_Rules!$B$4,ABS(J55)&lt;=Mapping_Rules!$B$5),"Matched","Review"))</f>
        <v>Unmatched ERP</v>
      </c>
      <c r="L55" s="50" t="str">
        <f ca="1">IF(K55="Matched","None",IF(G55="","Missing from bank",IF(ABS(H55)&gt;Mapping_Rules!$B$4,"Amount variance","Date variance")))</f>
        <v>Missing from bank</v>
      </c>
      <c r="M55" s="50" t="str">
        <f ca="1">IF(K55="Matched","Low",IF(OR(IFERROR(ABS(H55),0)&gt;Mapping_Rules!$B$7,IFERROR(J55,0)&gt;Mapping_Rules!$B$8),"High","Medium"))</f>
        <v>High</v>
      </c>
      <c r="N55" s="50" t="str">
        <f t="shared" ca="1" si="2"/>
        <v>Check bank date or posting</v>
      </c>
      <c r="O55" s="44" t="s">
        <v>131</v>
      </c>
      <c r="P55" s="44" t="s">
        <v>77</v>
      </c>
      <c r="Q55" s="44" t="s">
        <v>1689</v>
      </c>
      <c r="R55" s="51"/>
      <c r="S55" s="52">
        <f ca="1">IF(K55="Matched",0,Mapping_Rules!$B$6-B55)</f>
        <v>8</v>
      </c>
    </row>
    <row r="56" spans="1:19">
      <c r="A56" s="23" t="s">
        <v>276</v>
      </c>
      <c r="B56" s="31">
        <v>46049</v>
      </c>
      <c r="C56" s="23" t="s">
        <v>72</v>
      </c>
      <c r="D56" s="23" t="s">
        <v>208</v>
      </c>
      <c r="E56" s="23" t="s">
        <v>277</v>
      </c>
      <c r="F56" s="32">
        <v>-1366.32</v>
      </c>
      <c r="G56" s="38" t="str">
        <f ca="1">IFERROR(_xludf.XLOOKUP(E56,Bank_Statement!$D$4:$D$448,Bank_Statement!$G$4:$G$448,""),"")</f>
        <v/>
      </c>
      <c r="H56" s="32" t="str">
        <f t="shared" ca="1" si="0"/>
        <v/>
      </c>
      <c r="I56" s="39" t="str">
        <f ca="1">IFERROR(_xludf.XLOOKUP(E56,Bank_Statement!$D$4:$D$448,Bank_Statement!$B$4:$B$448,""),"")</f>
        <v/>
      </c>
      <c r="J56" s="40" t="str">
        <f t="shared" ca="1" si="1"/>
        <v/>
      </c>
      <c r="K56" s="41" t="str">
        <f ca="1">IF(G56="","Unmatched ERP",IF(AND(ABS(H56)&lt;=Mapping_Rules!$B$4,ABS(J56)&lt;=Mapping_Rules!$B$5),"Matched","Review"))</f>
        <v>Unmatched ERP</v>
      </c>
      <c r="L56" s="41" t="str">
        <f ca="1">IF(K56="Matched","None",IF(G56="","Missing from bank",IF(ABS(H56)&gt;Mapping_Rules!$B$4,"Amount variance","Date variance")))</f>
        <v>Missing from bank</v>
      </c>
      <c r="M56" s="41" t="str">
        <f ca="1">IF(K56="Matched","Low",IF(OR(IFERROR(ABS(H56),0)&gt;Mapping_Rules!$B$7,IFERROR(J56,0)&gt;Mapping_Rules!$B$8),"High","Medium"))</f>
        <v>High</v>
      </c>
      <c r="N56" s="41" t="str">
        <f t="shared" ca="1" si="2"/>
        <v>Check bank date or posting</v>
      </c>
      <c r="O56" s="23" t="s">
        <v>131</v>
      </c>
      <c r="P56" s="23" t="s">
        <v>77</v>
      </c>
      <c r="Q56" s="23" t="s">
        <v>1689</v>
      </c>
      <c r="R56" s="42"/>
      <c r="S56" s="43">
        <f ca="1">IF(K56="Matched",0,Mapping_Rules!$B$6-B56)</f>
        <v>4</v>
      </c>
    </row>
    <row r="57" spans="1:19">
      <c r="A57" s="44" t="s">
        <v>278</v>
      </c>
      <c r="B57" s="45">
        <v>46044</v>
      </c>
      <c r="C57" s="44" t="s">
        <v>72</v>
      </c>
      <c r="D57" s="44" t="s">
        <v>150</v>
      </c>
      <c r="E57" s="44" t="s">
        <v>279</v>
      </c>
      <c r="F57" s="46">
        <v>-4937.66</v>
      </c>
      <c r="G57" s="47" t="str">
        <f ca="1">IFERROR(_xludf.XLOOKUP(E57,Bank_Statement!$D$4:$D$448,Bank_Statement!$G$4:$G$448,""),"")</f>
        <v/>
      </c>
      <c r="H57" s="46" t="str">
        <f t="shared" ca="1" si="0"/>
        <v/>
      </c>
      <c r="I57" s="48" t="str">
        <f ca="1">IFERROR(_xludf.XLOOKUP(E57,Bank_Statement!$D$4:$D$448,Bank_Statement!$B$4:$B$448,""),"")</f>
        <v/>
      </c>
      <c r="J57" s="49" t="str">
        <f t="shared" ca="1" si="1"/>
        <v/>
      </c>
      <c r="K57" s="50" t="str">
        <f ca="1">IF(G57="","Unmatched ERP",IF(AND(ABS(H57)&lt;=Mapping_Rules!$B$4,ABS(J57)&lt;=Mapping_Rules!$B$5),"Matched","Review"))</f>
        <v>Unmatched ERP</v>
      </c>
      <c r="L57" s="50" t="str">
        <f ca="1">IF(K57="Matched","None",IF(G57="","Missing from bank",IF(ABS(H57)&gt;Mapping_Rules!$B$4,"Amount variance","Date variance")))</f>
        <v>Missing from bank</v>
      </c>
      <c r="M57" s="50" t="str">
        <f ca="1">IF(K57="Matched","Low",IF(OR(IFERROR(ABS(H57),0)&gt;Mapping_Rules!$B$7,IFERROR(J57,0)&gt;Mapping_Rules!$B$8),"High","Medium"))</f>
        <v>High</v>
      </c>
      <c r="N57" s="50" t="str">
        <f t="shared" ca="1" si="2"/>
        <v>Check bank date or posting</v>
      </c>
      <c r="O57" s="44" t="s">
        <v>131</v>
      </c>
      <c r="P57" s="44" t="s">
        <v>77</v>
      </c>
      <c r="Q57" s="44" t="s">
        <v>1689</v>
      </c>
      <c r="R57" s="51"/>
      <c r="S57" s="52">
        <f ca="1">IF(K57="Matched",0,Mapping_Rules!$B$6-B57)</f>
        <v>9</v>
      </c>
    </row>
    <row r="58" spans="1:19">
      <c r="A58" s="23" t="s">
        <v>280</v>
      </c>
      <c r="B58" s="31">
        <v>46053</v>
      </c>
      <c r="C58" s="23" t="s">
        <v>90</v>
      </c>
      <c r="D58" s="23" t="s">
        <v>163</v>
      </c>
      <c r="E58" s="23" t="s">
        <v>281</v>
      </c>
      <c r="F58" s="32">
        <v>-1586.58</v>
      </c>
      <c r="G58" s="38" t="str">
        <f ca="1">IFERROR(_xludf.XLOOKUP(E58,Bank_Statement!$D$4:$D$448,Bank_Statement!$G$4:$G$448,""),"")</f>
        <v/>
      </c>
      <c r="H58" s="32" t="str">
        <f t="shared" ca="1" si="0"/>
        <v/>
      </c>
      <c r="I58" s="39" t="str">
        <f ca="1">IFERROR(_xludf.XLOOKUP(E58,Bank_Statement!$D$4:$D$448,Bank_Statement!$B$4:$B$448,""),"")</f>
        <v/>
      </c>
      <c r="J58" s="40" t="str">
        <f t="shared" ca="1" si="1"/>
        <v/>
      </c>
      <c r="K58" s="41" t="str">
        <f ca="1">IF(G58="","Unmatched ERP",IF(AND(ABS(H58)&lt;=Mapping_Rules!$B$4,ABS(J58)&lt;=Mapping_Rules!$B$5),"Matched","Review"))</f>
        <v>Unmatched ERP</v>
      </c>
      <c r="L58" s="41" t="str">
        <f ca="1">IF(K58="Matched","None",IF(G58="","Missing from bank",IF(ABS(H58)&gt;Mapping_Rules!$B$4,"Amount variance","Date variance")))</f>
        <v>Missing from bank</v>
      </c>
      <c r="M58" s="41" t="str">
        <f ca="1">IF(K58="Matched","Low",IF(OR(IFERROR(ABS(H58),0)&gt;Mapping_Rules!$B$7,IFERROR(J58,0)&gt;Mapping_Rules!$B$8),"High","Medium"))</f>
        <v>High</v>
      </c>
      <c r="N58" s="41" t="str">
        <f t="shared" ca="1" si="2"/>
        <v>Check bank date or posting</v>
      </c>
      <c r="O58" s="23" t="s">
        <v>131</v>
      </c>
      <c r="P58" s="23" t="s">
        <v>95</v>
      </c>
      <c r="Q58" s="23" t="s">
        <v>1689</v>
      </c>
      <c r="R58" s="42"/>
      <c r="S58" s="43">
        <f ca="1">IF(K58="Matched",0,Mapping_Rules!$B$6-B58)</f>
        <v>0</v>
      </c>
    </row>
    <row r="59" spans="1:19">
      <c r="A59" s="44" t="s">
        <v>282</v>
      </c>
      <c r="B59" s="45">
        <v>46047</v>
      </c>
      <c r="C59" s="44" t="s">
        <v>72</v>
      </c>
      <c r="D59" s="44" t="s">
        <v>150</v>
      </c>
      <c r="E59" s="44" t="s">
        <v>283</v>
      </c>
      <c r="F59" s="46">
        <v>-5503.16</v>
      </c>
      <c r="G59" s="47" t="str">
        <f ca="1">IFERROR(_xludf.XLOOKUP(E59,Bank_Statement!$D$4:$D$448,Bank_Statement!$G$4:$G$448,""),"")</f>
        <v/>
      </c>
      <c r="H59" s="46" t="str">
        <f t="shared" ca="1" si="0"/>
        <v/>
      </c>
      <c r="I59" s="48" t="str">
        <f ca="1">IFERROR(_xludf.XLOOKUP(E59,Bank_Statement!$D$4:$D$448,Bank_Statement!$B$4:$B$448,""),"")</f>
        <v/>
      </c>
      <c r="J59" s="49" t="str">
        <f t="shared" ca="1" si="1"/>
        <v/>
      </c>
      <c r="K59" s="50" t="str">
        <f ca="1">IF(G59="","Unmatched ERP",IF(AND(ABS(H59)&lt;=Mapping_Rules!$B$4,ABS(J59)&lt;=Mapping_Rules!$B$5),"Matched","Review"))</f>
        <v>Unmatched ERP</v>
      </c>
      <c r="L59" s="50" t="str">
        <f ca="1">IF(K59="Matched","None",IF(G59="","Missing from bank",IF(ABS(H59)&gt;Mapping_Rules!$B$4,"Amount variance","Date variance")))</f>
        <v>Missing from bank</v>
      </c>
      <c r="M59" s="50" t="str">
        <f ca="1">IF(K59="Matched","Low",IF(OR(IFERROR(ABS(H59),0)&gt;Mapping_Rules!$B$7,IFERROR(J59,0)&gt;Mapping_Rules!$B$8),"High","Medium"))</f>
        <v>High</v>
      </c>
      <c r="N59" s="50" t="str">
        <f t="shared" ca="1" si="2"/>
        <v>Check bank date or posting</v>
      </c>
      <c r="O59" s="44" t="s">
        <v>131</v>
      </c>
      <c r="P59" s="44" t="s">
        <v>77</v>
      </c>
      <c r="Q59" s="44" t="s">
        <v>1689</v>
      </c>
      <c r="R59" s="51"/>
      <c r="S59" s="52">
        <f ca="1">IF(K59="Matched",0,Mapping_Rules!$B$6-B59)</f>
        <v>6</v>
      </c>
    </row>
    <row r="60" spans="1:19">
      <c r="A60" s="23" t="s">
        <v>284</v>
      </c>
      <c r="B60" s="31">
        <v>46030</v>
      </c>
      <c r="C60" s="23" t="s">
        <v>72</v>
      </c>
      <c r="D60" s="23" t="s">
        <v>126</v>
      </c>
      <c r="E60" s="23" t="s">
        <v>285</v>
      </c>
      <c r="F60" s="32">
        <v>-113.93</v>
      </c>
      <c r="G60" s="38" t="str">
        <f ca="1">IFERROR(_xludf.XLOOKUP(E60,Bank_Statement!$D$4:$D$448,Bank_Statement!$G$4:$G$448,""),"")</f>
        <v/>
      </c>
      <c r="H60" s="32" t="str">
        <f t="shared" ca="1" si="0"/>
        <v/>
      </c>
      <c r="I60" s="39" t="str">
        <f ca="1">IFERROR(_xludf.XLOOKUP(E60,Bank_Statement!$D$4:$D$448,Bank_Statement!$B$4:$B$448,""),"")</f>
        <v/>
      </c>
      <c r="J60" s="40" t="str">
        <f t="shared" ca="1" si="1"/>
        <v/>
      </c>
      <c r="K60" s="41" t="str">
        <f ca="1">IF(G60="","Unmatched ERP",IF(AND(ABS(H60)&lt;=Mapping_Rules!$B$4,ABS(J60)&lt;=Mapping_Rules!$B$5),"Matched","Review"))</f>
        <v>Unmatched ERP</v>
      </c>
      <c r="L60" s="41" t="str">
        <f ca="1">IF(K60="Matched","None",IF(G60="","Missing from bank",IF(ABS(H60)&gt;Mapping_Rules!$B$4,"Amount variance","Date variance")))</f>
        <v>Missing from bank</v>
      </c>
      <c r="M60" s="41" t="str">
        <f ca="1">IF(K60="Matched","Low",IF(OR(IFERROR(ABS(H60),0)&gt;Mapping_Rules!$B$7,IFERROR(J60,0)&gt;Mapping_Rules!$B$8),"High","Medium"))</f>
        <v>High</v>
      </c>
      <c r="N60" s="41" t="str">
        <f t="shared" ca="1" si="2"/>
        <v>Check bank date or posting</v>
      </c>
      <c r="O60" s="23" t="s">
        <v>131</v>
      </c>
      <c r="P60" s="23" t="s">
        <v>77</v>
      </c>
      <c r="Q60" s="23" t="s">
        <v>1689</v>
      </c>
      <c r="R60" s="42"/>
      <c r="S60" s="43">
        <f ca="1">IF(K60="Matched",0,Mapping_Rules!$B$6-B60)</f>
        <v>23</v>
      </c>
    </row>
    <row r="61" spans="1:19">
      <c r="A61" s="44" t="s">
        <v>286</v>
      </c>
      <c r="B61" s="45">
        <v>46052</v>
      </c>
      <c r="C61" s="44" t="s">
        <v>99</v>
      </c>
      <c r="D61" s="44" t="s">
        <v>182</v>
      </c>
      <c r="E61" s="44" t="s">
        <v>287</v>
      </c>
      <c r="F61" s="46">
        <v>-9118.7000000000007</v>
      </c>
      <c r="G61" s="47" t="str">
        <f ca="1">IFERROR(_xludf.XLOOKUP(E61,Bank_Statement!$D$4:$D$448,Bank_Statement!$G$4:$G$448,""),"")</f>
        <v/>
      </c>
      <c r="H61" s="46" t="str">
        <f t="shared" ca="1" si="0"/>
        <v/>
      </c>
      <c r="I61" s="48" t="str">
        <f ca="1">IFERROR(_xludf.XLOOKUP(E61,Bank_Statement!$D$4:$D$448,Bank_Statement!$B$4:$B$448,""),"")</f>
        <v/>
      </c>
      <c r="J61" s="49" t="str">
        <f t="shared" ca="1" si="1"/>
        <v/>
      </c>
      <c r="K61" s="50" t="str">
        <f ca="1">IF(G61="","Unmatched ERP",IF(AND(ABS(H61)&lt;=Mapping_Rules!$B$4,ABS(J61)&lt;=Mapping_Rules!$B$5),"Matched","Review"))</f>
        <v>Unmatched ERP</v>
      </c>
      <c r="L61" s="50" t="str">
        <f ca="1">IF(K61="Matched","None",IF(G61="","Missing from bank",IF(ABS(H61)&gt;Mapping_Rules!$B$4,"Amount variance","Date variance")))</f>
        <v>Missing from bank</v>
      </c>
      <c r="M61" s="50" t="str">
        <f ca="1">IF(K61="Matched","Low",IF(OR(IFERROR(ABS(H61),0)&gt;Mapping_Rules!$B$7,IFERROR(J61,0)&gt;Mapping_Rules!$B$8),"High","Medium"))</f>
        <v>High</v>
      </c>
      <c r="N61" s="50" t="str">
        <f t="shared" ca="1" si="2"/>
        <v>Check bank date or posting</v>
      </c>
      <c r="O61" s="44" t="s">
        <v>185</v>
      </c>
      <c r="P61" s="44" t="s">
        <v>95</v>
      </c>
      <c r="Q61" s="44" t="s">
        <v>1689</v>
      </c>
      <c r="R61" s="51"/>
      <c r="S61" s="52">
        <f ca="1">IF(K61="Matched",0,Mapping_Rules!$B$6-B61)</f>
        <v>1</v>
      </c>
    </row>
    <row r="62" spans="1:19">
      <c r="A62" s="23" t="s">
        <v>288</v>
      </c>
      <c r="B62" s="31">
        <v>46042</v>
      </c>
      <c r="C62" s="23" t="s">
        <v>72</v>
      </c>
      <c r="D62" s="23" t="s">
        <v>139</v>
      </c>
      <c r="E62" s="23" t="s">
        <v>289</v>
      </c>
      <c r="F62" s="32">
        <v>-5535.53</v>
      </c>
      <c r="G62" s="38" t="str">
        <f ca="1">IFERROR(_xludf.XLOOKUP(E62,Bank_Statement!$D$4:$D$448,Bank_Statement!$G$4:$G$448,""),"")</f>
        <v/>
      </c>
      <c r="H62" s="32" t="str">
        <f t="shared" ca="1" si="0"/>
        <v/>
      </c>
      <c r="I62" s="39" t="str">
        <f ca="1">IFERROR(_xludf.XLOOKUP(E62,Bank_Statement!$D$4:$D$448,Bank_Statement!$B$4:$B$448,""),"")</f>
        <v/>
      </c>
      <c r="J62" s="40" t="str">
        <f t="shared" ca="1" si="1"/>
        <v/>
      </c>
      <c r="K62" s="41" t="str">
        <f ca="1">IF(G62="","Unmatched ERP",IF(AND(ABS(H62)&lt;=Mapping_Rules!$B$4,ABS(J62)&lt;=Mapping_Rules!$B$5),"Matched","Review"))</f>
        <v>Unmatched ERP</v>
      </c>
      <c r="L62" s="41" t="str">
        <f ca="1">IF(K62="Matched","None",IF(G62="","Missing from bank",IF(ABS(H62)&gt;Mapping_Rules!$B$4,"Amount variance","Date variance")))</f>
        <v>Missing from bank</v>
      </c>
      <c r="M62" s="41" t="str">
        <f ca="1">IF(K62="Matched","Low",IF(OR(IFERROR(ABS(H62),0)&gt;Mapping_Rules!$B$7,IFERROR(J62,0)&gt;Mapping_Rules!$B$8),"High","Medium"))</f>
        <v>High</v>
      </c>
      <c r="N62" s="41" t="str">
        <f t="shared" ca="1" si="2"/>
        <v>Check bank date or posting</v>
      </c>
      <c r="O62" s="23" t="s">
        <v>131</v>
      </c>
      <c r="P62" s="23" t="s">
        <v>77</v>
      </c>
      <c r="Q62" s="23" t="s">
        <v>1689</v>
      </c>
      <c r="R62" s="42"/>
      <c r="S62" s="43">
        <f ca="1">IF(K62="Matched",0,Mapping_Rules!$B$6-B62)</f>
        <v>11</v>
      </c>
    </row>
    <row r="63" spans="1:19">
      <c r="A63" s="44" t="s">
        <v>290</v>
      </c>
      <c r="B63" s="45">
        <v>46046</v>
      </c>
      <c r="C63" s="44" t="s">
        <v>99</v>
      </c>
      <c r="D63" s="44" t="s">
        <v>182</v>
      </c>
      <c r="E63" s="44" t="s">
        <v>291</v>
      </c>
      <c r="F63" s="46">
        <v>-9026.01</v>
      </c>
      <c r="G63" s="47" t="str">
        <f ca="1">IFERROR(_xludf.XLOOKUP(E63,Bank_Statement!$D$4:$D$448,Bank_Statement!$G$4:$G$448,""),"")</f>
        <v/>
      </c>
      <c r="H63" s="46" t="str">
        <f t="shared" ca="1" si="0"/>
        <v/>
      </c>
      <c r="I63" s="48" t="str">
        <f ca="1">IFERROR(_xludf.XLOOKUP(E63,Bank_Statement!$D$4:$D$448,Bank_Statement!$B$4:$B$448,""),"")</f>
        <v/>
      </c>
      <c r="J63" s="49" t="str">
        <f t="shared" ca="1" si="1"/>
        <v/>
      </c>
      <c r="K63" s="50" t="str">
        <f ca="1">IF(G63="","Unmatched ERP",IF(AND(ABS(H63)&lt;=Mapping_Rules!$B$4,ABS(J63)&lt;=Mapping_Rules!$B$5),"Matched","Review"))</f>
        <v>Unmatched ERP</v>
      </c>
      <c r="L63" s="50" t="str">
        <f ca="1">IF(K63="Matched","None",IF(G63="","Missing from bank",IF(ABS(H63)&gt;Mapping_Rules!$B$4,"Amount variance","Date variance")))</f>
        <v>Missing from bank</v>
      </c>
      <c r="M63" s="50" t="str">
        <f ca="1">IF(K63="Matched","Low",IF(OR(IFERROR(ABS(H63),0)&gt;Mapping_Rules!$B$7,IFERROR(J63,0)&gt;Mapping_Rules!$B$8),"High","Medium"))</f>
        <v>High</v>
      </c>
      <c r="N63" s="50" t="str">
        <f t="shared" ca="1" si="2"/>
        <v>Check bank date or posting</v>
      </c>
      <c r="O63" s="44" t="s">
        <v>185</v>
      </c>
      <c r="P63" s="44" t="s">
        <v>95</v>
      </c>
      <c r="Q63" s="44" t="s">
        <v>1689</v>
      </c>
      <c r="R63" s="51"/>
      <c r="S63" s="52">
        <f ca="1">IF(K63="Matched",0,Mapping_Rules!$B$6-B63)</f>
        <v>7</v>
      </c>
    </row>
    <row r="64" spans="1:19">
      <c r="A64" s="23" t="s">
        <v>292</v>
      </c>
      <c r="B64" s="31">
        <v>46031</v>
      </c>
      <c r="C64" s="23" t="s">
        <v>81</v>
      </c>
      <c r="D64" s="23" t="s">
        <v>155</v>
      </c>
      <c r="E64" s="23" t="s">
        <v>293</v>
      </c>
      <c r="F64" s="32">
        <v>2535.83</v>
      </c>
      <c r="G64" s="38" t="str">
        <f ca="1">IFERROR(_xludf.XLOOKUP(E64,Bank_Statement!$D$4:$D$448,Bank_Statement!$G$4:$G$448,""),"")</f>
        <v/>
      </c>
      <c r="H64" s="32" t="str">
        <f t="shared" ca="1" si="0"/>
        <v/>
      </c>
      <c r="I64" s="39" t="str">
        <f ca="1">IFERROR(_xludf.XLOOKUP(E64,Bank_Statement!$D$4:$D$448,Bank_Statement!$B$4:$B$448,""),"")</f>
        <v/>
      </c>
      <c r="J64" s="40" t="str">
        <f t="shared" ca="1" si="1"/>
        <v/>
      </c>
      <c r="K64" s="41" t="str">
        <f ca="1">IF(G64="","Unmatched ERP",IF(AND(ABS(H64)&lt;=Mapping_Rules!$B$4,ABS(J64)&lt;=Mapping_Rules!$B$5),"Matched","Review"))</f>
        <v>Unmatched ERP</v>
      </c>
      <c r="L64" s="41" t="str">
        <f ca="1">IF(K64="Matched","None",IF(G64="","Missing from bank",IF(ABS(H64)&gt;Mapping_Rules!$B$4,"Amount variance","Date variance")))</f>
        <v>Missing from bank</v>
      </c>
      <c r="M64" s="41" t="str">
        <f ca="1">IF(K64="Matched","Low",IF(OR(IFERROR(ABS(H64),0)&gt;Mapping_Rules!$B$7,IFERROR(J64,0)&gt;Mapping_Rules!$B$8),"High","Medium"))</f>
        <v>High</v>
      </c>
      <c r="N64" s="41" t="str">
        <f t="shared" ca="1" si="2"/>
        <v>Check bank date or posting</v>
      </c>
      <c r="O64" s="23" t="s">
        <v>158</v>
      </c>
      <c r="P64" s="23" t="s">
        <v>86</v>
      </c>
      <c r="Q64" s="23" t="s">
        <v>1689</v>
      </c>
      <c r="R64" s="42"/>
      <c r="S64" s="43">
        <f ca="1">IF(K64="Matched",0,Mapping_Rules!$B$6-B64)</f>
        <v>22</v>
      </c>
    </row>
    <row r="65" spans="1:19">
      <c r="A65" s="44" t="s">
        <v>294</v>
      </c>
      <c r="B65" s="45">
        <v>46030</v>
      </c>
      <c r="C65" s="44" t="s">
        <v>81</v>
      </c>
      <c r="D65" s="44" t="s">
        <v>173</v>
      </c>
      <c r="E65" s="44" t="s">
        <v>295</v>
      </c>
      <c r="F65" s="46">
        <v>6048.6</v>
      </c>
      <c r="G65" s="47" t="str">
        <f ca="1">IFERROR(_xludf.XLOOKUP(E65,Bank_Statement!$D$4:$D$448,Bank_Statement!$G$4:$G$448,""),"")</f>
        <v/>
      </c>
      <c r="H65" s="46" t="str">
        <f t="shared" ca="1" si="0"/>
        <v/>
      </c>
      <c r="I65" s="48" t="str">
        <f ca="1">IFERROR(_xludf.XLOOKUP(E65,Bank_Statement!$D$4:$D$448,Bank_Statement!$B$4:$B$448,""),"")</f>
        <v/>
      </c>
      <c r="J65" s="49" t="str">
        <f t="shared" ca="1" si="1"/>
        <v/>
      </c>
      <c r="K65" s="50" t="str">
        <f ca="1">IF(G65="","Unmatched ERP",IF(AND(ABS(H65)&lt;=Mapping_Rules!$B$4,ABS(J65)&lt;=Mapping_Rules!$B$5),"Matched","Review"))</f>
        <v>Unmatched ERP</v>
      </c>
      <c r="L65" s="50" t="str">
        <f ca="1">IF(K65="Matched","None",IF(G65="","Missing from bank",IF(ABS(H65)&gt;Mapping_Rules!$B$4,"Amount variance","Date variance")))</f>
        <v>Missing from bank</v>
      </c>
      <c r="M65" s="50" t="str">
        <f ca="1">IF(K65="Matched","Low",IF(OR(IFERROR(ABS(H65),0)&gt;Mapping_Rules!$B$7,IFERROR(J65,0)&gt;Mapping_Rules!$B$8),"High","Medium"))</f>
        <v>High</v>
      </c>
      <c r="N65" s="50" t="str">
        <f t="shared" ca="1" si="2"/>
        <v>Check bank date or posting</v>
      </c>
      <c r="O65" s="44" t="s">
        <v>158</v>
      </c>
      <c r="P65" s="44" t="s">
        <v>86</v>
      </c>
      <c r="Q65" s="44" t="s">
        <v>1689</v>
      </c>
      <c r="R65" s="51"/>
      <c r="S65" s="52">
        <f ca="1">IF(K65="Matched",0,Mapping_Rules!$B$6-B65)</f>
        <v>23</v>
      </c>
    </row>
    <row r="66" spans="1:19">
      <c r="A66" s="23" t="s">
        <v>296</v>
      </c>
      <c r="B66" s="31">
        <v>46029</v>
      </c>
      <c r="C66" s="23" t="s">
        <v>99</v>
      </c>
      <c r="D66" s="23" t="s">
        <v>182</v>
      </c>
      <c r="E66" s="23" t="s">
        <v>297</v>
      </c>
      <c r="F66" s="32">
        <v>-8147.41</v>
      </c>
      <c r="G66" s="38" t="str">
        <f ca="1">IFERROR(_xludf.XLOOKUP(E66,Bank_Statement!$D$4:$D$448,Bank_Statement!$G$4:$G$448,""),"")</f>
        <v/>
      </c>
      <c r="H66" s="32" t="str">
        <f t="shared" ca="1" si="0"/>
        <v/>
      </c>
      <c r="I66" s="39" t="str">
        <f ca="1">IFERROR(_xludf.XLOOKUP(E66,Bank_Statement!$D$4:$D$448,Bank_Statement!$B$4:$B$448,""),"")</f>
        <v/>
      </c>
      <c r="J66" s="40" t="str">
        <f t="shared" ca="1" si="1"/>
        <v/>
      </c>
      <c r="K66" s="41" t="str">
        <f ca="1">IF(G66="","Unmatched ERP",IF(AND(ABS(H66)&lt;=Mapping_Rules!$B$4,ABS(J66)&lt;=Mapping_Rules!$B$5),"Matched","Review"))</f>
        <v>Unmatched ERP</v>
      </c>
      <c r="L66" s="41" t="str">
        <f ca="1">IF(K66="Matched","None",IF(G66="","Missing from bank",IF(ABS(H66)&gt;Mapping_Rules!$B$4,"Amount variance","Date variance")))</f>
        <v>Missing from bank</v>
      </c>
      <c r="M66" s="41" t="str">
        <f ca="1">IF(K66="Matched","Low",IF(OR(IFERROR(ABS(H66),0)&gt;Mapping_Rules!$B$7,IFERROR(J66,0)&gt;Mapping_Rules!$B$8),"High","Medium"))</f>
        <v>High</v>
      </c>
      <c r="N66" s="41" t="str">
        <f t="shared" ca="1" si="2"/>
        <v>Check bank date or posting</v>
      </c>
      <c r="O66" s="23" t="s">
        <v>185</v>
      </c>
      <c r="P66" s="23" t="s">
        <v>95</v>
      </c>
      <c r="Q66" s="23" t="s">
        <v>1689</v>
      </c>
      <c r="R66" s="42"/>
      <c r="S66" s="43">
        <f ca="1">IF(K66="Matched",0,Mapping_Rules!$B$6-B66)</f>
        <v>24</v>
      </c>
    </row>
    <row r="67" spans="1:19">
      <c r="A67" s="44" t="s">
        <v>298</v>
      </c>
      <c r="B67" s="45">
        <v>46047</v>
      </c>
      <c r="C67" s="44" t="s">
        <v>81</v>
      </c>
      <c r="D67" s="44" t="s">
        <v>163</v>
      </c>
      <c r="E67" s="44" t="s">
        <v>299</v>
      </c>
      <c r="F67" s="46">
        <v>199.23</v>
      </c>
      <c r="G67" s="47" t="str">
        <f ca="1">IFERROR(_xludf.XLOOKUP(E67,Bank_Statement!$D$4:$D$448,Bank_Statement!$G$4:$G$448,""),"")</f>
        <v/>
      </c>
      <c r="H67" s="46" t="str">
        <f t="shared" ca="1" si="0"/>
        <v/>
      </c>
      <c r="I67" s="48" t="str">
        <f ca="1">IFERROR(_xludf.XLOOKUP(E67,Bank_Statement!$D$4:$D$448,Bank_Statement!$B$4:$B$448,""),"")</f>
        <v/>
      </c>
      <c r="J67" s="49" t="str">
        <f t="shared" ca="1" si="1"/>
        <v/>
      </c>
      <c r="K67" s="50" t="str">
        <f ca="1">IF(G67="","Unmatched ERP",IF(AND(ABS(H67)&lt;=Mapping_Rules!$B$4,ABS(J67)&lt;=Mapping_Rules!$B$5),"Matched","Review"))</f>
        <v>Unmatched ERP</v>
      </c>
      <c r="L67" s="50" t="str">
        <f ca="1">IF(K67="Matched","None",IF(G67="","Missing from bank",IF(ABS(H67)&gt;Mapping_Rules!$B$4,"Amount variance","Date variance")))</f>
        <v>Missing from bank</v>
      </c>
      <c r="M67" s="50" t="str">
        <f ca="1">IF(K67="Matched","Low",IF(OR(IFERROR(ABS(H67),0)&gt;Mapping_Rules!$B$7,IFERROR(J67,0)&gt;Mapping_Rules!$B$8),"High","Medium"))</f>
        <v>High</v>
      </c>
      <c r="N67" s="50" t="str">
        <f t="shared" ca="1" si="2"/>
        <v>Check bank date or posting</v>
      </c>
      <c r="O67" s="44" t="s">
        <v>158</v>
      </c>
      <c r="P67" s="44" t="s">
        <v>86</v>
      </c>
      <c r="Q67" s="44" t="s">
        <v>1689</v>
      </c>
      <c r="R67" s="51"/>
      <c r="S67" s="52">
        <f ca="1">IF(K67="Matched",0,Mapping_Rules!$B$6-B67)</f>
        <v>6</v>
      </c>
    </row>
    <row r="68" spans="1:19">
      <c r="A68" s="23" t="s">
        <v>300</v>
      </c>
      <c r="B68" s="31">
        <v>46046</v>
      </c>
      <c r="C68" s="23" t="s">
        <v>81</v>
      </c>
      <c r="D68" s="23" t="s">
        <v>167</v>
      </c>
      <c r="E68" s="23" t="s">
        <v>301</v>
      </c>
      <c r="F68" s="32">
        <v>7646.72</v>
      </c>
      <c r="G68" s="38" t="str">
        <f ca="1">IFERROR(_xludf.XLOOKUP(E68,Bank_Statement!$D$4:$D$448,Bank_Statement!$G$4:$G$448,""),"")</f>
        <v/>
      </c>
      <c r="H68" s="32" t="str">
        <f t="shared" ref="H68:H131" ca="1" si="3">IF(G68="","",F68-G68)</f>
        <v/>
      </c>
      <c r="I68" s="39" t="str">
        <f ca="1">IFERROR(_xludf.XLOOKUP(E68,Bank_Statement!$D$4:$D$448,Bank_Statement!$B$4:$B$448,""),"")</f>
        <v/>
      </c>
      <c r="J68" s="40" t="str">
        <f t="shared" ref="J68:J131" ca="1" si="4">IF(I68="","",ABS(B68-I68))</f>
        <v/>
      </c>
      <c r="K68" s="41" t="str">
        <f ca="1">IF(G68="","Unmatched ERP",IF(AND(ABS(H68)&lt;=Mapping_Rules!$B$4,ABS(J68)&lt;=Mapping_Rules!$B$5),"Matched","Review"))</f>
        <v>Unmatched ERP</v>
      </c>
      <c r="L68" s="41" t="str">
        <f ca="1">IF(K68="Matched","None",IF(G68="","Missing from bank",IF(ABS(H68)&gt;Mapping_Rules!$B$4,"Amount variance","Date variance")))</f>
        <v>Missing from bank</v>
      </c>
      <c r="M68" s="41" t="str">
        <f ca="1">IF(K68="Matched","Low",IF(OR(IFERROR(ABS(H68),0)&gt;Mapping_Rules!$B$7,IFERROR(J68,0)&gt;Mapping_Rules!$B$8),"High","Medium"))</f>
        <v>High</v>
      </c>
      <c r="N68" s="41" t="str">
        <f t="shared" ref="N68:N131" ca="1" si="5">IF(K68="Matched","No action needed",IF(L68="Missing from bank","Check bank date or posting",IF(L68="Amount variance","Check invoice/payment amount","Check timing difference")))</f>
        <v>Check bank date or posting</v>
      </c>
      <c r="O68" s="23" t="s">
        <v>158</v>
      </c>
      <c r="P68" s="23" t="s">
        <v>86</v>
      </c>
      <c r="Q68" s="23" t="s">
        <v>1689</v>
      </c>
      <c r="R68" s="42"/>
      <c r="S68" s="43">
        <f ca="1">IF(K68="Matched",0,Mapping_Rules!$B$6-B68)</f>
        <v>7</v>
      </c>
    </row>
    <row r="69" spans="1:19">
      <c r="A69" s="44" t="s">
        <v>302</v>
      </c>
      <c r="B69" s="45">
        <v>46044</v>
      </c>
      <c r="C69" s="44" t="s">
        <v>90</v>
      </c>
      <c r="D69" s="44" t="s">
        <v>139</v>
      </c>
      <c r="E69" s="44" t="s">
        <v>303</v>
      </c>
      <c r="F69" s="46">
        <v>-3634.7</v>
      </c>
      <c r="G69" s="47" t="str">
        <f ca="1">IFERROR(_xludf.XLOOKUP(E69,Bank_Statement!$D$4:$D$448,Bank_Statement!$G$4:$G$448,""),"")</f>
        <v/>
      </c>
      <c r="H69" s="46" t="str">
        <f t="shared" ca="1" si="3"/>
        <v/>
      </c>
      <c r="I69" s="48" t="str">
        <f ca="1">IFERROR(_xludf.XLOOKUP(E69,Bank_Statement!$D$4:$D$448,Bank_Statement!$B$4:$B$448,""),"")</f>
        <v/>
      </c>
      <c r="J69" s="49" t="str">
        <f t="shared" ca="1" si="4"/>
        <v/>
      </c>
      <c r="K69" s="50" t="str">
        <f ca="1">IF(G69="","Unmatched ERP",IF(AND(ABS(H69)&lt;=Mapping_Rules!$B$4,ABS(J69)&lt;=Mapping_Rules!$B$5),"Matched","Review"))</f>
        <v>Unmatched ERP</v>
      </c>
      <c r="L69" s="50" t="str">
        <f ca="1">IF(K69="Matched","None",IF(G69="","Missing from bank",IF(ABS(H69)&gt;Mapping_Rules!$B$4,"Amount variance","Date variance")))</f>
        <v>Missing from bank</v>
      </c>
      <c r="M69" s="50" t="str">
        <f ca="1">IF(K69="Matched","Low",IF(OR(IFERROR(ABS(H69),0)&gt;Mapping_Rules!$B$7,IFERROR(J69,0)&gt;Mapping_Rules!$B$8),"High","Medium"))</f>
        <v>High</v>
      </c>
      <c r="N69" s="50" t="str">
        <f t="shared" ca="1" si="5"/>
        <v>Check bank date or posting</v>
      </c>
      <c r="O69" s="44" t="s">
        <v>131</v>
      </c>
      <c r="P69" s="44" t="s">
        <v>95</v>
      </c>
      <c r="Q69" s="44" t="s">
        <v>1689</v>
      </c>
      <c r="R69" s="51"/>
      <c r="S69" s="52">
        <f ca="1">IF(K69="Matched",0,Mapping_Rules!$B$6-B69)</f>
        <v>9</v>
      </c>
    </row>
    <row r="70" spans="1:19">
      <c r="A70" s="23" t="s">
        <v>304</v>
      </c>
      <c r="B70" s="31">
        <v>46044</v>
      </c>
      <c r="C70" s="23" t="s">
        <v>72</v>
      </c>
      <c r="D70" s="23" t="s">
        <v>126</v>
      </c>
      <c r="E70" s="23" t="s">
        <v>305</v>
      </c>
      <c r="F70" s="32">
        <v>-2703.11</v>
      </c>
      <c r="G70" s="38" t="str">
        <f ca="1">IFERROR(_xludf.XLOOKUP(E70,Bank_Statement!$D$4:$D$448,Bank_Statement!$G$4:$G$448,""),"")</f>
        <v/>
      </c>
      <c r="H70" s="32" t="str">
        <f t="shared" ca="1" si="3"/>
        <v/>
      </c>
      <c r="I70" s="39" t="str">
        <f ca="1">IFERROR(_xludf.XLOOKUP(E70,Bank_Statement!$D$4:$D$448,Bank_Statement!$B$4:$B$448,""),"")</f>
        <v/>
      </c>
      <c r="J70" s="40" t="str">
        <f t="shared" ca="1" si="4"/>
        <v/>
      </c>
      <c r="K70" s="41" t="str">
        <f ca="1">IF(G70="","Unmatched ERP",IF(AND(ABS(H70)&lt;=Mapping_Rules!$B$4,ABS(J70)&lt;=Mapping_Rules!$B$5),"Matched","Review"))</f>
        <v>Unmatched ERP</v>
      </c>
      <c r="L70" s="41" t="str">
        <f ca="1">IF(K70="Matched","None",IF(G70="","Missing from bank",IF(ABS(H70)&gt;Mapping_Rules!$B$4,"Amount variance","Date variance")))</f>
        <v>Missing from bank</v>
      </c>
      <c r="M70" s="41" t="str">
        <f ca="1">IF(K70="Matched","Low",IF(OR(IFERROR(ABS(H70),0)&gt;Mapping_Rules!$B$7,IFERROR(J70,0)&gt;Mapping_Rules!$B$8),"High","Medium"))</f>
        <v>High</v>
      </c>
      <c r="N70" s="41" t="str">
        <f t="shared" ca="1" si="5"/>
        <v>Check bank date or posting</v>
      </c>
      <c r="O70" s="23" t="s">
        <v>131</v>
      </c>
      <c r="P70" s="23" t="s">
        <v>77</v>
      </c>
      <c r="Q70" s="23" t="s">
        <v>1689</v>
      </c>
      <c r="R70" s="42"/>
      <c r="S70" s="43">
        <f ca="1">IF(K70="Matched",0,Mapping_Rules!$B$6-B70)</f>
        <v>9</v>
      </c>
    </row>
    <row r="71" spans="1:19">
      <c r="A71" s="44" t="s">
        <v>306</v>
      </c>
      <c r="B71" s="45">
        <v>46037</v>
      </c>
      <c r="C71" s="44" t="s">
        <v>72</v>
      </c>
      <c r="D71" s="44" t="s">
        <v>139</v>
      </c>
      <c r="E71" s="44" t="s">
        <v>307</v>
      </c>
      <c r="F71" s="46">
        <v>-5463.4</v>
      </c>
      <c r="G71" s="47" t="str">
        <f ca="1">IFERROR(_xludf.XLOOKUP(E71,Bank_Statement!$D$4:$D$448,Bank_Statement!$G$4:$G$448,""),"")</f>
        <v/>
      </c>
      <c r="H71" s="46" t="str">
        <f t="shared" ca="1" si="3"/>
        <v/>
      </c>
      <c r="I71" s="48" t="str">
        <f ca="1">IFERROR(_xludf.XLOOKUP(E71,Bank_Statement!$D$4:$D$448,Bank_Statement!$B$4:$B$448,""),"")</f>
        <v/>
      </c>
      <c r="J71" s="49" t="str">
        <f t="shared" ca="1" si="4"/>
        <v/>
      </c>
      <c r="K71" s="50" t="str">
        <f ca="1">IF(G71="","Unmatched ERP",IF(AND(ABS(H71)&lt;=Mapping_Rules!$B$4,ABS(J71)&lt;=Mapping_Rules!$B$5),"Matched","Review"))</f>
        <v>Unmatched ERP</v>
      </c>
      <c r="L71" s="50" t="str">
        <f ca="1">IF(K71="Matched","None",IF(G71="","Missing from bank",IF(ABS(H71)&gt;Mapping_Rules!$B$4,"Amount variance","Date variance")))</f>
        <v>Missing from bank</v>
      </c>
      <c r="M71" s="50" t="str">
        <f ca="1">IF(K71="Matched","Low",IF(OR(IFERROR(ABS(H71),0)&gt;Mapping_Rules!$B$7,IFERROR(J71,0)&gt;Mapping_Rules!$B$8),"High","Medium"))</f>
        <v>High</v>
      </c>
      <c r="N71" s="50" t="str">
        <f t="shared" ca="1" si="5"/>
        <v>Check bank date or posting</v>
      </c>
      <c r="O71" s="44" t="s">
        <v>131</v>
      </c>
      <c r="P71" s="44" t="s">
        <v>77</v>
      </c>
      <c r="Q71" s="44" t="s">
        <v>1689</v>
      </c>
      <c r="R71" s="51"/>
      <c r="S71" s="52">
        <f ca="1">IF(K71="Matched",0,Mapping_Rules!$B$6-B71)</f>
        <v>16</v>
      </c>
    </row>
    <row r="72" spans="1:19">
      <c r="A72" s="23" t="s">
        <v>308</v>
      </c>
      <c r="B72" s="31">
        <v>46046</v>
      </c>
      <c r="C72" s="23" t="s">
        <v>81</v>
      </c>
      <c r="D72" s="23" t="s">
        <v>214</v>
      </c>
      <c r="E72" s="23" t="s">
        <v>309</v>
      </c>
      <c r="F72" s="32">
        <v>2022.26</v>
      </c>
      <c r="G72" s="38" t="str">
        <f ca="1">IFERROR(_xludf.XLOOKUP(E72,Bank_Statement!$D$4:$D$448,Bank_Statement!$G$4:$G$448,""),"")</f>
        <v/>
      </c>
      <c r="H72" s="32" t="str">
        <f t="shared" ca="1" si="3"/>
        <v/>
      </c>
      <c r="I72" s="39" t="str">
        <f ca="1">IFERROR(_xludf.XLOOKUP(E72,Bank_Statement!$D$4:$D$448,Bank_Statement!$B$4:$B$448,""),"")</f>
        <v/>
      </c>
      <c r="J72" s="40" t="str">
        <f t="shared" ca="1" si="4"/>
        <v/>
      </c>
      <c r="K72" s="41" t="str">
        <f ca="1">IF(G72="","Unmatched ERP",IF(AND(ABS(H72)&lt;=Mapping_Rules!$B$4,ABS(J72)&lt;=Mapping_Rules!$B$5),"Matched","Review"))</f>
        <v>Unmatched ERP</v>
      </c>
      <c r="L72" s="41" t="str">
        <f ca="1">IF(K72="Matched","None",IF(G72="","Missing from bank",IF(ABS(H72)&gt;Mapping_Rules!$B$4,"Amount variance","Date variance")))</f>
        <v>Missing from bank</v>
      </c>
      <c r="M72" s="41" t="str">
        <f ca="1">IF(K72="Matched","Low",IF(OR(IFERROR(ABS(H72),0)&gt;Mapping_Rules!$B$7,IFERROR(J72,0)&gt;Mapping_Rules!$B$8),"High","Medium"))</f>
        <v>High</v>
      </c>
      <c r="N72" s="41" t="str">
        <f t="shared" ca="1" si="5"/>
        <v>Check bank date or posting</v>
      </c>
      <c r="O72" s="23" t="s">
        <v>158</v>
      </c>
      <c r="P72" s="23" t="s">
        <v>86</v>
      </c>
      <c r="Q72" s="23" t="s">
        <v>1689</v>
      </c>
      <c r="R72" s="42"/>
      <c r="S72" s="43">
        <f ca="1">IF(K72="Matched",0,Mapping_Rules!$B$6-B72)</f>
        <v>7</v>
      </c>
    </row>
    <row r="73" spans="1:19">
      <c r="A73" s="44" t="s">
        <v>310</v>
      </c>
      <c r="B73" s="45">
        <v>46023</v>
      </c>
      <c r="C73" s="44" t="s">
        <v>81</v>
      </c>
      <c r="D73" s="44" t="s">
        <v>173</v>
      </c>
      <c r="E73" s="44" t="s">
        <v>311</v>
      </c>
      <c r="F73" s="46">
        <v>1203.95</v>
      </c>
      <c r="G73" s="47" t="str">
        <f ca="1">IFERROR(_xludf.XLOOKUP(E73,Bank_Statement!$D$4:$D$448,Bank_Statement!$G$4:$G$448,""),"")</f>
        <v/>
      </c>
      <c r="H73" s="46" t="str">
        <f t="shared" ca="1" si="3"/>
        <v/>
      </c>
      <c r="I73" s="48" t="str">
        <f ca="1">IFERROR(_xludf.XLOOKUP(E73,Bank_Statement!$D$4:$D$448,Bank_Statement!$B$4:$B$448,""),"")</f>
        <v/>
      </c>
      <c r="J73" s="49" t="str">
        <f t="shared" ca="1" si="4"/>
        <v/>
      </c>
      <c r="K73" s="50" t="str">
        <f ca="1">IF(G73="","Unmatched ERP",IF(AND(ABS(H73)&lt;=Mapping_Rules!$B$4,ABS(J73)&lt;=Mapping_Rules!$B$5),"Matched","Review"))</f>
        <v>Unmatched ERP</v>
      </c>
      <c r="L73" s="50" t="str">
        <f ca="1">IF(K73="Matched","None",IF(G73="","Missing from bank",IF(ABS(H73)&gt;Mapping_Rules!$B$4,"Amount variance","Date variance")))</f>
        <v>Missing from bank</v>
      </c>
      <c r="M73" s="50" t="str">
        <f ca="1">IF(K73="Matched","Low",IF(OR(IFERROR(ABS(H73),0)&gt;Mapping_Rules!$B$7,IFERROR(J73,0)&gt;Mapping_Rules!$B$8),"High","Medium"))</f>
        <v>High</v>
      </c>
      <c r="N73" s="50" t="str">
        <f t="shared" ca="1" si="5"/>
        <v>Check bank date or posting</v>
      </c>
      <c r="O73" s="44" t="s">
        <v>158</v>
      </c>
      <c r="P73" s="44" t="s">
        <v>86</v>
      </c>
      <c r="Q73" s="44" t="s">
        <v>1689</v>
      </c>
      <c r="R73" s="51"/>
      <c r="S73" s="52">
        <f ca="1">IF(K73="Matched",0,Mapping_Rules!$B$6-B73)</f>
        <v>30</v>
      </c>
    </row>
    <row r="74" spans="1:19">
      <c r="A74" s="23" t="s">
        <v>312</v>
      </c>
      <c r="B74" s="31">
        <v>46037</v>
      </c>
      <c r="C74" s="23" t="s">
        <v>90</v>
      </c>
      <c r="D74" s="23" t="s">
        <v>155</v>
      </c>
      <c r="E74" s="23" t="s">
        <v>313</v>
      </c>
      <c r="F74" s="32">
        <v>-1876.03</v>
      </c>
      <c r="G74" s="38" t="str">
        <f ca="1">IFERROR(_xludf.XLOOKUP(E74,Bank_Statement!$D$4:$D$448,Bank_Statement!$G$4:$G$448,""),"")</f>
        <v/>
      </c>
      <c r="H74" s="32" t="str">
        <f t="shared" ca="1" si="3"/>
        <v/>
      </c>
      <c r="I74" s="39" t="str">
        <f ca="1">IFERROR(_xludf.XLOOKUP(E74,Bank_Statement!$D$4:$D$448,Bank_Statement!$B$4:$B$448,""),"")</f>
        <v/>
      </c>
      <c r="J74" s="40" t="str">
        <f t="shared" ca="1" si="4"/>
        <v/>
      </c>
      <c r="K74" s="41" t="str">
        <f ca="1">IF(G74="","Unmatched ERP",IF(AND(ABS(H74)&lt;=Mapping_Rules!$B$4,ABS(J74)&lt;=Mapping_Rules!$B$5),"Matched","Review"))</f>
        <v>Unmatched ERP</v>
      </c>
      <c r="L74" s="41" t="str">
        <f ca="1">IF(K74="Matched","None",IF(G74="","Missing from bank",IF(ABS(H74)&gt;Mapping_Rules!$B$4,"Amount variance","Date variance")))</f>
        <v>Missing from bank</v>
      </c>
      <c r="M74" s="41" t="str">
        <f ca="1">IF(K74="Matched","Low",IF(OR(IFERROR(ABS(H74),0)&gt;Mapping_Rules!$B$7,IFERROR(J74,0)&gt;Mapping_Rules!$B$8),"High","Medium"))</f>
        <v>High</v>
      </c>
      <c r="N74" s="41" t="str">
        <f t="shared" ca="1" si="5"/>
        <v>Check bank date or posting</v>
      </c>
      <c r="O74" s="23" t="s">
        <v>158</v>
      </c>
      <c r="P74" s="23" t="s">
        <v>95</v>
      </c>
      <c r="Q74" s="23" t="s">
        <v>1689</v>
      </c>
      <c r="R74" s="42"/>
      <c r="S74" s="43">
        <f ca="1">IF(K74="Matched",0,Mapping_Rules!$B$6-B74)</f>
        <v>16</v>
      </c>
    </row>
    <row r="75" spans="1:19">
      <c r="A75" s="44" t="s">
        <v>314</v>
      </c>
      <c r="B75" s="45">
        <v>46041</v>
      </c>
      <c r="C75" s="44" t="s">
        <v>90</v>
      </c>
      <c r="D75" s="44" t="s">
        <v>139</v>
      </c>
      <c r="E75" s="44" t="s">
        <v>315</v>
      </c>
      <c r="F75" s="46">
        <v>-2013.44</v>
      </c>
      <c r="G75" s="47" t="str">
        <f ca="1">IFERROR(_xludf.XLOOKUP(E75,Bank_Statement!$D$4:$D$448,Bank_Statement!$G$4:$G$448,""),"")</f>
        <v/>
      </c>
      <c r="H75" s="46" t="str">
        <f t="shared" ca="1" si="3"/>
        <v/>
      </c>
      <c r="I75" s="48" t="str">
        <f ca="1">IFERROR(_xludf.XLOOKUP(E75,Bank_Statement!$D$4:$D$448,Bank_Statement!$B$4:$B$448,""),"")</f>
        <v/>
      </c>
      <c r="J75" s="49" t="str">
        <f t="shared" ca="1" si="4"/>
        <v/>
      </c>
      <c r="K75" s="50" t="str">
        <f ca="1">IF(G75="","Unmatched ERP",IF(AND(ABS(H75)&lt;=Mapping_Rules!$B$4,ABS(J75)&lt;=Mapping_Rules!$B$5),"Matched","Review"))</f>
        <v>Unmatched ERP</v>
      </c>
      <c r="L75" s="50" t="str">
        <f ca="1">IF(K75="Matched","None",IF(G75="","Missing from bank",IF(ABS(H75)&gt;Mapping_Rules!$B$4,"Amount variance","Date variance")))</f>
        <v>Missing from bank</v>
      </c>
      <c r="M75" s="50" t="str">
        <f ca="1">IF(K75="Matched","Low",IF(OR(IFERROR(ABS(H75),0)&gt;Mapping_Rules!$B$7,IFERROR(J75,0)&gt;Mapping_Rules!$B$8),"High","Medium"))</f>
        <v>High</v>
      </c>
      <c r="N75" s="50" t="str">
        <f t="shared" ca="1" si="5"/>
        <v>Check bank date or posting</v>
      </c>
      <c r="O75" s="44" t="s">
        <v>158</v>
      </c>
      <c r="P75" s="44" t="s">
        <v>95</v>
      </c>
      <c r="Q75" s="44" t="s">
        <v>1689</v>
      </c>
      <c r="R75" s="51"/>
      <c r="S75" s="52">
        <f ca="1">IF(K75="Matched",0,Mapping_Rules!$B$6-B75)</f>
        <v>12</v>
      </c>
    </row>
    <row r="76" spans="1:19">
      <c r="A76" s="23" t="s">
        <v>316</v>
      </c>
      <c r="B76" s="31">
        <v>46042</v>
      </c>
      <c r="C76" s="23" t="s">
        <v>99</v>
      </c>
      <c r="D76" s="23" t="s">
        <v>182</v>
      </c>
      <c r="E76" s="23" t="s">
        <v>317</v>
      </c>
      <c r="F76" s="32">
        <v>-14045.29</v>
      </c>
      <c r="G76" s="38" t="str">
        <f ca="1">IFERROR(_xludf.XLOOKUP(E76,Bank_Statement!$D$4:$D$448,Bank_Statement!$G$4:$G$448,""),"")</f>
        <v/>
      </c>
      <c r="H76" s="32" t="str">
        <f t="shared" ca="1" si="3"/>
        <v/>
      </c>
      <c r="I76" s="39" t="str">
        <f ca="1">IFERROR(_xludf.XLOOKUP(E76,Bank_Statement!$D$4:$D$448,Bank_Statement!$B$4:$B$448,""),"")</f>
        <v/>
      </c>
      <c r="J76" s="40" t="str">
        <f t="shared" ca="1" si="4"/>
        <v/>
      </c>
      <c r="K76" s="41" t="str">
        <f ca="1">IF(G76="","Unmatched ERP",IF(AND(ABS(H76)&lt;=Mapping_Rules!$B$4,ABS(J76)&lt;=Mapping_Rules!$B$5),"Matched","Review"))</f>
        <v>Unmatched ERP</v>
      </c>
      <c r="L76" s="41" t="str">
        <f ca="1">IF(K76="Matched","None",IF(G76="","Missing from bank",IF(ABS(H76)&gt;Mapping_Rules!$B$4,"Amount variance","Date variance")))</f>
        <v>Missing from bank</v>
      </c>
      <c r="M76" s="41" t="str">
        <f ca="1">IF(K76="Matched","Low",IF(OR(IFERROR(ABS(H76),0)&gt;Mapping_Rules!$B$7,IFERROR(J76,0)&gt;Mapping_Rules!$B$8),"High","Medium"))</f>
        <v>High</v>
      </c>
      <c r="N76" s="41" t="str">
        <f t="shared" ca="1" si="5"/>
        <v>Check bank date or posting</v>
      </c>
      <c r="O76" s="23" t="s">
        <v>185</v>
      </c>
      <c r="P76" s="23" t="s">
        <v>95</v>
      </c>
      <c r="Q76" s="23" t="s">
        <v>1689</v>
      </c>
      <c r="R76" s="42"/>
      <c r="S76" s="43">
        <f ca="1">IF(K76="Matched",0,Mapping_Rules!$B$6-B76)</f>
        <v>11</v>
      </c>
    </row>
    <row r="77" spans="1:19">
      <c r="A77" s="44" t="s">
        <v>318</v>
      </c>
      <c r="B77" s="45">
        <v>46025</v>
      </c>
      <c r="C77" s="44" t="s">
        <v>81</v>
      </c>
      <c r="D77" s="44" t="s">
        <v>214</v>
      </c>
      <c r="E77" s="44" t="s">
        <v>319</v>
      </c>
      <c r="F77" s="46">
        <v>255.65</v>
      </c>
      <c r="G77" s="47" t="str">
        <f ca="1">IFERROR(_xludf.XLOOKUP(E77,Bank_Statement!$D$4:$D$448,Bank_Statement!$G$4:$G$448,""),"")</f>
        <v/>
      </c>
      <c r="H77" s="46" t="str">
        <f t="shared" ca="1" si="3"/>
        <v/>
      </c>
      <c r="I77" s="48" t="str">
        <f ca="1">IFERROR(_xludf.XLOOKUP(E77,Bank_Statement!$D$4:$D$448,Bank_Statement!$B$4:$B$448,""),"")</f>
        <v/>
      </c>
      <c r="J77" s="49" t="str">
        <f t="shared" ca="1" si="4"/>
        <v/>
      </c>
      <c r="K77" s="50" t="str">
        <f ca="1">IF(G77="","Unmatched ERP",IF(AND(ABS(H77)&lt;=Mapping_Rules!$B$4,ABS(J77)&lt;=Mapping_Rules!$B$5),"Matched","Review"))</f>
        <v>Unmatched ERP</v>
      </c>
      <c r="L77" s="50" t="str">
        <f ca="1">IF(K77="Matched","None",IF(G77="","Missing from bank",IF(ABS(H77)&gt;Mapping_Rules!$B$4,"Amount variance","Date variance")))</f>
        <v>Missing from bank</v>
      </c>
      <c r="M77" s="50" t="str">
        <f ca="1">IF(K77="Matched","Low",IF(OR(IFERROR(ABS(H77),0)&gt;Mapping_Rules!$B$7,IFERROR(J77,0)&gt;Mapping_Rules!$B$8),"High","Medium"))</f>
        <v>High</v>
      </c>
      <c r="N77" s="50" t="str">
        <f t="shared" ca="1" si="5"/>
        <v>Check bank date or posting</v>
      </c>
      <c r="O77" s="44" t="s">
        <v>158</v>
      </c>
      <c r="P77" s="44" t="s">
        <v>86</v>
      </c>
      <c r="Q77" s="44" t="s">
        <v>1689</v>
      </c>
      <c r="R77" s="51"/>
      <c r="S77" s="52">
        <f ca="1">IF(K77="Matched",0,Mapping_Rules!$B$6-B77)</f>
        <v>28</v>
      </c>
    </row>
    <row r="78" spans="1:19">
      <c r="A78" s="23" t="s">
        <v>320</v>
      </c>
      <c r="B78" s="31">
        <v>46049</v>
      </c>
      <c r="C78" s="23" t="s">
        <v>81</v>
      </c>
      <c r="D78" s="23" t="s">
        <v>173</v>
      </c>
      <c r="E78" s="23" t="s">
        <v>321</v>
      </c>
      <c r="F78" s="32">
        <v>3786.32</v>
      </c>
      <c r="G78" s="38" t="str">
        <f ca="1">IFERROR(_xludf.XLOOKUP(E78,Bank_Statement!$D$4:$D$448,Bank_Statement!$G$4:$G$448,""),"")</f>
        <v/>
      </c>
      <c r="H78" s="32" t="str">
        <f t="shared" ca="1" si="3"/>
        <v/>
      </c>
      <c r="I78" s="39" t="str">
        <f ca="1">IFERROR(_xludf.XLOOKUP(E78,Bank_Statement!$D$4:$D$448,Bank_Statement!$B$4:$B$448,""),"")</f>
        <v/>
      </c>
      <c r="J78" s="40" t="str">
        <f t="shared" ca="1" si="4"/>
        <v/>
      </c>
      <c r="K78" s="41" t="str">
        <f ca="1">IF(G78="","Unmatched ERP",IF(AND(ABS(H78)&lt;=Mapping_Rules!$B$4,ABS(J78)&lt;=Mapping_Rules!$B$5),"Matched","Review"))</f>
        <v>Unmatched ERP</v>
      </c>
      <c r="L78" s="41" t="str">
        <f ca="1">IF(K78="Matched","None",IF(G78="","Missing from bank",IF(ABS(H78)&gt;Mapping_Rules!$B$4,"Amount variance","Date variance")))</f>
        <v>Missing from bank</v>
      </c>
      <c r="M78" s="41" t="str">
        <f ca="1">IF(K78="Matched","Low",IF(OR(IFERROR(ABS(H78),0)&gt;Mapping_Rules!$B$7,IFERROR(J78,0)&gt;Mapping_Rules!$B$8),"High","Medium"))</f>
        <v>High</v>
      </c>
      <c r="N78" s="41" t="str">
        <f t="shared" ca="1" si="5"/>
        <v>Check bank date or posting</v>
      </c>
      <c r="O78" s="23" t="s">
        <v>158</v>
      </c>
      <c r="P78" s="23" t="s">
        <v>86</v>
      </c>
      <c r="Q78" s="23" t="s">
        <v>1689</v>
      </c>
      <c r="R78" s="42"/>
      <c r="S78" s="43">
        <f ca="1">IF(K78="Matched",0,Mapping_Rules!$B$6-B78)</f>
        <v>4</v>
      </c>
    </row>
    <row r="79" spans="1:19">
      <c r="A79" s="44" t="s">
        <v>322</v>
      </c>
      <c r="B79" s="45">
        <v>46049</v>
      </c>
      <c r="C79" s="44" t="s">
        <v>90</v>
      </c>
      <c r="D79" s="44" t="s">
        <v>204</v>
      </c>
      <c r="E79" s="44" t="s">
        <v>323</v>
      </c>
      <c r="F79" s="46">
        <v>1645.41</v>
      </c>
      <c r="G79" s="47" t="str">
        <f ca="1">IFERROR(_xludf.XLOOKUP(E79,Bank_Statement!$D$4:$D$448,Bank_Statement!$G$4:$G$448,""),"")</f>
        <v/>
      </c>
      <c r="H79" s="46" t="str">
        <f t="shared" ca="1" si="3"/>
        <v/>
      </c>
      <c r="I79" s="48" t="str">
        <f ca="1">IFERROR(_xludf.XLOOKUP(E79,Bank_Statement!$D$4:$D$448,Bank_Statement!$B$4:$B$448,""),"")</f>
        <v/>
      </c>
      <c r="J79" s="49" t="str">
        <f t="shared" ca="1" si="4"/>
        <v/>
      </c>
      <c r="K79" s="50" t="str">
        <f ca="1">IF(G79="","Unmatched ERP",IF(AND(ABS(H79)&lt;=Mapping_Rules!$B$4,ABS(J79)&lt;=Mapping_Rules!$B$5),"Matched","Review"))</f>
        <v>Unmatched ERP</v>
      </c>
      <c r="L79" s="50" t="str">
        <f ca="1">IF(K79="Matched","None",IF(G79="","Missing from bank",IF(ABS(H79)&gt;Mapping_Rules!$B$4,"Amount variance","Date variance")))</f>
        <v>Missing from bank</v>
      </c>
      <c r="M79" s="50" t="str">
        <f ca="1">IF(K79="Matched","Low",IF(OR(IFERROR(ABS(H79),0)&gt;Mapping_Rules!$B$7,IFERROR(J79,0)&gt;Mapping_Rules!$B$8),"High","Medium"))</f>
        <v>High</v>
      </c>
      <c r="N79" s="50" t="str">
        <f t="shared" ca="1" si="5"/>
        <v>Check bank date or posting</v>
      </c>
      <c r="O79" s="44" t="s">
        <v>158</v>
      </c>
      <c r="P79" s="44" t="s">
        <v>95</v>
      </c>
      <c r="Q79" s="44" t="s">
        <v>1689</v>
      </c>
      <c r="R79" s="51"/>
      <c r="S79" s="52">
        <f ca="1">IF(K79="Matched",0,Mapping_Rules!$B$6-B79)</f>
        <v>4</v>
      </c>
    </row>
    <row r="80" spans="1:19">
      <c r="A80" s="23" t="s">
        <v>324</v>
      </c>
      <c r="B80" s="31">
        <v>46044</v>
      </c>
      <c r="C80" s="23" t="s">
        <v>81</v>
      </c>
      <c r="D80" s="23" t="s">
        <v>220</v>
      </c>
      <c r="E80" s="23" t="s">
        <v>325</v>
      </c>
      <c r="F80" s="32">
        <v>4277.46</v>
      </c>
      <c r="G80" s="38" t="str">
        <f ca="1">IFERROR(_xludf.XLOOKUP(E80,Bank_Statement!$D$4:$D$448,Bank_Statement!$G$4:$G$448,""),"")</f>
        <v/>
      </c>
      <c r="H80" s="32" t="str">
        <f t="shared" ca="1" si="3"/>
        <v/>
      </c>
      <c r="I80" s="39" t="str">
        <f ca="1">IFERROR(_xludf.XLOOKUP(E80,Bank_Statement!$D$4:$D$448,Bank_Statement!$B$4:$B$448,""),"")</f>
        <v/>
      </c>
      <c r="J80" s="40" t="str">
        <f t="shared" ca="1" si="4"/>
        <v/>
      </c>
      <c r="K80" s="41" t="str">
        <f ca="1">IF(G80="","Unmatched ERP",IF(AND(ABS(H80)&lt;=Mapping_Rules!$B$4,ABS(J80)&lt;=Mapping_Rules!$B$5),"Matched","Review"))</f>
        <v>Unmatched ERP</v>
      </c>
      <c r="L80" s="41" t="str">
        <f ca="1">IF(K80="Matched","None",IF(G80="","Missing from bank",IF(ABS(H80)&gt;Mapping_Rules!$B$4,"Amount variance","Date variance")))</f>
        <v>Missing from bank</v>
      </c>
      <c r="M80" s="41" t="str">
        <f ca="1">IF(K80="Matched","Low",IF(OR(IFERROR(ABS(H80),0)&gt;Mapping_Rules!$B$7,IFERROR(J80,0)&gt;Mapping_Rules!$B$8),"High","Medium"))</f>
        <v>High</v>
      </c>
      <c r="N80" s="41" t="str">
        <f t="shared" ca="1" si="5"/>
        <v>Check bank date or posting</v>
      </c>
      <c r="O80" s="23" t="s">
        <v>158</v>
      </c>
      <c r="P80" s="23" t="s">
        <v>86</v>
      </c>
      <c r="Q80" s="23" t="s">
        <v>1689</v>
      </c>
      <c r="R80" s="42"/>
      <c r="S80" s="43">
        <f ca="1">IF(K80="Matched",0,Mapping_Rules!$B$6-B80)</f>
        <v>9</v>
      </c>
    </row>
    <row r="81" spans="1:19">
      <c r="A81" s="44" t="s">
        <v>326</v>
      </c>
      <c r="B81" s="45">
        <v>46033</v>
      </c>
      <c r="C81" s="44" t="s">
        <v>72</v>
      </c>
      <c r="D81" s="44" t="s">
        <v>204</v>
      </c>
      <c r="E81" s="44" t="s">
        <v>327</v>
      </c>
      <c r="F81" s="46">
        <v>-4371.24</v>
      </c>
      <c r="G81" s="47" t="str">
        <f ca="1">IFERROR(_xludf.XLOOKUP(E81,Bank_Statement!$D$4:$D$448,Bank_Statement!$G$4:$G$448,""),"")</f>
        <v/>
      </c>
      <c r="H81" s="46" t="str">
        <f t="shared" ca="1" si="3"/>
        <v/>
      </c>
      <c r="I81" s="48" t="str">
        <f ca="1">IFERROR(_xludf.XLOOKUP(E81,Bank_Statement!$D$4:$D$448,Bank_Statement!$B$4:$B$448,""),"")</f>
        <v/>
      </c>
      <c r="J81" s="49" t="str">
        <f t="shared" ca="1" si="4"/>
        <v/>
      </c>
      <c r="K81" s="50" t="str">
        <f ca="1">IF(G81="","Unmatched ERP",IF(AND(ABS(H81)&lt;=Mapping_Rules!$B$4,ABS(J81)&lt;=Mapping_Rules!$B$5),"Matched","Review"))</f>
        <v>Unmatched ERP</v>
      </c>
      <c r="L81" s="50" t="str">
        <f ca="1">IF(K81="Matched","None",IF(G81="","Missing from bank",IF(ABS(H81)&gt;Mapping_Rules!$B$4,"Amount variance","Date variance")))</f>
        <v>Missing from bank</v>
      </c>
      <c r="M81" s="50" t="str">
        <f ca="1">IF(K81="Matched","Low",IF(OR(IFERROR(ABS(H81),0)&gt;Mapping_Rules!$B$7,IFERROR(J81,0)&gt;Mapping_Rules!$B$8),"High","Medium"))</f>
        <v>High</v>
      </c>
      <c r="N81" s="50" t="str">
        <f t="shared" ca="1" si="5"/>
        <v>Check bank date or posting</v>
      </c>
      <c r="O81" s="44" t="s">
        <v>131</v>
      </c>
      <c r="P81" s="44" t="s">
        <v>77</v>
      </c>
      <c r="Q81" s="44" t="s">
        <v>1689</v>
      </c>
      <c r="R81" s="51"/>
      <c r="S81" s="52">
        <f ca="1">IF(K81="Matched",0,Mapping_Rules!$B$6-B81)</f>
        <v>20</v>
      </c>
    </row>
    <row r="82" spans="1:19">
      <c r="A82" s="23" t="s">
        <v>328</v>
      </c>
      <c r="B82" s="31">
        <v>46046</v>
      </c>
      <c r="C82" s="23" t="s">
        <v>81</v>
      </c>
      <c r="D82" s="23" t="s">
        <v>167</v>
      </c>
      <c r="E82" s="23" t="s">
        <v>329</v>
      </c>
      <c r="F82" s="32">
        <v>6480.67</v>
      </c>
      <c r="G82" s="38" t="str">
        <f ca="1">IFERROR(_xludf.XLOOKUP(E82,Bank_Statement!$D$4:$D$448,Bank_Statement!$G$4:$G$448,""),"")</f>
        <v/>
      </c>
      <c r="H82" s="32" t="str">
        <f t="shared" ca="1" si="3"/>
        <v/>
      </c>
      <c r="I82" s="39" t="str">
        <f ca="1">IFERROR(_xludf.XLOOKUP(E82,Bank_Statement!$D$4:$D$448,Bank_Statement!$B$4:$B$448,""),"")</f>
        <v/>
      </c>
      <c r="J82" s="40" t="str">
        <f t="shared" ca="1" si="4"/>
        <v/>
      </c>
      <c r="K82" s="41" t="str">
        <f ca="1">IF(G82="","Unmatched ERP",IF(AND(ABS(H82)&lt;=Mapping_Rules!$B$4,ABS(J82)&lt;=Mapping_Rules!$B$5),"Matched","Review"))</f>
        <v>Unmatched ERP</v>
      </c>
      <c r="L82" s="41" t="str">
        <f ca="1">IF(K82="Matched","None",IF(G82="","Missing from bank",IF(ABS(H82)&gt;Mapping_Rules!$B$4,"Amount variance","Date variance")))</f>
        <v>Missing from bank</v>
      </c>
      <c r="M82" s="41" t="str">
        <f ca="1">IF(K82="Matched","Low",IF(OR(IFERROR(ABS(H82),0)&gt;Mapping_Rules!$B$7,IFERROR(J82,0)&gt;Mapping_Rules!$B$8),"High","Medium"))</f>
        <v>High</v>
      </c>
      <c r="N82" s="41" t="str">
        <f t="shared" ca="1" si="5"/>
        <v>Check bank date or posting</v>
      </c>
      <c r="O82" s="23" t="s">
        <v>158</v>
      </c>
      <c r="P82" s="23" t="s">
        <v>86</v>
      </c>
      <c r="Q82" s="23" t="s">
        <v>1689</v>
      </c>
      <c r="R82" s="42"/>
      <c r="S82" s="43">
        <f ca="1">IF(K82="Matched",0,Mapping_Rules!$B$6-B82)</f>
        <v>7</v>
      </c>
    </row>
    <row r="83" spans="1:19">
      <c r="A83" s="44" t="s">
        <v>330</v>
      </c>
      <c r="B83" s="45">
        <v>46030</v>
      </c>
      <c r="C83" s="44" t="s">
        <v>81</v>
      </c>
      <c r="D83" s="44" t="s">
        <v>173</v>
      </c>
      <c r="E83" s="44" t="s">
        <v>331</v>
      </c>
      <c r="F83" s="46">
        <v>2706.82</v>
      </c>
      <c r="G83" s="47" t="str">
        <f ca="1">IFERROR(_xludf.XLOOKUP(E83,Bank_Statement!$D$4:$D$448,Bank_Statement!$G$4:$G$448,""),"")</f>
        <v/>
      </c>
      <c r="H83" s="46" t="str">
        <f t="shared" ca="1" si="3"/>
        <v/>
      </c>
      <c r="I83" s="48" t="str">
        <f ca="1">IFERROR(_xludf.XLOOKUP(E83,Bank_Statement!$D$4:$D$448,Bank_Statement!$B$4:$B$448,""),"")</f>
        <v/>
      </c>
      <c r="J83" s="49" t="str">
        <f t="shared" ca="1" si="4"/>
        <v/>
      </c>
      <c r="K83" s="50" t="str">
        <f ca="1">IF(G83="","Unmatched ERP",IF(AND(ABS(H83)&lt;=Mapping_Rules!$B$4,ABS(J83)&lt;=Mapping_Rules!$B$5),"Matched","Review"))</f>
        <v>Unmatched ERP</v>
      </c>
      <c r="L83" s="50" t="str">
        <f ca="1">IF(K83="Matched","None",IF(G83="","Missing from bank",IF(ABS(H83)&gt;Mapping_Rules!$B$4,"Amount variance","Date variance")))</f>
        <v>Missing from bank</v>
      </c>
      <c r="M83" s="50" t="str">
        <f ca="1">IF(K83="Matched","Low",IF(OR(IFERROR(ABS(H83),0)&gt;Mapping_Rules!$B$7,IFERROR(J83,0)&gt;Mapping_Rules!$B$8),"High","Medium"))</f>
        <v>High</v>
      </c>
      <c r="N83" s="50" t="str">
        <f t="shared" ca="1" si="5"/>
        <v>Check bank date or posting</v>
      </c>
      <c r="O83" s="44" t="s">
        <v>158</v>
      </c>
      <c r="P83" s="44" t="s">
        <v>86</v>
      </c>
      <c r="Q83" s="44" t="s">
        <v>1689</v>
      </c>
      <c r="R83" s="51"/>
      <c r="S83" s="52">
        <f ca="1">IF(K83="Matched",0,Mapping_Rules!$B$6-B83)</f>
        <v>23</v>
      </c>
    </row>
    <row r="84" spans="1:19">
      <c r="A84" s="23" t="s">
        <v>332</v>
      </c>
      <c r="B84" s="31">
        <v>46046</v>
      </c>
      <c r="C84" s="23" t="s">
        <v>81</v>
      </c>
      <c r="D84" s="23" t="s">
        <v>214</v>
      </c>
      <c r="E84" s="23" t="s">
        <v>333</v>
      </c>
      <c r="F84" s="32">
        <v>6018.84</v>
      </c>
      <c r="G84" s="38" t="str">
        <f ca="1">IFERROR(_xludf.XLOOKUP(E84,Bank_Statement!$D$4:$D$448,Bank_Statement!$G$4:$G$448,""),"")</f>
        <v/>
      </c>
      <c r="H84" s="32" t="str">
        <f t="shared" ca="1" si="3"/>
        <v/>
      </c>
      <c r="I84" s="39" t="str">
        <f ca="1">IFERROR(_xludf.XLOOKUP(E84,Bank_Statement!$D$4:$D$448,Bank_Statement!$B$4:$B$448,""),"")</f>
        <v/>
      </c>
      <c r="J84" s="40" t="str">
        <f t="shared" ca="1" si="4"/>
        <v/>
      </c>
      <c r="K84" s="41" t="str">
        <f ca="1">IF(G84="","Unmatched ERP",IF(AND(ABS(H84)&lt;=Mapping_Rules!$B$4,ABS(J84)&lt;=Mapping_Rules!$B$5),"Matched","Review"))</f>
        <v>Unmatched ERP</v>
      </c>
      <c r="L84" s="41" t="str">
        <f ca="1">IF(K84="Matched","None",IF(G84="","Missing from bank",IF(ABS(H84)&gt;Mapping_Rules!$B$4,"Amount variance","Date variance")))</f>
        <v>Missing from bank</v>
      </c>
      <c r="M84" s="41" t="str">
        <f ca="1">IF(K84="Matched","Low",IF(OR(IFERROR(ABS(H84),0)&gt;Mapping_Rules!$B$7,IFERROR(J84,0)&gt;Mapping_Rules!$B$8),"High","Medium"))</f>
        <v>High</v>
      </c>
      <c r="N84" s="41" t="str">
        <f t="shared" ca="1" si="5"/>
        <v>Check bank date or posting</v>
      </c>
      <c r="O84" s="23" t="s">
        <v>158</v>
      </c>
      <c r="P84" s="23" t="s">
        <v>86</v>
      </c>
      <c r="Q84" s="23" t="s">
        <v>1689</v>
      </c>
      <c r="R84" s="42"/>
      <c r="S84" s="43">
        <f ca="1">IF(K84="Matched",0,Mapping_Rules!$B$6-B84)</f>
        <v>7</v>
      </c>
    </row>
    <row r="85" spans="1:19">
      <c r="A85" s="44" t="s">
        <v>334</v>
      </c>
      <c r="B85" s="45">
        <v>46033</v>
      </c>
      <c r="C85" s="44" t="s">
        <v>72</v>
      </c>
      <c r="D85" s="44" t="s">
        <v>204</v>
      </c>
      <c r="E85" s="44" t="s">
        <v>335</v>
      </c>
      <c r="F85" s="46">
        <v>-5899.37</v>
      </c>
      <c r="G85" s="47" t="str">
        <f ca="1">IFERROR(_xludf.XLOOKUP(E85,Bank_Statement!$D$4:$D$448,Bank_Statement!$G$4:$G$448,""),"")</f>
        <v/>
      </c>
      <c r="H85" s="46" t="str">
        <f t="shared" ca="1" si="3"/>
        <v/>
      </c>
      <c r="I85" s="48" t="str">
        <f ca="1">IFERROR(_xludf.XLOOKUP(E85,Bank_Statement!$D$4:$D$448,Bank_Statement!$B$4:$B$448,""),"")</f>
        <v/>
      </c>
      <c r="J85" s="49" t="str">
        <f t="shared" ca="1" si="4"/>
        <v/>
      </c>
      <c r="K85" s="50" t="str">
        <f ca="1">IF(G85="","Unmatched ERP",IF(AND(ABS(H85)&lt;=Mapping_Rules!$B$4,ABS(J85)&lt;=Mapping_Rules!$B$5),"Matched","Review"))</f>
        <v>Unmatched ERP</v>
      </c>
      <c r="L85" s="50" t="str">
        <f ca="1">IF(K85="Matched","None",IF(G85="","Missing from bank",IF(ABS(H85)&gt;Mapping_Rules!$B$4,"Amount variance","Date variance")))</f>
        <v>Missing from bank</v>
      </c>
      <c r="M85" s="50" t="str">
        <f ca="1">IF(K85="Matched","Low",IF(OR(IFERROR(ABS(H85),0)&gt;Mapping_Rules!$B$7,IFERROR(J85,0)&gt;Mapping_Rules!$B$8),"High","Medium"))</f>
        <v>High</v>
      </c>
      <c r="N85" s="50" t="str">
        <f t="shared" ca="1" si="5"/>
        <v>Check bank date or posting</v>
      </c>
      <c r="O85" s="44" t="s">
        <v>131</v>
      </c>
      <c r="P85" s="44" t="s">
        <v>77</v>
      </c>
      <c r="Q85" s="44" t="s">
        <v>1689</v>
      </c>
      <c r="R85" s="51"/>
      <c r="S85" s="52">
        <f ca="1">IF(K85="Matched",0,Mapping_Rules!$B$6-B85)</f>
        <v>20</v>
      </c>
    </row>
    <row r="86" spans="1:19">
      <c r="A86" s="23" t="s">
        <v>336</v>
      </c>
      <c r="B86" s="31">
        <v>46041</v>
      </c>
      <c r="C86" s="23" t="s">
        <v>107</v>
      </c>
      <c r="D86" s="23" t="s">
        <v>191</v>
      </c>
      <c r="E86" s="23" t="s">
        <v>337</v>
      </c>
      <c r="F86" s="32">
        <v>-65.33</v>
      </c>
      <c r="G86" s="38" t="str">
        <f ca="1">IFERROR(_xludf.XLOOKUP(E86,Bank_Statement!$D$4:$D$448,Bank_Statement!$G$4:$G$448,""),"")</f>
        <v/>
      </c>
      <c r="H86" s="32" t="str">
        <f t="shared" ca="1" si="3"/>
        <v/>
      </c>
      <c r="I86" s="39" t="str">
        <f ca="1">IFERROR(_xludf.XLOOKUP(E86,Bank_Statement!$D$4:$D$448,Bank_Statement!$B$4:$B$448,""),"")</f>
        <v/>
      </c>
      <c r="J86" s="40" t="str">
        <f t="shared" ca="1" si="4"/>
        <v/>
      </c>
      <c r="K86" s="41" t="str">
        <f ca="1">IF(G86="","Unmatched ERP",IF(AND(ABS(H86)&lt;=Mapping_Rules!$B$4,ABS(J86)&lt;=Mapping_Rules!$B$5),"Matched","Review"))</f>
        <v>Unmatched ERP</v>
      </c>
      <c r="L86" s="41" t="str">
        <f ca="1">IF(K86="Matched","None",IF(G86="","Missing from bank",IF(ABS(H86)&gt;Mapping_Rules!$B$4,"Amount variance","Date variance")))</f>
        <v>Missing from bank</v>
      </c>
      <c r="M86" s="41" t="str">
        <f ca="1">IF(K86="Matched","Low",IF(OR(IFERROR(ABS(H86),0)&gt;Mapping_Rules!$B$7,IFERROR(J86,0)&gt;Mapping_Rules!$B$8),"High","Medium"))</f>
        <v>High</v>
      </c>
      <c r="N86" s="41" t="str">
        <f t="shared" ca="1" si="5"/>
        <v>Check bank date or posting</v>
      </c>
      <c r="O86" s="23" t="s">
        <v>194</v>
      </c>
      <c r="P86" s="23" t="s">
        <v>95</v>
      </c>
      <c r="Q86" s="23" t="s">
        <v>1689</v>
      </c>
      <c r="R86" s="42"/>
      <c r="S86" s="43">
        <f ca="1">IF(K86="Matched",0,Mapping_Rules!$B$6-B86)</f>
        <v>12</v>
      </c>
    </row>
    <row r="87" spans="1:19">
      <c r="A87" s="44" t="s">
        <v>338</v>
      </c>
      <c r="B87" s="45">
        <v>46032</v>
      </c>
      <c r="C87" s="44" t="s">
        <v>72</v>
      </c>
      <c r="D87" s="44" t="s">
        <v>133</v>
      </c>
      <c r="E87" s="44" t="s">
        <v>339</v>
      </c>
      <c r="F87" s="46">
        <v>-1929.88</v>
      </c>
      <c r="G87" s="47" t="str">
        <f ca="1">IFERROR(_xludf.XLOOKUP(E87,Bank_Statement!$D$4:$D$448,Bank_Statement!$G$4:$G$448,""),"")</f>
        <v/>
      </c>
      <c r="H87" s="46" t="str">
        <f t="shared" ca="1" si="3"/>
        <v/>
      </c>
      <c r="I87" s="48" t="str">
        <f ca="1">IFERROR(_xludf.XLOOKUP(E87,Bank_Statement!$D$4:$D$448,Bank_Statement!$B$4:$B$448,""),"")</f>
        <v/>
      </c>
      <c r="J87" s="49" t="str">
        <f t="shared" ca="1" si="4"/>
        <v/>
      </c>
      <c r="K87" s="50" t="str">
        <f ca="1">IF(G87="","Unmatched ERP",IF(AND(ABS(H87)&lt;=Mapping_Rules!$B$4,ABS(J87)&lt;=Mapping_Rules!$B$5),"Matched","Review"))</f>
        <v>Unmatched ERP</v>
      </c>
      <c r="L87" s="50" t="str">
        <f ca="1">IF(K87="Matched","None",IF(G87="","Missing from bank",IF(ABS(H87)&gt;Mapping_Rules!$B$4,"Amount variance","Date variance")))</f>
        <v>Missing from bank</v>
      </c>
      <c r="M87" s="50" t="str">
        <f ca="1">IF(K87="Matched","Low",IF(OR(IFERROR(ABS(H87),0)&gt;Mapping_Rules!$B$7,IFERROR(J87,0)&gt;Mapping_Rules!$B$8),"High","Medium"))</f>
        <v>High</v>
      </c>
      <c r="N87" s="50" t="str">
        <f t="shared" ca="1" si="5"/>
        <v>Check bank date or posting</v>
      </c>
      <c r="O87" s="44" t="s">
        <v>131</v>
      </c>
      <c r="P87" s="44" t="s">
        <v>77</v>
      </c>
      <c r="Q87" s="44" t="s">
        <v>1689</v>
      </c>
      <c r="R87" s="51"/>
      <c r="S87" s="52">
        <f ca="1">IF(K87="Matched",0,Mapping_Rules!$B$6-B87)</f>
        <v>21</v>
      </c>
    </row>
    <row r="88" spans="1:19">
      <c r="A88" s="23" t="s">
        <v>340</v>
      </c>
      <c r="B88" s="31">
        <v>46045</v>
      </c>
      <c r="C88" s="23" t="s">
        <v>107</v>
      </c>
      <c r="D88" s="23" t="s">
        <v>191</v>
      </c>
      <c r="E88" s="23" t="s">
        <v>341</v>
      </c>
      <c r="F88" s="32">
        <v>-78.36</v>
      </c>
      <c r="G88" s="38" t="str">
        <f ca="1">IFERROR(_xludf.XLOOKUP(E88,Bank_Statement!$D$4:$D$448,Bank_Statement!$G$4:$G$448,""),"")</f>
        <v/>
      </c>
      <c r="H88" s="32" t="str">
        <f t="shared" ca="1" si="3"/>
        <v/>
      </c>
      <c r="I88" s="39" t="str">
        <f ca="1">IFERROR(_xludf.XLOOKUP(E88,Bank_Statement!$D$4:$D$448,Bank_Statement!$B$4:$B$448,""),"")</f>
        <v/>
      </c>
      <c r="J88" s="40" t="str">
        <f t="shared" ca="1" si="4"/>
        <v/>
      </c>
      <c r="K88" s="41" t="str">
        <f ca="1">IF(G88="","Unmatched ERP",IF(AND(ABS(H88)&lt;=Mapping_Rules!$B$4,ABS(J88)&lt;=Mapping_Rules!$B$5),"Matched","Review"))</f>
        <v>Unmatched ERP</v>
      </c>
      <c r="L88" s="41" t="str">
        <f ca="1">IF(K88="Matched","None",IF(G88="","Missing from bank",IF(ABS(H88)&gt;Mapping_Rules!$B$4,"Amount variance","Date variance")))</f>
        <v>Missing from bank</v>
      </c>
      <c r="M88" s="41" t="str">
        <f ca="1">IF(K88="Matched","Low",IF(OR(IFERROR(ABS(H88),0)&gt;Mapping_Rules!$B$7,IFERROR(J88,0)&gt;Mapping_Rules!$B$8),"High","Medium"))</f>
        <v>High</v>
      </c>
      <c r="N88" s="41" t="str">
        <f t="shared" ca="1" si="5"/>
        <v>Check bank date or posting</v>
      </c>
      <c r="O88" s="23" t="s">
        <v>194</v>
      </c>
      <c r="P88" s="23" t="s">
        <v>95</v>
      </c>
      <c r="Q88" s="23" t="s">
        <v>1689</v>
      </c>
      <c r="R88" s="42"/>
      <c r="S88" s="43">
        <f ca="1">IF(K88="Matched",0,Mapping_Rules!$B$6-B88)</f>
        <v>8</v>
      </c>
    </row>
    <row r="89" spans="1:19">
      <c r="A89" s="44" t="s">
        <v>342</v>
      </c>
      <c r="B89" s="45">
        <v>46041</v>
      </c>
      <c r="C89" s="44" t="s">
        <v>72</v>
      </c>
      <c r="D89" s="44" t="s">
        <v>150</v>
      </c>
      <c r="E89" s="44" t="s">
        <v>343</v>
      </c>
      <c r="F89" s="46">
        <v>-2775.67</v>
      </c>
      <c r="G89" s="47" t="str">
        <f ca="1">IFERROR(_xludf.XLOOKUP(E89,Bank_Statement!$D$4:$D$448,Bank_Statement!$G$4:$G$448,""),"")</f>
        <v/>
      </c>
      <c r="H89" s="46" t="str">
        <f t="shared" ca="1" si="3"/>
        <v/>
      </c>
      <c r="I89" s="48" t="str">
        <f ca="1">IFERROR(_xludf.XLOOKUP(E89,Bank_Statement!$D$4:$D$448,Bank_Statement!$B$4:$B$448,""),"")</f>
        <v/>
      </c>
      <c r="J89" s="49" t="str">
        <f t="shared" ca="1" si="4"/>
        <v/>
      </c>
      <c r="K89" s="50" t="str">
        <f ca="1">IF(G89="","Unmatched ERP",IF(AND(ABS(H89)&lt;=Mapping_Rules!$B$4,ABS(J89)&lt;=Mapping_Rules!$B$5),"Matched","Review"))</f>
        <v>Unmatched ERP</v>
      </c>
      <c r="L89" s="50" t="str">
        <f ca="1">IF(K89="Matched","None",IF(G89="","Missing from bank",IF(ABS(H89)&gt;Mapping_Rules!$B$4,"Amount variance","Date variance")))</f>
        <v>Missing from bank</v>
      </c>
      <c r="M89" s="50" t="str">
        <f ca="1">IF(K89="Matched","Low",IF(OR(IFERROR(ABS(H89),0)&gt;Mapping_Rules!$B$7,IFERROR(J89,0)&gt;Mapping_Rules!$B$8),"High","Medium"))</f>
        <v>High</v>
      </c>
      <c r="N89" s="50" t="str">
        <f t="shared" ca="1" si="5"/>
        <v>Check bank date or posting</v>
      </c>
      <c r="O89" s="44" t="s">
        <v>131</v>
      </c>
      <c r="P89" s="44" t="s">
        <v>77</v>
      </c>
      <c r="Q89" s="44" t="s">
        <v>1689</v>
      </c>
      <c r="R89" s="51"/>
      <c r="S89" s="52">
        <f ca="1">IF(K89="Matched",0,Mapping_Rules!$B$6-B89)</f>
        <v>12</v>
      </c>
    </row>
    <row r="90" spans="1:19">
      <c r="A90" s="23" t="s">
        <v>344</v>
      </c>
      <c r="B90" s="31">
        <v>46025</v>
      </c>
      <c r="C90" s="23" t="s">
        <v>81</v>
      </c>
      <c r="D90" s="23" t="s">
        <v>220</v>
      </c>
      <c r="E90" s="23" t="s">
        <v>345</v>
      </c>
      <c r="F90" s="32">
        <v>4968.13</v>
      </c>
      <c r="G90" s="38" t="str">
        <f ca="1">IFERROR(_xludf.XLOOKUP(E90,Bank_Statement!$D$4:$D$448,Bank_Statement!$G$4:$G$448,""),"")</f>
        <v/>
      </c>
      <c r="H90" s="32" t="str">
        <f t="shared" ca="1" si="3"/>
        <v/>
      </c>
      <c r="I90" s="39" t="str">
        <f ca="1">IFERROR(_xludf.XLOOKUP(E90,Bank_Statement!$D$4:$D$448,Bank_Statement!$B$4:$B$448,""),"")</f>
        <v/>
      </c>
      <c r="J90" s="40" t="str">
        <f t="shared" ca="1" si="4"/>
        <v/>
      </c>
      <c r="K90" s="41" t="str">
        <f ca="1">IF(G90="","Unmatched ERP",IF(AND(ABS(H90)&lt;=Mapping_Rules!$B$4,ABS(J90)&lt;=Mapping_Rules!$B$5),"Matched","Review"))</f>
        <v>Unmatched ERP</v>
      </c>
      <c r="L90" s="41" t="str">
        <f ca="1">IF(K90="Matched","None",IF(G90="","Missing from bank",IF(ABS(H90)&gt;Mapping_Rules!$B$4,"Amount variance","Date variance")))</f>
        <v>Missing from bank</v>
      </c>
      <c r="M90" s="41" t="str">
        <f ca="1">IF(K90="Matched","Low",IF(OR(IFERROR(ABS(H90),0)&gt;Mapping_Rules!$B$7,IFERROR(J90,0)&gt;Mapping_Rules!$B$8),"High","Medium"))</f>
        <v>High</v>
      </c>
      <c r="N90" s="41" t="str">
        <f t="shared" ca="1" si="5"/>
        <v>Check bank date or posting</v>
      </c>
      <c r="O90" s="23" t="s">
        <v>158</v>
      </c>
      <c r="P90" s="23" t="s">
        <v>86</v>
      </c>
      <c r="Q90" s="23" t="s">
        <v>1689</v>
      </c>
      <c r="R90" s="42"/>
      <c r="S90" s="43">
        <f ca="1">IF(K90="Matched",0,Mapping_Rules!$B$6-B90)</f>
        <v>28</v>
      </c>
    </row>
    <row r="91" spans="1:19">
      <c r="A91" s="44" t="s">
        <v>346</v>
      </c>
      <c r="B91" s="45">
        <v>46030</v>
      </c>
      <c r="C91" s="44" t="s">
        <v>72</v>
      </c>
      <c r="D91" s="44" t="s">
        <v>139</v>
      </c>
      <c r="E91" s="44" t="s">
        <v>347</v>
      </c>
      <c r="F91" s="46">
        <v>-2626.99</v>
      </c>
      <c r="G91" s="47" t="str">
        <f ca="1">IFERROR(_xludf.XLOOKUP(E91,Bank_Statement!$D$4:$D$448,Bank_Statement!$G$4:$G$448,""),"")</f>
        <v/>
      </c>
      <c r="H91" s="46" t="str">
        <f t="shared" ca="1" si="3"/>
        <v/>
      </c>
      <c r="I91" s="48" t="str">
        <f ca="1">IFERROR(_xludf.XLOOKUP(E91,Bank_Statement!$D$4:$D$448,Bank_Statement!$B$4:$B$448,""),"")</f>
        <v/>
      </c>
      <c r="J91" s="49" t="str">
        <f t="shared" ca="1" si="4"/>
        <v/>
      </c>
      <c r="K91" s="50" t="str">
        <f ca="1">IF(G91="","Unmatched ERP",IF(AND(ABS(H91)&lt;=Mapping_Rules!$B$4,ABS(J91)&lt;=Mapping_Rules!$B$5),"Matched","Review"))</f>
        <v>Unmatched ERP</v>
      </c>
      <c r="L91" s="50" t="str">
        <f ca="1">IF(K91="Matched","None",IF(G91="","Missing from bank",IF(ABS(H91)&gt;Mapping_Rules!$B$4,"Amount variance","Date variance")))</f>
        <v>Missing from bank</v>
      </c>
      <c r="M91" s="50" t="str">
        <f ca="1">IF(K91="Matched","Low",IF(OR(IFERROR(ABS(H91),0)&gt;Mapping_Rules!$B$7,IFERROR(J91,0)&gt;Mapping_Rules!$B$8),"High","Medium"))</f>
        <v>High</v>
      </c>
      <c r="N91" s="50" t="str">
        <f t="shared" ca="1" si="5"/>
        <v>Check bank date or posting</v>
      </c>
      <c r="O91" s="44" t="s">
        <v>131</v>
      </c>
      <c r="P91" s="44" t="s">
        <v>77</v>
      </c>
      <c r="Q91" s="44" t="s">
        <v>1689</v>
      </c>
      <c r="R91" s="51"/>
      <c r="S91" s="52">
        <f ca="1">IF(K91="Matched",0,Mapping_Rules!$B$6-B91)</f>
        <v>23</v>
      </c>
    </row>
    <row r="92" spans="1:19">
      <c r="A92" s="23" t="s">
        <v>348</v>
      </c>
      <c r="B92" s="31">
        <v>46037</v>
      </c>
      <c r="C92" s="23" t="s">
        <v>72</v>
      </c>
      <c r="D92" s="23" t="s">
        <v>204</v>
      </c>
      <c r="E92" s="23" t="s">
        <v>349</v>
      </c>
      <c r="F92" s="32">
        <v>-6138.99</v>
      </c>
      <c r="G92" s="38" t="str">
        <f ca="1">IFERROR(_xludf.XLOOKUP(E92,Bank_Statement!$D$4:$D$448,Bank_Statement!$G$4:$G$448,""),"")</f>
        <v/>
      </c>
      <c r="H92" s="32" t="str">
        <f t="shared" ca="1" si="3"/>
        <v/>
      </c>
      <c r="I92" s="39" t="str">
        <f ca="1">IFERROR(_xludf.XLOOKUP(E92,Bank_Statement!$D$4:$D$448,Bank_Statement!$B$4:$B$448,""),"")</f>
        <v/>
      </c>
      <c r="J92" s="40" t="str">
        <f t="shared" ca="1" si="4"/>
        <v/>
      </c>
      <c r="K92" s="41" t="str">
        <f ca="1">IF(G92="","Unmatched ERP",IF(AND(ABS(H92)&lt;=Mapping_Rules!$B$4,ABS(J92)&lt;=Mapping_Rules!$B$5),"Matched","Review"))</f>
        <v>Unmatched ERP</v>
      </c>
      <c r="L92" s="41" t="str">
        <f ca="1">IF(K92="Matched","None",IF(G92="","Missing from bank",IF(ABS(H92)&gt;Mapping_Rules!$B$4,"Amount variance","Date variance")))</f>
        <v>Missing from bank</v>
      </c>
      <c r="M92" s="41" t="str">
        <f ca="1">IF(K92="Matched","Low",IF(OR(IFERROR(ABS(H92),0)&gt;Mapping_Rules!$B$7,IFERROR(J92,0)&gt;Mapping_Rules!$B$8),"High","Medium"))</f>
        <v>High</v>
      </c>
      <c r="N92" s="41" t="str">
        <f t="shared" ca="1" si="5"/>
        <v>Check bank date or posting</v>
      </c>
      <c r="O92" s="23" t="s">
        <v>131</v>
      </c>
      <c r="P92" s="23" t="s">
        <v>77</v>
      </c>
      <c r="Q92" s="23" t="s">
        <v>1689</v>
      </c>
      <c r="R92" s="42"/>
      <c r="S92" s="43">
        <f ca="1">IF(K92="Matched",0,Mapping_Rules!$B$6-B92)</f>
        <v>16</v>
      </c>
    </row>
    <row r="93" spans="1:19">
      <c r="A93" s="44" t="s">
        <v>350</v>
      </c>
      <c r="B93" s="45">
        <v>46029</v>
      </c>
      <c r="C93" s="44" t="s">
        <v>81</v>
      </c>
      <c r="D93" s="44" t="s">
        <v>214</v>
      </c>
      <c r="E93" s="44" t="s">
        <v>351</v>
      </c>
      <c r="F93" s="46">
        <v>5664.57</v>
      </c>
      <c r="G93" s="47" t="str">
        <f ca="1">IFERROR(_xludf.XLOOKUP(E93,Bank_Statement!$D$4:$D$448,Bank_Statement!$G$4:$G$448,""),"")</f>
        <v/>
      </c>
      <c r="H93" s="46" t="str">
        <f t="shared" ca="1" si="3"/>
        <v/>
      </c>
      <c r="I93" s="48" t="str">
        <f ca="1">IFERROR(_xludf.XLOOKUP(E93,Bank_Statement!$D$4:$D$448,Bank_Statement!$B$4:$B$448,""),"")</f>
        <v/>
      </c>
      <c r="J93" s="49" t="str">
        <f t="shared" ca="1" si="4"/>
        <v/>
      </c>
      <c r="K93" s="50" t="str">
        <f ca="1">IF(G93="","Unmatched ERP",IF(AND(ABS(H93)&lt;=Mapping_Rules!$B$4,ABS(J93)&lt;=Mapping_Rules!$B$5),"Matched","Review"))</f>
        <v>Unmatched ERP</v>
      </c>
      <c r="L93" s="50" t="str">
        <f ca="1">IF(K93="Matched","None",IF(G93="","Missing from bank",IF(ABS(H93)&gt;Mapping_Rules!$B$4,"Amount variance","Date variance")))</f>
        <v>Missing from bank</v>
      </c>
      <c r="M93" s="50" t="str">
        <f ca="1">IF(K93="Matched","Low",IF(OR(IFERROR(ABS(H93),0)&gt;Mapping_Rules!$B$7,IFERROR(J93,0)&gt;Mapping_Rules!$B$8),"High","Medium"))</f>
        <v>High</v>
      </c>
      <c r="N93" s="50" t="str">
        <f t="shared" ca="1" si="5"/>
        <v>Check bank date or posting</v>
      </c>
      <c r="O93" s="44" t="s">
        <v>158</v>
      </c>
      <c r="P93" s="44" t="s">
        <v>86</v>
      </c>
      <c r="Q93" s="44" t="s">
        <v>1689</v>
      </c>
      <c r="R93" s="51"/>
      <c r="S93" s="52">
        <f ca="1">IF(K93="Matched",0,Mapping_Rules!$B$6-B93)</f>
        <v>24</v>
      </c>
    </row>
    <row r="94" spans="1:19">
      <c r="A94" s="23" t="s">
        <v>352</v>
      </c>
      <c r="B94" s="31">
        <v>46036</v>
      </c>
      <c r="C94" s="23" t="s">
        <v>81</v>
      </c>
      <c r="D94" s="23" t="s">
        <v>167</v>
      </c>
      <c r="E94" s="23" t="s">
        <v>353</v>
      </c>
      <c r="F94" s="32">
        <v>4073.77</v>
      </c>
      <c r="G94" s="38" t="str">
        <f ca="1">IFERROR(_xludf.XLOOKUP(E94,Bank_Statement!$D$4:$D$448,Bank_Statement!$G$4:$G$448,""),"")</f>
        <v/>
      </c>
      <c r="H94" s="32" t="str">
        <f t="shared" ca="1" si="3"/>
        <v/>
      </c>
      <c r="I94" s="39" t="str">
        <f ca="1">IFERROR(_xludf.XLOOKUP(E94,Bank_Statement!$D$4:$D$448,Bank_Statement!$B$4:$B$448,""),"")</f>
        <v/>
      </c>
      <c r="J94" s="40" t="str">
        <f t="shared" ca="1" si="4"/>
        <v/>
      </c>
      <c r="K94" s="41" t="str">
        <f ca="1">IF(G94="","Unmatched ERP",IF(AND(ABS(H94)&lt;=Mapping_Rules!$B$4,ABS(J94)&lt;=Mapping_Rules!$B$5),"Matched","Review"))</f>
        <v>Unmatched ERP</v>
      </c>
      <c r="L94" s="41" t="str">
        <f ca="1">IF(K94="Matched","None",IF(G94="","Missing from bank",IF(ABS(H94)&gt;Mapping_Rules!$B$4,"Amount variance","Date variance")))</f>
        <v>Missing from bank</v>
      </c>
      <c r="M94" s="41" t="str">
        <f ca="1">IF(K94="Matched","Low",IF(OR(IFERROR(ABS(H94),0)&gt;Mapping_Rules!$B$7,IFERROR(J94,0)&gt;Mapping_Rules!$B$8),"High","Medium"))</f>
        <v>High</v>
      </c>
      <c r="N94" s="41" t="str">
        <f t="shared" ca="1" si="5"/>
        <v>Check bank date or posting</v>
      </c>
      <c r="O94" s="23" t="s">
        <v>158</v>
      </c>
      <c r="P94" s="23" t="s">
        <v>86</v>
      </c>
      <c r="Q94" s="23" t="s">
        <v>1689</v>
      </c>
      <c r="R94" s="42"/>
      <c r="S94" s="43">
        <f ca="1">IF(K94="Matched",0,Mapping_Rules!$B$6-B94)</f>
        <v>17</v>
      </c>
    </row>
    <row r="95" spans="1:19">
      <c r="A95" s="44" t="s">
        <v>354</v>
      </c>
      <c r="B95" s="45">
        <v>46037</v>
      </c>
      <c r="C95" s="44" t="s">
        <v>72</v>
      </c>
      <c r="D95" s="44" t="s">
        <v>133</v>
      </c>
      <c r="E95" s="44" t="s">
        <v>355</v>
      </c>
      <c r="F95" s="46">
        <v>-5734.34</v>
      </c>
      <c r="G95" s="47" t="str">
        <f ca="1">IFERROR(_xludf.XLOOKUP(E95,Bank_Statement!$D$4:$D$448,Bank_Statement!$G$4:$G$448,""),"")</f>
        <v/>
      </c>
      <c r="H95" s="46" t="str">
        <f t="shared" ca="1" si="3"/>
        <v/>
      </c>
      <c r="I95" s="48" t="str">
        <f ca="1">IFERROR(_xludf.XLOOKUP(E95,Bank_Statement!$D$4:$D$448,Bank_Statement!$B$4:$B$448,""),"")</f>
        <v/>
      </c>
      <c r="J95" s="49" t="str">
        <f t="shared" ca="1" si="4"/>
        <v/>
      </c>
      <c r="K95" s="50" t="str">
        <f ca="1">IF(G95="","Unmatched ERP",IF(AND(ABS(H95)&lt;=Mapping_Rules!$B$4,ABS(J95)&lt;=Mapping_Rules!$B$5),"Matched","Review"))</f>
        <v>Unmatched ERP</v>
      </c>
      <c r="L95" s="50" t="str">
        <f ca="1">IF(K95="Matched","None",IF(G95="","Missing from bank",IF(ABS(H95)&gt;Mapping_Rules!$B$4,"Amount variance","Date variance")))</f>
        <v>Missing from bank</v>
      </c>
      <c r="M95" s="50" t="str">
        <f ca="1">IF(K95="Matched","Low",IF(OR(IFERROR(ABS(H95),0)&gt;Mapping_Rules!$B$7,IFERROR(J95,0)&gt;Mapping_Rules!$B$8),"High","Medium"))</f>
        <v>High</v>
      </c>
      <c r="N95" s="50" t="str">
        <f t="shared" ca="1" si="5"/>
        <v>Check bank date or posting</v>
      </c>
      <c r="O95" s="44" t="s">
        <v>131</v>
      </c>
      <c r="P95" s="44" t="s">
        <v>77</v>
      </c>
      <c r="Q95" s="44" t="s">
        <v>1689</v>
      </c>
      <c r="R95" s="51"/>
      <c r="S95" s="52">
        <f ca="1">IF(K95="Matched",0,Mapping_Rules!$B$6-B95)</f>
        <v>16</v>
      </c>
    </row>
    <row r="96" spans="1:19">
      <c r="A96" s="23" t="s">
        <v>356</v>
      </c>
      <c r="B96" s="31">
        <v>46052</v>
      </c>
      <c r="C96" s="23" t="s">
        <v>72</v>
      </c>
      <c r="D96" s="23" t="s">
        <v>133</v>
      </c>
      <c r="E96" s="23" t="s">
        <v>357</v>
      </c>
      <c r="F96" s="32">
        <v>-517.03</v>
      </c>
      <c r="G96" s="38" t="str">
        <f ca="1">IFERROR(_xludf.XLOOKUP(E96,Bank_Statement!$D$4:$D$448,Bank_Statement!$G$4:$G$448,""),"")</f>
        <v/>
      </c>
      <c r="H96" s="32" t="str">
        <f t="shared" ca="1" si="3"/>
        <v/>
      </c>
      <c r="I96" s="39" t="str">
        <f ca="1">IFERROR(_xludf.XLOOKUP(E96,Bank_Statement!$D$4:$D$448,Bank_Statement!$B$4:$B$448,""),"")</f>
        <v/>
      </c>
      <c r="J96" s="40" t="str">
        <f t="shared" ca="1" si="4"/>
        <v/>
      </c>
      <c r="K96" s="41" t="str">
        <f ca="1">IF(G96="","Unmatched ERP",IF(AND(ABS(H96)&lt;=Mapping_Rules!$B$4,ABS(J96)&lt;=Mapping_Rules!$B$5),"Matched","Review"))</f>
        <v>Unmatched ERP</v>
      </c>
      <c r="L96" s="41" t="str">
        <f ca="1">IF(K96="Matched","None",IF(G96="","Missing from bank",IF(ABS(H96)&gt;Mapping_Rules!$B$4,"Amount variance","Date variance")))</f>
        <v>Missing from bank</v>
      </c>
      <c r="M96" s="41" t="str">
        <f ca="1">IF(K96="Matched","Low",IF(OR(IFERROR(ABS(H96),0)&gt;Mapping_Rules!$B$7,IFERROR(J96,0)&gt;Mapping_Rules!$B$8),"High","Medium"))</f>
        <v>High</v>
      </c>
      <c r="N96" s="41" t="str">
        <f t="shared" ca="1" si="5"/>
        <v>Check bank date or posting</v>
      </c>
      <c r="O96" s="23" t="s">
        <v>131</v>
      </c>
      <c r="P96" s="23" t="s">
        <v>77</v>
      </c>
      <c r="Q96" s="23" t="s">
        <v>1689</v>
      </c>
      <c r="R96" s="42"/>
      <c r="S96" s="43">
        <f ca="1">IF(K96="Matched",0,Mapping_Rules!$B$6-B96)</f>
        <v>1</v>
      </c>
    </row>
    <row r="97" spans="1:19">
      <c r="A97" s="44" t="s">
        <v>358</v>
      </c>
      <c r="B97" s="45">
        <v>46037</v>
      </c>
      <c r="C97" s="44" t="s">
        <v>90</v>
      </c>
      <c r="D97" s="44" t="s">
        <v>167</v>
      </c>
      <c r="E97" s="44" t="s">
        <v>359</v>
      </c>
      <c r="F97" s="46">
        <v>2042.42</v>
      </c>
      <c r="G97" s="47" t="str">
        <f ca="1">IFERROR(_xludf.XLOOKUP(E97,Bank_Statement!$D$4:$D$448,Bank_Statement!$G$4:$G$448,""),"")</f>
        <v/>
      </c>
      <c r="H97" s="46" t="str">
        <f t="shared" ca="1" si="3"/>
        <v/>
      </c>
      <c r="I97" s="48" t="str">
        <f ca="1">IFERROR(_xludf.XLOOKUP(E97,Bank_Statement!$D$4:$D$448,Bank_Statement!$B$4:$B$448,""),"")</f>
        <v/>
      </c>
      <c r="J97" s="49" t="str">
        <f t="shared" ca="1" si="4"/>
        <v/>
      </c>
      <c r="K97" s="50" t="str">
        <f ca="1">IF(G97="","Unmatched ERP",IF(AND(ABS(H97)&lt;=Mapping_Rules!$B$4,ABS(J97)&lt;=Mapping_Rules!$B$5),"Matched","Review"))</f>
        <v>Unmatched ERP</v>
      </c>
      <c r="L97" s="50" t="str">
        <f ca="1">IF(K97="Matched","None",IF(G97="","Missing from bank",IF(ABS(H97)&gt;Mapping_Rules!$B$4,"Amount variance","Date variance")))</f>
        <v>Missing from bank</v>
      </c>
      <c r="M97" s="50" t="str">
        <f ca="1">IF(K97="Matched","Low",IF(OR(IFERROR(ABS(H97),0)&gt;Mapping_Rules!$B$7,IFERROR(J97,0)&gt;Mapping_Rules!$B$8),"High","Medium"))</f>
        <v>High</v>
      </c>
      <c r="N97" s="50" t="str">
        <f t="shared" ca="1" si="5"/>
        <v>Check bank date or posting</v>
      </c>
      <c r="O97" s="44" t="s">
        <v>194</v>
      </c>
      <c r="P97" s="44" t="s">
        <v>95</v>
      </c>
      <c r="Q97" s="44" t="s">
        <v>1689</v>
      </c>
      <c r="R97" s="51"/>
      <c r="S97" s="52">
        <f ca="1">IF(K97="Matched",0,Mapping_Rules!$B$6-B97)</f>
        <v>16</v>
      </c>
    </row>
    <row r="98" spans="1:19">
      <c r="A98" s="23" t="s">
        <v>360</v>
      </c>
      <c r="B98" s="31">
        <v>46042</v>
      </c>
      <c r="C98" s="23" t="s">
        <v>72</v>
      </c>
      <c r="D98" s="23" t="s">
        <v>144</v>
      </c>
      <c r="E98" s="23" t="s">
        <v>361</v>
      </c>
      <c r="F98" s="32">
        <v>-1481.02</v>
      </c>
      <c r="G98" s="38" t="str">
        <f ca="1">IFERROR(_xludf.XLOOKUP(E98,Bank_Statement!$D$4:$D$448,Bank_Statement!$G$4:$G$448,""),"")</f>
        <v/>
      </c>
      <c r="H98" s="32" t="str">
        <f t="shared" ca="1" si="3"/>
        <v/>
      </c>
      <c r="I98" s="39" t="str">
        <f ca="1">IFERROR(_xludf.XLOOKUP(E98,Bank_Statement!$D$4:$D$448,Bank_Statement!$B$4:$B$448,""),"")</f>
        <v/>
      </c>
      <c r="J98" s="40" t="str">
        <f t="shared" ca="1" si="4"/>
        <v/>
      </c>
      <c r="K98" s="41" t="str">
        <f ca="1">IF(G98="","Unmatched ERP",IF(AND(ABS(H98)&lt;=Mapping_Rules!$B$4,ABS(J98)&lt;=Mapping_Rules!$B$5),"Matched","Review"))</f>
        <v>Unmatched ERP</v>
      </c>
      <c r="L98" s="41" t="str">
        <f ca="1">IF(K98="Matched","None",IF(G98="","Missing from bank",IF(ABS(H98)&gt;Mapping_Rules!$B$4,"Amount variance","Date variance")))</f>
        <v>Missing from bank</v>
      </c>
      <c r="M98" s="41" t="str">
        <f ca="1">IF(K98="Matched","Low",IF(OR(IFERROR(ABS(H98),0)&gt;Mapping_Rules!$B$7,IFERROR(J98,0)&gt;Mapping_Rules!$B$8),"High","Medium"))</f>
        <v>High</v>
      </c>
      <c r="N98" s="41" t="str">
        <f t="shared" ca="1" si="5"/>
        <v>Check bank date or posting</v>
      </c>
      <c r="O98" s="23" t="s">
        <v>131</v>
      </c>
      <c r="P98" s="23" t="s">
        <v>77</v>
      </c>
      <c r="Q98" s="23" t="s">
        <v>1689</v>
      </c>
      <c r="R98" s="42"/>
      <c r="S98" s="43">
        <f ca="1">IF(K98="Matched",0,Mapping_Rules!$B$6-B98)</f>
        <v>11</v>
      </c>
    </row>
    <row r="99" spans="1:19">
      <c r="A99" s="44" t="s">
        <v>362</v>
      </c>
      <c r="B99" s="45">
        <v>46047</v>
      </c>
      <c r="C99" s="44" t="s">
        <v>90</v>
      </c>
      <c r="D99" s="44" t="s">
        <v>204</v>
      </c>
      <c r="E99" s="44" t="s">
        <v>363</v>
      </c>
      <c r="F99" s="46">
        <v>-2902.42</v>
      </c>
      <c r="G99" s="47" t="str">
        <f ca="1">IFERROR(_xludf.XLOOKUP(E99,Bank_Statement!$D$4:$D$448,Bank_Statement!$G$4:$G$448,""),"")</f>
        <v/>
      </c>
      <c r="H99" s="46" t="str">
        <f t="shared" ca="1" si="3"/>
        <v/>
      </c>
      <c r="I99" s="48" t="str">
        <f ca="1">IFERROR(_xludf.XLOOKUP(E99,Bank_Statement!$D$4:$D$448,Bank_Statement!$B$4:$B$448,""),"")</f>
        <v/>
      </c>
      <c r="J99" s="49" t="str">
        <f t="shared" ca="1" si="4"/>
        <v/>
      </c>
      <c r="K99" s="50" t="str">
        <f ca="1">IF(G99="","Unmatched ERP",IF(AND(ABS(H99)&lt;=Mapping_Rules!$B$4,ABS(J99)&lt;=Mapping_Rules!$B$5),"Matched","Review"))</f>
        <v>Unmatched ERP</v>
      </c>
      <c r="L99" s="50" t="str">
        <f ca="1">IF(K99="Matched","None",IF(G99="","Missing from bank",IF(ABS(H99)&gt;Mapping_Rules!$B$4,"Amount variance","Date variance")))</f>
        <v>Missing from bank</v>
      </c>
      <c r="M99" s="50" t="str">
        <f ca="1">IF(K99="Matched","Low",IF(OR(IFERROR(ABS(H99),0)&gt;Mapping_Rules!$B$7,IFERROR(J99,0)&gt;Mapping_Rules!$B$8),"High","Medium"))</f>
        <v>High</v>
      </c>
      <c r="N99" s="50" t="str">
        <f t="shared" ca="1" si="5"/>
        <v>Check bank date or posting</v>
      </c>
      <c r="O99" s="44" t="s">
        <v>131</v>
      </c>
      <c r="P99" s="44" t="s">
        <v>95</v>
      </c>
      <c r="Q99" s="44" t="s">
        <v>1689</v>
      </c>
      <c r="R99" s="51"/>
      <c r="S99" s="52">
        <f ca="1">IF(K99="Matched",0,Mapping_Rules!$B$6-B99)</f>
        <v>6</v>
      </c>
    </row>
    <row r="100" spans="1:19">
      <c r="A100" s="23" t="s">
        <v>364</v>
      </c>
      <c r="B100" s="31">
        <v>46041</v>
      </c>
      <c r="C100" s="23" t="s">
        <v>81</v>
      </c>
      <c r="D100" s="23" t="s">
        <v>163</v>
      </c>
      <c r="E100" s="23" t="s">
        <v>365</v>
      </c>
      <c r="F100" s="32">
        <v>8241.61</v>
      </c>
      <c r="G100" s="38" t="str">
        <f ca="1">IFERROR(_xludf.XLOOKUP(E100,Bank_Statement!$D$4:$D$448,Bank_Statement!$G$4:$G$448,""),"")</f>
        <v/>
      </c>
      <c r="H100" s="32" t="str">
        <f t="shared" ca="1" si="3"/>
        <v/>
      </c>
      <c r="I100" s="39" t="str">
        <f ca="1">IFERROR(_xludf.XLOOKUP(E100,Bank_Statement!$D$4:$D$448,Bank_Statement!$B$4:$B$448,""),"")</f>
        <v/>
      </c>
      <c r="J100" s="40" t="str">
        <f t="shared" ca="1" si="4"/>
        <v/>
      </c>
      <c r="K100" s="41" t="str">
        <f ca="1">IF(G100="","Unmatched ERP",IF(AND(ABS(H100)&lt;=Mapping_Rules!$B$4,ABS(J100)&lt;=Mapping_Rules!$B$5),"Matched","Review"))</f>
        <v>Unmatched ERP</v>
      </c>
      <c r="L100" s="41" t="str">
        <f ca="1">IF(K100="Matched","None",IF(G100="","Missing from bank",IF(ABS(H100)&gt;Mapping_Rules!$B$4,"Amount variance","Date variance")))</f>
        <v>Missing from bank</v>
      </c>
      <c r="M100" s="41" t="str">
        <f ca="1">IF(K100="Matched","Low",IF(OR(IFERROR(ABS(H100),0)&gt;Mapping_Rules!$B$7,IFERROR(J100,0)&gt;Mapping_Rules!$B$8),"High","Medium"))</f>
        <v>High</v>
      </c>
      <c r="N100" s="41" t="str">
        <f t="shared" ca="1" si="5"/>
        <v>Check bank date or posting</v>
      </c>
      <c r="O100" s="23" t="s">
        <v>158</v>
      </c>
      <c r="P100" s="23" t="s">
        <v>86</v>
      </c>
      <c r="Q100" s="23" t="s">
        <v>1689</v>
      </c>
      <c r="R100" s="42"/>
      <c r="S100" s="43">
        <f ca="1">IF(K100="Matched",0,Mapping_Rules!$B$6-B100)</f>
        <v>12</v>
      </c>
    </row>
    <row r="101" spans="1:19">
      <c r="A101" s="44" t="s">
        <v>366</v>
      </c>
      <c r="B101" s="45">
        <v>46050</v>
      </c>
      <c r="C101" s="44" t="s">
        <v>72</v>
      </c>
      <c r="D101" s="44" t="s">
        <v>150</v>
      </c>
      <c r="E101" s="44" t="s">
        <v>367</v>
      </c>
      <c r="F101" s="46">
        <v>-4325.28</v>
      </c>
      <c r="G101" s="47" t="str">
        <f ca="1">IFERROR(_xludf.XLOOKUP(E101,Bank_Statement!$D$4:$D$448,Bank_Statement!$G$4:$G$448,""),"")</f>
        <v/>
      </c>
      <c r="H101" s="46" t="str">
        <f t="shared" ca="1" si="3"/>
        <v/>
      </c>
      <c r="I101" s="48" t="str">
        <f ca="1">IFERROR(_xludf.XLOOKUP(E101,Bank_Statement!$D$4:$D$448,Bank_Statement!$B$4:$B$448,""),"")</f>
        <v/>
      </c>
      <c r="J101" s="49" t="str">
        <f t="shared" ca="1" si="4"/>
        <v/>
      </c>
      <c r="K101" s="50" t="str">
        <f ca="1">IF(G101="","Unmatched ERP",IF(AND(ABS(H101)&lt;=Mapping_Rules!$B$4,ABS(J101)&lt;=Mapping_Rules!$B$5),"Matched","Review"))</f>
        <v>Unmatched ERP</v>
      </c>
      <c r="L101" s="50" t="str">
        <f ca="1">IF(K101="Matched","None",IF(G101="","Missing from bank",IF(ABS(H101)&gt;Mapping_Rules!$B$4,"Amount variance","Date variance")))</f>
        <v>Missing from bank</v>
      </c>
      <c r="M101" s="50" t="str">
        <f ca="1">IF(K101="Matched","Low",IF(OR(IFERROR(ABS(H101),0)&gt;Mapping_Rules!$B$7,IFERROR(J101,0)&gt;Mapping_Rules!$B$8),"High","Medium"))</f>
        <v>High</v>
      </c>
      <c r="N101" s="50" t="str">
        <f t="shared" ca="1" si="5"/>
        <v>Check bank date or posting</v>
      </c>
      <c r="O101" s="44" t="s">
        <v>131</v>
      </c>
      <c r="P101" s="44" t="s">
        <v>77</v>
      </c>
      <c r="Q101" s="44" t="s">
        <v>1689</v>
      </c>
      <c r="R101" s="51"/>
      <c r="S101" s="52">
        <f ca="1">IF(K101="Matched",0,Mapping_Rules!$B$6-B101)</f>
        <v>3</v>
      </c>
    </row>
    <row r="102" spans="1:19">
      <c r="A102" s="23" t="s">
        <v>368</v>
      </c>
      <c r="B102" s="31">
        <v>46033</v>
      </c>
      <c r="C102" s="23" t="s">
        <v>72</v>
      </c>
      <c r="D102" s="23" t="s">
        <v>144</v>
      </c>
      <c r="E102" s="23" t="s">
        <v>369</v>
      </c>
      <c r="F102" s="32">
        <v>-6017.53</v>
      </c>
      <c r="G102" s="38" t="str">
        <f ca="1">IFERROR(_xludf.XLOOKUP(E102,Bank_Statement!$D$4:$D$448,Bank_Statement!$G$4:$G$448,""),"")</f>
        <v/>
      </c>
      <c r="H102" s="32" t="str">
        <f t="shared" ca="1" si="3"/>
        <v/>
      </c>
      <c r="I102" s="39" t="str">
        <f ca="1">IFERROR(_xludf.XLOOKUP(E102,Bank_Statement!$D$4:$D$448,Bank_Statement!$B$4:$B$448,""),"")</f>
        <v/>
      </c>
      <c r="J102" s="40" t="str">
        <f t="shared" ca="1" si="4"/>
        <v/>
      </c>
      <c r="K102" s="41" t="str">
        <f ca="1">IF(G102="","Unmatched ERP",IF(AND(ABS(H102)&lt;=Mapping_Rules!$B$4,ABS(J102)&lt;=Mapping_Rules!$B$5),"Matched","Review"))</f>
        <v>Unmatched ERP</v>
      </c>
      <c r="L102" s="41" t="str">
        <f ca="1">IF(K102="Matched","None",IF(G102="","Missing from bank",IF(ABS(H102)&gt;Mapping_Rules!$B$4,"Amount variance","Date variance")))</f>
        <v>Missing from bank</v>
      </c>
      <c r="M102" s="41" t="str">
        <f ca="1">IF(K102="Matched","Low",IF(OR(IFERROR(ABS(H102),0)&gt;Mapping_Rules!$B$7,IFERROR(J102,0)&gt;Mapping_Rules!$B$8),"High","Medium"))</f>
        <v>High</v>
      </c>
      <c r="N102" s="41" t="str">
        <f t="shared" ca="1" si="5"/>
        <v>Check bank date or posting</v>
      </c>
      <c r="O102" s="23" t="s">
        <v>131</v>
      </c>
      <c r="P102" s="23" t="s">
        <v>77</v>
      </c>
      <c r="Q102" s="23" t="s">
        <v>1689</v>
      </c>
      <c r="R102" s="42"/>
      <c r="S102" s="43">
        <f ca="1">IF(K102="Matched",0,Mapping_Rules!$B$6-B102)</f>
        <v>20</v>
      </c>
    </row>
    <row r="103" spans="1:19">
      <c r="A103" s="44" t="s">
        <v>370</v>
      </c>
      <c r="B103" s="45">
        <v>46023</v>
      </c>
      <c r="C103" s="44" t="s">
        <v>81</v>
      </c>
      <c r="D103" s="44" t="s">
        <v>167</v>
      </c>
      <c r="E103" s="44" t="s">
        <v>371</v>
      </c>
      <c r="F103" s="46">
        <v>4007.5</v>
      </c>
      <c r="G103" s="47" t="str">
        <f ca="1">IFERROR(_xludf.XLOOKUP(E103,Bank_Statement!$D$4:$D$448,Bank_Statement!$G$4:$G$448,""),"")</f>
        <v/>
      </c>
      <c r="H103" s="46" t="str">
        <f t="shared" ca="1" si="3"/>
        <v/>
      </c>
      <c r="I103" s="48" t="str">
        <f ca="1">IFERROR(_xludf.XLOOKUP(E103,Bank_Statement!$D$4:$D$448,Bank_Statement!$B$4:$B$448,""),"")</f>
        <v/>
      </c>
      <c r="J103" s="49" t="str">
        <f t="shared" ca="1" si="4"/>
        <v/>
      </c>
      <c r="K103" s="50" t="str">
        <f ca="1">IF(G103="","Unmatched ERP",IF(AND(ABS(H103)&lt;=Mapping_Rules!$B$4,ABS(J103)&lt;=Mapping_Rules!$B$5),"Matched","Review"))</f>
        <v>Unmatched ERP</v>
      </c>
      <c r="L103" s="50" t="str">
        <f ca="1">IF(K103="Matched","None",IF(G103="","Missing from bank",IF(ABS(H103)&gt;Mapping_Rules!$B$4,"Amount variance","Date variance")))</f>
        <v>Missing from bank</v>
      </c>
      <c r="M103" s="50" t="str">
        <f ca="1">IF(K103="Matched","Low",IF(OR(IFERROR(ABS(H103),0)&gt;Mapping_Rules!$B$7,IFERROR(J103,0)&gt;Mapping_Rules!$B$8),"High","Medium"))</f>
        <v>High</v>
      </c>
      <c r="N103" s="50" t="str">
        <f t="shared" ca="1" si="5"/>
        <v>Check bank date or posting</v>
      </c>
      <c r="O103" s="44" t="s">
        <v>158</v>
      </c>
      <c r="P103" s="44" t="s">
        <v>86</v>
      </c>
      <c r="Q103" s="44" t="s">
        <v>1689</v>
      </c>
      <c r="R103" s="51"/>
      <c r="S103" s="52">
        <f ca="1">IF(K103="Matched",0,Mapping_Rules!$B$6-B103)</f>
        <v>30</v>
      </c>
    </row>
    <row r="104" spans="1:19">
      <c r="A104" s="23" t="s">
        <v>372</v>
      </c>
      <c r="B104" s="31">
        <v>46047</v>
      </c>
      <c r="C104" s="23" t="s">
        <v>72</v>
      </c>
      <c r="D104" s="23" t="s">
        <v>208</v>
      </c>
      <c r="E104" s="23" t="s">
        <v>373</v>
      </c>
      <c r="F104" s="32">
        <v>-3441.22</v>
      </c>
      <c r="G104" s="38" t="str">
        <f ca="1">IFERROR(_xludf.XLOOKUP(E104,Bank_Statement!$D$4:$D$448,Bank_Statement!$G$4:$G$448,""),"")</f>
        <v/>
      </c>
      <c r="H104" s="32" t="str">
        <f t="shared" ca="1" si="3"/>
        <v/>
      </c>
      <c r="I104" s="39" t="str">
        <f ca="1">IFERROR(_xludf.XLOOKUP(E104,Bank_Statement!$D$4:$D$448,Bank_Statement!$B$4:$B$448,""),"")</f>
        <v/>
      </c>
      <c r="J104" s="40" t="str">
        <f t="shared" ca="1" si="4"/>
        <v/>
      </c>
      <c r="K104" s="41" t="str">
        <f ca="1">IF(G104="","Unmatched ERP",IF(AND(ABS(H104)&lt;=Mapping_Rules!$B$4,ABS(J104)&lt;=Mapping_Rules!$B$5),"Matched","Review"))</f>
        <v>Unmatched ERP</v>
      </c>
      <c r="L104" s="41" t="str">
        <f ca="1">IF(K104="Matched","None",IF(G104="","Missing from bank",IF(ABS(H104)&gt;Mapping_Rules!$B$4,"Amount variance","Date variance")))</f>
        <v>Missing from bank</v>
      </c>
      <c r="M104" s="41" t="str">
        <f ca="1">IF(K104="Matched","Low",IF(OR(IFERROR(ABS(H104),0)&gt;Mapping_Rules!$B$7,IFERROR(J104,0)&gt;Mapping_Rules!$B$8),"High","Medium"))</f>
        <v>High</v>
      </c>
      <c r="N104" s="41" t="str">
        <f t="shared" ca="1" si="5"/>
        <v>Check bank date or posting</v>
      </c>
      <c r="O104" s="23" t="s">
        <v>131</v>
      </c>
      <c r="P104" s="23" t="s">
        <v>77</v>
      </c>
      <c r="Q104" s="23" t="s">
        <v>1689</v>
      </c>
      <c r="R104" s="42"/>
      <c r="S104" s="43">
        <f ca="1">IF(K104="Matched",0,Mapping_Rules!$B$6-B104)</f>
        <v>6</v>
      </c>
    </row>
    <row r="105" spans="1:19">
      <c r="A105" s="44" t="s">
        <v>374</v>
      </c>
      <c r="B105" s="45">
        <v>46038</v>
      </c>
      <c r="C105" s="44" t="s">
        <v>72</v>
      </c>
      <c r="D105" s="44" t="s">
        <v>126</v>
      </c>
      <c r="E105" s="44" t="s">
        <v>375</v>
      </c>
      <c r="F105" s="46">
        <v>-3806.29</v>
      </c>
      <c r="G105" s="47" t="str">
        <f ca="1">IFERROR(_xludf.XLOOKUP(E105,Bank_Statement!$D$4:$D$448,Bank_Statement!$G$4:$G$448,""),"")</f>
        <v/>
      </c>
      <c r="H105" s="46" t="str">
        <f t="shared" ca="1" si="3"/>
        <v/>
      </c>
      <c r="I105" s="48" t="str">
        <f ca="1">IFERROR(_xludf.XLOOKUP(E105,Bank_Statement!$D$4:$D$448,Bank_Statement!$B$4:$B$448,""),"")</f>
        <v/>
      </c>
      <c r="J105" s="49" t="str">
        <f t="shared" ca="1" si="4"/>
        <v/>
      </c>
      <c r="K105" s="50" t="str">
        <f ca="1">IF(G105="","Unmatched ERP",IF(AND(ABS(H105)&lt;=Mapping_Rules!$B$4,ABS(J105)&lt;=Mapping_Rules!$B$5),"Matched","Review"))</f>
        <v>Unmatched ERP</v>
      </c>
      <c r="L105" s="50" t="str">
        <f ca="1">IF(K105="Matched","None",IF(G105="","Missing from bank",IF(ABS(H105)&gt;Mapping_Rules!$B$4,"Amount variance","Date variance")))</f>
        <v>Missing from bank</v>
      </c>
      <c r="M105" s="50" t="str">
        <f ca="1">IF(K105="Matched","Low",IF(OR(IFERROR(ABS(H105),0)&gt;Mapping_Rules!$B$7,IFERROR(J105,0)&gt;Mapping_Rules!$B$8),"High","Medium"))</f>
        <v>High</v>
      </c>
      <c r="N105" s="50" t="str">
        <f t="shared" ca="1" si="5"/>
        <v>Check bank date or posting</v>
      </c>
      <c r="O105" s="44" t="s">
        <v>131</v>
      </c>
      <c r="P105" s="44" t="s">
        <v>77</v>
      </c>
      <c r="Q105" s="44" t="s">
        <v>1689</v>
      </c>
      <c r="R105" s="51"/>
      <c r="S105" s="52">
        <f ca="1">IF(K105="Matched",0,Mapping_Rules!$B$6-B105)</f>
        <v>15</v>
      </c>
    </row>
    <row r="106" spans="1:19">
      <c r="A106" s="23" t="s">
        <v>376</v>
      </c>
      <c r="B106" s="31">
        <v>46025</v>
      </c>
      <c r="C106" s="23" t="s">
        <v>72</v>
      </c>
      <c r="D106" s="23" t="s">
        <v>139</v>
      </c>
      <c r="E106" s="23" t="s">
        <v>377</v>
      </c>
      <c r="F106" s="32">
        <v>-5667.13</v>
      </c>
      <c r="G106" s="38" t="str">
        <f ca="1">IFERROR(_xludf.XLOOKUP(E106,Bank_Statement!$D$4:$D$448,Bank_Statement!$G$4:$G$448,""),"")</f>
        <v/>
      </c>
      <c r="H106" s="32" t="str">
        <f t="shared" ca="1" si="3"/>
        <v/>
      </c>
      <c r="I106" s="39" t="str">
        <f ca="1">IFERROR(_xludf.XLOOKUP(E106,Bank_Statement!$D$4:$D$448,Bank_Statement!$B$4:$B$448,""),"")</f>
        <v/>
      </c>
      <c r="J106" s="40" t="str">
        <f t="shared" ca="1" si="4"/>
        <v/>
      </c>
      <c r="K106" s="41" t="str">
        <f ca="1">IF(G106="","Unmatched ERP",IF(AND(ABS(H106)&lt;=Mapping_Rules!$B$4,ABS(J106)&lt;=Mapping_Rules!$B$5),"Matched","Review"))</f>
        <v>Unmatched ERP</v>
      </c>
      <c r="L106" s="41" t="str">
        <f ca="1">IF(K106="Matched","None",IF(G106="","Missing from bank",IF(ABS(H106)&gt;Mapping_Rules!$B$4,"Amount variance","Date variance")))</f>
        <v>Missing from bank</v>
      </c>
      <c r="M106" s="41" t="str">
        <f ca="1">IF(K106="Matched","Low",IF(OR(IFERROR(ABS(H106),0)&gt;Mapping_Rules!$B$7,IFERROR(J106,0)&gt;Mapping_Rules!$B$8),"High","Medium"))</f>
        <v>High</v>
      </c>
      <c r="N106" s="41" t="str">
        <f t="shared" ca="1" si="5"/>
        <v>Check bank date or posting</v>
      </c>
      <c r="O106" s="23" t="s">
        <v>131</v>
      </c>
      <c r="P106" s="23" t="s">
        <v>77</v>
      </c>
      <c r="Q106" s="23" t="s">
        <v>1689</v>
      </c>
      <c r="R106" s="42"/>
      <c r="S106" s="43">
        <f ca="1">IF(K106="Matched",0,Mapping_Rules!$B$6-B106)</f>
        <v>28</v>
      </c>
    </row>
    <row r="107" spans="1:19">
      <c r="A107" s="44" t="s">
        <v>378</v>
      </c>
      <c r="B107" s="45">
        <v>46045</v>
      </c>
      <c r="C107" s="44" t="s">
        <v>72</v>
      </c>
      <c r="D107" s="44" t="s">
        <v>126</v>
      </c>
      <c r="E107" s="44" t="s">
        <v>379</v>
      </c>
      <c r="F107" s="46">
        <v>-1753.36</v>
      </c>
      <c r="G107" s="47" t="str">
        <f ca="1">IFERROR(_xludf.XLOOKUP(E107,Bank_Statement!$D$4:$D$448,Bank_Statement!$G$4:$G$448,""),"")</f>
        <v/>
      </c>
      <c r="H107" s="46" t="str">
        <f t="shared" ca="1" si="3"/>
        <v/>
      </c>
      <c r="I107" s="48" t="str">
        <f ca="1">IFERROR(_xludf.XLOOKUP(E107,Bank_Statement!$D$4:$D$448,Bank_Statement!$B$4:$B$448,""),"")</f>
        <v/>
      </c>
      <c r="J107" s="49" t="str">
        <f t="shared" ca="1" si="4"/>
        <v/>
      </c>
      <c r="K107" s="50" t="str">
        <f ca="1">IF(G107="","Unmatched ERP",IF(AND(ABS(H107)&lt;=Mapping_Rules!$B$4,ABS(J107)&lt;=Mapping_Rules!$B$5),"Matched","Review"))</f>
        <v>Unmatched ERP</v>
      </c>
      <c r="L107" s="50" t="str">
        <f ca="1">IF(K107="Matched","None",IF(G107="","Missing from bank",IF(ABS(H107)&gt;Mapping_Rules!$B$4,"Amount variance","Date variance")))</f>
        <v>Missing from bank</v>
      </c>
      <c r="M107" s="50" t="str">
        <f ca="1">IF(K107="Matched","Low",IF(OR(IFERROR(ABS(H107),0)&gt;Mapping_Rules!$B$7,IFERROR(J107,0)&gt;Mapping_Rules!$B$8),"High","Medium"))</f>
        <v>High</v>
      </c>
      <c r="N107" s="50" t="str">
        <f t="shared" ca="1" si="5"/>
        <v>Check bank date or posting</v>
      </c>
      <c r="O107" s="44" t="s">
        <v>131</v>
      </c>
      <c r="P107" s="44" t="s">
        <v>77</v>
      </c>
      <c r="Q107" s="44" t="s">
        <v>1689</v>
      </c>
      <c r="R107" s="51"/>
      <c r="S107" s="52">
        <f ca="1">IF(K107="Matched",0,Mapping_Rules!$B$6-B107)</f>
        <v>8</v>
      </c>
    </row>
    <row r="108" spans="1:19">
      <c r="A108" s="23" t="s">
        <v>380</v>
      </c>
      <c r="B108" s="31">
        <v>46052</v>
      </c>
      <c r="C108" s="23" t="s">
        <v>81</v>
      </c>
      <c r="D108" s="23" t="s">
        <v>155</v>
      </c>
      <c r="E108" s="23" t="s">
        <v>381</v>
      </c>
      <c r="F108" s="32">
        <v>7492.37</v>
      </c>
      <c r="G108" s="38" t="str">
        <f ca="1">IFERROR(_xludf.XLOOKUP(E108,Bank_Statement!$D$4:$D$448,Bank_Statement!$G$4:$G$448,""),"")</f>
        <v/>
      </c>
      <c r="H108" s="32" t="str">
        <f t="shared" ca="1" si="3"/>
        <v/>
      </c>
      <c r="I108" s="39" t="str">
        <f ca="1">IFERROR(_xludf.XLOOKUP(E108,Bank_Statement!$D$4:$D$448,Bank_Statement!$B$4:$B$448,""),"")</f>
        <v/>
      </c>
      <c r="J108" s="40" t="str">
        <f t="shared" ca="1" si="4"/>
        <v/>
      </c>
      <c r="K108" s="41" t="str">
        <f ca="1">IF(G108="","Unmatched ERP",IF(AND(ABS(H108)&lt;=Mapping_Rules!$B$4,ABS(J108)&lt;=Mapping_Rules!$B$5),"Matched","Review"))</f>
        <v>Unmatched ERP</v>
      </c>
      <c r="L108" s="41" t="str">
        <f ca="1">IF(K108="Matched","None",IF(G108="","Missing from bank",IF(ABS(H108)&gt;Mapping_Rules!$B$4,"Amount variance","Date variance")))</f>
        <v>Missing from bank</v>
      </c>
      <c r="M108" s="41" t="str">
        <f ca="1">IF(K108="Matched","Low",IF(OR(IFERROR(ABS(H108),0)&gt;Mapping_Rules!$B$7,IFERROR(J108,0)&gt;Mapping_Rules!$B$8),"High","Medium"))</f>
        <v>High</v>
      </c>
      <c r="N108" s="41" t="str">
        <f t="shared" ca="1" si="5"/>
        <v>Check bank date or posting</v>
      </c>
      <c r="O108" s="23" t="s">
        <v>158</v>
      </c>
      <c r="P108" s="23" t="s">
        <v>86</v>
      </c>
      <c r="Q108" s="23" t="s">
        <v>1689</v>
      </c>
      <c r="R108" s="42"/>
      <c r="S108" s="43">
        <f ca="1">IF(K108="Matched",0,Mapping_Rules!$B$6-B108)</f>
        <v>1</v>
      </c>
    </row>
    <row r="109" spans="1:19">
      <c r="A109" s="44" t="s">
        <v>382</v>
      </c>
      <c r="B109" s="45">
        <v>46048</v>
      </c>
      <c r="C109" s="44" t="s">
        <v>81</v>
      </c>
      <c r="D109" s="44" t="s">
        <v>220</v>
      </c>
      <c r="E109" s="44" t="s">
        <v>383</v>
      </c>
      <c r="F109" s="46">
        <v>2511.71</v>
      </c>
      <c r="G109" s="47" t="str">
        <f ca="1">IFERROR(_xludf.XLOOKUP(E109,Bank_Statement!$D$4:$D$448,Bank_Statement!$G$4:$G$448,""),"")</f>
        <v/>
      </c>
      <c r="H109" s="46" t="str">
        <f t="shared" ca="1" si="3"/>
        <v/>
      </c>
      <c r="I109" s="48" t="str">
        <f ca="1">IFERROR(_xludf.XLOOKUP(E109,Bank_Statement!$D$4:$D$448,Bank_Statement!$B$4:$B$448,""),"")</f>
        <v/>
      </c>
      <c r="J109" s="49" t="str">
        <f t="shared" ca="1" si="4"/>
        <v/>
      </c>
      <c r="K109" s="50" t="str">
        <f ca="1">IF(G109="","Unmatched ERP",IF(AND(ABS(H109)&lt;=Mapping_Rules!$B$4,ABS(J109)&lt;=Mapping_Rules!$B$5),"Matched","Review"))</f>
        <v>Unmatched ERP</v>
      </c>
      <c r="L109" s="50" t="str">
        <f ca="1">IF(K109="Matched","None",IF(G109="","Missing from bank",IF(ABS(H109)&gt;Mapping_Rules!$B$4,"Amount variance","Date variance")))</f>
        <v>Missing from bank</v>
      </c>
      <c r="M109" s="50" t="str">
        <f ca="1">IF(K109="Matched","Low",IF(OR(IFERROR(ABS(H109),0)&gt;Mapping_Rules!$B$7,IFERROR(J109,0)&gt;Mapping_Rules!$B$8),"High","Medium"))</f>
        <v>High</v>
      </c>
      <c r="N109" s="50" t="str">
        <f t="shared" ca="1" si="5"/>
        <v>Check bank date or posting</v>
      </c>
      <c r="O109" s="44" t="s">
        <v>158</v>
      </c>
      <c r="P109" s="44" t="s">
        <v>86</v>
      </c>
      <c r="Q109" s="44" t="s">
        <v>1689</v>
      </c>
      <c r="R109" s="51"/>
      <c r="S109" s="52">
        <f ca="1">IF(K109="Matched",0,Mapping_Rules!$B$6-B109)</f>
        <v>5</v>
      </c>
    </row>
    <row r="110" spans="1:19">
      <c r="A110" s="23" t="s">
        <v>384</v>
      </c>
      <c r="B110" s="31">
        <v>46037</v>
      </c>
      <c r="C110" s="23" t="s">
        <v>81</v>
      </c>
      <c r="D110" s="23" t="s">
        <v>214</v>
      </c>
      <c r="E110" s="23" t="s">
        <v>385</v>
      </c>
      <c r="F110" s="32">
        <v>2925.87</v>
      </c>
      <c r="G110" s="38" t="str">
        <f ca="1">IFERROR(_xludf.XLOOKUP(E110,Bank_Statement!$D$4:$D$448,Bank_Statement!$G$4:$G$448,""),"")</f>
        <v/>
      </c>
      <c r="H110" s="32" t="str">
        <f t="shared" ca="1" si="3"/>
        <v/>
      </c>
      <c r="I110" s="39" t="str">
        <f ca="1">IFERROR(_xludf.XLOOKUP(E110,Bank_Statement!$D$4:$D$448,Bank_Statement!$B$4:$B$448,""),"")</f>
        <v/>
      </c>
      <c r="J110" s="40" t="str">
        <f t="shared" ca="1" si="4"/>
        <v/>
      </c>
      <c r="K110" s="41" t="str">
        <f ca="1">IF(G110="","Unmatched ERP",IF(AND(ABS(H110)&lt;=Mapping_Rules!$B$4,ABS(J110)&lt;=Mapping_Rules!$B$5),"Matched","Review"))</f>
        <v>Unmatched ERP</v>
      </c>
      <c r="L110" s="41" t="str">
        <f ca="1">IF(K110="Matched","None",IF(G110="","Missing from bank",IF(ABS(H110)&gt;Mapping_Rules!$B$4,"Amount variance","Date variance")))</f>
        <v>Missing from bank</v>
      </c>
      <c r="M110" s="41" t="str">
        <f ca="1">IF(K110="Matched","Low",IF(OR(IFERROR(ABS(H110),0)&gt;Mapping_Rules!$B$7,IFERROR(J110,0)&gt;Mapping_Rules!$B$8),"High","Medium"))</f>
        <v>High</v>
      </c>
      <c r="N110" s="41" t="str">
        <f t="shared" ca="1" si="5"/>
        <v>Check bank date or posting</v>
      </c>
      <c r="O110" s="23" t="s">
        <v>158</v>
      </c>
      <c r="P110" s="23" t="s">
        <v>86</v>
      </c>
      <c r="Q110" s="23" t="s">
        <v>1689</v>
      </c>
      <c r="R110" s="42"/>
      <c r="S110" s="43">
        <f ca="1">IF(K110="Matched",0,Mapping_Rules!$B$6-B110)</f>
        <v>16</v>
      </c>
    </row>
    <row r="111" spans="1:19">
      <c r="A111" s="44" t="s">
        <v>386</v>
      </c>
      <c r="B111" s="45">
        <v>46045</v>
      </c>
      <c r="C111" s="44" t="s">
        <v>72</v>
      </c>
      <c r="D111" s="44" t="s">
        <v>150</v>
      </c>
      <c r="E111" s="44" t="s">
        <v>387</v>
      </c>
      <c r="F111" s="46">
        <v>-1509.4</v>
      </c>
      <c r="G111" s="47" t="str">
        <f ca="1">IFERROR(_xludf.XLOOKUP(E111,Bank_Statement!$D$4:$D$448,Bank_Statement!$G$4:$G$448,""),"")</f>
        <v/>
      </c>
      <c r="H111" s="46" t="str">
        <f t="shared" ca="1" si="3"/>
        <v/>
      </c>
      <c r="I111" s="48" t="str">
        <f ca="1">IFERROR(_xludf.XLOOKUP(E111,Bank_Statement!$D$4:$D$448,Bank_Statement!$B$4:$B$448,""),"")</f>
        <v/>
      </c>
      <c r="J111" s="49" t="str">
        <f t="shared" ca="1" si="4"/>
        <v/>
      </c>
      <c r="K111" s="50" t="str">
        <f ca="1">IF(G111="","Unmatched ERP",IF(AND(ABS(H111)&lt;=Mapping_Rules!$B$4,ABS(J111)&lt;=Mapping_Rules!$B$5),"Matched","Review"))</f>
        <v>Unmatched ERP</v>
      </c>
      <c r="L111" s="50" t="str">
        <f ca="1">IF(K111="Matched","None",IF(G111="","Missing from bank",IF(ABS(H111)&gt;Mapping_Rules!$B$4,"Amount variance","Date variance")))</f>
        <v>Missing from bank</v>
      </c>
      <c r="M111" s="50" t="str">
        <f ca="1">IF(K111="Matched","Low",IF(OR(IFERROR(ABS(H111),0)&gt;Mapping_Rules!$B$7,IFERROR(J111,0)&gt;Mapping_Rules!$B$8),"High","Medium"))</f>
        <v>High</v>
      </c>
      <c r="N111" s="50" t="str">
        <f t="shared" ca="1" si="5"/>
        <v>Check bank date or posting</v>
      </c>
      <c r="O111" s="44" t="s">
        <v>131</v>
      </c>
      <c r="P111" s="44" t="s">
        <v>77</v>
      </c>
      <c r="Q111" s="44" t="s">
        <v>1689</v>
      </c>
      <c r="R111" s="51"/>
      <c r="S111" s="52">
        <f ca="1">IF(K111="Matched",0,Mapping_Rules!$B$6-B111)</f>
        <v>8</v>
      </c>
    </row>
    <row r="112" spans="1:19">
      <c r="A112" s="23" t="s">
        <v>388</v>
      </c>
      <c r="B112" s="31">
        <v>46048</v>
      </c>
      <c r="C112" s="23" t="s">
        <v>81</v>
      </c>
      <c r="D112" s="23" t="s">
        <v>155</v>
      </c>
      <c r="E112" s="23" t="s">
        <v>389</v>
      </c>
      <c r="F112" s="32">
        <v>6766.49</v>
      </c>
      <c r="G112" s="38" t="str">
        <f ca="1">IFERROR(_xludf.XLOOKUP(E112,Bank_Statement!$D$4:$D$448,Bank_Statement!$G$4:$G$448,""),"")</f>
        <v/>
      </c>
      <c r="H112" s="32" t="str">
        <f t="shared" ca="1" si="3"/>
        <v/>
      </c>
      <c r="I112" s="39" t="str">
        <f ca="1">IFERROR(_xludf.XLOOKUP(E112,Bank_Statement!$D$4:$D$448,Bank_Statement!$B$4:$B$448,""),"")</f>
        <v/>
      </c>
      <c r="J112" s="40" t="str">
        <f t="shared" ca="1" si="4"/>
        <v/>
      </c>
      <c r="K112" s="41" t="str">
        <f ca="1">IF(G112="","Unmatched ERP",IF(AND(ABS(H112)&lt;=Mapping_Rules!$B$4,ABS(J112)&lt;=Mapping_Rules!$B$5),"Matched","Review"))</f>
        <v>Unmatched ERP</v>
      </c>
      <c r="L112" s="41" t="str">
        <f ca="1">IF(K112="Matched","None",IF(G112="","Missing from bank",IF(ABS(H112)&gt;Mapping_Rules!$B$4,"Amount variance","Date variance")))</f>
        <v>Missing from bank</v>
      </c>
      <c r="M112" s="41" t="str">
        <f ca="1">IF(K112="Matched","Low",IF(OR(IFERROR(ABS(H112),0)&gt;Mapping_Rules!$B$7,IFERROR(J112,0)&gt;Mapping_Rules!$B$8),"High","Medium"))</f>
        <v>High</v>
      </c>
      <c r="N112" s="41" t="str">
        <f t="shared" ca="1" si="5"/>
        <v>Check bank date or posting</v>
      </c>
      <c r="O112" s="23" t="s">
        <v>158</v>
      </c>
      <c r="P112" s="23" t="s">
        <v>86</v>
      </c>
      <c r="Q112" s="23" t="s">
        <v>1689</v>
      </c>
      <c r="R112" s="42"/>
      <c r="S112" s="43">
        <f ca="1">IF(K112="Matched",0,Mapping_Rules!$B$6-B112)</f>
        <v>5</v>
      </c>
    </row>
    <row r="113" spans="1:19">
      <c r="A113" s="44" t="s">
        <v>390</v>
      </c>
      <c r="B113" s="45">
        <v>46027</v>
      </c>
      <c r="C113" s="44" t="s">
        <v>81</v>
      </c>
      <c r="D113" s="44" t="s">
        <v>167</v>
      </c>
      <c r="E113" s="44" t="s">
        <v>391</v>
      </c>
      <c r="F113" s="46">
        <v>2922.16</v>
      </c>
      <c r="G113" s="47" t="str">
        <f ca="1">IFERROR(_xludf.XLOOKUP(E113,Bank_Statement!$D$4:$D$448,Bank_Statement!$G$4:$G$448,""),"")</f>
        <v/>
      </c>
      <c r="H113" s="46" t="str">
        <f t="shared" ca="1" si="3"/>
        <v/>
      </c>
      <c r="I113" s="48" t="str">
        <f ca="1">IFERROR(_xludf.XLOOKUP(E113,Bank_Statement!$D$4:$D$448,Bank_Statement!$B$4:$B$448,""),"")</f>
        <v/>
      </c>
      <c r="J113" s="49" t="str">
        <f t="shared" ca="1" si="4"/>
        <v/>
      </c>
      <c r="K113" s="50" t="str">
        <f ca="1">IF(G113="","Unmatched ERP",IF(AND(ABS(H113)&lt;=Mapping_Rules!$B$4,ABS(J113)&lt;=Mapping_Rules!$B$5),"Matched","Review"))</f>
        <v>Unmatched ERP</v>
      </c>
      <c r="L113" s="50" t="str">
        <f ca="1">IF(K113="Matched","None",IF(G113="","Missing from bank",IF(ABS(H113)&gt;Mapping_Rules!$B$4,"Amount variance","Date variance")))</f>
        <v>Missing from bank</v>
      </c>
      <c r="M113" s="50" t="str">
        <f ca="1">IF(K113="Matched","Low",IF(OR(IFERROR(ABS(H113),0)&gt;Mapping_Rules!$B$7,IFERROR(J113,0)&gt;Mapping_Rules!$B$8),"High","Medium"))</f>
        <v>High</v>
      </c>
      <c r="N113" s="50" t="str">
        <f t="shared" ca="1" si="5"/>
        <v>Check bank date or posting</v>
      </c>
      <c r="O113" s="44" t="s">
        <v>158</v>
      </c>
      <c r="P113" s="44" t="s">
        <v>86</v>
      </c>
      <c r="Q113" s="44" t="s">
        <v>1689</v>
      </c>
      <c r="R113" s="51"/>
      <c r="S113" s="52">
        <f ca="1">IF(K113="Matched",0,Mapping_Rules!$B$6-B113)</f>
        <v>26</v>
      </c>
    </row>
    <row r="114" spans="1:19">
      <c r="A114" s="23" t="s">
        <v>392</v>
      </c>
      <c r="B114" s="31">
        <v>46036</v>
      </c>
      <c r="C114" s="23" t="s">
        <v>99</v>
      </c>
      <c r="D114" s="23" t="s">
        <v>182</v>
      </c>
      <c r="E114" s="23" t="s">
        <v>393</v>
      </c>
      <c r="F114" s="32">
        <v>-16564.37</v>
      </c>
      <c r="G114" s="38" t="str">
        <f ca="1">IFERROR(_xludf.XLOOKUP(E114,Bank_Statement!$D$4:$D$448,Bank_Statement!$G$4:$G$448,""),"")</f>
        <v/>
      </c>
      <c r="H114" s="32" t="str">
        <f t="shared" ca="1" si="3"/>
        <v/>
      </c>
      <c r="I114" s="39" t="str">
        <f ca="1">IFERROR(_xludf.XLOOKUP(E114,Bank_Statement!$D$4:$D$448,Bank_Statement!$B$4:$B$448,""),"")</f>
        <v/>
      </c>
      <c r="J114" s="40" t="str">
        <f t="shared" ca="1" si="4"/>
        <v/>
      </c>
      <c r="K114" s="41" t="str">
        <f ca="1">IF(G114="","Unmatched ERP",IF(AND(ABS(H114)&lt;=Mapping_Rules!$B$4,ABS(J114)&lt;=Mapping_Rules!$B$5),"Matched","Review"))</f>
        <v>Unmatched ERP</v>
      </c>
      <c r="L114" s="41" t="str">
        <f ca="1">IF(K114="Matched","None",IF(G114="","Missing from bank",IF(ABS(H114)&gt;Mapping_Rules!$B$4,"Amount variance","Date variance")))</f>
        <v>Missing from bank</v>
      </c>
      <c r="M114" s="41" t="str">
        <f ca="1">IF(K114="Matched","Low",IF(OR(IFERROR(ABS(H114),0)&gt;Mapping_Rules!$B$7,IFERROR(J114,0)&gt;Mapping_Rules!$B$8),"High","Medium"))</f>
        <v>High</v>
      </c>
      <c r="N114" s="41" t="str">
        <f t="shared" ca="1" si="5"/>
        <v>Check bank date or posting</v>
      </c>
      <c r="O114" s="23" t="s">
        <v>185</v>
      </c>
      <c r="P114" s="23" t="s">
        <v>95</v>
      </c>
      <c r="Q114" s="23" t="s">
        <v>1689</v>
      </c>
      <c r="R114" s="42"/>
      <c r="S114" s="43">
        <f ca="1">IF(K114="Matched",0,Mapping_Rules!$B$6-B114)</f>
        <v>17</v>
      </c>
    </row>
    <row r="115" spans="1:19">
      <c r="A115" s="44" t="s">
        <v>394</v>
      </c>
      <c r="B115" s="45">
        <v>46045</v>
      </c>
      <c r="C115" s="44" t="s">
        <v>81</v>
      </c>
      <c r="D115" s="44" t="s">
        <v>220</v>
      </c>
      <c r="E115" s="44" t="s">
        <v>395</v>
      </c>
      <c r="F115" s="46">
        <v>7262.24</v>
      </c>
      <c r="G115" s="47" t="str">
        <f ca="1">IFERROR(_xludf.XLOOKUP(E115,Bank_Statement!$D$4:$D$448,Bank_Statement!$G$4:$G$448,""),"")</f>
        <v/>
      </c>
      <c r="H115" s="46" t="str">
        <f t="shared" ca="1" si="3"/>
        <v/>
      </c>
      <c r="I115" s="48" t="str">
        <f ca="1">IFERROR(_xludf.XLOOKUP(E115,Bank_Statement!$D$4:$D$448,Bank_Statement!$B$4:$B$448,""),"")</f>
        <v/>
      </c>
      <c r="J115" s="49" t="str">
        <f t="shared" ca="1" si="4"/>
        <v/>
      </c>
      <c r="K115" s="50" t="str">
        <f ca="1">IF(G115="","Unmatched ERP",IF(AND(ABS(H115)&lt;=Mapping_Rules!$B$4,ABS(J115)&lt;=Mapping_Rules!$B$5),"Matched","Review"))</f>
        <v>Unmatched ERP</v>
      </c>
      <c r="L115" s="50" t="str">
        <f ca="1">IF(K115="Matched","None",IF(G115="","Missing from bank",IF(ABS(H115)&gt;Mapping_Rules!$B$4,"Amount variance","Date variance")))</f>
        <v>Missing from bank</v>
      </c>
      <c r="M115" s="50" t="str">
        <f ca="1">IF(K115="Matched","Low",IF(OR(IFERROR(ABS(H115),0)&gt;Mapping_Rules!$B$7,IFERROR(J115,0)&gt;Mapping_Rules!$B$8),"High","Medium"))</f>
        <v>High</v>
      </c>
      <c r="N115" s="50" t="str">
        <f t="shared" ca="1" si="5"/>
        <v>Check bank date or posting</v>
      </c>
      <c r="O115" s="44" t="s">
        <v>158</v>
      </c>
      <c r="P115" s="44" t="s">
        <v>86</v>
      </c>
      <c r="Q115" s="44" t="s">
        <v>1689</v>
      </c>
      <c r="R115" s="51"/>
      <c r="S115" s="52">
        <f ca="1">IF(K115="Matched",0,Mapping_Rules!$B$6-B115)</f>
        <v>8</v>
      </c>
    </row>
    <row r="116" spans="1:19">
      <c r="A116" s="23" t="s">
        <v>396</v>
      </c>
      <c r="B116" s="31">
        <v>46043</v>
      </c>
      <c r="C116" s="23" t="s">
        <v>90</v>
      </c>
      <c r="D116" s="23" t="s">
        <v>155</v>
      </c>
      <c r="E116" s="23" t="s">
        <v>397</v>
      </c>
      <c r="F116" s="32">
        <v>-2465.34</v>
      </c>
      <c r="G116" s="38" t="str">
        <f ca="1">IFERROR(_xludf.XLOOKUP(E116,Bank_Statement!$D$4:$D$448,Bank_Statement!$G$4:$G$448,""),"")</f>
        <v/>
      </c>
      <c r="H116" s="32" t="str">
        <f t="shared" ca="1" si="3"/>
        <v/>
      </c>
      <c r="I116" s="39" t="str">
        <f ca="1">IFERROR(_xludf.XLOOKUP(E116,Bank_Statement!$D$4:$D$448,Bank_Statement!$B$4:$B$448,""),"")</f>
        <v/>
      </c>
      <c r="J116" s="40" t="str">
        <f t="shared" ca="1" si="4"/>
        <v/>
      </c>
      <c r="K116" s="41" t="str">
        <f ca="1">IF(G116="","Unmatched ERP",IF(AND(ABS(H116)&lt;=Mapping_Rules!$B$4,ABS(J116)&lt;=Mapping_Rules!$B$5),"Matched","Review"))</f>
        <v>Unmatched ERP</v>
      </c>
      <c r="L116" s="41" t="str">
        <f ca="1">IF(K116="Matched","None",IF(G116="","Missing from bank",IF(ABS(H116)&gt;Mapping_Rules!$B$4,"Amount variance","Date variance")))</f>
        <v>Missing from bank</v>
      </c>
      <c r="M116" s="41" t="str">
        <f ca="1">IF(K116="Matched","Low",IF(OR(IFERROR(ABS(H116),0)&gt;Mapping_Rules!$B$7,IFERROR(J116,0)&gt;Mapping_Rules!$B$8),"High","Medium"))</f>
        <v>High</v>
      </c>
      <c r="N116" s="41" t="str">
        <f t="shared" ca="1" si="5"/>
        <v>Check bank date or posting</v>
      </c>
      <c r="O116" s="23" t="s">
        <v>158</v>
      </c>
      <c r="P116" s="23" t="s">
        <v>95</v>
      </c>
      <c r="Q116" s="23" t="s">
        <v>1689</v>
      </c>
      <c r="R116" s="42"/>
      <c r="S116" s="43">
        <f ca="1">IF(K116="Matched",0,Mapping_Rules!$B$6-B116)</f>
        <v>10</v>
      </c>
    </row>
    <row r="117" spans="1:19">
      <c r="A117" s="44" t="s">
        <v>398</v>
      </c>
      <c r="B117" s="45">
        <v>46046</v>
      </c>
      <c r="C117" s="44" t="s">
        <v>72</v>
      </c>
      <c r="D117" s="44" t="s">
        <v>144</v>
      </c>
      <c r="E117" s="44" t="s">
        <v>399</v>
      </c>
      <c r="F117" s="46">
        <v>-4733.46</v>
      </c>
      <c r="G117" s="47" t="str">
        <f ca="1">IFERROR(_xludf.XLOOKUP(E117,Bank_Statement!$D$4:$D$448,Bank_Statement!$G$4:$G$448,""),"")</f>
        <v/>
      </c>
      <c r="H117" s="46" t="str">
        <f t="shared" ca="1" si="3"/>
        <v/>
      </c>
      <c r="I117" s="48" t="str">
        <f ca="1">IFERROR(_xludf.XLOOKUP(E117,Bank_Statement!$D$4:$D$448,Bank_Statement!$B$4:$B$448,""),"")</f>
        <v/>
      </c>
      <c r="J117" s="49" t="str">
        <f t="shared" ca="1" si="4"/>
        <v/>
      </c>
      <c r="K117" s="50" t="str">
        <f ca="1">IF(G117="","Unmatched ERP",IF(AND(ABS(H117)&lt;=Mapping_Rules!$B$4,ABS(J117)&lt;=Mapping_Rules!$B$5),"Matched","Review"))</f>
        <v>Unmatched ERP</v>
      </c>
      <c r="L117" s="50" t="str">
        <f ca="1">IF(K117="Matched","None",IF(G117="","Missing from bank",IF(ABS(H117)&gt;Mapping_Rules!$B$4,"Amount variance","Date variance")))</f>
        <v>Missing from bank</v>
      </c>
      <c r="M117" s="50" t="str">
        <f ca="1">IF(K117="Matched","Low",IF(OR(IFERROR(ABS(H117),0)&gt;Mapping_Rules!$B$7,IFERROR(J117,0)&gt;Mapping_Rules!$B$8),"High","Medium"))</f>
        <v>High</v>
      </c>
      <c r="N117" s="50" t="str">
        <f t="shared" ca="1" si="5"/>
        <v>Check bank date or posting</v>
      </c>
      <c r="O117" s="44" t="s">
        <v>131</v>
      </c>
      <c r="P117" s="44" t="s">
        <v>77</v>
      </c>
      <c r="Q117" s="44" t="s">
        <v>1689</v>
      </c>
      <c r="R117" s="51"/>
      <c r="S117" s="52">
        <f ca="1">IF(K117="Matched",0,Mapping_Rules!$B$6-B117)</f>
        <v>7</v>
      </c>
    </row>
    <row r="118" spans="1:19">
      <c r="A118" s="23" t="s">
        <v>400</v>
      </c>
      <c r="B118" s="31">
        <v>46024</v>
      </c>
      <c r="C118" s="23" t="s">
        <v>72</v>
      </c>
      <c r="D118" s="23" t="s">
        <v>144</v>
      </c>
      <c r="E118" s="23" t="s">
        <v>401</v>
      </c>
      <c r="F118" s="32">
        <v>-1875.41</v>
      </c>
      <c r="G118" s="38" t="str">
        <f ca="1">IFERROR(_xludf.XLOOKUP(E118,Bank_Statement!$D$4:$D$448,Bank_Statement!$G$4:$G$448,""),"")</f>
        <v/>
      </c>
      <c r="H118" s="32" t="str">
        <f t="shared" ca="1" si="3"/>
        <v/>
      </c>
      <c r="I118" s="39" t="str">
        <f ca="1">IFERROR(_xludf.XLOOKUP(E118,Bank_Statement!$D$4:$D$448,Bank_Statement!$B$4:$B$448,""),"")</f>
        <v/>
      </c>
      <c r="J118" s="40" t="str">
        <f t="shared" ca="1" si="4"/>
        <v/>
      </c>
      <c r="K118" s="41" t="str">
        <f ca="1">IF(G118="","Unmatched ERP",IF(AND(ABS(H118)&lt;=Mapping_Rules!$B$4,ABS(J118)&lt;=Mapping_Rules!$B$5),"Matched","Review"))</f>
        <v>Unmatched ERP</v>
      </c>
      <c r="L118" s="41" t="str">
        <f ca="1">IF(K118="Matched","None",IF(G118="","Missing from bank",IF(ABS(H118)&gt;Mapping_Rules!$B$4,"Amount variance","Date variance")))</f>
        <v>Missing from bank</v>
      </c>
      <c r="M118" s="41" t="str">
        <f ca="1">IF(K118="Matched","Low",IF(OR(IFERROR(ABS(H118),0)&gt;Mapping_Rules!$B$7,IFERROR(J118,0)&gt;Mapping_Rules!$B$8),"High","Medium"))</f>
        <v>High</v>
      </c>
      <c r="N118" s="41" t="str">
        <f t="shared" ca="1" si="5"/>
        <v>Check bank date or posting</v>
      </c>
      <c r="O118" s="23" t="s">
        <v>131</v>
      </c>
      <c r="P118" s="23" t="s">
        <v>77</v>
      </c>
      <c r="Q118" s="23" t="s">
        <v>1689</v>
      </c>
      <c r="R118" s="42"/>
      <c r="S118" s="43">
        <f ca="1">IF(K118="Matched",0,Mapping_Rules!$B$6-B118)</f>
        <v>29</v>
      </c>
    </row>
    <row r="119" spans="1:19">
      <c r="A119" s="44" t="s">
        <v>402</v>
      </c>
      <c r="B119" s="45">
        <v>46048</v>
      </c>
      <c r="C119" s="44" t="s">
        <v>72</v>
      </c>
      <c r="D119" s="44" t="s">
        <v>133</v>
      </c>
      <c r="E119" s="44" t="s">
        <v>403</v>
      </c>
      <c r="F119" s="46">
        <v>-563.29</v>
      </c>
      <c r="G119" s="47" t="str">
        <f ca="1">IFERROR(_xludf.XLOOKUP(E119,Bank_Statement!$D$4:$D$448,Bank_Statement!$G$4:$G$448,""),"")</f>
        <v/>
      </c>
      <c r="H119" s="46" t="str">
        <f t="shared" ca="1" si="3"/>
        <v/>
      </c>
      <c r="I119" s="48" t="str">
        <f ca="1">IFERROR(_xludf.XLOOKUP(E119,Bank_Statement!$D$4:$D$448,Bank_Statement!$B$4:$B$448,""),"")</f>
        <v/>
      </c>
      <c r="J119" s="49" t="str">
        <f t="shared" ca="1" si="4"/>
        <v/>
      </c>
      <c r="K119" s="50" t="str">
        <f ca="1">IF(G119="","Unmatched ERP",IF(AND(ABS(H119)&lt;=Mapping_Rules!$B$4,ABS(J119)&lt;=Mapping_Rules!$B$5),"Matched","Review"))</f>
        <v>Unmatched ERP</v>
      </c>
      <c r="L119" s="50" t="str">
        <f ca="1">IF(K119="Matched","None",IF(G119="","Missing from bank",IF(ABS(H119)&gt;Mapping_Rules!$B$4,"Amount variance","Date variance")))</f>
        <v>Missing from bank</v>
      </c>
      <c r="M119" s="50" t="str">
        <f ca="1">IF(K119="Matched","Low",IF(OR(IFERROR(ABS(H119),0)&gt;Mapping_Rules!$B$7,IFERROR(J119,0)&gt;Mapping_Rules!$B$8),"High","Medium"))</f>
        <v>High</v>
      </c>
      <c r="N119" s="50" t="str">
        <f t="shared" ca="1" si="5"/>
        <v>Check bank date or posting</v>
      </c>
      <c r="O119" s="44" t="s">
        <v>131</v>
      </c>
      <c r="P119" s="44" t="s">
        <v>77</v>
      </c>
      <c r="Q119" s="44" t="s">
        <v>1689</v>
      </c>
      <c r="R119" s="51"/>
      <c r="S119" s="52">
        <f ca="1">IF(K119="Matched",0,Mapping_Rules!$B$6-B119)</f>
        <v>5</v>
      </c>
    </row>
    <row r="120" spans="1:19">
      <c r="A120" s="23" t="s">
        <v>404</v>
      </c>
      <c r="B120" s="31">
        <v>46027</v>
      </c>
      <c r="C120" s="23" t="s">
        <v>72</v>
      </c>
      <c r="D120" s="23" t="s">
        <v>126</v>
      </c>
      <c r="E120" s="23" t="s">
        <v>405</v>
      </c>
      <c r="F120" s="32">
        <v>-1634.34</v>
      </c>
      <c r="G120" s="38" t="str">
        <f ca="1">IFERROR(_xludf.XLOOKUP(E120,Bank_Statement!$D$4:$D$448,Bank_Statement!$G$4:$G$448,""),"")</f>
        <v/>
      </c>
      <c r="H120" s="32" t="str">
        <f t="shared" ca="1" si="3"/>
        <v/>
      </c>
      <c r="I120" s="39" t="str">
        <f ca="1">IFERROR(_xludf.XLOOKUP(E120,Bank_Statement!$D$4:$D$448,Bank_Statement!$B$4:$B$448,""),"")</f>
        <v/>
      </c>
      <c r="J120" s="40" t="str">
        <f t="shared" ca="1" si="4"/>
        <v/>
      </c>
      <c r="K120" s="41" t="str">
        <f ca="1">IF(G120="","Unmatched ERP",IF(AND(ABS(H120)&lt;=Mapping_Rules!$B$4,ABS(J120)&lt;=Mapping_Rules!$B$5),"Matched","Review"))</f>
        <v>Unmatched ERP</v>
      </c>
      <c r="L120" s="41" t="str">
        <f ca="1">IF(K120="Matched","None",IF(G120="","Missing from bank",IF(ABS(H120)&gt;Mapping_Rules!$B$4,"Amount variance","Date variance")))</f>
        <v>Missing from bank</v>
      </c>
      <c r="M120" s="41" t="str">
        <f ca="1">IF(K120="Matched","Low",IF(OR(IFERROR(ABS(H120),0)&gt;Mapping_Rules!$B$7,IFERROR(J120,0)&gt;Mapping_Rules!$B$8),"High","Medium"))</f>
        <v>High</v>
      </c>
      <c r="N120" s="41" t="str">
        <f t="shared" ca="1" si="5"/>
        <v>Check bank date or posting</v>
      </c>
      <c r="O120" s="23" t="s">
        <v>131</v>
      </c>
      <c r="P120" s="23" t="s">
        <v>77</v>
      </c>
      <c r="Q120" s="23" t="s">
        <v>1689</v>
      </c>
      <c r="R120" s="42"/>
      <c r="S120" s="43">
        <f ca="1">IF(K120="Matched",0,Mapping_Rules!$B$6-B120)</f>
        <v>26</v>
      </c>
    </row>
    <row r="121" spans="1:19">
      <c r="A121" s="44" t="s">
        <v>406</v>
      </c>
      <c r="B121" s="45">
        <v>46037</v>
      </c>
      <c r="C121" s="44" t="s">
        <v>99</v>
      </c>
      <c r="D121" s="44" t="s">
        <v>182</v>
      </c>
      <c r="E121" s="44" t="s">
        <v>407</v>
      </c>
      <c r="F121" s="46">
        <v>-12325.36</v>
      </c>
      <c r="G121" s="47" t="str">
        <f ca="1">IFERROR(_xludf.XLOOKUP(E121,Bank_Statement!$D$4:$D$448,Bank_Statement!$G$4:$G$448,""),"")</f>
        <v/>
      </c>
      <c r="H121" s="46" t="str">
        <f t="shared" ca="1" si="3"/>
        <v/>
      </c>
      <c r="I121" s="48" t="str">
        <f ca="1">IFERROR(_xludf.XLOOKUP(E121,Bank_Statement!$D$4:$D$448,Bank_Statement!$B$4:$B$448,""),"")</f>
        <v/>
      </c>
      <c r="J121" s="49" t="str">
        <f t="shared" ca="1" si="4"/>
        <v/>
      </c>
      <c r="K121" s="50" t="str">
        <f ca="1">IF(G121="","Unmatched ERP",IF(AND(ABS(H121)&lt;=Mapping_Rules!$B$4,ABS(J121)&lt;=Mapping_Rules!$B$5),"Matched","Review"))</f>
        <v>Unmatched ERP</v>
      </c>
      <c r="L121" s="50" t="str">
        <f ca="1">IF(K121="Matched","None",IF(G121="","Missing from bank",IF(ABS(H121)&gt;Mapping_Rules!$B$4,"Amount variance","Date variance")))</f>
        <v>Missing from bank</v>
      </c>
      <c r="M121" s="50" t="str">
        <f ca="1">IF(K121="Matched","Low",IF(OR(IFERROR(ABS(H121),0)&gt;Mapping_Rules!$B$7,IFERROR(J121,0)&gt;Mapping_Rules!$B$8),"High","Medium"))</f>
        <v>High</v>
      </c>
      <c r="N121" s="50" t="str">
        <f t="shared" ca="1" si="5"/>
        <v>Check bank date or posting</v>
      </c>
      <c r="O121" s="44" t="s">
        <v>185</v>
      </c>
      <c r="P121" s="44" t="s">
        <v>95</v>
      </c>
      <c r="Q121" s="44" t="s">
        <v>1689</v>
      </c>
      <c r="R121" s="51"/>
      <c r="S121" s="52">
        <f ca="1">IF(K121="Matched",0,Mapping_Rules!$B$6-B121)</f>
        <v>16</v>
      </c>
    </row>
    <row r="122" spans="1:19">
      <c r="A122" s="23" t="s">
        <v>408</v>
      </c>
      <c r="B122" s="31">
        <v>46032</v>
      </c>
      <c r="C122" s="23" t="s">
        <v>81</v>
      </c>
      <c r="D122" s="23" t="s">
        <v>163</v>
      </c>
      <c r="E122" s="23" t="s">
        <v>409</v>
      </c>
      <c r="F122" s="32">
        <v>5914.12</v>
      </c>
      <c r="G122" s="38" t="str">
        <f ca="1">IFERROR(_xludf.XLOOKUP(E122,Bank_Statement!$D$4:$D$448,Bank_Statement!$G$4:$G$448,""),"")</f>
        <v/>
      </c>
      <c r="H122" s="32" t="str">
        <f t="shared" ca="1" si="3"/>
        <v/>
      </c>
      <c r="I122" s="39" t="str">
        <f ca="1">IFERROR(_xludf.XLOOKUP(E122,Bank_Statement!$D$4:$D$448,Bank_Statement!$B$4:$B$448,""),"")</f>
        <v/>
      </c>
      <c r="J122" s="40" t="str">
        <f t="shared" ca="1" si="4"/>
        <v/>
      </c>
      <c r="K122" s="41" t="str">
        <f ca="1">IF(G122="","Unmatched ERP",IF(AND(ABS(H122)&lt;=Mapping_Rules!$B$4,ABS(J122)&lt;=Mapping_Rules!$B$5),"Matched","Review"))</f>
        <v>Unmatched ERP</v>
      </c>
      <c r="L122" s="41" t="str">
        <f ca="1">IF(K122="Matched","None",IF(G122="","Missing from bank",IF(ABS(H122)&gt;Mapping_Rules!$B$4,"Amount variance","Date variance")))</f>
        <v>Missing from bank</v>
      </c>
      <c r="M122" s="41" t="str">
        <f ca="1">IF(K122="Matched","Low",IF(OR(IFERROR(ABS(H122),0)&gt;Mapping_Rules!$B$7,IFERROR(J122,0)&gt;Mapping_Rules!$B$8),"High","Medium"))</f>
        <v>High</v>
      </c>
      <c r="N122" s="41" t="str">
        <f t="shared" ca="1" si="5"/>
        <v>Check bank date or posting</v>
      </c>
      <c r="O122" s="23" t="s">
        <v>158</v>
      </c>
      <c r="P122" s="23" t="s">
        <v>86</v>
      </c>
      <c r="Q122" s="23" t="s">
        <v>1689</v>
      </c>
      <c r="R122" s="42"/>
      <c r="S122" s="43">
        <f ca="1">IF(K122="Matched",0,Mapping_Rules!$B$6-B122)</f>
        <v>21</v>
      </c>
    </row>
    <row r="123" spans="1:19">
      <c r="A123" s="44" t="s">
        <v>410</v>
      </c>
      <c r="B123" s="45">
        <v>46026</v>
      </c>
      <c r="C123" s="44" t="s">
        <v>72</v>
      </c>
      <c r="D123" s="44" t="s">
        <v>204</v>
      </c>
      <c r="E123" s="44" t="s">
        <v>411</v>
      </c>
      <c r="F123" s="46">
        <v>-2276.83</v>
      </c>
      <c r="G123" s="47" t="str">
        <f ca="1">IFERROR(_xludf.XLOOKUP(E123,Bank_Statement!$D$4:$D$448,Bank_Statement!$G$4:$G$448,""),"")</f>
        <v/>
      </c>
      <c r="H123" s="46" t="str">
        <f t="shared" ca="1" si="3"/>
        <v/>
      </c>
      <c r="I123" s="48" t="str">
        <f ca="1">IFERROR(_xludf.XLOOKUP(E123,Bank_Statement!$D$4:$D$448,Bank_Statement!$B$4:$B$448,""),"")</f>
        <v/>
      </c>
      <c r="J123" s="49" t="str">
        <f t="shared" ca="1" si="4"/>
        <v/>
      </c>
      <c r="K123" s="50" t="str">
        <f ca="1">IF(G123="","Unmatched ERP",IF(AND(ABS(H123)&lt;=Mapping_Rules!$B$4,ABS(J123)&lt;=Mapping_Rules!$B$5),"Matched","Review"))</f>
        <v>Unmatched ERP</v>
      </c>
      <c r="L123" s="50" t="str">
        <f ca="1">IF(K123="Matched","None",IF(G123="","Missing from bank",IF(ABS(H123)&gt;Mapping_Rules!$B$4,"Amount variance","Date variance")))</f>
        <v>Missing from bank</v>
      </c>
      <c r="M123" s="50" t="str">
        <f ca="1">IF(K123="Matched","Low",IF(OR(IFERROR(ABS(H123),0)&gt;Mapping_Rules!$B$7,IFERROR(J123,0)&gt;Mapping_Rules!$B$8),"High","Medium"))</f>
        <v>High</v>
      </c>
      <c r="N123" s="50" t="str">
        <f t="shared" ca="1" si="5"/>
        <v>Check bank date or posting</v>
      </c>
      <c r="O123" s="44" t="s">
        <v>131</v>
      </c>
      <c r="P123" s="44" t="s">
        <v>77</v>
      </c>
      <c r="Q123" s="44" t="s">
        <v>1689</v>
      </c>
      <c r="R123" s="51"/>
      <c r="S123" s="52">
        <f ca="1">IF(K123="Matched",0,Mapping_Rules!$B$6-B123)</f>
        <v>27</v>
      </c>
    </row>
    <row r="124" spans="1:19">
      <c r="A124" s="23" t="s">
        <v>412</v>
      </c>
      <c r="B124" s="31">
        <v>46041</v>
      </c>
      <c r="C124" s="23" t="s">
        <v>99</v>
      </c>
      <c r="D124" s="23" t="s">
        <v>182</v>
      </c>
      <c r="E124" s="23" t="s">
        <v>413</v>
      </c>
      <c r="F124" s="32">
        <v>-13785.52</v>
      </c>
      <c r="G124" s="38" t="str">
        <f ca="1">IFERROR(_xludf.XLOOKUP(E124,Bank_Statement!$D$4:$D$448,Bank_Statement!$G$4:$G$448,""),"")</f>
        <v/>
      </c>
      <c r="H124" s="32" t="str">
        <f t="shared" ca="1" si="3"/>
        <v/>
      </c>
      <c r="I124" s="39" t="str">
        <f ca="1">IFERROR(_xludf.XLOOKUP(E124,Bank_Statement!$D$4:$D$448,Bank_Statement!$B$4:$B$448,""),"")</f>
        <v/>
      </c>
      <c r="J124" s="40" t="str">
        <f t="shared" ca="1" si="4"/>
        <v/>
      </c>
      <c r="K124" s="41" t="str">
        <f ca="1">IF(G124="","Unmatched ERP",IF(AND(ABS(H124)&lt;=Mapping_Rules!$B$4,ABS(J124)&lt;=Mapping_Rules!$B$5),"Matched","Review"))</f>
        <v>Unmatched ERP</v>
      </c>
      <c r="L124" s="41" t="str">
        <f ca="1">IF(K124="Matched","None",IF(G124="","Missing from bank",IF(ABS(H124)&gt;Mapping_Rules!$B$4,"Amount variance","Date variance")))</f>
        <v>Missing from bank</v>
      </c>
      <c r="M124" s="41" t="str">
        <f ca="1">IF(K124="Matched","Low",IF(OR(IFERROR(ABS(H124),0)&gt;Mapping_Rules!$B$7,IFERROR(J124,0)&gt;Mapping_Rules!$B$8),"High","Medium"))</f>
        <v>High</v>
      </c>
      <c r="N124" s="41" t="str">
        <f t="shared" ca="1" si="5"/>
        <v>Check bank date or posting</v>
      </c>
      <c r="O124" s="23" t="s">
        <v>185</v>
      </c>
      <c r="P124" s="23" t="s">
        <v>95</v>
      </c>
      <c r="Q124" s="23" t="s">
        <v>1689</v>
      </c>
      <c r="R124" s="42"/>
      <c r="S124" s="43">
        <f ca="1">IF(K124="Matched",0,Mapping_Rules!$B$6-B124)</f>
        <v>12</v>
      </c>
    </row>
    <row r="125" spans="1:19">
      <c r="A125" s="44" t="s">
        <v>414</v>
      </c>
      <c r="B125" s="45">
        <v>46030</v>
      </c>
      <c r="C125" s="44" t="s">
        <v>81</v>
      </c>
      <c r="D125" s="44" t="s">
        <v>214</v>
      </c>
      <c r="E125" s="44" t="s">
        <v>415</v>
      </c>
      <c r="F125" s="46">
        <v>1978.69</v>
      </c>
      <c r="G125" s="47" t="str">
        <f ca="1">IFERROR(_xludf.XLOOKUP(E125,Bank_Statement!$D$4:$D$448,Bank_Statement!$G$4:$G$448,""),"")</f>
        <v/>
      </c>
      <c r="H125" s="46" t="str">
        <f t="shared" ca="1" si="3"/>
        <v/>
      </c>
      <c r="I125" s="48" t="str">
        <f ca="1">IFERROR(_xludf.XLOOKUP(E125,Bank_Statement!$D$4:$D$448,Bank_Statement!$B$4:$B$448,""),"")</f>
        <v/>
      </c>
      <c r="J125" s="49" t="str">
        <f t="shared" ca="1" si="4"/>
        <v/>
      </c>
      <c r="K125" s="50" t="str">
        <f ca="1">IF(G125="","Unmatched ERP",IF(AND(ABS(H125)&lt;=Mapping_Rules!$B$4,ABS(J125)&lt;=Mapping_Rules!$B$5),"Matched","Review"))</f>
        <v>Unmatched ERP</v>
      </c>
      <c r="L125" s="50" t="str">
        <f ca="1">IF(K125="Matched","None",IF(G125="","Missing from bank",IF(ABS(H125)&gt;Mapping_Rules!$B$4,"Amount variance","Date variance")))</f>
        <v>Missing from bank</v>
      </c>
      <c r="M125" s="50" t="str">
        <f ca="1">IF(K125="Matched","Low",IF(OR(IFERROR(ABS(H125),0)&gt;Mapping_Rules!$B$7,IFERROR(J125,0)&gt;Mapping_Rules!$B$8),"High","Medium"))</f>
        <v>High</v>
      </c>
      <c r="N125" s="50" t="str">
        <f t="shared" ca="1" si="5"/>
        <v>Check bank date or posting</v>
      </c>
      <c r="O125" s="44" t="s">
        <v>158</v>
      </c>
      <c r="P125" s="44" t="s">
        <v>86</v>
      </c>
      <c r="Q125" s="44" t="s">
        <v>1689</v>
      </c>
      <c r="R125" s="51"/>
      <c r="S125" s="52">
        <f ca="1">IF(K125="Matched",0,Mapping_Rules!$B$6-B125)</f>
        <v>23</v>
      </c>
    </row>
    <row r="126" spans="1:19">
      <c r="A126" s="23" t="s">
        <v>416</v>
      </c>
      <c r="B126" s="31">
        <v>46051</v>
      </c>
      <c r="C126" s="23" t="s">
        <v>81</v>
      </c>
      <c r="D126" s="23" t="s">
        <v>220</v>
      </c>
      <c r="E126" s="23" t="s">
        <v>417</v>
      </c>
      <c r="F126" s="32">
        <v>2729.59</v>
      </c>
      <c r="G126" s="38" t="str">
        <f ca="1">IFERROR(_xludf.XLOOKUP(E126,Bank_Statement!$D$4:$D$448,Bank_Statement!$G$4:$G$448,""),"")</f>
        <v/>
      </c>
      <c r="H126" s="32" t="str">
        <f t="shared" ca="1" si="3"/>
        <v/>
      </c>
      <c r="I126" s="39" t="str">
        <f ca="1">IFERROR(_xludf.XLOOKUP(E126,Bank_Statement!$D$4:$D$448,Bank_Statement!$B$4:$B$448,""),"")</f>
        <v/>
      </c>
      <c r="J126" s="40" t="str">
        <f t="shared" ca="1" si="4"/>
        <v/>
      </c>
      <c r="K126" s="41" t="str">
        <f ca="1">IF(G126="","Unmatched ERP",IF(AND(ABS(H126)&lt;=Mapping_Rules!$B$4,ABS(J126)&lt;=Mapping_Rules!$B$5),"Matched","Review"))</f>
        <v>Unmatched ERP</v>
      </c>
      <c r="L126" s="41" t="str">
        <f ca="1">IF(K126="Matched","None",IF(G126="","Missing from bank",IF(ABS(H126)&gt;Mapping_Rules!$B$4,"Amount variance","Date variance")))</f>
        <v>Missing from bank</v>
      </c>
      <c r="M126" s="41" t="str">
        <f ca="1">IF(K126="Matched","Low",IF(OR(IFERROR(ABS(H126),0)&gt;Mapping_Rules!$B$7,IFERROR(J126,0)&gt;Mapping_Rules!$B$8),"High","Medium"))</f>
        <v>High</v>
      </c>
      <c r="N126" s="41" t="str">
        <f t="shared" ca="1" si="5"/>
        <v>Check bank date or posting</v>
      </c>
      <c r="O126" s="23" t="s">
        <v>158</v>
      </c>
      <c r="P126" s="23" t="s">
        <v>86</v>
      </c>
      <c r="Q126" s="23" t="s">
        <v>1689</v>
      </c>
      <c r="R126" s="42"/>
      <c r="S126" s="43">
        <f ca="1">IF(K126="Matched",0,Mapping_Rules!$B$6-B126)</f>
        <v>2</v>
      </c>
    </row>
    <row r="127" spans="1:19">
      <c r="A127" s="44" t="s">
        <v>418</v>
      </c>
      <c r="B127" s="45">
        <v>46032</v>
      </c>
      <c r="C127" s="44" t="s">
        <v>72</v>
      </c>
      <c r="D127" s="44" t="s">
        <v>150</v>
      </c>
      <c r="E127" s="44" t="s">
        <v>419</v>
      </c>
      <c r="F127" s="46">
        <v>-1154.92</v>
      </c>
      <c r="G127" s="47" t="str">
        <f ca="1">IFERROR(_xludf.XLOOKUP(E127,Bank_Statement!$D$4:$D$448,Bank_Statement!$G$4:$G$448,""),"")</f>
        <v/>
      </c>
      <c r="H127" s="46" t="str">
        <f t="shared" ca="1" si="3"/>
        <v/>
      </c>
      <c r="I127" s="48" t="str">
        <f ca="1">IFERROR(_xludf.XLOOKUP(E127,Bank_Statement!$D$4:$D$448,Bank_Statement!$B$4:$B$448,""),"")</f>
        <v/>
      </c>
      <c r="J127" s="49" t="str">
        <f t="shared" ca="1" si="4"/>
        <v/>
      </c>
      <c r="K127" s="50" t="str">
        <f ca="1">IF(G127="","Unmatched ERP",IF(AND(ABS(H127)&lt;=Mapping_Rules!$B$4,ABS(J127)&lt;=Mapping_Rules!$B$5),"Matched","Review"))</f>
        <v>Unmatched ERP</v>
      </c>
      <c r="L127" s="50" t="str">
        <f ca="1">IF(K127="Matched","None",IF(G127="","Missing from bank",IF(ABS(H127)&gt;Mapping_Rules!$B$4,"Amount variance","Date variance")))</f>
        <v>Missing from bank</v>
      </c>
      <c r="M127" s="50" t="str">
        <f ca="1">IF(K127="Matched","Low",IF(OR(IFERROR(ABS(H127),0)&gt;Mapping_Rules!$B$7,IFERROR(J127,0)&gt;Mapping_Rules!$B$8),"High","Medium"))</f>
        <v>High</v>
      </c>
      <c r="N127" s="50" t="str">
        <f t="shared" ca="1" si="5"/>
        <v>Check bank date or posting</v>
      </c>
      <c r="O127" s="44" t="s">
        <v>131</v>
      </c>
      <c r="P127" s="44" t="s">
        <v>77</v>
      </c>
      <c r="Q127" s="44" t="s">
        <v>1689</v>
      </c>
      <c r="R127" s="51"/>
      <c r="S127" s="52">
        <f ca="1">IF(K127="Matched",0,Mapping_Rules!$B$6-B127)</f>
        <v>21</v>
      </c>
    </row>
    <row r="128" spans="1:19">
      <c r="A128" s="23" t="s">
        <v>420</v>
      </c>
      <c r="B128" s="31">
        <v>46034</v>
      </c>
      <c r="C128" s="23" t="s">
        <v>81</v>
      </c>
      <c r="D128" s="23" t="s">
        <v>214</v>
      </c>
      <c r="E128" s="23" t="s">
        <v>421</v>
      </c>
      <c r="F128" s="32">
        <v>7084.45</v>
      </c>
      <c r="G128" s="38" t="str">
        <f ca="1">IFERROR(_xludf.XLOOKUP(E128,Bank_Statement!$D$4:$D$448,Bank_Statement!$G$4:$G$448,""),"")</f>
        <v/>
      </c>
      <c r="H128" s="32" t="str">
        <f t="shared" ca="1" si="3"/>
        <v/>
      </c>
      <c r="I128" s="39" t="str">
        <f ca="1">IFERROR(_xludf.XLOOKUP(E128,Bank_Statement!$D$4:$D$448,Bank_Statement!$B$4:$B$448,""),"")</f>
        <v/>
      </c>
      <c r="J128" s="40" t="str">
        <f t="shared" ca="1" si="4"/>
        <v/>
      </c>
      <c r="K128" s="41" t="str">
        <f ca="1">IF(G128="","Unmatched ERP",IF(AND(ABS(H128)&lt;=Mapping_Rules!$B$4,ABS(J128)&lt;=Mapping_Rules!$B$5),"Matched","Review"))</f>
        <v>Unmatched ERP</v>
      </c>
      <c r="L128" s="41" t="str">
        <f ca="1">IF(K128="Matched","None",IF(G128="","Missing from bank",IF(ABS(H128)&gt;Mapping_Rules!$B$4,"Amount variance","Date variance")))</f>
        <v>Missing from bank</v>
      </c>
      <c r="M128" s="41" t="str">
        <f ca="1">IF(K128="Matched","Low",IF(OR(IFERROR(ABS(H128),0)&gt;Mapping_Rules!$B$7,IFERROR(J128,0)&gt;Mapping_Rules!$B$8),"High","Medium"))</f>
        <v>High</v>
      </c>
      <c r="N128" s="41" t="str">
        <f t="shared" ca="1" si="5"/>
        <v>Check bank date or posting</v>
      </c>
      <c r="O128" s="23" t="s">
        <v>158</v>
      </c>
      <c r="P128" s="23" t="s">
        <v>86</v>
      </c>
      <c r="Q128" s="23" t="s">
        <v>1689</v>
      </c>
      <c r="R128" s="42"/>
      <c r="S128" s="43">
        <f ca="1">IF(K128="Matched",0,Mapping_Rules!$B$6-B128)</f>
        <v>19</v>
      </c>
    </row>
    <row r="129" spans="1:19">
      <c r="A129" s="44" t="s">
        <v>422</v>
      </c>
      <c r="B129" s="45">
        <v>46032</v>
      </c>
      <c r="C129" s="44" t="s">
        <v>90</v>
      </c>
      <c r="D129" s="44" t="s">
        <v>126</v>
      </c>
      <c r="E129" s="44" t="s">
        <v>423</v>
      </c>
      <c r="F129" s="46">
        <v>4030.95</v>
      </c>
      <c r="G129" s="47" t="str">
        <f ca="1">IFERROR(_xludf.XLOOKUP(E129,Bank_Statement!$D$4:$D$448,Bank_Statement!$G$4:$G$448,""),"")</f>
        <v/>
      </c>
      <c r="H129" s="46" t="str">
        <f t="shared" ca="1" si="3"/>
        <v/>
      </c>
      <c r="I129" s="48" t="str">
        <f ca="1">IFERROR(_xludf.XLOOKUP(E129,Bank_Statement!$D$4:$D$448,Bank_Statement!$B$4:$B$448,""),"")</f>
        <v/>
      </c>
      <c r="J129" s="49" t="str">
        <f t="shared" ca="1" si="4"/>
        <v/>
      </c>
      <c r="K129" s="50" t="str">
        <f ca="1">IF(G129="","Unmatched ERP",IF(AND(ABS(H129)&lt;=Mapping_Rules!$B$4,ABS(J129)&lt;=Mapping_Rules!$B$5),"Matched","Review"))</f>
        <v>Unmatched ERP</v>
      </c>
      <c r="L129" s="50" t="str">
        <f ca="1">IF(K129="Matched","None",IF(G129="","Missing from bank",IF(ABS(H129)&gt;Mapping_Rules!$B$4,"Amount variance","Date variance")))</f>
        <v>Missing from bank</v>
      </c>
      <c r="M129" s="50" t="str">
        <f ca="1">IF(K129="Matched","Low",IF(OR(IFERROR(ABS(H129),0)&gt;Mapping_Rules!$B$7,IFERROR(J129,0)&gt;Mapping_Rules!$B$8),"High","Medium"))</f>
        <v>High</v>
      </c>
      <c r="N129" s="50" t="str">
        <f t="shared" ca="1" si="5"/>
        <v>Check bank date or posting</v>
      </c>
      <c r="O129" s="44" t="s">
        <v>158</v>
      </c>
      <c r="P129" s="44" t="s">
        <v>95</v>
      </c>
      <c r="Q129" s="44" t="s">
        <v>1689</v>
      </c>
      <c r="R129" s="51"/>
      <c r="S129" s="52">
        <f ca="1">IF(K129="Matched",0,Mapping_Rules!$B$6-B129)</f>
        <v>21</v>
      </c>
    </row>
    <row r="130" spans="1:19">
      <c r="A130" s="23" t="s">
        <v>424</v>
      </c>
      <c r="B130" s="31">
        <v>46046</v>
      </c>
      <c r="C130" s="23" t="s">
        <v>90</v>
      </c>
      <c r="D130" s="23" t="s">
        <v>139</v>
      </c>
      <c r="E130" s="23" t="s">
        <v>425</v>
      </c>
      <c r="F130" s="32">
        <v>-4837.99</v>
      </c>
      <c r="G130" s="38" t="str">
        <f ca="1">IFERROR(_xludf.XLOOKUP(E130,Bank_Statement!$D$4:$D$448,Bank_Statement!$G$4:$G$448,""),"")</f>
        <v/>
      </c>
      <c r="H130" s="32" t="str">
        <f t="shared" ca="1" si="3"/>
        <v/>
      </c>
      <c r="I130" s="39" t="str">
        <f ca="1">IFERROR(_xludf.XLOOKUP(E130,Bank_Statement!$D$4:$D$448,Bank_Statement!$B$4:$B$448,""),"")</f>
        <v/>
      </c>
      <c r="J130" s="40" t="str">
        <f t="shared" ca="1" si="4"/>
        <v/>
      </c>
      <c r="K130" s="41" t="str">
        <f ca="1">IF(G130="","Unmatched ERP",IF(AND(ABS(H130)&lt;=Mapping_Rules!$B$4,ABS(J130)&lt;=Mapping_Rules!$B$5),"Matched","Review"))</f>
        <v>Unmatched ERP</v>
      </c>
      <c r="L130" s="41" t="str">
        <f ca="1">IF(K130="Matched","None",IF(G130="","Missing from bank",IF(ABS(H130)&gt;Mapping_Rules!$B$4,"Amount variance","Date variance")))</f>
        <v>Missing from bank</v>
      </c>
      <c r="M130" s="41" t="str">
        <f ca="1">IF(K130="Matched","Low",IF(OR(IFERROR(ABS(H130),0)&gt;Mapping_Rules!$B$7,IFERROR(J130,0)&gt;Mapping_Rules!$B$8),"High","Medium"))</f>
        <v>High</v>
      </c>
      <c r="N130" s="41" t="str">
        <f t="shared" ca="1" si="5"/>
        <v>Check bank date or posting</v>
      </c>
      <c r="O130" s="23" t="s">
        <v>426</v>
      </c>
      <c r="P130" s="23" t="s">
        <v>95</v>
      </c>
      <c r="Q130" s="23" t="s">
        <v>1689</v>
      </c>
      <c r="R130" s="42"/>
      <c r="S130" s="43">
        <f ca="1">IF(K130="Matched",0,Mapping_Rules!$B$6-B130)</f>
        <v>7</v>
      </c>
    </row>
    <row r="131" spans="1:19">
      <c r="A131" s="44" t="s">
        <v>427</v>
      </c>
      <c r="B131" s="45">
        <v>46044</v>
      </c>
      <c r="C131" s="44" t="s">
        <v>90</v>
      </c>
      <c r="D131" s="44" t="s">
        <v>204</v>
      </c>
      <c r="E131" s="44" t="s">
        <v>428</v>
      </c>
      <c r="F131" s="46">
        <v>-2943.57</v>
      </c>
      <c r="G131" s="47" t="str">
        <f ca="1">IFERROR(_xludf.XLOOKUP(E131,Bank_Statement!$D$4:$D$448,Bank_Statement!$G$4:$G$448,""),"")</f>
        <v/>
      </c>
      <c r="H131" s="46" t="str">
        <f t="shared" ca="1" si="3"/>
        <v/>
      </c>
      <c r="I131" s="48" t="str">
        <f ca="1">IFERROR(_xludf.XLOOKUP(E131,Bank_Statement!$D$4:$D$448,Bank_Statement!$B$4:$B$448,""),"")</f>
        <v/>
      </c>
      <c r="J131" s="49" t="str">
        <f t="shared" ca="1" si="4"/>
        <v/>
      </c>
      <c r="K131" s="50" t="str">
        <f ca="1">IF(G131="","Unmatched ERP",IF(AND(ABS(H131)&lt;=Mapping_Rules!$B$4,ABS(J131)&lt;=Mapping_Rules!$B$5),"Matched","Review"))</f>
        <v>Unmatched ERP</v>
      </c>
      <c r="L131" s="50" t="str">
        <f ca="1">IF(K131="Matched","None",IF(G131="","Missing from bank",IF(ABS(H131)&gt;Mapping_Rules!$B$4,"Amount variance","Date variance")))</f>
        <v>Missing from bank</v>
      </c>
      <c r="M131" s="50" t="str">
        <f ca="1">IF(K131="Matched","Low",IF(OR(IFERROR(ABS(H131),0)&gt;Mapping_Rules!$B$7,IFERROR(J131,0)&gt;Mapping_Rules!$B$8),"High","Medium"))</f>
        <v>High</v>
      </c>
      <c r="N131" s="50" t="str">
        <f t="shared" ca="1" si="5"/>
        <v>Check bank date or posting</v>
      </c>
      <c r="O131" s="44" t="s">
        <v>426</v>
      </c>
      <c r="P131" s="44" t="s">
        <v>95</v>
      </c>
      <c r="Q131" s="44" t="s">
        <v>1689</v>
      </c>
      <c r="R131" s="51"/>
      <c r="S131" s="52">
        <f ca="1">IF(K131="Matched",0,Mapping_Rules!$B$6-B131)</f>
        <v>9</v>
      </c>
    </row>
    <row r="132" spans="1:19">
      <c r="A132" s="23" t="s">
        <v>429</v>
      </c>
      <c r="B132" s="31">
        <v>46030</v>
      </c>
      <c r="C132" s="23" t="s">
        <v>81</v>
      </c>
      <c r="D132" s="23" t="s">
        <v>155</v>
      </c>
      <c r="E132" s="23" t="s">
        <v>430</v>
      </c>
      <c r="F132" s="32">
        <v>7029.19</v>
      </c>
      <c r="G132" s="38" t="str">
        <f ca="1">IFERROR(_xludf.XLOOKUP(E132,Bank_Statement!$D$4:$D$448,Bank_Statement!$G$4:$G$448,""),"")</f>
        <v/>
      </c>
      <c r="H132" s="32" t="str">
        <f t="shared" ref="H132:H195" ca="1" si="6">IF(G132="","",F132-G132)</f>
        <v/>
      </c>
      <c r="I132" s="39" t="str">
        <f ca="1">IFERROR(_xludf.XLOOKUP(E132,Bank_Statement!$D$4:$D$448,Bank_Statement!$B$4:$B$448,""),"")</f>
        <v/>
      </c>
      <c r="J132" s="40" t="str">
        <f t="shared" ref="J132:J195" ca="1" si="7">IF(I132="","",ABS(B132-I132))</f>
        <v/>
      </c>
      <c r="K132" s="41" t="str">
        <f ca="1">IF(G132="","Unmatched ERP",IF(AND(ABS(H132)&lt;=Mapping_Rules!$B$4,ABS(J132)&lt;=Mapping_Rules!$B$5),"Matched","Review"))</f>
        <v>Unmatched ERP</v>
      </c>
      <c r="L132" s="41" t="str">
        <f ca="1">IF(K132="Matched","None",IF(G132="","Missing from bank",IF(ABS(H132)&gt;Mapping_Rules!$B$4,"Amount variance","Date variance")))</f>
        <v>Missing from bank</v>
      </c>
      <c r="M132" s="41" t="str">
        <f ca="1">IF(K132="Matched","Low",IF(OR(IFERROR(ABS(H132),0)&gt;Mapping_Rules!$B$7,IFERROR(J132,0)&gt;Mapping_Rules!$B$8),"High","Medium"))</f>
        <v>High</v>
      </c>
      <c r="N132" s="41" t="str">
        <f t="shared" ref="N132:N195" ca="1" si="8">IF(K132="Matched","No action needed",IF(L132="Missing from bank","Check bank date or posting",IF(L132="Amount variance","Check invoice/payment amount","Check timing difference")))</f>
        <v>Check bank date or posting</v>
      </c>
      <c r="O132" s="23" t="s">
        <v>158</v>
      </c>
      <c r="P132" s="23" t="s">
        <v>86</v>
      </c>
      <c r="Q132" s="23" t="s">
        <v>1689</v>
      </c>
      <c r="R132" s="42"/>
      <c r="S132" s="43">
        <f ca="1">IF(K132="Matched",0,Mapping_Rules!$B$6-B132)</f>
        <v>23</v>
      </c>
    </row>
    <row r="133" spans="1:19">
      <c r="A133" s="44" t="s">
        <v>431</v>
      </c>
      <c r="B133" s="45">
        <v>46032</v>
      </c>
      <c r="C133" s="44" t="s">
        <v>107</v>
      </c>
      <c r="D133" s="44" t="s">
        <v>191</v>
      </c>
      <c r="E133" s="44" t="s">
        <v>432</v>
      </c>
      <c r="F133" s="46">
        <v>-18.350000000000001</v>
      </c>
      <c r="G133" s="47" t="str">
        <f ca="1">IFERROR(_xludf.XLOOKUP(E133,Bank_Statement!$D$4:$D$448,Bank_Statement!$G$4:$G$448,""),"")</f>
        <v/>
      </c>
      <c r="H133" s="46" t="str">
        <f t="shared" ca="1" si="6"/>
        <v/>
      </c>
      <c r="I133" s="48" t="str">
        <f ca="1">IFERROR(_xludf.XLOOKUP(E133,Bank_Statement!$D$4:$D$448,Bank_Statement!$B$4:$B$448,""),"")</f>
        <v/>
      </c>
      <c r="J133" s="49" t="str">
        <f t="shared" ca="1" si="7"/>
        <v/>
      </c>
      <c r="K133" s="50" t="str">
        <f ca="1">IF(G133="","Unmatched ERP",IF(AND(ABS(H133)&lt;=Mapping_Rules!$B$4,ABS(J133)&lt;=Mapping_Rules!$B$5),"Matched","Review"))</f>
        <v>Unmatched ERP</v>
      </c>
      <c r="L133" s="50" t="str">
        <f ca="1">IF(K133="Matched","None",IF(G133="","Missing from bank",IF(ABS(H133)&gt;Mapping_Rules!$B$4,"Amount variance","Date variance")))</f>
        <v>Missing from bank</v>
      </c>
      <c r="M133" s="50" t="str">
        <f ca="1">IF(K133="Matched","Low",IF(OR(IFERROR(ABS(H133),0)&gt;Mapping_Rules!$B$7,IFERROR(J133,0)&gt;Mapping_Rules!$B$8),"High","Medium"))</f>
        <v>High</v>
      </c>
      <c r="N133" s="50" t="str">
        <f t="shared" ca="1" si="8"/>
        <v>Check bank date or posting</v>
      </c>
      <c r="O133" s="44" t="s">
        <v>194</v>
      </c>
      <c r="P133" s="44" t="s">
        <v>95</v>
      </c>
      <c r="Q133" s="44" t="s">
        <v>1689</v>
      </c>
      <c r="R133" s="51"/>
      <c r="S133" s="52">
        <f ca="1">IF(K133="Matched",0,Mapping_Rules!$B$6-B133)</f>
        <v>21</v>
      </c>
    </row>
    <row r="134" spans="1:19">
      <c r="A134" s="23" t="s">
        <v>433</v>
      </c>
      <c r="B134" s="31">
        <v>46053</v>
      </c>
      <c r="C134" s="23" t="s">
        <v>90</v>
      </c>
      <c r="D134" s="23" t="s">
        <v>173</v>
      </c>
      <c r="E134" s="23" t="s">
        <v>434</v>
      </c>
      <c r="F134" s="32">
        <v>-2124.6799999999998</v>
      </c>
      <c r="G134" s="38" t="str">
        <f ca="1">IFERROR(_xludf.XLOOKUP(E134,Bank_Statement!$D$4:$D$448,Bank_Statement!$G$4:$G$448,""),"")</f>
        <v/>
      </c>
      <c r="H134" s="32" t="str">
        <f t="shared" ca="1" si="6"/>
        <v/>
      </c>
      <c r="I134" s="39" t="str">
        <f ca="1">IFERROR(_xludf.XLOOKUP(E134,Bank_Statement!$D$4:$D$448,Bank_Statement!$B$4:$B$448,""),"")</f>
        <v/>
      </c>
      <c r="J134" s="40" t="str">
        <f t="shared" ca="1" si="7"/>
        <v/>
      </c>
      <c r="K134" s="41" t="str">
        <f ca="1">IF(G134="","Unmatched ERP",IF(AND(ABS(H134)&lt;=Mapping_Rules!$B$4,ABS(J134)&lt;=Mapping_Rules!$B$5),"Matched","Review"))</f>
        <v>Unmatched ERP</v>
      </c>
      <c r="L134" s="41" t="str">
        <f ca="1">IF(K134="Matched","None",IF(G134="","Missing from bank",IF(ABS(H134)&gt;Mapping_Rules!$B$4,"Amount variance","Date variance")))</f>
        <v>Missing from bank</v>
      </c>
      <c r="M134" s="41" t="str">
        <f ca="1">IF(K134="Matched","Low",IF(OR(IFERROR(ABS(H134),0)&gt;Mapping_Rules!$B$7,IFERROR(J134,0)&gt;Mapping_Rules!$B$8),"High","Medium"))</f>
        <v>High</v>
      </c>
      <c r="N134" s="41" t="str">
        <f t="shared" ca="1" si="8"/>
        <v>Check bank date or posting</v>
      </c>
      <c r="O134" s="23" t="s">
        <v>131</v>
      </c>
      <c r="P134" s="23" t="s">
        <v>95</v>
      </c>
      <c r="Q134" s="23" t="s">
        <v>1689</v>
      </c>
      <c r="R134" s="42"/>
      <c r="S134" s="43">
        <f ca="1">IF(K134="Matched",0,Mapping_Rules!$B$6-B134)</f>
        <v>0</v>
      </c>
    </row>
    <row r="135" spans="1:19">
      <c r="A135" s="44" t="s">
        <v>435</v>
      </c>
      <c r="B135" s="45">
        <v>46042</v>
      </c>
      <c r="C135" s="44" t="s">
        <v>81</v>
      </c>
      <c r="D135" s="44" t="s">
        <v>214</v>
      </c>
      <c r="E135" s="44" t="s">
        <v>436</v>
      </c>
      <c r="F135" s="46">
        <v>423.18</v>
      </c>
      <c r="G135" s="47" t="str">
        <f ca="1">IFERROR(_xludf.XLOOKUP(E135,Bank_Statement!$D$4:$D$448,Bank_Statement!$G$4:$G$448,""),"")</f>
        <v/>
      </c>
      <c r="H135" s="46" t="str">
        <f t="shared" ca="1" si="6"/>
        <v/>
      </c>
      <c r="I135" s="48" t="str">
        <f ca="1">IFERROR(_xludf.XLOOKUP(E135,Bank_Statement!$D$4:$D$448,Bank_Statement!$B$4:$B$448,""),"")</f>
        <v/>
      </c>
      <c r="J135" s="49" t="str">
        <f t="shared" ca="1" si="7"/>
        <v/>
      </c>
      <c r="K135" s="50" t="str">
        <f ca="1">IF(G135="","Unmatched ERP",IF(AND(ABS(H135)&lt;=Mapping_Rules!$B$4,ABS(J135)&lt;=Mapping_Rules!$B$5),"Matched","Review"))</f>
        <v>Unmatched ERP</v>
      </c>
      <c r="L135" s="50" t="str">
        <f ca="1">IF(K135="Matched","None",IF(G135="","Missing from bank",IF(ABS(H135)&gt;Mapping_Rules!$B$4,"Amount variance","Date variance")))</f>
        <v>Missing from bank</v>
      </c>
      <c r="M135" s="50" t="str">
        <f ca="1">IF(K135="Matched","Low",IF(OR(IFERROR(ABS(H135),0)&gt;Mapping_Rules!$B$7,IFERROR(J135,0)&gt;Mapping_Rules!$B$8),"High","Medium"))</f>
        <v>High</v>
      </c>
      <c r="N135" s="50" t="str">
        <f t="shared" ca="1" si="8"/>
        <v>Check bank date or posting</v>
      </c>
      <c r="O135" s="44" t="s">
        <v>158</v>
      </c>
      <c r="P135" s="44" t="s">
        <v>86</v>
      </c>
      <c r="Q135" s="44" t="s">
        <v>1689</v>
      </c>
      <c r="R135" s="51"/>
      <c r="S135" s="52">
        <f ca="1">IF(K135="Matched",0,Mapping_Rules!$B$6-B135)</f>
        <v>11</v>
      </c>
    </row>
    <row r="136" spans="1:19">
      <c r="A136" s="23" t="s">
        <v>437</v>
      </c>
      <c r="B136" s="31">
        <v>46026</v>
      </c>
      <c r="C136" s="23" t="s">
        <v>107</v>
      </c>
      <c r="D136" s="23" t="s">
        <v>191</v>
      </c>
      <c r="E136" s="23" t="s">
        <v>438</v>
      </c>
      <c r="F136" s="32">
        <v>-47.24</v>
      </c>
      <c r="G136" s="38" t="str">
        <f ca="1">IFERROR(_xludf.XLOOKUP(E136,Bank_Statement!$D$4:$D$448,Bank_Statement!$G$4:$G$448,""),"")</f>
        <v/>
      </c>
      <c r="H136" s="32" t="str">
        <f t="shared" ca="1" si="6"/>
        <v/>
      </c>
      <c r="I136" s="39" t="str">
        <f ca="1">IFERROR(_xludf.XLOOKUP(E136,Bank_Statement!$D$4:$D$448,Bank_Statement!$B$4:$B$448,""),"")</f>
        <v/>
      </c>
      <c r="J136" s="40" t="str">
        <f t="shared" ca="1" si="7"/>
        <v/>
      </c>
      <c r="K136" s="41" t="str">
        <f ca="1">IF(G136="","Unmatched ERP",IF(AND(ABS(H136)&lt;=Mapping_Rules!$B$4,ABS(J136)&lt;=Mapping_Rules!$B$5),"Matched","Review"))</f>
        <v>Unmatched ERP</v>
      </c>
      <c r="L136" s="41" t="str">
        <f ca="1">IF(K136="Matched","None",IF(G136="","Missing from bank",IF(ABS(H136)&gt;Mapping_Rules!$B$4,"Amount variance","Date variance")))</f>
        <v>Missing from bank</v>
      </c>
      <c r="M136" s="41" t="str">
        <f ca="1">IF(K136="Matched","Low",IF(OR(IFERROR(ABS(H136),0)&gt;Mapping_Rules!$B$7,IFERROR(J136,0)&gt;Mapping_Rules!$B$8),"High","Medium"))</f>
        <v>High</v>
      </c>
      <c r="N136" s="41" t="str">
        <f t="shared" ca="1" si="8"/>
        <v>Check bank date or posting</v>
      </c>
      <c r="O136" s="23" t="s">
        <v>194</v>
      </c>
      <c r="P136" s="23" t="s">
        <v>95</v>
      </c>
      <c r="Q136" s="23" t="s">
        <v>1689</v>
      </c>
      <c r="R136" s="42"/>
      <c r="S136" s="43">
        <f ca="1">IF(K136="Matched",0,Mapping_Rules!$B$6-B136)</f>
        <v>27</v>
      </c>
    </row>
    <row r="137" spans="1:19">
      <c r="A137" s="44" t="s">
        <v>439</v>
      </c>
      <c r="B137" s="45">
        <v>46053</v>
      </c>
      <c r="C137" s="44" t="s">
        <v>99</v>
      </c>
      <c r="D137" s="44" t="s">
        <v>182</v>
      </c>
      <c r="E137" s="44" t="s">
        <v>440</v>
      </c>
      <c r="F137" s="46">
        <v>-9093.4</v>
      </c>
      <c r="G137" s="47" t="str">
        <f ca="1">IFERROR(_xludf.XLOOKUP(E137,Bank_Statement!$D$4:$D$448,Bank_Statement!$G$4:$G$448,""),"")</f>
        <v/>
      </c>
      <c r="H137" s="46" t="str">
        <f t="shared" ca="1" si="6"/>
        <v/>
      </c>
      <c r="I137" s="48" t="str">
        <f ca="1">IFERROR(_xludf.XLOOKUP(E137,Bank_Statement!$D$4:$D$448,Bank_Statement!$B$4:$B$448,""),"")</f>
        <v/>
      </c>
      <c r="J137" s="49" t="str">
        <f t="shared" ca="1" si="7"/>
        <v/>
      </c>
      <c r="K137" s="50" t="str">
        <f ca="1">IF(G137="","Unmatched ERP",IF(AND(ABS(H137)&lt;=Mapping_Rules!$B$4,ABS(J137)&lt;=Mapping_Rules!$B$5),"Matched","Review"))</f>
        <v>Unmatched ERP</v>
      </c>
      <c r="L137" s="50" t="str">
        <f ca="1">IF(K137="Matched","None",IF(G137="","Missing from bank",IF(ABS(H137)&gt;Mapping_Rules!$B$4,"Amount variance","Date variance")))</f>
        <v>Missing from bank</v>
      </c>
      <c r="M137" s="50" t="str">
        <f ca="1">IF(K137="Matched","Low",IF(OR(IFERROR(ABS(H137),0)&gt;Mapping_Rules!$B$7,IFERROR(J137,0)&gt;Mapping_Rules!$B$8),"High","Medium"))</f>
        <v>High</v>
      </c>
      <c r="N137" s="50" t="str">
        <f t="shared" ca="1" si="8"/>
        <v>Check bank date or posting</v>
      </c>
      <c r="O137" s="44" t="s">
        <v>185</v>
      </c>
      <c r="P137" s="44" t="s">
        <v>95</v>
      </c>
      <c r="Q137" s="44" t="s">
        <v>1689</v>
      </c>
      <c r="R137" s="51"/>
      <c r="S137" s="52">
        <f ca="1">IF(K137="Matched",0,Mapping_Rules!$B$6-B137)</f>
        <v>0</v>
      </c>
    </row>
    <row r="138" spans="1:19">
      <c r="A138" s="23" t="s">
        <v>441</v>
      </c>
      <c r="B138" s="31">
        <v>46024</v>
      </c>
      <c r="C138" s="23" t="s">
        <v>90</v>
      </c>
      <c r="D138" s="23" t="s">
        <v>150</v>
      </c>
      <c r="E138" s="23" t="s">
        <v>442</v>
      </c>
      <c r="F138" s="32">
        <v>-4944.66</v>
      </c>
      <c r="G138" s="38" t="str">
        <f ca="1">IFERROR(_xludf.XLOOKUP(E138,Bank_Statement!$D$4:$D$448,Bank_Statement!$G$4:$G$448,""),"")</f>
        <v/>
      </c>
      <c r="H138" s="32" t="str">
        <f t="shared" ca="1" si="6"/>
        <v/>
      </c>
      <c r="I138" s="39" t="str">
        <f ca="1">IFERROR(_xludf.XLOOKUP(E138,Bank_Statement!$D$4:$D$448,Bank_Statement!$B$4:$B$448,""),"")</f>
        <v/>
      </c>
      <c r="J138" s="40" t="str">
        <f t="shared" ca="1" si="7"/>
        <v/>
      </c>
      <c r="K138" s="41" t="str">
        <f ca="1">IF(G138="","Unmatched ERP",IF(AND(ABS(H138)&lt;=Mapping_Rules!$B$4,ABS(J138)&lt;=Mapping_Rules!$B$5),"Matched","Review"))</f>
        <v>Unmatched ERP</v>
      </c>
      <c r="L138" s="41" t="str">
        <f ca="1">IF(K138="Matched","None",IF(G138="","Missing from bank",IF(ABS(H138)&gt;Mapping_Rules!$B$4,"Amount variance","Date variance")))</f>
        <v>Missing from bank</v>
      </c>
      <c r="M138" s="41" t="str">
        <f ca="1">IF(K138="Matched","Low",IF(OR(IFERROR(ABS(H138),0)&gt;Mapping_Rules!$B$7,IFERROR(J138,0)&gt;Mapping_Rules!$B$8),"High","Medium"))</f>
        <v>High</v>
      </c>
      <c r="N138" s="41" t="str">
        <f t="shared" ca="1" si="8"/>
        <v>Check bank date or posting</v>
      </c>
      <c r="O138" s="23" t="s">
        <v>225</v>
      </c>
      <c r="P138" s="23" t="s">
        <v>95</v>
      </c>
      <c r="Q138" s="23" t="s">
        <v>1689</v>
      </c>
      <c r="R138" s="42"/>
      <c r="S138" s="43">
        <f ca="1">IF(K138="Matched",0,Mapping_Rules!$B$6-B138)</f>
        <v>29</v>
      </c>
    </row>
    <row r="139" spans="1:19">
      <c r="A139" s="44" t="s">
        <v>443</v>
      </c>
      <c r="B139" s="45">
        <v>46030</v>
      </c>
      <c r="C139" s="44" t="s">
        <v>72</v>
      </c>
      <c r="D139" s="44" t="s">
        <v>133</v>
      </c>
      <c r="E139" s="44" t="s">
        <v>444</v>
      </c>
      <c r="F139" s="46">
        <v>-4906.5</v>
      </c>
      <c r="G139" s="47" t="str">
        <f ca="1">IFERROR(_xludf.XLOOKUP(E139,Bank_Statement!$D$4:$D$448,Bank_Statement!$G$4:$G$448,""),"")</f>
        <v/>
      </c>
      <c r="H139" s="46" t="str">
        <f t="shared" ca="1" si="6"/>
        <v/>
      </c>
      <c r="I139" s="48" t="str">
        <f ca="1">IFERROR(_xludf.XLOOKUP(E139,Bank_Statement!$D$4:$D$448,Bank_Statement!$B$4:$B$448,""),"")</f>
        <v/>
      </c>
      <c r="J139" s="49" t="str">
        <f t="shared" ca="1" si="7"/>
        <v/>
      </c>
      <c r="K139" s="50" t="str">
        <f ca="1">IF(G139="","Unmatched ERP",IF(AND(ABS(H139)&lt;=Mapping_Rules!$B$4,ABS(J139)&lt;=Mapping_Rules!$B$5),"Matched","Review"))</f>
        <v>Unmatched ERP</v>
      </c>
      <c r="L139" s="50" t="str">
        <f ca="1">IF(K139="Matched","None",IF(G139="","Missing from bank",IF(ABS(H139)&gt;Mapping_Rules!$B$4,"Amount variance","Date variance")))</f>
        <v>Missing from bank</v>
      </c>
      <c r="M139" s="50" t="str">
        <f ca="1">IF(K139="Matched","Low",IF(OR(IFERROR(ABS(H139),0)&gt;Mapping_Rules!$B$7,IFERROR(J139,0)&gt;Mapping_Rules!$B$8),"High","Medium"))</f>
        <v>High</v>
      </c>
      <c r="N139" s="50" t="str">
        <f t="shared" ca="1" si="8"/>
        <v>Check bank date or posting</v>
      </c>
      <c r="O139" s="44" t="s">
        <v>131</v>
      </c>
      <c r="P139" s="44" t="s">
        <v>77</v>
      </c>
      <c r="Q139" s="44" t="s">
        <v>1689</v>
      </c>
      <c r="R139" s="51"/>
      <c r="S139" s="52">
        <f ca="1">IF(K139="Matched",0,Mapping_Rules!$B$6-B139)</f>
        <v>23</v>
      </c>
    </row>
    <row r="140" spans="1:19">
      <c r="A140" s="23" t="s">
        <v>445</v>
      </c>
      <c r="B140" s="31">
        <v>46040</v>
      </c>
      <c r="C140" s="23" t="s">
        <v>72</v>
      </c>
      <c r="D140" s="23" t="s">
        <v>133</v>
      </c>
      <c r="E140" s="23" t="s">
        <v>446</v>
      </c>
      <c r="F140" s="32">
        <v>-752.75</v>
      </c>
      <c r="G140" s="38" t="str">
        <f ca="1">IFERROR(_xludf.XLOOKUP(E140,Bank_Statement!$D$4:$D$448,Bank_Statement!$G$4:$G$448,""),"")</f>
        <v/>
      </c>
      <c r="H140" s="32" t="str">
        <f t="shared" ca="1" si="6"/>
        <v/>
      </c>
      <c r="I140" s="39" t="str">
        <f ca="1">IFERROR(_xludf.XLOOKUP(E140,Bank_Statement!$D$4:$D$448,Bank_Statement!$B$4:$B$448,""),"")</f>
        <v/>
      </c>
      <c r="J140" s="40" t="str">
        <f t="shared" ca="1" si="7"/>
        <v/>
      </c>
      <c r="K140" s="41" t="str">
        <f ca="1">IF(G140="","Unmatched ERP",IF(AND(ABS(H140)&lt;=Mapping_Rules!$B$4,ABS(J140)&lt;=Mapping_Rules!$B$5),"Matched","Review"))</f>
        <v>Unmatched ERP</v>
      </c>
      <c r="L140" s="41" t="str">
        <f ca="1">IF(K140="Matched","None",IF(G140="","Missing from bank",IF(ABS(H140)&gt;Mapping_Rules!$B$4,"Amount variance","Date variance")))</f>
        <v>Missing from bank</v>
      </c>
      <c r="M140" s="41" t="str">
        <f ca="1">IF(K140="Matched","Low",IF(OR(IFERROR(ABS(H140),0)&gt;Mapping_Rules!$B$7,IFERROR(J140,0)&gt;Mapping_Rules!$B$8),"High","Medium"))</f>
        <v>High</v>
      </c>
      <c r="N140" s="41" t="str">
        <f t="shared" ca="1" si="8"/>
        <v>Check bank date or posting</v>
      </c>
      <c r="O140" s="23" t="s">
        <v>131</v>
      </c>
      <c r="P140" s="23" t="s">
        <v>77</v>
      </c>
      <c r="Q140" s="23" t="s">
        <v>1689</v>
      </c>
      <c r="R140" s="42"/>
      <c r="S140" s="43">
        <f ca="1">IF(K140="Matched",0,Mapping_Rules!$B$6-B140)</f>
        <v>13</v>
      </c>
    </row>
    <row r="141" spans="1:19">
      <c r="A141" s="44" t="s">
        <v>447</v>
      </c>
      <c r="B141" s="45">
        <v>46023</v>
      </c>
      <c r="C141" s="44" t="s">
        <v>72</v>
      </c>
      <c r="D141" s="44" t="s">
        <v>144</v>
      </c>
      <c r="E141" s="44" t="s">
        <v>448</v>
      </c>
      <c r="F141" s="46">
        <v>-855.76</v>
      </c>
      <c r="G141" s="47" t="str">
        <f ca="1">IFERROR(_xludf.XLOOKUP(E141,Bank_Statement!$D$4:$D$448,Bank_Statement!$G$4:$G$448,""),"")</f>
        <v/>
      </c>
      <c r="H141" s="46" t="str">
        <f t="shared" ca="1" si="6"/>
        <v/>
      </c>
      <c r="I141" s="48" t="str">
        <f ca="1">IFERROR(_xludf.XLOOKUP(E141,Bank_Statement!$D$4:$D$448,Bank_Statement!$B$4:$B$448,""),"")</f>
        <v/>
      </c>
      <c r="J141" s="49" t="str">
        <f t="shared" ca="1" si="7"/>
        <v/>
      </c>
      <c r="K141" s="50" t="str">
        <f ca="1">IF(G141="","Unmatched ERP",IF(AND(ABS(H141)&lt;=Mapping_Rules!$B$4,ABS(J141)&lt;=Mapping_Rules!$B$5),"Matched","Review"))</f>
        <v>Unmatched ERP</v>
      </c>
      <c r="L141" s="50" t="str">
        <f ca="1">IF(K141="Matched","None",IF(G141="","Missing from bank",IF(ABS(H141)&gt;Mapping_Rules!$B$4,"Amount variance","Date variance")))</f>
        <v>Missing from bank</v>
      </c>
      <c r="M141" s="50" t="str">
        <f ca="1">IF(K141="Matched","Low",IF(OR(IFERROR(ABS(H141),0)&gt;Mapping_Rules!$B$7,IFERROR(J141,0)&gt;Mapping_Rules!$B$8),"High","Medium"))</f>
        <v>High</v>
      </c>
      <c r="N141" s="50" t="str">
        <f t="shared" ca="1" si="8"/>
        <v>Check bank date or posting</v>
      </c>
      <c r="O141" s="44" t="s">
        <v>131</v>
      </c>
      <c r="P141" s="44" t="s">
        <v>77</v>
      </c>
      <c r="Q141" s="44" t="s">
        <v>1689</v>
      </c>
      <c r="R141" s="51"/>
      <c r="S141" s="52">
        <f ca="1">IF(K141="Matched",0,Mapping_Rules!$B$6-B141)</f>
        <v>30</v>
      </c>
    </row>
    <row r="142" spans="1:19">
      <c r="A142" s="23" t="s">
        <v>449</v>
      </c>
      <c r="B142" s="31">
        <v>46047</v>
      </c>
      <c r="C142" s="23" t="s">
        <v>81</v>
      </c>
      <c r="D142" s="23" t="s">
        <v>167</v>
      </c>
      <c r="E142" s="23" t="s">
        <v>450</v>
      </c>
      <c r="F142" s="32">
        <v>1060.5999999999999</v>
      </c>
      <c r="G142" s="38" t="str">
        <f ca="1">IFERROR(_xludf.XLOOKUP(E142,Bank_Statement!$D$4:$D$448,Bank_Statement!$G$4:$G$448,""),"")</f>
        <v/>
      </c>
      <c r="H142" s="32" t="str">
        <f t="shared" ca="1" si="6"/>
        <v/>
      </c>
      <c r="I142" s="39" t="str">
        <f ca="1">IFERROR(_xludf.XLOOKUP(E142,Bank_Statement!$D$4:$D$448,Bank_Statement!$B$4:$B$448,""),"")</f>
        <v/>
      </c>
      <c r="J142" s="40" t="str">
        <f t="shared" ca="1" si="7"/>
        <v/>
      </c>
      <c r="K142" s="41" t="str">
        <f ca="1">IF(G142="","Unmatched ERP",IF(AND(ABS(H142)&lt;=Mapping_Rules!$B$4,ABS(J142)&lt;=Mapping_Rules!$B$5),"Matched","Review"))</f>
        <v>Unmatched ERP</v>
      </c>
      <c r="L142" s="41" t="str">
        <f ca="1">IF(K142="Matched","None",IF(G142="","Missing from bank",IF(ABS(H142)&gt;Mapping_Rules!$B$4,"Amount variance","Date variance")))</f>
        <v>Missing from bank</v>
      </c>
      <c r="M142" s="41" t="str">
        <f ca="1">IF(K142="Matched","Low",IF(OR(IFERROR(ABS(H142),0)&gt;Mapping_Rules!$B$7,IFERROR(J142,0)&gt;Mapping_Rules!$B$8),"High","Medium"))</f>
        <v>High</v>
      </c>
      <c r="N142" s="41" t="str">
        <f t="shared" ca="1" si="8"/>
        <v>Check bank date or posting</v>
      </c>
      <c r="O142" s="23" t="s">
        <v>158</v>
      </c>
      <c r="P142" s="23" t="s">
        <v>86</v>
      </c>
      <c r="Q142" s="23" t="s">
        <v>1689</v>
      </c>
      <c r="R142" s="42"/>
      <c r="S142" s="43">
        <f ca="1">IF(K142="Matched",0,Mapping_Rules!$B$6-B142)</f>
        <v>6</v>
      </c>
    </row>
    <row r="143" spans="1:19">
      <c r="A143" s="44" t="s">
        <v>451</v>
      </c>
      <c r="B143" s="45">
        <v>46024</v>
      </c>
      <c r="C143" s="44" t="s">
        <v>90</v>
      </c>
      <c r="D143" s="44" t="s">
        <v>163</v>
      </c>
      <c r="E143" s="44" t="s">
        <v>452</v>
      </c>
      <c r="F143" s="46">
        <v>2631.18</v>
      </c>
      <c r="G143" s="47" t="str">
        <f ca="1">IFERROR(_xludf.XLOOKUP(E143,Bank_Statement!$D$4:$D$448,Bank_Statement!$G$4:$G$448,""),"")</f>
        <v/>
      </c>
      <c r="H143" s="46" t="str">
        <f t="shared" ca="1" si="6"/>
        <v/>
      </c>
      <c r="I143" s="48" t="str">
        <f ca="1">IFERROR(_xludf.XLOOKUP(E143,Bank_Statement!$D$4:$D$448,Bank_Statement!$B$4:$B$448,""),"")</f>
        <v/>
      </c>
      <c r="J143" s="49" t="str">
        <f t="shared" ca="1" si="7"/>
        <v/>
      </c>
      <c r="K143" s="50" t="str">
        <f ca="1">IF(G143="","Unmatched ERP",IF(AND(ABS(H143)&lt;=Mapping_Rules!$B$4,ABS(J143)&lt;=Mapping_Rules!$B$5),"Matched","Review"))</f>
        <v>Unmatched ERP</v>
      </c>
      <c r="L143" s="50" t="str">
        <f ca="1">IF(K143="Matched","None",IF(G143="","Missing from bank",IF(ABS(H143)&gt;Mapping_Rules!$B$4,"Amount variance","Date variance")))</f>
        <v>Missing from bank</v>
      </c>
      <c r="M143" s="50" t="str">
        <f ca="1">IF(K143="Matched","Low",IF(OR(IFERROR(ABS(H143),0)&gt;Mapping_Rules!$B$7,IFERROR(J143,0)&gt;Mapping_Rules!$B$8),"High","Medium"))</f>
        <v>High</v>
      </c>
      <c r="N143" s="50" t="str">
        <f t="shared" ca="1" si="8"/>
        <v>Check bank date or posting</v>
      </c>
      <c r="O143" s="44" t="s">
        <v>242</v>
      </c>
      <c r="P143" s="44" t="s">
        <v>95</v>
      </c>
      <c r="Q143" s="44" t="s">
        <v>1689</v>
      </c>
      <c r="R143" s="51"/>
      <c r="S143" s="52">
        <f ca="1">IF(K143="Matched",0,Mapping_Rules!$B$6-B143)</f>
        <v>29</v>
      </c>
    </row>
    <row r="144" spans="1:19">
      <c r="A144" s="23" t="s">
        <v>453</v>
      </c>
      <c r="B144" s="31">
        <v>46036</v>
      </c>
      <c r="C144" s="23" t="s">
        <v>90</v>
      </c>
      <c r="D144" s="23" t="s">
        <v>220</v>
      </c>
      <c r="E144" s="23" t="s">
        <v>454</v>
      </c>
      <c r="F144" s="32">
        <v>3576.39</v>
      </c>
      <c r="G144" s="38" t="str">
        <f ca="1">IFERROR(_xludf.XLOOKUP(E144,Bank_Statement!$D$4:$D$448,Bank_Statement!$G$4:$G$448,""),"")</f>
        <v/>
      </c>
      <c r="H144" s="32" t="str">
        <f t="shared" ca="1" si="6"/>
        <v/>
      </c>
      <c r="I144" s="39" t="str">
        <f ca="1">IFERROR(_xludf.XLOOKUP(E144,Bank_Statement!$D$4:$D$448,Bank_Statement!$B$4:$B$448,""),"")</f>
        <v/>
      </c>
      <c r="J144" s="40" t="str">
        <f t="shared" ca="1" si="7"/>
        <v/>
      </c>
      <c r="K144" s="41" t="str">
        <f ca="1">IF(G144="","Unmatched ERP",IF(AND(ABS(H144)&lt;=Mapping_Rules!$B$4,ABS(J144)&lt;=Mapping_Rules!$B$5),"Matched","Review"))</f>
        <v>Unmatched ERP</v>
      </c>
      <c r="L144" s="41" t="str">
        <f ca="1">IF(K144="Matched","None",IF(G144="","Missing from bank",IF(ABS(H144)&gt;Mapping_Rules!$B$4,"Amount variance","Date variance")))</f>
        <v>Missing from bank</v>
      </c>
      <c r="M144" s="41" t="str">
        <f ca="1">IF(K144="Matched","Low",IF(OR(IFERROR(ABS(H144),0)&gt;Mapping_Rules!$B$7,IFERROR(J144,0)&gt;Mapping_Rules!$B$8),"High","Medium"))</f>
        <v>High</v>
      </c>
      <c r="N144" s="41" t="str">
        <f t="shared" ca="1" si="8"/>
        <v>Check bank date or posting</v>
      </c>
      <c r="O144" s="23" t="s">
        <v>158</v>
      </c>
      <c r="P144" s="23" t="s">
        <v>95</v>
      </c>
      <c r="Q144" s="23" t="s">
        <v>1689</v>
      </c>
      <c r="R144" s="42"/>
      <c r="S144" s="43">
        <f ca="1">IF(K144="Matched",0,Mapping_Rules!$B$6-B144)</f>
        <v>17</v>
      </c>
    </row>
    <row r="145" spans="1:19">
      <c r="A145" s="44" t="s">
        <v>455</v>
      </c>
      <c r="B145" s="45">
        <v>46043</v>
      </c>
      <c r="C145" s="44" t="s">
        <v>81</v>
      </c>
      <c r="D145" s="44" t="s">
        <v>155</v>
      </c>
      <c r="E145" s="44" t="s">
        <v>456</v>
      </c>
      <c r="F145" s="46">
        <v>2865.3</v>
      </c>
      <c r="G145" s="47" t="str">
        <f ca="1">IFERROR(_xludf.XLOOKUP(E145,Bank_Statement!$D$4:$D$448,Bank_Statement!$G$4:$G$448,""),"")</f>
        <v/>
      </c>
      <c r="H145" s="46" t="str">
        <f t="shared" ca="1" si="6"/>
        <v/>
      </c>
      <c r="I145" s="48" t="str">
        <f ca="1">IFERROR(_xludf.XLOOKUP(E145,Bank_Statement!$D$4:$D$448,Bank_Statement!$B$4:$B$448,""),"")</f>
        <v/>
      </c>
      <c r="J145" s="49" t="str">
        <f t="shared" ca="1" si="7"/>
        <v/>
      </c>
      <c r="K145" s="50" t="str">
        <f ca="1">IF(G145="","Unmatched ERP",IF(AND(ABS(H145)&lt;=Mapping_Rules!$B$4,ABS(J145)&lt;=Mapping_Rules!$B$5),"Matched","Review"))</f>
        <v>Unmatched ERP</v>
      </c>
      <c r="L145" s="50" t="str">
        <f ca="1">IF(K145="Matched","None",IF(G145="","Missing from bank",IF(ABS(H145)&gt;Mapping_Rules!$B$4,"Amount variance","Date variance")))</f>
        <v>Missing from bank</v>
      </c>
      <c r="M145" s="50" t="str">
        <f ca="1">IF(K145="Matched","Low",IF(OR(IFERROR(ABS(H145),0)&gt;Mapping_Rules!$B$7,IFERROR(J145,0)&gt;Mapping_Rules!$B$8),"High","Medium"))</f>
        <v>High</v>
      </c>
      <c r="N145" s="50" t="str">
        <f t="shared" ca="1" si="8"/>
        <v>Check bank date or posting</v>
      </c>
      <c r="O145" s="44" t="s">
        <v>158</v>
      </c>
      <c r="P145" s="44" t="s">
        <v>86</v>
      </c>
      <c r="Q145" s="44" t="s">
        <v>1689</v>
      </c>
      <c r="R145" s="51"/>
      <c r="S145" s="52">
        <f ca="1">IF(K145="Matched",0,Mapping_Rules!$B$6-B145)</f>
        <v>10</v>
      </c>
    </row>
    <row r="146" spans="1:19">
      <c r="A146" s="23" t="s">
        <v>457</v>
      </c>
      <c r="B146" s="31">
        <v>46045</v>
      </c>
      <c r="C146" s="23" t="s">
        <v>72</v>
      </c>
      <c r="D146" s="23" t="s">
        <v>126</v>
      </c>
      <c r="E146" s="23" t="s">
        <v>458</v>
      </c>
      <c r="F146" s="32">
        <v>-4063.61</v>
      </c>
      <c r="G146" s="38" t="str">
        <f ca="1">IFERROR(_xludf.XLOOKUP(E146,Bank_Statement!$D$4:$D$448,Bank_Statement!$G$4:$G$448,""),"")</f>
        <v/>
      </c>
      <c r="H146" s="32" t="str">
        <f t="shared" ca="1" si="6"/>
        <v/>
      </c>
      <c r="I146" s="39" t="str">
        <f ca="1">IFERROR(_xludf.XLOOKUP(E146,Bank_Statement!$D$4:$D$448,Bank_Statement!$B$4:$B$448,""),"")</f>
        <v/>
      </c>
      <c r="J146" s="40" t="str">
        <f t="shared" ca="1" si="7"/>
        <v/>
      </c>
      <c r="K146" s="41" t="str">
        <f ca="1">IF(G146="","Unmatched ERP",IF(AND(ABS(H146)&lt;=Mapping_Rules!$B$4,ABS(J146)&lt;=Mapping_Rules!$B$5),"Matched","Review"))</f>
        <v>Unmatched ERP</v>
      </c>
      <c r="L146" s="41" t="str">
        <f ca="1">IF(K146="Matched","None",IF(G146="","Missing from bank",IF(ABS(H146)&gt;Mapping_Rules!$B$4,"Amount variance","Date variance")))</f>
        <v>Missing from bank</v>
      </c>
      <c r="M146" s="41" t="str">
        <f ca="1">IF(K146="Matched","Low",IF(OR(IFERROR(ABS(H146),0)&gt;Mapping_Rules!$B$7,IFERROR(J146,0)&gt;Mapping_Rules!$B$8),"High","Medium"))</f>
        <v>High</v>
      </c>
      <c r="N146" s="41" t="str">
        <f t="shared" ca="1" si="8"/>
        <v>Check bank date or posting</v>
      </c>
      <c r="O146" s="23" t="s">
        <v>131</v>
      </c>
      <c r="P146" s="23" t="s">
        <v>77</v>
      </c>
      <c r="Q146" s="23" t="s">
        <v>1689</v>
      </c>
      <c r="R146" s="42"/>
      <c r="S146" s="43">
        <f ca="1">IF(K146="Matched",0,Mapping_Rules!$B$6-B146)</f>
        <v>8</v>
      </c>
    </row>
    <row r="147" spans="1:19">
      <c r="A147" s="44" t="s">
        <v>459</v>
      </c>
      <c r="B147" s="45">
        <v>46049</v>
      </c>
      <c r="C147" s="44" t="s">
        <v>81</v>
      </c>
      <c r="D147" s="44" t="s">
        <v>163</v>
      </c>
      <c r="E147" s="44" t="s">
        <v>460</v>
      </c>
      <c r="F147" s="46">
        <v>6242.26</v>
      </c>
      <c r="G147" s="47" t="str">
        <f ca="1">IFERROR(_xludf.XLOOKUP(E147,Bank_Statement!$D$4:$D$448,Bank_Statement!$G$4:$G$448,""),"")</f>
        <v/>
      </c>
      <c r="H147" s="46" t="str">
        <f t="shared" ca="1" si="6"/>
        <v/>
      </c>
      <c r="I147" s="48" t="str">
        <f ca="1">IFERROR(_xludf.XLOOKUP(E147,Bank_Statement!$D$4:$D$448,Bank_Statement!$B$4:$B$448,""),"")</f>
        <v/>
      </c>
      <c r="J147" s="49" t="str">
        <f t="shared" ca="1" si="7"/>
        <v/>
      </c>
      <c r="K147" s="50" t="str">
        <f ca="1">IF(G147="","Unmatched ERP",IF(AND(ABS(H147)&lt;=Mapping_Rules!$B$4,ABS(J147)&lt;=Mapping_Rules!$B$5),"Matched","Review"))</f>
        <v>Unmatched ERP</v>
      </c>
      <c r="L147" s="50" t="str">
        <f ca="1">IF(K147="Matched","None",IF(G147="","Missing from bank",IF(ABS(H147)&gt;Mapping_Rules!$B$4,"Amount variance","Date variance")))</f>
        <v>Missing from bank</v>
      </c>
      <c r="M147" s="50" t="str">
        <f ca="1">IF(K147="Matched","Low",IF(OR(IFERROR(ABS(H147),0)&gt;Mapping_Rules!$B$7,IFERROR(J147,0)&gt;Mapping_Rules!$B$8),"High","Medium"))</f>
        <v>High</v>
      </c>
      <c r="N147" s="50" t="str">
        <f t="shared" ca="1" si="8"/>
        <v>Check bank date or posting</v>
      </c>
      <c r="O147" s="44" t="s">
        <v>158</v>
      </c>
      <c r="P147" s="44" t="s">
        <v>86</v>
      </c>
      <c r="Q147" s="44" t="s">
        <v>1689</v>
      </c>
      <c r="R147" s="51"/>
      <c r="S147" s="52">
        <f ca="1">IF(K147="Matched",0,Mapping_Rules!$B$6-B147)</f>
        <v>4</v>
      </c>
    </row>
    <row r="148" spans="1:19">
      <c r="A148" s="23" t="s">
        <v>461</v>
      </c>
      <c r="B148" s="31">
        <v>46027</v>
      </c>
      <c r="C148" s="23" t="s">
        <v>90</v>
      </c>
      <c r="D148" s="23" t="s">
        <v>220</v>
      </c>
      <c r="E148" s="23" t="s">
        <v>462</v>
      </c>
      <c r="F148" s="32">
        <v>-382.31</v>
      </c>
      <c r="G148" s="38" t="str">
        <f ca="1">IFERROR(_xludf.XLOOKUP(E148,Bank_Statement!$D$4:$D$448,Bank_Statement!$G$4:$G$448,""),"")</f>
        <v/>
      </c>
      <c r="H148" s="32" t="str">
        <f t="shared" ca="1" si="6"/>
        <v/>
      </c>
      <c r="I148" s="39" t="str">
        <f ca="1">IFERROR(_xludf.XLOOKUP(E148,Bank_Statement!$D$4:$D$448,Bank_Statement!$B$4:$B$448,""),"")</f>
        <v/>
      </c>
      <c r="J148" s="40" t="str">
        <f t="shared" ca="1" si="7"/>
        <v/>
      </c>
      <c r="K148" s="41" t="str">
        <f ca="1">IF(G148="","Unmatched ERP",IF(AND(ABS(H148)&lt;=Mapping_Rules!$B$4,ABS(J148)&lt;=Mapping_Rules!$B$5),"Matched","Review"))</f>
        <v>Unmatched ERP</v>
      </c>
      <c r="L148" s="41" t="str">
        <f ca="1">IF(K148="Matched","None",IF(G148="","Missing from bank",IF(ABS(H148)&gt;Mapping_Rules!$B$4,"Amount variance","Date variance")))</f>
        <v>Missing from bank</v>
      </c>
      <c r="M148" s="41" t="str">
        <f ca="1">IF(K148="Matched","Low",IF(OR(IFERROR(ABS(H148),0)&gt;Mapping_Rules!$B$7,IFERROR(J148,0)&gt;Mapping_Rules!$B$8),"High","Medium"))</f>
        <v>High</v>
      </c>
      <c r="N148" s="41" t="str">
        <f t="shared" ca="1" si="8"/>
        <v>Check bank date or posting</v>
      </c>
      <c r="O148" s="23" t="s">
        <v>158</v>
      </c>
      <c r="P148" s="23" t="s">
        <v>95</v>
      </c>
      <c r="Q148" s="23" t="s">
        <v>1689</v>
      </c>
      <c r="R148" s="42"/>
      <c r="S148" s="43">
        <f ca="1">IF(K148="Matched",0,Mapping_Rules!$B$6-B148)</f>
        <v>26</v>
      </c>
    </row>
    <row r="149" spans="1:19">
      <c r="A149" s="44" t="s">
        <v>463</v>
      </c>
      <c r="B149" s="45">
        <v>46040</v>
      </c>
      <c r="C149" s="44" t="s">
        <v>72</v>
      </c>
      <c r="D149" s="44" t="s">
        <v>204</v>
      </c>
      <c r="E149" s="44" t="s">
        <v>464</v>
      </c>
      <c r="F149" s="46">
        <v>-3517.5</v>
      </c>
      <c r="G149" s="47" t="str">
        <f ca="1">IFERROR(_xludf.XLOOKUP(E149,Bank_Statement!$D$4:$D$448,Bank_Statement!$G$4:$G$448,""),"")</f>
        <v/>
      </c>
      <c r="H149" s="46" t="str">
        <f t="shared" ca="1" si="6"/>
        <v/>
      </c>
      <c r="I149" s="48" t="str">
        <f ca="1">IFERROR(_xludf.XLOOKUP(E149,Bank_Statement!$D$4:$D$448,Bank_Statement!$B$4:$B$448,""),"")</f>
        <v/>
      </c>
      <c r="J149" s="49" t="str">
        <f t="shared" ca="1" si="7"/>
        <v/>
      </c>
      <c r="K149" s="50" t="str">
        <f ca="1">IF(G149="","Unmatched ERP",IF(AND(ABS(H149)&lt;=Mapping_Rules!$B$4,ABS(J149)&lt;=Mapping_Rules!$B$5),"Matched","Review"))</f>
        <v>Unmatched ERP</v>
      </c>
      <c r="L149" s="50" t="str">
        <f ca="1">IF(K149="Matched","None",IF(G149="","Missing from bank",IF(ABS(H149)&gt;Mapping_Rules!$B$4,"Amount variance","Date variance")))</f>
        <v>Missing from bank</v>
      </c>
      <c r="M149" s="50" t="str">
        <f ca="1">IF(K149="Matched","Low",IF(OR(IFERROR(ABS(H149),0)&gt;Mapping_Rules!$B$7,IFERROR(J149,0)&gt;Mapping_Rules!$B$8),"High","Medium"))</f>
        <v>High</v>
      </c>
      <c r="N149" s="50" t="str">
        <f t="shared" ca="1" si="8"/>
        <v>Check bank date or posting</v>
      </c>
      <c r="O149" s="44" t="s">
        <v>131</v>
      </c>
      <c r="P149" s="44" t="s">
        <v>77</v>
      </c>
      <c r="Q149" s="44" t="s">
        <v>1689</v>
      </c>
      <c r="R149" s="51"/>
      <c r="S149" s="52">
        <f ca="1">IF(K149="Matched",0,Mapping_Rules!$B$6-B149)</f>
        <v>13</v>
      </c>
    </row>
    <row r="150" spans="1:19">
      <c r="A150" s="23" t="s">
        <v>465</v>
      </c>
      <c r="B150" s="31">
        <v>46046</v>
      </c>
      <c r="C150" s="23" t="s">
        <v>72</v>
      </c>
      <c r="D150" s="23" t="s">
        <v>208</v>
      </c>
      <c r="E150" s="23" t="s">
        <v>466</v>
      </c>
      <c r="F150" s="32">
        <v>-3754.51</v>
      </c>
      <c r="G150" s="38" t="str">
        <f ca="1">IFERROR(_xludf.XLOOKUP(E150,Bank_Statement!$D$4:$D$448,Bank_Statement!$G$4:$G$448,""),"")</f>
        <v/>
      </c>
      <c r="H150" s="32" t="str">
        <f t="shared" ca="1" si="6"/>
        <v/>
      </c>
      <c r="I150" s="39" t="str">
        <f ca="1">IFERROR(_xludf.XLOOKUP(E150,Bank_Statement!$D$4:$D$448,Bank_Statement!$B$4:$B$448,""),"")</f>
        <v/>
      </c>
      <c r="J150" s="40" t="str">
        <f t="shared" ca="1" si="7"/>
        <v/>
      </c>
      <c r="K150" s="41" t="str">
        <f ca="1">IF(G150="","Unmatched ERP",IF(AND(ABS(H150)&lt;=Mapping_Rules!$B$4,ABS(J150)&lt;=Mapping_Rules!$B$5),"Matched","Review"))</f>
        <v>Unmatched ERP</v>
      </c>
      <c r="L150" s="41" t="str">
        <f ca="1">IF(K150="Matched","None",IF(G150="","Missing from bank",IF(ABS(H150)&gt;Mapping_Rules!$B$4,"Amount variance","Date variance")))</f>
        <v>Missing from bank</v>
      </c>
      <c r="M150" s="41" t="str">
        <f ca="1">IF(K150="Matched","Low",IF(OR(IFERROR(ABS(H150),0)&gt;Mapping_Rules!$B$7,IFERROR(J150,0)&gt;Mapping_Rules!$B$8),"High","Medium"))</f>
        <v>High</v>
      </c>
      <c r="N150" s="41" t="str">
        <f t="shared" ca="1" si="8"/>
        <v>Check bank date or posting</v>
      </c>
      <c r="O150" s="23" t="s">
        <v>131</v>
      </c>
      <c r="P150" s="23" t="s">
        <v>77</v>
      </c>
      <c r="Q150" s="23" t="s">
        <v>1689</v>
      </c>
      <c r="R150" s="42"/>
      <c r="S150" s="43">
        <f ca="1">IF(K150="Matched",0,Mapping_Rules!$B$6-B150)</f>
        <v>7</v>
      </c>
    </row>
    <row r="151" spans="1:19">
      <c r="A151" s="44" t="s">
        <v>467</v>
      </c>
      <c r="B151" s="45">
        <v>46038</v>
      </c>
      <c r="C151" s="44" t="s">
        <v>72</v>
      </c>
      <c r="D151" s="44" t="s">
        <v>144</v>
      </c>
      <c r="E151" s="44" t="s">
        <v>468</v>
      </c>
      <c r="F151" s="46">
        <v>-2222.6999999999998</v>
      </c>
      <c r="G151" s="47" t="str">
        <f ca="1">IFERROR(_xludf.XLOOKUP(E151,Bank_Statement!$D$4:$D$448,Bank_Statement!$G$4:$G$448,""),"")</f>
        <v/>
      </c>
      <c r="H151" s="46" t="str">
        <f t="shared" ca="1" si="6"/>
        <v/>
      </c>
      <c r="I151" s="48" t="str">
        <f ca="1">IFERROR(_xludf.XLOOKUP(E151,Bank_Statement!$D$4:$D$448,Bank_Statement!$B$4:$B$448,""),"")</f>
        <v/>
      </c>
      <c r="J151" s="49" t="str">
        <f t="shared" ca="1" si="7"/>
        <v/>
      </c>
      <c r="K151" s="50" t="str">
        <f ca="1">IF(G151="","Unmatched ERP",IF(AND(ABS(H151)&lt;=Mapping_Rules!$B$4,ABS(J151)&lt;=Mapping_Rules!$B$5),"Matched","Review"))</f>
        <v>Unmatched ERP</v>
      </c>
      <c r="L151" s="50" t="str">
        <f ca="1">IF(K151="Matched","None",IF(G151="","Missing from bank",IF(ABS(H151)&gt;Mapping_Rules!$B$4,"Amount variance","Date variance")))</f>
        <v>Missing from bank</v>
      </c>
      <c r="M151" s="50" t="str">
        <f ca="1">IF(K151="Matched","Low",IF(OR(IFERROR(ABS(H151),0)&gt;Mapping_Rules!$B$7,IFERROR(J151,0)&gt;Mapping_Rules!$B$8),"High","Medium"))</f>
        <v>High</v>
      </c>
      <c r="N151" s="50" t="str">
        <f t="shared" ca="1" si="8"/>
        <v>Check bank date or posting</v>
      </c>
      <c r="O151" s="44" t="s">
        <v>131</v>
      </c>
      <c r="P151" s="44" t="s">
        <v>77</v>
      </c>
      <c r="Q151" s="44" t="s">
        <v>1689</v>
      </c>
      <c r="R151" s="51"/>
      <c r="S151" s="52">
        <f ca="1">IF(K151="Matched",0,Mapping_Rules!$B$6-B151)</f>
        <v>15</v>
      </c>
    </row>
    <row r="152" spans="1:19">
      <c r="A152" s="23" t="s">
        <v>469</v>
      </c>
      <c r="B152" s="31">
        <v>46048</v>
      </c>
      <c r="C152" s="23" t="s">
        <v>81</v>
      </c>
      <c r="D152" s="23" t="s">
        <v>167</v>
      </c>
      <c r="E152" s="23" t="s">
        <v>470</v>
      </c>
      <c r="F152" s="32">
        <v>8287.4599999999991</v>
      </c>
      <c r="G152" s="38" t="str">
        <f ca="1">IFERROR(_xludf.XLOOKUP(E152,Bank_Statement!$D$4:$D$448,Bank_Statement!$G$4:$G$448,""),"")</f>
        <v/>
      </c>
      <c r="H152" s="32" t="str">
        <f t="shared" ca="1" si="6"/>
        <v/>
      </c>
      <c r="I152" s="39" t="str">
        <f ca="1">IFERROR(_xludf.XLOOKUP(E152,Bank_Statement!$D$4:$D$448,Bank_Statement!$B$4:$B$448,""),"")</f>
        <v/>
      </c>
      <c r="J152" s="40" t="str">
        <f t="shared" ca="1" si="7"/>
        <v/>
      </c>
      <c r="K152" s="41" t="str">
        <f ca="1">IF(G152="","Unmatched ERP",IF(AND(ABS(H152)&lt;=Mapping_Rules!$B$4,ABS(J152)&lt;=Mapping_Rules!$B$5),"Matched","Review"))</f>
        <v>Unmatched ERP</v>
      </c>
      <c r="L152" s="41" t="str">
        <f ca="1">IF(K152="Matched","None",IF(G152="","Missing from bank",IF(ABS(H152)&gt;Mapping_Rules!$B$4,"Amount variance","Date variance")))</f>
        <v>Missing from bank</v>
      </c>
      <c r="M152" s="41" t="str">
        <f ca="1">IF(K152="Matched","Low",IF(OR(IFERROR(ABS(H152),0)&gt;Mapping_Rules!$B$7,IFERROR(J152,0)&gt;Mapping_Rules!$B$8),"High","Medium"))</f>
        <v>High</v>
      </c>
      <c r="N152" s="41" t="str">
        <f t="shared" ca="1" si="8"/>
        <v>Check bank date or posting</v>
      </c>
      <c r="O152" s="23" t="s">
        <v>158</v>
      </c>
      <c r="P152" s="23" t="s">
        <v>86</v>
      </c>
      <c r="Q152" s="23" t="s">
        <v>1689</v>
      </c>
      <c r="R152" s="42"/>
      <c r="S152" s="43">
        <f ca="1">IF(K152="Matched",0,Mapping_Rules!$B$6-B152)</f>
        <v>5</v>
      </c>
    </row>
    <row r="153" spans="1:19">
      <c r="A153" s="44" t="s">
        <v>471</v>
      </c>
      <c r="B153" s="45">
        <v>46044</v>
      </c>
      <c r="C153" s="44" t="s">
        <v>99</v>
      </c>
      <c r="D153" s="44" t="s">
        <v>182</v>
      </c>
      <c r="E153" s="44" t="s">
        <v>472</v>
      </c>
      <c r="F153" s="46">
        <v>-6377.99</v>
      </c>
      <c r="G153" s="47" t="str">
        <f ca="1">IFERROR(_xludf.XLOOKUP(E153,Bank_Statement!$D$4:$D$448,Bank_Statement!$G$4:$G$448,""),"")</f>
        <v/>
      </c>
      <c r="H153" s="46" t="str">
        <f t="shared" ca="1" si="6"/>
        <v/>
      </c>
      <c r="I153" s="48" t="str">
        <f ca="1">IFERROR(_xludf.XLOOKUP(E153,Bank_Statement!$D$4:$D$448,Bank_Statement!$B$4:$B$448,""),"")</f>
        <v/>
      </c>
      <c r="J153" s="49" t="str">
        <f t="shared" ca="1" si="7"/>
        <v/>
      </c>
      <c r="K153" s="50" t="str">
        <f ca="1">IF(G153="","Unmatched ERP",IF(AND(ABS(H153)&lt;=Mapping_Rules!$B$4,ABS(J153)&lt;=Mapping_Rules!$B$5),"Matched","Review"))</f>
        <v>Unmatched ERP</v>
      </c>
      <c r="L153" s="50" t="str">
        <f ca="1">IF(K153="Matched","None",IF(G153="","Missing from bank",IF(ABS(H153)&gt;Mapping_Rules!$B$4,"Amount variance","Date variance")))</f>
        <v>Missing from bank</v>
      </c>
      <c r="M153" s="50" t="str">
        <f ca="1">IF(K153="Matched","Low",IF(OR(IFERROR(ABS(H153),0)&gt;Mapping_Rules!$B$7,IFERROR(J153,0)&gt;Mapping_Rules!$B$8),"High","Medium"))</f>
        <v>High</v>
      </c>
      <c r="N153" s="50" t="str">
        <f t="shared" ca="1" si="8"/>
        <v>Check bank date or posting</v>
      </c>
      <c r="O153" s="44" t="s">
        <v>185</v>
      </c>
      <c r="P153" s="44" t="s">
        <v>95</v>
      </c>
      <c r="Q153" s="44" t="s">
        <v>1689</v>
      </c>
      <c r="R153" s="51"/>
      <c r="S153" s="52">
        <f ca="1">IF(K153="Matched",0,Mapping_Rules!$B$6-B153)</f>
        <v>9</v>
      </c>
    </row>
    <row r="154" spans="1:19">
      <c r="A154" s="23" t="s">
        <v>473</v>
      </c>
      <c r="B154" s="31">
        <v>46034</v>
      </c>
      <c r="C154" s="23" t="s">
        <v>72</v>
      </c>
      <c r="D154" s="23" t="s">
        <v>139</v>
      </c>
      <c r="E154" s="23" t="s">
        <v>474</v>
      </c>
      <c r="F154" s="32">
        <v>-956.7</v>
      </c>
      <c r="G154" s="38" t="str">
        <f ca="1">IFERROR(_xludf.XLOOKUP(E154,Bank_Statement!$D$4:$D$448,Bank_Statement!$G$4:$G$448,""),"")</f>
        <v/>
      </c>
      <c r="H154" s="32" t="str">
        <f t="shared" ca="1" si="6"/>
        <v/>
      </c>
      <c r="I154" s="39" t="str">
        <f ca="1">IFERROR(_xludf.XLOOKUP(E154,Bank_Statement!$D$4:$D$448,Bank_Statement!$B$4:$B$448,""),"")</f>
        <v/>
      </c>
      <c r="J154" s="40" t="str">
        <f t="shared" ca="1" si="7"/>
        <v/>
      </c>
      <c r="K154" s="41" t="str">
        <f ca="1">IF(G154="","Unmatched ERP",IF(AND(ABS(H154)&lt;=Mapping_Rules!$B$4,ABS(J154)&lt;=Mapping_Rules!$B$5),"Matched","Review"))</f>
        <v>Unmatched ERP</v>
      </c>
      <c r="L154" s="41" t="str">
        <f ca="1">IF(K154="Matched","None",IF(G154="","Missing from bank",IF(ABS(H154)&gt;Mapping_Rules!$B$4,"Amount variance","Date variance")))</f>
        <v>Missing from bank</v>
      </c>
      <c r="M154" s="41" t="str">
        <f ca="1">IF(K154="Matched","Low",IF(OR(IFERROR(ABS(H154),0)&gt;Mapping_Rules!$B$7,IFERROR(J154,0)&gt;Mapping_Rules!$B$8),"High","Medium"))</f>
        <v>High</v>
      </c>
      <c r="N154" s="41" t="str">
        <f t="shared" ca="1" si="8"/>
        <v>Check bank date or posting</v>
      </c>
      <c r="O154" s="23" t="s">
        <v>131</v>
      </c>
      <c r="P154" s="23" t="s">
        <v>77</v>
      </c>
      <c r="Q154" s="23" t="s">
        <v>1689</v>
      </c>
      <c r="R154" s="42"/>
      <c r="S154" s="43">
        <f ca="1">IF(K154="Matched",0,Mapping_Rules!$B$6-B154)</f>
        <v>19</v>
      </c>
    </row>
    <row r="155" spans="1:19">
      <c r="A155" s="44" t="s">
        <v>475</v>
      </c>
      <c r="B155" s="45">
        <v>46039</v>
      </c>
      <c r="C155" s="44" t="s">
        <v>72</v>
      </c>
      <c r="D155" s="44" t="s">
        <v>150</v>
      </c>
      <c r="E155" s="44" t="s">
        <v>476</v>
      </c>
      <c r="F155" s="46">
        <v>-2856.31</v>
      </c>
      <c r="G155" s="47" t="str">
        <f ca="1">IFERROR(_xludf.XLOOKUP(E155,Bank_Statement!$D$4:$D$448,Bank_Statement!$G$4:$G$448,""),"")</f>
        <v/>
      </c>
      <c r="H155" s="46" t="str">
        <f t="shared" ca="1" si="6"/>
        <v/>
      </c>
      <c r="I155" s="48" t="str">
        <f ca="1">IFERROR(_xludf.XLOOKUP(E155,Bank_Statement!$D$4:$D$448,Bank_Statement!$B$4:$B$448,""),"")</f>
        <v/>
      </c>
      <c r="J155" s="49" t="str">
        <f t="shared" ca="1" si="7"/>
        <v/>
      </c>
      <c r="K155" s="50" t="str">
        <f ca="1">IF(G155="","Unmatched ERP",IF(AND(ABS(H155)&lt;=Mapping_Rules!$B$4,ABS(J155)&lt;=Mapping_Rules!$B$5),"Matched","Review"))</f>
        <v>Unmatched ERP</v>
      </c>
      <c r="L155" s="50" t="str">
        <f ca="1">IF(K155="Matched","None",IF(G155="","Missing from bank",IF(ABS(H155)&gt;Mapping_Rules!$B$4,"Amount variance","Date variance")))</f>
        <v>Missing from bank</v>
      </c>
      <c r="M155" s="50" t="str">
        <f ca="1">IF(K155="Matched","Low",IF(OR(IFERROR(ABS(H155),0)&gt;Mapping_Rules!$B$7,IFERROR(J155,0)&gt;Mapping_Rules!$B$8),"High","Medium"))</f>
        <v>High</v>
      </c>
      <c r="N155" s="50" t="str">
        <f t="shared" ca="1" si="8"/>
        <v>Check bank date or posting</v>
      </c>
      <c r="O155" s="44" t="s">
        <v>131</v>
      </c>
      <c r="P155" s="44" t="s">
        <v>77</v>
      </c>
      <c r="Q155" s="44" t="s">
        <v>1689</v>
      </c>
      <c r="R155" s="51"/>
      <c r="S155" s="52">
        <f ca="1">IF(K155="Matched",0,Mapping_Rules!$B$6-B155)</f>
        <v>14</v>
      </c>
    </row>
    <row r="156" spans="1:19">
      <c r="A156" s="23" t="s">
        <v>477</v>
      </c>
      <c r="B156" s="31">
        <v>46041</v>
      </c>
      <c r="C156" s="23" t="s">
        <v>81</v>
      </c>
      <c r="D156" s="23" t="s">
        <v>220</v>
      </c>
      <c r="E156" s="23" t="s">
        <v>478</v>
      </c>
      <c r="F156" s="32">
        <v>1449.09</v>
      </c>
      <c r="G156" s="38" t="str">
        <f ca="1">IFERROR(_xludf.XLOOKUP(E156,Bank_Statement!$D$4:$D$448,Bank_Statement!$G$4:$G$448,""),"")</f>
        <v/>
      </c>
      <c r="H156" s="32" t="str">
        <f t="shared" ca="1" si="6"/>
        <v/>
      </c>
      <c r="I156" s="39" t="str">
        <f ca="1">IFERROR(_xludf.XLOOKUP(E156,Bank_Statement!$D$4:$D$448,Bank_Statement!$B$4:$B$448,""),"")</f>
        <v/>
      </c>
      <c r="J156" s="40" t="str">
        <f t="shared" ca="1" si="7"/>
        <v/>
      </c>
      <c r="K156" s="41" t="str">
        <f ca="1">IF(G156="","Unmatched ERP",IF(AND(ABS(H156)&lt;=Mapping_Rules!$B$4,ABS(J156)&lt;=Mapping_Rules!$B$5),"Matched","Review"))</f>
        <v>Unmatched ERP</v>
      </c>
      <c r="L156" s="41" t="str">
        <f ca="1">IF(K156="Matched","None",IF(G156="","Missing from bank",IF(ABS(H156)&gt;Mapping_Rules!$B$4,"Amount variance","Date variance")))</f>
        <v>Missing from bank</v>
      </c>
      <c r="M156" s="41" t="str">
        <f ca="1">IF(K156="Matched","Low",IF(OR(IFERROR(ABS(H156),0)&gt;Mapping_Rules!$B$7,IFERROR(J156,0)&gt;Mapping_Rules!$B$8),"High","Medium"))</f>
        <v>High</v>
      </c>
      <c r="N156" s="41" t="str">
        <f t="shared" ca="1" si="8"/>
        <v>Check bank date or posting</v>
      </c>
      <c r="O156" s="23" t="s">
        <v>158</v>
      </c>
      <c r="P156" s="23" t="s">
        <v>86</v>
      </c>
      <c r="Q156" s="23" t="s">
        <v>1689</v>
      </c>
      <c r="R156" s="42"/>
      <c r="S156" s="43">
        <f ca="1">IF(K156="Matched",0,Mapping_Rules!$B$6-B156)</f>
        <v>12</v>
      </c>
    </row>
    <row r="157" spans="1:19">
      <c r="A157" s="44" t="s">
        <v>479</v>
      </c>
      <c r="B157" s="45">
        <v>46036</v>
      </c>
      <c r="C157" s="44" t="s">
        <v>81</v>
      </c>
      <c r="D157" s="44" t="s">
        <v>163</v>
      </c>
      <c r="E157" s="44" t="s">
        <v>480</v>
      </c>
      <c r="F157" s="46">
        <v>3608.43</v>
      </c>
      <c r="G157" s="47" t="str">
        <f ca="1">IFERROR(_xludf.XLOOKUP(E157,Bank_Statement!$D$4:$D$448,Bank_Statement!$G$4:$G$448,""),"")</f>
        <v/>
      </c>
      <c r="H157" s="46" t="str">
        <f t="shared" ca="1" si="6"/>
        <v/>
      </c>
      <c r="I157" s="48" t="str">
        <f ca="1">IFERROR(_xludf.XLOOKUP(E157,Bank_Statement!$D$4:$D$448,Bank_Statement!$B$4:$B$448,""),"")</f>
        <v/>
      </c>
      <c r="J157" s="49" t="str">
        <f t="shared" ca="1" si="7"/>
        <v/>
      </c>
      <c r="K157" s="50" t="str">
        <f ca="1">IF(G157="","Unmatched ERP",IF(AND(ABS(H157)&lt;=Mapping_Rules!$B$4,ABS(J157)&lt;=Mapping_Rules!$B$5),"Matched","Review"))</f>
        <v>Unmatched ERP</v>
      </c>
      <c r="L157" s="50" t="str">
        <f ca="1">IF(K157="Matched","None",IF(G157="","Missing from bank",IF(ABS(H157)&gt;Mapping_Rules!$B$4,"Amount variance","Date variance")))</f>
        <v>Missing from bank</v>
      </c>
      <c r="M157" s="50" t="str">
        <f ca="1">IF(K157="Matched","Low",IF(OR(IFERROR(ABS(H157),0)&gt;Mapping_Rules!$B$7,IFERROR(J157,0)&gt;Mapping_Rules!$B$8),"High","Medium"))</f>
        <v>High</v>
      </c>
      <c r="N157" s="50" t="str">
        <f t="shared" ca="1" si="8"/>
        <v>Check bank date or posting</v>
      </c>
      <c r="O157" s="44" t="s">
        <v>158</v>
      </c>
      <c r="P157" s="44" t="s">
        <v>86</v>
      </c>
      <c r="Q157" s="44" t="s">
        <v>1689</v>
      </c>
      <c r="R157" s="51"/>
      <c r="S157" s="52">
        <f ca="1">IF(K157="Matched",0,Mapping_Rules!$B$6-B157)</f>
        <v>17</v>
      </c>
    </row>
    <row r="158" spans="1:19">
      <c r="A158" s="23" t="s">
        <v>481</v>
      </c>
      <c r="B158" s="31">
        <v>46044</v>
      </c>
      <c r="C158" s="23" t="s">
        <v>90</v>
      </c>
      <c r="D158" s="23" t="s">
        <v>220</v>
      </c>
      <c r="E158" s="23" t="s">
        <v>482</v>
      </c>
      <c r="F158" s="32">
        <v>2658.32</v>
      </c>
      <c r="G158" s="38" t="str">
        <f ca="1">IFERROR(_xludf.XLOOKUP(E158,Bank_Statement!$D$4:$D$448,Bank_Statement!$G$4:$G$448,""),"")</f>
        <v/>
      </c>
      <c r="H158" s="32" t="str">
        <f t="shared" ca="1" si="6"/>
        <v/>
      </c>
      <c r="I158" s="39" t="str">
        <f ca="1">IFERROR(_xludf.XLOOKUP(E158,Bank_Statement!$D$4:$D$448,Bank_Statement!$B$4:$B$448,""),"")</f>
        <v/>
      </c>
      <c r="J158" s="40" t="str">
        <f t="shared" ca="1" si="7"/>
        <v/>
      </c>
      <c r="K158" s="41" t="str">
        <f ca="1">IF(G158="","Unmatched ERP",IF(AND(ABS(H158)&lt;=Mapping_Rules!$B$4,ABS(J158)&lt;=Mapping_Rules!$B$5),"Matched","Review"))</f>
        <v>Unmatched ERP</v>
      </c>
      <c r="L158" s="41" t="str">
        <f ca="1">IF(K158="Matched","None",IF(G158="","Missing from bank",IF(ABS(H158)&gt;Mapping_Rules!$B$4,"Amount variance","Date variance")))</f>
        <v>Missing from bank</v>
      </c>
      <c r="M158" s="41" t="str">
        <f ca="1">IF(K158="Matched","Low",IF(OR(IFERROR(ABS(H158),0)&gt;Mapping_Rules!$B$7,IFERROR(J158,0)&gt;Mapping_Rules!$B$8),"High","Medium"))</f>
        <v>High</v>
      </c>
      <c r="N158" s="41" t="str">
        <f t="shared" ca="1" si="8"/>
        <v>Check bank date or posting</v>
      </c>
      <c r="O158" s="23" t="s">
        <v>225</v>
      </c>
      <c r="P158" s="23" t="s">
        <v>95</v>
      </c>
      <c r="Q158" s="23" t="s">
        <v>1689</v>
      </c>
      <c r="R158" s="42"/>
      <c r="S158" s="43">
        <f ca="1">IF(K158="Matched",0,Mapping_Rules!$B$6-B158)</f>
        <v>9</v>
      </c>
    </row>
    <row r="159" spans="1:19">
      <c r="A159" s="44" t="s">
        <v>483</v>
      </c>
      <c r="B159" s="45">
        <v>46029</v>
      </c>
      <c r="C159" s="44" t="s">
        <v>90</v>
      </c>
      <c r="D159" s="44" t="s">
        <v>155</v>
      </c>
      <c r="E159" s="44" t="s">
        <v>484</v>
      </c>
      <c r="F159" s="46">
        <v>1314.82</v>
      </c>
      <c r="G159" s="47" t="str">
        <f ca="1">IFERROR(_xludf.XLOOKUP(E159,Bank_Statement!$D$4:$D$448,Bank_Statement!$G$4:$G$448,""),"")</f>
        <v/>
      </c>
      <c r="H159" s="46" t="str">
        <f t="shared" ca="1" si="6"/>
        <v/>
      </c>
      <c r="I159" s="48" t="str">
        <f ca="1">IFERROR(_xludf.XLOOKUP(E159,Bank_Statement!$D$4:$D$448,Bank_Statement!$B$4:$B$448,""),"")</f>
        <v/>
      </c>
      <c r="J159" s="49" t="str">
        <f t="shared" ca="1" si="7"/>
        <v/>
      </c>
      <c r="K159" s="50" t="str">
        <f ca="1">IF(G159="","Unmatched ERP",IF(AND(ABS(H159)&lt;=Mapping_Rules!$B$4,ABS(J159)&lt;=Mapping_Rules!$B$5),"Matched","Review"))</f>
        <v>Unmatched ERP</v>
      </c>
      <c r="L159" s="50" t="str">
        <f ca="1">IF(K159="Matched","None",IF(G159="","Missing from bank",IF(ABS(H159)&gt;Mapping_Rules!$B$4,"Amount variance","Date variance")))</f>
        <v>Missing from bank</v>
      </c>
      <c r="M159" s="50" t="str">
        <f ca="1">IF(K159="Matched","Low",IF(OR(IFERROR(ABS(H159),0)&gt;Mapping_Rules!$B$7,IFERROR(J159,0)&gt;Mapping_Rules!$B$8),"High","Medium"))</f>
        <v>High</v>
      </c>
      <c r="N159" s="50" t="str">
        <f t="shared" ca="1" si="8"/>
        <v>Check bank date or posting</v>
      </c>
      <c r="O159" s="44" t="s">
        <v>242</v>
      </c>
      <c r="P159" s="44" t="s">
        <v>95</v>
      </c>
      <c r="Q159" s="44" t="s">
        <v>1689</v>
      </c>
      <c r="R159" s="51"/>
      <c r="S159" s="52">
        <f ca="1">IF(K159="Matched",0,Mapping_Rules!$B$6-B159)</f>
        <v>24</v>
      </c>
    </row>
    <row r="160" spans="1:19">
      <c r="A160" s="23" t="s">
        <v>485</v>
      </c>
      <c r="B160" s="31">
        <v>46030</v>
      </c>
      <c r="C160" s="23" t="s">
        <v>81</v>
      </c>
      <c r="D160" s="23" t="s">
        <v>155</v>
      </c>
      <c r="E160" s="23" t="s">
        <v>486</v>
      </c>
      <c r="F160" s="32">
        <v>6881.77</v>
      </c>
      <c r="G160" s="38" t="str">
        <f ca="1">IFERROR(_xludf.XLOOKUP(E160,Bank_Statement!$D$4:$D$448,Bank_Statement!$G$4:$G$448,""),"")</f>
        <v/>
      </c>
      <c r="H160" s="32" t="str">
        <f t="shared" ca="1" si="6"/>
        <v/>
      </c>
      <c r="I160" s="39" t="str">
        <f ca="1">IFERROR(_xludf.XLOOKUP(E160,Bank_Statement!$D$4:$D$448,Bank_Statement!$B$4:$B$448,""),"")</f>
        <v/>
      </c>
      <c r="J160" s="40" t="str">
        <f t="shared" ca="1" si="7"/>
        <v/>
      </c>
      <c r="K160" s="41" t="str">
        <f ca="1">IF(G160="","Unmatched ERP",IF(AND(ABS(H160)&lt;=Mapping_Rules!$B$4,ABS(J160)&lt;=Mapping_Rules!$B$5),"Matched","Review"))</f>
        <v>Unmatched ERP</v>
      </c>
      <c r="L160" s="41" t="str">
        <f ca="1">IF(K160="Matched","None",IF(G160="","Missing from bank",IF(ABS(H160)&gt;Mapping_Rules!$B$4,"Amount variance","Date variance")))</f>
        <v>Missing from bank</v>
      </c>
      <c r="M160" s="41" t="str">
        <f ca="1">IF(K160="Matched","Low",IF(OR(IFERROR(ABS(H160),0)&gt;Mapping_Rules!$B$7,IFERROR(J160,0)&gt;Mapping_Rules!$B$8),"High","Medium"))</f>
        <v>High</v>
      </c>
      <c r="N160" s="41" t="str">
        <f t="shared" ca="1" si="8"/>
        <v>Check bank date or posting</v>
      </c>
      <c r="O160" s="23" t="s">
        <v>158</v>
      </c>
      <c r="P160" s="23" t="s">
        <v>86</v>
      </c>
      <c r="Q160" s="23" t="s">
        <v>1689</v>
      </c>
      <c r="R160" s="42"/>
      <c r="S160" s="43">
        <f ca="1">IF(K160="Matched",0,Mapping_Rules!$B$6-B160)</f>
        <v>23</v>
      </c>
    </row>
    <row r="161" spans="1:19">
      <c r="A161" s="44" t="s">
        <v>487</v>
      </c>
      <c r="B161" s="45">
        <v>46024</v>
      </c>
      <c r="C161" s="44" t="s">
        <v>81</v>
      </c>
      <c r="D161" s="44" t="s">
        <v>163</v>
      </c>
      <c r="E161" s="44" t="s">
        <v>488</v>
      </c>
      <c r="F161" s="46">
        <v>7841.71</v>
      </c>
      <c r="G161" s="47" t="str">
        <f ca="1">IFERROR(_xludf.XLOOKUP(E161,Bank_Statement!$D$4:$D$448,Bank_Statement!$G$4:$G$448,""),"")</f>
        <v/>
      </c>
      <c r="H161" s="46" t="str">
        <f t="shared" ca="1" si="6"/>
        <v/>
      </c>
      <c r="I161" s="48" t="str">
        <f ca="1">IFERROR(_xludf.XLOOKUP(E161,Bank_Statement!$D$4:$D$448,Bank_Statement!$B$4:$B$448,""),"")</f>
        <v/>
      </c>
      <c r="J161" s="49" t="str">
        <f t="shared" ca="1" si="7"/>
        <v/>
      </c>
      <c r="K161" s="50" t="str">
        <f ca="1">IF(G161="","Unmatched ERP",IF(AND(ABS(H161)&lt;=Mapping_Rules!$B$4,ABS(J161)&lt;=Mapping_Rules!$B$5),"Matched","Review"))</f>
        <v>Unmatched ERP</v>
      </c>
      <c r="L161" s="50" t="str">
        <f ca="1">IF(K161="Matched","None",IF(G161="","Missing from bank",IF(ABS(H161)&gt;Mapping_Rules!$B$4,"Amount variance","Date variance")))</f>
        <v>Missing from bank</v>
      </c>
      <c r="M161" s="50" t="str">
        <f ca="1">IF(K161="Matched","Low",IF(OR(IFERROR(ABS(H161),0)&gt;Mapping_Rules!$B$7,IFERROR(J161,0)&gt;Mapping_Rules!$B$8),"High","Medium"))</f>
        <v>High</v>
      </c>
      <c r="N161" s="50" t="str">
        <f t="shared" ca="1" si="8"/>
        <v>Check bank date or posting</v>
      </c>
      <c r="O161" s="44" t="s">
        <v>158</v>
      </c>
      <c r="P161" s="44" t="s">
        <v>86</v>
      </c>
      <c r="Q161" s="44" t="s">
        <v>1689</v>
      </c>
      <c r="R161" s="51"/>
      <c r="S161" s="52">
        <f ca="1">IF(K161="Matched",0,Mapping_Rules!$B$6-B161)</f>
        <v>29</v>
      </c>
    </row>
    <row r="162" spans="1:19">
      <c r="A162" s="23" t="s">
        <v>489</v>
      </c>
      <c r="B162" s="31">
        <v>46036</v>
      </c>
      <c r="C162" s="23" t="s">
        <v>72</v>
      </c>
      <c r="D162" s="23" t="s">
        <v>150</v>
      </c>
      <c r="E162" s="23" t="s">
        <v>490</v>
      </c>
      <c r="F162" s="32">
        <v>-207.64</v>
      </c>
      <c r="G162" s="38" t="str">
        <f ca="1">IFERROR(_xludf.XLOOKUP(E162,Bank_Statement!$D$4:$D$448,Bank_Statement!$G$4:$G$448,""),"")</f>
        <v/>
      </c>
      <c r="H162" s="32" t="str">
        <f t="shared" ca="1" si="6"/>
        <v/>
      </c>
      <c r="I162" s="39" t="str">
        <f ca="1">IFERROR(_xludf.XLOOKUP(E162,Bank_Statement!$D$4:$D$448,Bank_Statement!$B$4:$B$448,""),"")</f>
        <v/>
      </c>
      <c r="J162" s="40" t="str">
        <f t="shared" ca="1" si="7"/>
        <v/>
      </c>
      <c r="K162" s="41" t="str">
        <f ca="1">IF(G162="","Unmatched ERP",IF(AND(ABS(H162)&lt;=Mapping_Rules!$B$4,ABS(J162)&lt;=Mapping_Rules!$B$5),"Matched","Review"))</f>
        <v>Unmatched ERP</v>
      </c>
      <c r="L162" s="41" t="str">
        <f ca="1">IF(K162="Matched","None",IF(G162="","Missing from bank",IF(ABS(H162)&gt;Mapping_Rules!$B$4,"Amount variance","Date variance")))</f>
        <v>Missing from bank</v>
      </c>
      <c r="M162" s="41" t="str">
        <f ca="1">IF(K162="Matched","Low",IF(OR(IFERROR(ABS(H162),0)&gt;Mapping_Rules!$B$7,IFERROR(J162,0)&gt;Mapping_Rules!$B$8),"High","Medium"))</f>
        <v>High</v>
      </c>
      <c r="N162" s="41" t="str">
        <f t="shared" ca="1" si="8"/>
        <v>Check bank date or posting</v>
      </c>
      <c r="O162" s="23" t="s">
        <v>131</v>
      </c>
      <c r="P162" s="23" t="s">
        <v>77</v>
      </c>
      <c r="Q162" s="23" t="s">
        <v>1689</v>
      </c>
      <c r="R162" s="42"/>
      <c r="S162" s="43">
        <f ca="1">IF(K162="Matched",0,Mapping_Rules!$B$6-B162)</f>
        <v>17</v>
      </c>
    </row>
    <row r="163" spans="1:19">
      <c r="A163" s="44" t="s">
        <v>491</v>
      </c>
      <c r="B163" s="45">
        <v>46052</v>
      </c>
      <c r="C163" s="44" t="s">
        <v>81</v>
      </c>
      <c r="D163" s="44" t="s">
        <v>163</v>
      </c>
      <c r="E163" s="44" t="s">
        <v>492</v>
      </c>
      <c r="F163" s="46">
        <v>7201.44</v>
      </c>
      <c r="G163" s="47" t="str">
        <f ca="1">IFERROR(_xludf.XLOOKUP(E163,Bank_Statement!$D$4:$D$448,Bank_Statement!$G$4:$G$448,""),"")</f>
        <v/>
      </c>
      <c r="H163" s="46" t="str">
        <f t="shared" ca="1" si="6"/>
        <v/>
      </c>
      <c r="I163" s="48" t="str">
        <f ca="1">IFERROR(_xludf.XLOOKUP(E163,Bank_Statement!$D$4:$D$448,Bank_Statement!$B$4:$B$448,""),"")</f>
        <v/>
      </c>
      <c r="J163" s="49" t="str">
        <f t="shared" ca="1" si="7"/>
        <v/>
      </c>
      <c r="K163" s="50" t="str">
        <f ca="1">IF(G163="","Unmatched ERP",IF(AND(ABS(H163)&lt;=Mapping_Rules!$B$4,ABS(J163)&lt;=Mapping_Rules!$B$5),"Matched","Review"))</f>
        <v>Unmatched ERP</v>
      </c>
      <c r="L163" s="50" t="str">
        <f ca="1">IF(K163="Matched","None",IF(G163="","Missing from bank",IF(ABS(H163)&gt;Mapping_Rules!$B$4,"Amount variance","Date variance")))</f>
        <v>Missing from bank</v>
      </c>
      <c r="M163" s="50" t="str">
        <f ca="1">IF(K163="Matched","Low",IF(OR(IFERROR(ABS(H163),0)&gt;Mapping_Rules!$B$7,IFERROR(J163,0)&gt;Mapping_Rules!$B$8),"High","Medium"))</f>
        <v>High</v>
      </c>
      <c r="N163" s="50" t="str">
        <f t="shared" ca="1" si="8"/>
        <v>Check bank date or posting</v>
      </c>
      <c r="O163" s="44" t="s">
        <v>158</v>
      </c>
      <c r="P163" s="44" t="s">
        <v>86</v>
      </c>
      <c r="Q163" s="44" t="s">
        <v>1689</v>
      </c>
      <c r="R163" s="51"/>
      <c r="S163" s="52">
        <f ca="1">IF(K163="Matched",0,Mapping_Rules!$B$6-B163)</f>
        <v>1</v>
      </c>
    </row>
    <row r="164" spans="1:19">
      <c r="A164" s="23" t="s">
        <v>493</v>
      </c>
      <c r="B164" s="31">
        <v>46032</v>
      </c>
      <c r="C164" s="23" t="s">
        <v>90</v>
      </c>
      <c r="D164" s="23" t="s">
        <v>150</v>
      </c>
      <c r="E164" s="23" t="s">
        <v>494</v>
      </c>
      <c r="F164" s="32">
        <v>1698.69</v>
      </c>
      <c r="G164" s="38" t="str">
        <f ca="1">IFERROR(_xludf.XLOOKUP(E164,Bank_Statement!$D$4:$D$448,Bank_Statement!$G$4:$G$448,""),"")</f>
        <v/>
      </c>
      <c r="H164" s="32" t="str">
        <f t="shared" ca="1" si="6"/>
        <v/>
      </c>
      <c r="I164" s="39" t="str">
        <f ca="1">IFERROR(_xludf.XLOOKUP(E164,Bank_Statement!$D$4:$D$448,Bank_Statement!$B$4:$B$448,""),"")</f>
        <v/>
      </c>
      <c r="J164" s="40" t="str">
        <f t="shared" ca="1" si="7"/>
        <v/>
      </c>
      <c r="K164" s="41" t="str">
        <f ca="1">IF(G164="","Unmatched ERP",IF(AND(ABS(H164)&lt;=Mapping_Rules!$B$4,ABS(J164)&lt;=Mapping_Rules!$B$5),"Matched","Review"))</f>
        <v>Unmatched ERP</v>
      </c>
      <c r="L164" s="41" t="str">
        <f ca="1">IF(K164="Matched","None",IF(G164="","Missing from bank",IF(ABS(H164)&gt;Mapping_Rules!$B$4,"Amount variance","Date variance")))</f>
        <v>Missing from bank</v>
      </c>
      <c r="M164" s="41" t="str">
        <f ca="1">IF(K164="Matched","Low",IF(OR(IFERROR(ABS(H164),0)&gt;Mapping_Rules!$B$7,IFERROR(J164,0)&gt;Mapping_Rules!$B$8),"High","Medium"))</f>
        <v>High</v>
      </c>
      <c r="N164" s="41" t="str">
        <f t="shared" ca="1" si="8"/>
        <v>Check bank date or posting</v>
      </c>
      <c r="O164" s="23" t="s">
        <v>158</v>
      </c>
      <c r="P164" s="23" t="s">
        <v>95</v>
      </c>
      <c r="Q164" s="23" t="s">
        <v>1689</v>
      </c>
      <c r="R164" s="42"/>
      <c r="S164" s="43">
        <f ca="1">IF(K164="Matched",0,Mapping_Rules!$B$6-B164)</f>
        <v>21</v>
      </c>
    </row>
    <row r="165" spans="1:19">
      <c r="A165" s="44" t="s">
        <v>495</v>
      </c>
      <c r="B165" s="45">
        <v>46053</v>
      </c>
      <c r="C165" s="44" t="s">
        <v>99</v>
      </c>
      <c r="D165" s="44" t="s">
        <v>182</v>
      </c>
      <c r="E165" s="44" t="s">
        <v>496</v>
      </c>
      <c r="F165" s="46">
        <v>-14318.04</v>
      </c>
      <c r="G165" s="47" t="str">
        <f ca="1">IFERROR(_xludf.XLOOKUP(E165,Bank_Statement!$D$4:$D$448,Bank_Statement!$G$4:$G$448,""),"")</f>
        <v/>
      </c>
      <c r="H165" s="46" t="str">
        <f t="shared" ca="1" si="6"/>
        <v/>
      </c>
      <c r="I165" s="48" t="str">
        <f ca="1">IFERROR(_xludf.XLOOKUP(E165,Bank_Statement!$D$4:$D$448,Bank_Statement!$B$4:$B$448,""),"")</f>
        <v/>
      </c>
      <c r="J165" s="49" t="str">
        <f t="shared" ca="1" si="7"/>
        <v/>
      </c>
      <c r="K165" s="50" t="str">
        <f ca="1">IF(G165="","Unmatched ERP",IF(AND(ABS(H165)&lt;=Mapping_Rules!$B$4,ABS(J165)&lt;=Mapping_Rules!$B$5),"Matched","Review"))</f>
        <v>Unmatched ERP</v>
      </c>
      <c r="L165" s="50" t="str">
        <f ca="1">IF(K165="Matched","None",IF(G165="","Missing from bank",IF(ABS(H165)&gt;Mapping_Rules!$B$4,"Amount variance","Date variance")))</f>
        <v>Missing from bank</v>
      </c>
      <c r="M165" s="50" t="str">
        <f ca="1">IF(K165="Matched","Low",IF(OR(IFERROR(ABS(H165),0)&gt;Mapping_Rules!$B$7,IFERROR(J165,0)&gt;Mapping_Rules!$B$8),"High","Medium"))</f>
        <v>High</v>
      </c>
      <c r="N165" s="50" t="str">
        <f t="shared" ca="1" si="8"/>
        <v>Check bank date or posting</v>
      </c>
      <c r="O165" s="44" t="s">
        <v>185</v>
      </c>
      <c r="P165" s="44" t="s">
        <v>95</v>
      </c>
      <c r="Q165" s="44" t="s">
        <v>1689</v>
      </c>
      <c r="R165" s="51"/>
      <c r="S165" s="52">
        <f ca="1">IF(K165="Matched",0,Mapping_Rules!$B$6-B165)</f>
        <v>0</v>
      </c>
    </row>
    <row r="166" spans="1:19">
      <c r="A166" s="23" t="s">
        <v>497</v>
      </c>
      <c r="B166" s="31">
        <v>46027</v>
      </c>
      <c r="C166" s="23" t="s">
        <v>90</v>
      </c>
      <c r="D166" s="23" t="s">
        <v>163</v>
      </c>
      <c r="E166" s="23" t="s">
        <v>498</v>
      </c>
      <c r="F166" s="32">
        <v>-423</v>
      </c>
      <c r="G166" s="38" t="str">
        <f ca="1">IFERROR(_xludf.XLOOKUP(E166,Bank_Statement!$D$4:$D$448,Bank_Statement!$G$4:$G$448,""),"")</f>
        <v/>
      </c>
      <c r="H166" s="32" t="str">
        <f t="shared" ca="1" si="6"/>
        <v/>
      </c>
      <c r="I166" s="39" t="str">
        <f ca="1">IFERROR(_xludf.XLOOKUP(E166,Bank_Statement!$D$4:$D$448,Bank_Statement!$B$4:$B$448,""),"")</f>
        <v/>
      </c>
      <c r="J166" s="40" t="str">
        <f t="shared" ca="1" si="7"/>
        <v/>
      </c>
      <c r="K166" s="41" t="str">
        <f ca="1">IF(G166="","Unmatched ERP",IF(AND(ABS(H166)&lt;=Mapping_Rules!$B$4,ABS(J166)&lt;=Mapping_Rules!$B$5),"Matched","Review"))</f>
        <v>Unmatched ERP</v>
      </c>
      <c r="L166" s="41" t="str">
        <f ca="1">IF(K166="Matched","None",IF(G166="","Missing from bank",IF(ABS(H166)&gt;Mapping_Rules!$B$4,"Amount variance","Date variance")))</f>
        <v>Missing from bank</v>
      </c>
      <c r="M166" s="41" t="str">
        <f ca="1">IF(K166="Matched","Low",IF(OR(IFERROR(ABS(H166),0)&gt;Mapping_Rules!$B$7,IFERROR(J166,0)&gt;Mapping_Rules!$B$8),"High","Medium"))</f>
        <v>High</v>
      </c>
      <c r="N166" s="41" t="str">
        <f t="shared" ca="1" si="8"/>
        <v>Check bank date or posting</v>
      </c>
      <c r="O166" s="23" t="s">
        <v>194</v>
      </c>
      <c r="P166" s="23" t="s">
        <v>95</v>
      </c>
      <c r="Q166" s="23" t="s">
        <v>1689</v>
      </c>
      <c r="R166" s="42"/>
      <c r="S166" s="43">
        <f ca="1">IF(K166="Matched",0,Mapping_Rules!$B$6-B166)</f>
        <v>26</v>
      </c>
    </row>
    <row r="167" spans="1:19">
      <c r="A167" s="44" t="s">
        <v>499</v>
      </c>
      <c r="B167" s="45">
        <v>46051</v>
      </c>
      <c r="C167" s="44" t="s">
        <v>81</v>
      </c>
      <c r="D167" s="44" t="s">
        <v>155</v>
      </c>
      <c r="E167" s="44" t="s">
        <v>500</v>
      </c>
      <c r="F167" s="46">
        <v>8387.5400000000009</v>
      </c>
      <c r="G167" s="47" t="str">
        <f ca="1">IFERROR(_xludf.XLOOKUP(E167,Bank_Statement!$D$4:$D$448,Bank_Statement!$G$4:$G$448,""),"")</f>
        <v/>
      </c>
      <c r="H167" s="46" t="str">
        <f t="shared" ca="1" si="6"/>
        <v/>
      </c>
      <c r="I167" s="48" t="str">
        <f ca="1">IFERROR(_xludf.XLOOKUP(E167,Bank_Statement!$D$4:$D$448,Bank_Statement!$B$4:$B$448,""),"")</f>
        <v/>
      </c>
      <c r="J167" s="49" t="str">
        <f t="shared" ca="1" si="7"/>
        <v/>
      </c>
      <c r="K167" s="50" t="str">
        <f ca="1">IF(G167="","Unmatched ERP",IF(AND(ABS(H167)&lt;=Mapping_Rules!$B$4,ABS(J167)&lt;=Mapping_Rules!$B$5),"Matched","Review"))</f>
        <v>Unmatched ERP</v>
      </c>
      <c r="L167" s="50" t="str">
        <f ca="1">IF(K167="Matched","None",IF(G167="","Missing from bank",IF(ABS(H167)&gt;Mapping_Rules!$B$4,"Amount variance","Date variance")))</f>
        <v>Missing from bank</v>
      </c>
      <c r="M167" s="50" t="str">
        <f ca="1">IF(K167="Matched","Low",IF(OR(IFERROR(ABS(H167),0)&gt;Mapping_Rules!$B$7,IFERROR(J167,0)&gt;Mapping_Rules!$B$8),"High","Medium"))</f>
        <v>High</v>
      </c>
      <c r="N167" s="50" t="str">
        <f t="shared" ca="1" si="8"/>
        <v>Check bank date or posting</v>
      </c>
      <c r="O167" s="44" t="s">
        <v>158</v>
      </c>
      <c r="P167" s="44" t="s">
        <v>86</v>
      </c>
      <c r="Q167" s="44" t="s">
        <v>1689</v>
      </c>
      <c r="R167" s="51"/>
      <c r="S167" s="52">
        <f ca="1">IF(K167="Matched",0,Mapping_Rules!$B$6-B167)</f>
        <v>2</v>
      </c>
    </row>
    <row r="168" spans="1:19">
      <c r="A168" s="23" t="s">
        <v>501</v>
      </c>
      <c r="B168" s="31">
        <v>46043</v>
      </c>
      <c r="C168" s="23" t="s">
        <v>72</v>
      </c>
      <c r="D168" s="23" t="s">
        <v>208</v>
      </c>
      <c r="E168" s="23" t="s">
        <v>502</v>
      </c>
      <c r="F168" s="32">
        <v>-3699.49</v>
      </c>
      <c r="G168" s="38" t="str">
        <f ca="1">IFERROR(_xludf.XLOOKUP(E168,Bank_Statement!$D$4:$D$448,Bank_Statement!$G$4:$G$448,""),"")</f>
        <v/>
      </c>
      <c r="H168" s="32" t="str">
        <f t="shared" ca="1" si="6"/>
        <v/>
      </c>
      <c r="I168" s="39" t="str">
        <f ca="1">IFERROR(_xludf.XLOOKUP(E168,Bank_Statement!$D$4:$D$448,Bank_Statement!$B$4:$B$448,""),"")</f>
        <v/>
      </c>
      <c r="J168" s="40" t="str">
        <f t="shared" ca="1" si="7"/>
        <v/>
      </c>
      <c r="K168" s="41" t="str">
        <f ca="1">IF(G168="","Unmatched ERP",IF(AND(ABS(H168)&lt;=Mapping_Rules!$B$4,ABS(J168)&lt;=Mapping_Rules!$B$5),"Matched","Review"))</f>
        <v>Unmatched ERP</v>
      </c>
      <c r="L168" s="41" t="str">
        <f ca="1">IF(K168="Matched","None",IF(G168="","Missing from bank",IF(ABS(H168)&gt;Mapping_Rules!$B$4,"Amount variance","Date variance")))</f>
        <v>Missing from bank</v>
      </c>
      <c r="M168" s="41" t="str">
        <f ca="1">IF(K168="Matched","Low",IF(OR(IFERROR(ABS(H168),0)&gt;Mapping_Rules!$B$7,IFERROR(J168,0)&gt;Mapping_Rules!$B$8),"High","Medium"))</f>
        <v>High</v>
      </c>
      <c r="N168" s="41" t="str">
        <f t="shared" ca="1" si="8"/>
        <v>Check bank date or posting</v>
      </c>
      <c r="O168" s="23" t="s">
        <v>131</v>
      </c>
      <c r="P168" s="23" t="s">
        <v>77</v>
      </c>
      <c r="Q168" s="23" t="s">
        <v>1689</v>
      </c>
      <c r="R168" s="42"/>
      <c r="S168" s="43">
        <f ca="1">IF(K168="Matched",0,Mapping_Rules!$B$6-B168)</f>
        <v>10</v>
      </c>
    </row>
    <row r="169" spans="1:19">
      <c r="A169" s="44" t="s">
        <v>503</v>
      </c>
      <c r="B169" s="45">
        <v>46024</v>
      </c>
      <c r="C169" s="44" t="s">
        <v>81</v>
      </c>
      <c r="D169" s="44" t="s">
        <v>214</v>
      </c>
      <c r="E169" s="44" t="s">
        <v>504</v>
      </c>
      <c r="F169" s="46">
        <v>790.7</v>
      </c>
      <c r="G169" s="47" t="str">
        <f ca="1">IFERROR(_xludf.XLOOKUP(E169,Bank_Statement!$D$4:$D$448,Bank_Statement!$G$4:$G$448,""),"")</f>
        <v/>
      </c>
      <c r="H169" s="46" t="str">
        <f t="shared" ca="1" si="6"/>
        <v/>
      </c>
      <c r="I169" s="48" t="str">
        <f ca="1">IFERROR(_xludf.XLOOKUP(E169,Bank_Statement!$D$4:$D$448,Bank_Statement!$B$4:$B$448,""),"")</f>
        <v/>
      </c>
      <c r="J169" s="49" t="str">
        <f t="shared" ca="1" si="7"/>
        <v/>
      </c>
      <c r="K169" s="50" t="str">
        <f ca="1">IF(G169="","Unmatched ERP",IF(AND(ABS(H169)&lt;=Mapping_Rules!$B$4,ABS(J169)&lt;=Mapping_Rules!$B$5),"Matched","Review"))</f>
        <v>Unmatched ERP</v>
      </c>
      <c r="L169" s="50" t="str">
        <f ca="1">IF(K169="Matched","None",IF(G169="","Missing from bank",IF(ABS(H169)&gt;Mapping_Rules!$B$4,"Amount variance","Date variance")))</f>
        <v>Missing from bank</v>
      </c>
      <c r="M169" s="50" t="str">
        <f ca="1">IF(K169="Matched","Low",IF(OR(IFERROR(ABS(H169),0)&gt;Mapping_Rules!$B$7,IFERROR(J169,0)&gt;Mapping_Rules!$B$8),"High","Medium"))</f>
        <v>High</v>
      </c>
      <c r="N169" s="50" t="str">
        <f t="shared" ca="1" si="8"/>
        <v>Check bank date or posting</v>
      </c>
      <c r="O169" s="44" t="s">
        <v>158</v>
      </c>
      <c r="P169" s="44" t="s">
        <v>86</v>
      </c>
      <c r="Q169" s="44" t="s">
        <v>1689</v>
      </c>
      <c r="R169" s="51"/>
      <c r="S169" s="52">
        <f ca="1">IF(K169="Matched",0,Mapping_Rules!$B$6-B169)</f>
        <v>29</v>
      </c>
    </row>
    <row r="170" spans="1:19">
      <c r="A170" s="23" t="s">
        <v>505</v>
      </c>
      <c r="B170" s="31">
        <v>46040</v>
      </c>
      <c r="C170" s="23" t="s">
        <v>107</v>
      </c>
      <c r="D170" s="23" t="s">
        <v>191</v>
      </c>
      <c r="E170" s="23" t="s">
        <v>506</v>
      </c>
      <c r="F170" s="32">
        <v>-89.98</v>
      </c>
      <c r="G170" s="38" t="str">
        <f ca="1">IFERROR(_xludf.XLOOKUP(E170,Bank_Statement!$D$4:$D$448,Bank_Statement!$G$4:$G$448,""),"")</f>
        <v/>
      </c>
      <c r="H170" s="32" t="str">
        <f t="shared" ca="1" si="6"/>
        <v/>
      </c>
      <c r="I170" s="39" t="str">
        <f ca="1">IFERROR(_xludf.XLOOKUP(E170,Bank_Statement!$D$4:$D$448,Bank_Statement!$B$4:$B$448,""),"")</f>
        <v/>
      </c>
      <c r="J170" s="40" t="str">
        <f t="shared" ca="1" si="7"/>
        <v/>
      </c>
      <c r="K170" s="41" t="str">
        <f ca="1">IF(G170="","Unmatched ERP",IF(AND(ABS(H170)&lt;=Mapping_Rules!$B$4,ABS(J170)&lt;=Mapping_Rules!$B$5),"Matched","Review"))</f>
        <v>Unmatched ERP</v>
      </c>
      <c r="L170" s="41" t="str">
        <f ca="1">IF(K170="Matched","None",IF(G170="","Missing from bank",IF(ABS(H170)&gt;Mapping_Rules!$B$4,"Amount variance","Date variance")))</f>
        <v>Missing from bank</v>
      </c>
      <c r="M170" s="41" t="str">
        <f ca="1">IF(K170="Matched","Low",IF(OR(IFERROR(ABS(H170),0)&gt;Mapping_Rules!$B$7,IFERROR(J170,0)&gt;Mapping_Rules!$B$8),"High","Medium"))</f>
        <v>High</v>
      </c>
      <c r="N170" s="41" t="str">
        <f t="shared" ca="1" si="8"/>
        <v>Check bank date or posting</v>
      </c>
      <c r="O170" s="23" t="s">
        <v>194</v>
      </c>
      <c r="P170" s="23" t="s">
        <v>95</v>
      </c>
      <c r="Q170" s="23" t="s">
        <v>1689</v>
      </c>
      <c r="R170" s="42"/>
      <c r="S170" s="43">
        <f ca="1">IF(K170="Matched",0,Mapping_Rules!$B$6-B170)</f>
        <v>13</v>
      </c>
    </row>
    <row r="171" spans="1:19">
      <c r="A171" s="44" t="s">
        <v>507</v>
      </c>
      <c r="B171" s="45">
        <v>46041</v>
      </c>
      <c r="C171" s="44" t="s">
        <v>81</v>
      </c>
      <c r="D171" s="44" t="s">
        <v>214</v>
      </c>
      <c r="E171" s="44" t="s">
        <v>508</v>
      </c>
      <c r="F171" s="46">
        <v>5201.8</v>
      </c>
      <c r="G171" s="47" t="str">
        <f ca="1">IFERROR(_xludf.XLOOKUP(E171,Bank_Statement!$D$4:$D$448,Bank_Statement!$G$4:$G$448,""),"")</f>
        <v/>
      </c>
      <c r="H171" s="46" t="str">
        <f t="shared" ca="1" si="6"/>
        <v/>
      </c>
      <c r="I171" s="48" t="str">
        <f ca="1">IFERROR(_xludf.XLOOKUP(E171,Bank_Statement!$D$4:$D$448,Bank_Statement!$B$4:$B$448,""),"")</f>
        <v/>
      </c>
      <c r="J171" s="49" t="str">
        <f t="shared" ca="1" si="7"/>
        <v/>
      </c>
      <c r="K171" s="50" t="str">
        <f ca="1">IF(G171="","Unmatched ERP",IF(AND(ABS(H171)&lt;=Mapping_Rules!$B$4,ABS(J171)&lt;=Mapping_Rules!$B$5),"Matched","Review"))</f>
        <v>Unmatched ERP</v>
      </c>
      <c r="L171" s="50" t="str">
        <f ca="1">IF(K171="Matched","None",IF(G171="","Missing from bank",IF(ABS(H171)&gt;Mapping_Rules!$B$4,"Amount variance","Date variance")))</f>
        <v>Missing from bank</v>
      </c>
      <c r="M171" s="50" t="str">
        <f ca="1">IF(K171="Matched","Low",IF(OR(IFERROR(ABS(H171),0)&gt;Mapping_Rules!$B$7,IFERROR(J171,0)&gt;Mapping_Rules!$B$8),"High","Medium"))</f>
        <v>High</v>
      </c>
      <c r="N171" s="50" t="str">
        <f t="shared" ca="1" si="8"/>
        <v>Check bank date or posting</v>
      </c>
      <c r="O171" s="44" t="s">
        <v>158</v>
      </c>
      <c r="P171" s="44" t="s">
        <v>86</v>
      </c>
      <c r="Q171" s="44" t="s">
        <v>1689</v>
      </c>
      <c r="R171" s="51"/>
      <c r="S171" s="52">
        <f ca="1">IF(K171="Matched",0,Mapping_Rules!$B$6-B171)</f>
        <v>12</v>
      </c>
    </row>
    <row r="172" spans="1:19">
      <c r="A172" s="23" t="s">
        <v>509</v>
      </c>
      <c r="B172" s="31">
        <v>46037</v>
      </c>
      <c r="C172" s="23" t="s">
        <v>72</v>
      </c>
      <c r="D172" s="23" t="s">
        <v>139</v>
      </c>
      <c r="E172" s="23" t="s">
        <v>510</v>
      </c>
      <c r="F172" s="32">
        <v>-2181.84</v>
      </c>
      <c r="G172" s="38" t="str">
        <f ca="1">IFERROR(_xludf.XLOOKUP(E172,Bank_Statement!$D$4:$D$448,Bank_Statement!$G$4:$G$448,""),"")</f>
        <v/>
      </c>
      <c r="H172" s="32" t="str">
        <f t="shared" ca="1" si="6"/>
        <v/>
      </c>
      <c r="I172" s="39" t="str">
        <f ca="1">IFERROR(_xludf.XLOOKUP(E172,Bank_Statement!$D$4:$D$448,Bank_Statement!$B$4:$B$448,""),"")</f>
        <v/>
      </c>
      <c r="J172" s="40" t="str">
        <f t="shared" ca="1" si="7"/>
        <v/>
      </c>
      <c r="K172" s="41" t="str">
        <f ca="1">IF(G172="","Unmatched ERP",IF(AND(ABS(H172)&lt;=Mapping_Rules!$B$4,ABS(J172)&lt;=Mapping_Rules!$B$5),"Matched","Review"))</f>
        <v>Unmatched ERP</v>
      </c>
      <c r="L172" s="41" t="str">
        <f ca="1">IF(K172="Matched","None",IF(G172="","Missing from bank",IF(ABS(H172)&gt;Mapping_Rules!$B$4,"Amount variance","Date variance")))</f>
        <v>Missing from bank</v>
      </c>
      <c r="M172" s="41" t="str">
        <f ca="1">IF(K172="Matched","Low",IF(OR(IFERROR(ABS(H172),0)&gt;Mapping_Rules!$B$7,IFERROR(J172,0)&gt;Mapping_Rules!$B$8),"High","Medium"))</f>
        <v>High</v>
      </c>
      <c r="N172" s="41" t="str">
        <f t="shared" ca="1" si="8"/>
        <v>Check bank date or posting</v>
      </c>
      <c r="O172" s="23" t="s">
        <v>131</v>
      </c>
      <c r="P172" s="23" t="s">
        <v>77</v>
      </c>
      <c r="Q172" s="23" t="s">
        <v>1689</v>
      </c>
      <c r="R172" s="42"/>
      <c r="S172" s="43">
        <f ca="1">IF(K172="Matched",0,Mapping_Rules!$B$6-B172)</f>
        <v>16</v>
      </c>
    </row>
    <row r="173" spans="1:19">
      <c r="A173" s="44" t="s">
        <v>511</v>
      </c>
      <c r="B173" s="45">
        <v>46037</v>
      </c>
      <c r="C173" s="44" t="s">
        <v>107</v>
      </c>
      <c r="D173" s="44" t="s">
        <v>191</v>
      </c>
      <c r="E173" s="44" t="s">
        <v>512</v>
      </c>
      <c r="F173" s="46">
        <v>-65.27</v>
      </c>
      <c r="G173" s="47" t="str">
        <f ca="1">IFERROR(_xludf.XLOOKUP(E173,Bank_Statement!$D$4:$D$448,Bank_Statement!$G$4:$G$448,""),"")</f>
        <v/>
      </c>
      <c r="H173" s="46" t="str">
        <f t="shared" ca="1" si="6"/>
        <v/>
      </c>
      <c r="I173" s="48" t="str">
        <f ca="1">IFERROR(_xludf.XLOOKUP(E173,Bank_Statement!$D$4:$D$448,Bank_Statement!$B$4:$B$448,""),"")</f>
        <v/>
      </c>
      <c r="J173" s="49" t="str">
        <f t="shared" ca="1" si="7"/>
        <v/>
      </c>
      <c r="K173" s="50" t="str">
        <f ca="1">IF(G173="","Unmatched ERP",IF(AND(ABS(H173)&lt;=Mapping_Rules!$B$4,ABS(J173)&lt;=Mapping_Rules!$B$5),"Matched","Review"))</f>
        <v>Unmatched ERP</v>
      </c>
      <c r="L173" s="50" t="str">
        <f ca="1">IF(K173="Matched","None",IF(G173="","Missing from bank",IF(ABS(H173)&gt;Mapping_Rules!$B$4,"Amount variance","Date variance")))</f>
        <v>Missing from bank</v>
      </c>
      <c r="M173" s="50" t="str">
        <f ca="1">IF(K173="Matched","Low",IF(OR(IFERROR(ABS(H173),0)&gt;Mapping_Rules!$B$7,IFERROR(J173,0)&gt;Mapping_Rules!$B$8),"High","Medium"))</f>
        <v>High</v>
      </c>
      <c r="N173" s="50" t="str">
        <f t="shared" ca="1" si="8"/>
        <v>Check bank date or posting</v>
      </c>
      <c r="O173" s="44" t="s">
        <v>194</v>
      </c>
      <c r="P173" s="44" t="s">
        <v>95</v>
      </c>
      <c r="Q173" s="44" t="s">
        <v>1689</v>
      </c>
      <c r="R173" s="51"/>
      <c r="S173" s="52">
        <f ca="1">IF(K173="Matched",0,Mapping_Rules!$B$6-B173)</f>
        <v>16</v>
      </c>
    </row>
    <row r="174" spans="1:19">
      <c r="A174" s="23" t="s">
        <v>513</v>
      </c>
      <c r="B174" s="31">
        <v>46047</v>
      </c>
      <c r="C174" s="23" t="s">
        <v>72</v>
      </c>
      <c r="D174" s="23" t="s">
        <v>204</v>
      </c>
      <c r="E174" s="23" t="s">
        <v>514</v>
      </c>
      <c r="F174" s="32">
        <v>-400.48</v>
      </c>
      <c r="G174" s="38" t="str">
        <f ca="1">IFERROR(_xludf.XLOOKUP(E174,Bank_Statement!$D$4:$D$448,Bank_Statement!$G$4:$G$448,""),"")</f>
        <v/>
      </c>
      <c r="H174" s="32" t="str">
        <f t="shared" ca="1" si="6"/>
        <v/>
      </c>
      <c r="I174" s="39" t="str">
        <f ca="1">IFERROR(_xludf.XLOOKUP(E174,Bank_Statement!$D$4:$D$448,Bank_Statement!$B$4:$B$448,""),"")</f>
        <v/>
      </c>
      <c r="J174" s="40" t="str">
        <f t="shared" ca="1" si="7"/>
        <v/>
      </c>
      <c r="K174" s="41" t="str">
        <f ca="1">IF(G174="","Unmatched ERP",IF(AND(ABS(H174)&lt;=Mapping_Rules!$B$4,ABS(J174)&lt;=Mapping_Rules!$B$5),"Matched","Review"))</f>
        <v>Unmatched ERP</v>
      </c>
      <c r="L174" s="41" t="str">
        <f ca="1">IF(K174="Matched","None",IF(G174="","Missing from bank",IF(ABS(H174)&gt;Mapping_Rules!$B$4,"Amount variance","Date variance")))</f>
        <v>Missing from bank</v>
      </c>
      <c r="M174" s="41" t="str">
        <f ca="1">IF(K174="Matched","Low",IF(OR(IFERROR(ABS(H174),0)&gt;Mapping_Rules!$B$7,IFERROR(J174,0)&gt;Mapping_Rules!$B$8),"High","Medium"))</f>
        <v>High</v>
      </c>
      <c r="N174" s="41" t="str">
        <f t="shared" ca="1" si="8"/>
        <v>Check bank date or posting</v>
      </c>
      <c r="O174" s="23" t="s">
        <v>131</v>
      </c>
      <c r="P174" s="23" t="s">
        <v>77</v>
      </c>
      <c r="Q174" s="23" t="s">
        <v>1689</v>
      </c>
      <c r="R174" s="42"/>
      <c r="S174" s="43">
        <f ca="1">IF(K174="Matched",0,Mapping_Rules!$B$6-B174)</f>
        <v>6</v>
      </c>
    </row>
    <row r="175" spans="1:19">
      <c r="A175" s="44" t="s">
        <v>515</v>
      </c>
      <c r="B175" s="45">
        <v>46046</v>
      </c>
      <c r="C175" s="44" t="s">
        <v>99</v>
      </c>
      <c r="D175" s="44" t="s">
        <v>182</v>
      </c>
      <c r="E175" s="44" t="s">
        <v>516</v>
      </c>
      <c r="F175" s="46">
        <v>-16483.95</v>
      </c>
      <c r="G175" s="47" t="str">
        <f ca="1">IFERROR(_xludf.XLOOKUP(E175,Bank_Statement!$D$4:$D$448,Bank_Statement!$G$4:$G$448,""),"")</f>
        <v/>
      </c>
      <c r="H175" s="46" t="str">
        <f t="shared" ca="1" si="6"/>
        <v/>
      </c>
      <c r="I175" s="48" t="str">
        <f ca="1">IFERROR(_xludf.XLOOKUP(E175,Bank_Statement!$D$4:$D$448,Bank_Statement!$B$4:$B$448,""),"")</f>
        <v/>
      </c>
      <c r="J175" s="49" t="str">
        <f t="shared" ca="1" si="7"/>
        <v/>
      </c>
      <c r="K175" s="50" t="str">
        <f ca="1">IF(G175="","Unmatched ERP",IF(AND(ABS(H175)&lt;=Mapping_Rules!$B$4,ABS(J175)&lt;=Mapping_Rules!$B$5),"Matched","Review"))</f>
        <v>Unmatched ERP</v>
      </c>
      <c r="L175" s="50" t="str">
        <f ca="1">IF(K175="Matched","None",IF(G175="","Missing from bank",IF(ABS(H175)&gt;Mapping_Rules!$B$4,"Amount variance","Date variance")))</f>
        <v>Missing from bank</v>
      </c>
      <c r="M175" s="50" t="str">
        <f ca="1">IF(K175="Matched","Low",IF(OR(IFERROR(ABS(H175),0)&gt;Mapping_Rules!$B$7,IFERROR(J175,0)&gt;Mapping_Rules!$B$8),"High","Medium"))</f>
        <v>High</v>
      </c>
      <c r="N175" s="50" t="str">
        <f t="shared" ca="1" si="8"/>
        <v>Check bank date or posting</v>
      </c>
      <c r="O175" s="44" t="s">
        <v>185</v>
      </c>
      <c r="P175" s="44" t="s">
        <v>95</v>
      </c>
      <c r="Q175" s="44" t="s">
        <v>1689</v>
      </c>
      <c r="R175" s="51"/>
      <c r="S175" s="52">
        <f ca="1">IF(K175="Matched",0,Mapping_Rules!$B$6-B175)</f>
        <v>7</v>
      </c>
    </row>
    <row r="176" spans="1:19">
      <c r="A176" s="23" t="s">
        <v>517</v>
      </c>
      <c r="B176" s="31">
        <v>46032</v>
      </c>
      <c r="C176" s="23" t="s">
        <v>107</v>
      </c>
      <c r="D176" s="23" t="s">
        <v>191</v>
      </c>
      <c r="E176" s="23" t="s">
        <v>518</v>
      </c>
      <c r="F176" s="32">
        <v>-85.33</v>
      </c>
      <c r="G176" s="38" t="str">
        <f ca="1">IFERROR(_xludf.XLOOKUP(E176,Bank_Statement!$D$4:$D$448,Bank_Statement!$G$4:$G$448,""),"")</f>
        <v/>
      </c>
      <c r="H176" s="32" t="str">
        <f t="shared" ca="1" si="6"/>
        <v/>
      </c>
      <c r="I176" s="39" t="str">
        <f ca="1">IFERROR(_xludf.XLOOKUP(E176,Bank_Statement!$D$4:$D$448,Bank_Statement!$B$4:$B$448,""),"")</f>
        <v/>
      </c>
      <c r="J176" s="40" t="str">
        <f t="shared" ca="1" si="7"/>
        <v/>
      </c>
      <c r="K176" s="41" t="str">
        <f ca="1">IF(G176="","Unmatched ERP",IF(AND(ABS(H176)&lt;=Mapping_Rules!$B$4,ABS(J176)&lt;=Mapping_Rules!$B$5),"Matched","Review"))</f>
        <v>Unmatched ERP</v>
      </c>
      <c r="L176" s="41" t="str">
        <f ca="1">IF(K176="Matched","None",IF(G176="","Missing from bank",IF(ABS(H176)&gt;Mapping_Rules!$B$4,"Amount variance","Date variance")))</f>
        <v>Missing from bank</v>
      </c>
      <c r="M176" s="41" t="str">
        <f ca="1">IF(K176="Matched","Low",IF(OR(IFERROR(ABS(H176),0)&gt;Mapping_Rules!$B$7,IFERROR(J176,0)&gt;Mapping_Rules!$B$8),"High","Medium"))</f>
        <v>High</v>
      </c>
      <c r="N176" s="41" t="str">
        <f t="shared" ca="1" si="8"/>
        <v>Check bank date or posting</v>
      </c>
      <c r="O176" s="23" t="s">
        <v>194</v>
      </c>
      <c r="P176" s="23" t="s">
        <v>95</v>
      </c>
      <c r="Q176" s="23" t="s">
        <v>1689</v>
      </c>
      <c r="R176" s="42"/>
      <c r="S176" s="43">
        <f ca="1">IF(K176="Matched",0,Mapping_Rules!$B$6-B176)</f>
        <v>21</v>
      </c>
    </row>
    <row r="177" spans="1:19">
      <c r="A177" s="44" t="s">
        <v>519</v>
      </c>
      <c r="B177" s="45">
        <v>46035</v>
      </c>
      <c r="C177" s="44" t="s">
        <v>81</v>
      </c>
      <c r="D177" s="44" t="s">
        <v>214</v>
      </c>
      <c r="E177" s="44" t="s">
        <v>520</v>
      </c>
      <c r="F177" s="46">
        <v>6940.09</v>
      </c>
      <c r="G177" s="47" t="str">
        <f ca="1">IFERROR(_xludf.XLOOKUP(E177,Bank_Statement!$D$4:$D$448,Bank_Statement!$G$4:$G$448,""),"")</f>
        <v/>
      </c>
      <c r="H177" s="46" t="str">
        <f t="shared" ca="1" si="6"/>
        <v/>
      </c>
      <c r="I177" s="48" t="str">
        <f ca="1">IFERROR(_xludf.XLOOKUP(E177,Bank_Statement!$D$4:$D$448,Bank_Statement!$B$4:$B$448,""),"")</f>
        <v/>
      </c>
      <c r="J177" s="49" t="str">
        <f t="shared" ca="1" si="7"/>
        <v/>
      </c>
      <c r="K177" s="50" t="str">
        <f ca="1">IF(G177="","Unmatched ERP",IF(AND(ABS(H177)&lt;=Mapping_Rules!$B$4,ABS(J177)&lt;=Mapping_Rules!$B$5),"Matched","Review"))</f>
        <v>Unmatched ERP</v>
      </c>
      <c r="L177" s="50" t="str">
        <f ca="1">IF(K177="Matched","None",IF(G177="","Missing from bank",IF(ABS(H177)&gt;Mapping_Rules!$B$4,"Amount variance","Date variance")))</f>
        <v>Missing from bank</v>
      </c>
      <c r="M177" s="50" t="str">
        <f ca="1">IF(K177="Matched","Low",IF(OR(IFERROR(ABS(H177),0)&gt;Mapping_Rules!$B$7,IFERROR(J177,0)&gt;Mapping_Rules!$B$8),"High","Medium"))</f>
        <v>High</v>
      </c>
      <c r="N177" s="50" t="str">
        <f t="shared" ca="1" si="8"/>
        <v>Check bank date or posting</v>
      </c>
      <c r="O177" s="44" t="s">
        <v>158</v>
      </c>
      <c r="P177" s="44" t="s">
        <v>86</v>
      </c>
      <c r="Q177" s="44" t="s">
        <v>1689</v>
      </c>
      <c r="R177" s="51"/>
      <c r="S177" s="52">
        <f ca="1">IF(K177="Matched",0,Mapping_Rules!$B$6-B177)</f>
        <v>18</v>
      </c>
    </row>
    <row r="178" spans="1:19">
      <c r="A178" s="23" t="s">
        <v>521</v>
      </c>
      <c r="B178" s="31">
        <v>46023</v>
      </c>
      <c r="C178" s="23" t="s">
        <v>81</v>
      </c>
      <c r="D178" s="23" t="s">
        <v>173</v>
      </c>
      <c r="E178" s="23" t="s">
        <v>522</v>
      </c>
      <c r="F178" s="32">
        <v>8092.26</v>
      </c>
      <c r="G178" s="38" t="str">
        <f ca="1">IFERROR(_xludf.XLOOKUP(E178,Bank_Statement!$D$4:$D$448,Bank_Statement!$G$4:$G$448,""),"")</f>
        <v/>
      </c>
      <c r="H178" s="32" t="str">
        <f t="shared" ca="1" si="6"/>
        <v/>
      </c>
      <c r="I178" s="39" t="str">
        <f ca="1">IFERROR(_xludf.XLOOKUP(E178,Bank_Statement!$D$4:$D$448,Bank_Statement!$B$4:$B$448,""),"")</f>
        <v/>
      </c>
      <c r="J178" s="40" t="str">
        <f t="shared" ca="1" si="7"/>
        <v/>
      </c>
      <c r="K178" s="41" t="str">
        <f ca="1">IF(G178="","Unmatched ERP",IF(AND(ABS(H178)&lt;=Mapping_Rules!$B$4,ABS(J178)&lt;=Mapping_Rules!$B$5),"Matched","Review"))</f>
        <v>Unmatched ERP</v>
      </c>
      <c r="L178" s="41" t="str">
        <f ca="1">IF(K178="Matched","None",IF(G178="","Missing from bank",IF(ABS(H178)&gt;Mapping_Rules!$B$4,"Amount variance","Date variance")))</f>
        <v>Missing from bank</v>
      </c>
      <c r="M178" s="41" t="str">
        <f ca="1">IF(K178="Matched","Low",IF(OR(IFERROR(ABS(H178),0)&gt;Mapping_Rules!$B$7,IFERROR(J178,0)&gt;Mapping_Rules!$B$8),"High","Medium"))</f>
        <v>High</v>
      </c>
      <c r="N178" s="41" t="str">
        <f t="shared" ca="1" si="8"/>
        <v>Check bank date or posting</v>
      </c>
      <c r="O178" s="23" t="s">
        <v>158</v>
      </c>
      <c r="P178" s="23" t="s">
        <v>86</v>
      </c>
      <c r="Q178" s="23" t="s">
        <v>1689</v>
      </c>
      <c r="R178" s="42"/>
      <c r="S178" s="43">
        <f ca="1">IF(K178="Matched",0,Mapping_Rules!$B$6-B178)</f>
        <v>30</v>
      </c>
    </row>
    <row r="179" spans="1:19">
      <c r="A179" s="44" t="s">
        <v>523</v>
      </c>
      <c r="B179" s="45">
        <v>46032</v>
      </c>
      <c r="C179" s="44" t="s">
        <v>99</v>
      </c>
      <c r="D179" s="44" t="s">
        <v>182</v>
      </c>
      <c r="E179" s="44" t="s">
        <v>524</v>
      </c>
      <c r="F179" s="46">
        <v>-3966.54</v>
      </c>
      <c r="G179" s="47" t="str">
        <f ca="1">IFERROR(_xludf.XLOOKUP(E179,Bank_Statement!$D$4:$D$448,Bank_Statement!$G$4:$G$448,""),"")</f>
        <v/>
      </c>
      <c r="H179" s="46" t="str">
        <f t="shared" ca="1" si="6"/>
        <v/>
      </c>
      <c r="I179" s="48" t="str">
        <f ca="1">IFERROR(_xludf.XLOOKUP(E179,Bank_Statement!$D$4:$D$448,Bank_Statement!$B$4:$B$448,""),"")</f>
        <v/>
      </c>
      <c r="J179" s="49" t="str">
        <f t="shared" ca="1" si="7"/>
        <v/>
      </c>
      <c r="K179" s="50" t="str">
        <f ca="1">IF(G179="","Unmatched ERP",IF(AND(ABS(H179)&lt;=Mapping_Rules!$B$4,ABS(J179)&lt;=Mapping_Rules!$B$5),"Matched","Review"))</f>
        <v>Unmatched ERP</v>
      </c>
      <c r="L179" s="50" t="str">
        <f ca="1">IF(K179="Matched","None",IF(G179="","Missing from bank",IF(ABS(H179)&gt;Mapping_Rules!$B$4,"Amount variance","Date variance")))</f>
        <v>Missing from bank</v>
      </c>
      <c r="M179" s="50" t="str">
        <f ca="1">IF(K179="Matched","Low",IF(OR(IFERROR(ABS(H179),0)&gt;Mapping_Rules!$B$7,IFERROR(J179,0)&gt;Mapping_Rules!$B$8),"High","Medium"))</f>
        <v>High</v>
      </c>
      <c r="N179" s="50" t="str">
        <f t="shared" ca="1" si="8"/>
        <v>Check bank date or posting</v>
      </c>
      <c r="O179" s="44" t="s">
        <v>185</v>
      </c>
      <c r="P179" s="44" t="s">
        <v>95</v>
      </c>
      <c r="Q179" s="44" t="s">
        <v>1689</v>
      </c>
      <c r="R179" s="51"/>
      <c r="S179" s="52">
        <f ca="1">IF(K179="Matched",0,Mapping_Rules!$B$6-B179)</f>
        <v>21</v>
      </c>
    </row>
    <row r="180" spans="1:19">
      <c r="A180" s="23" t="s">
        <v>525</v>
      </c>
      <c r="B180" s="31">
        <v>46042</v>
      </c>
      <c r="C180" s="23" t="s">
        <v>72</v>
      </c>
      <c r="D180" s="23" t="s">
        <v>150</v>
      </c>
      <c r="E180" s="23" t="s">
        <v>526</v>
      </c>
      <c r="F180" s="32">
        <v>-1024.03</v>
      </c>
      <c r="G180" s="38" t="str">
        <f ca="1">IFERROR(_xludf.XLOOKUP(E180,Bank_Statement!$D$4:$D$448,Bank_Statement!$G$4:$G$448,""),"")</f>
        <v/>
      </c>
      <c r="H180" s="32" t="str">
        <f t="shared" ca="1" si="6"/>
        <v/>
      </c>
      <c r="I180" s="39" t="str">
        <f ca="1">IFERROR(_xludf.XLOOKUP(E180,Bank_Statement!$D$4:$D$448,Bank_Statement!$B$4:$B$448,""),"")</f>
        <v/>
      </c>
      <c r="J180" s="40" t="str">
        <f t="shared" ca="1" si="7"/>
        <v/>
      </c>
      <c r="K180" s="41" t="str">
        <f ca="1">IF(G180="","Unmatched ERP",IF(AND(ABS(H180)&lt;=Mapping_Rules!$B$4,ABS(J180)&lt;=Mapping_Rules!$B$5),"Matched","Review"))</f>
        <v>Unmatched ERP</v>
      </c>
      <c r="L180" s="41" t="str">
        <f ca="1">IF(K180="Matched","None",IF(G180="","Missing from bank",IF(ABS(H180)&gt;Mapping_Rules!$B$4,"Amount variance","Date variance")))</f>
        <v>Missing from bank</v>
      </c>
      <c r="M180" s="41" t="str">
        <f ca="1">IF(K180="Matched","Low",IF(OR(IFERROR(ABS(H180),0)&gt;Mapping_Rules!$B$7,IFERROR(J180,0)&gt;Mapping_Rules!$B$8),"High","Medium"))</f>
        <v>High</v>
      </c>
      <c r="N180" s="41" t="str">
        <f t="shared" ca="1" si="8"/>
        <v>Check bank date or posting</v>
      </c>
      <c r="O180" s="23" t="s">
        <v>131</v>
      </c>
      <c r="P180" s="23" t="s">
        <v>77</v>
      </c>
      <c r="Q180" s="23" t="s">
        <v>1689</v>
      </c>
      <c r="R180" s="42"/>
      <c r="S180" s="43">
        <f ca="1">IF(K180="Matched",0,Mapping_Rules!$B$6-B180)</f>
        <v>11</v>
      </c>
    </row>
    <row r="181" spans="1:19">
      <c r="A181" s="44" t="s">
        <v>527</v>
      </c>
      <c r="B181" s="45">
        <v>46024</v>
      </c>
      <c r="C181" s="44" t="s">
        <v>81</v>
      </c>
      <c r="D181" s="44" t="s">
        <v>155</v>
      </c>
      <c r="E181" s="44" t="s">
        <v>528</v>
      </c>
      <c r="F181" s="46">
        <v>6158.54</v>
      </c>
      <c r="G181" s="47" t="str">
        <f ca="1">IFERROR(_xludf.XLOOKUP(E181,Bank_Statement!$D$4:$D$448,Bank_Statement!$G$4:$G$448,""),"")</f>
        <v/>
      </c>
      <c r="H181" s="46" t="str">
        <f t="shared" ca="1" si="6"/>
        <v/>
      </c>
      <c r="I181" s="48" t="str">
        <f ca="1">IFERROR(_xludf.XLOOKUP(E181,Bank_Statement!$D$4:$D$448,Bank_Statement!$B$4:$B$448,""),"")</f>
        <v/>
      </c>
      <c r="J181" s="49" t="str">
        <f t="shared" ca="1" si="7"/>
        <v/>
      </c>
      <c r="K181" s="50" t="str">
        <f ca="1">IF(G181="","Unmatched ERP",IF(AND(ABS(H181)&lt;=Mapping_Rules!$B$4,ABS(J181)&lt;=Mapping_Rules!$B$5),"Matched","Review"))</f>
        <v>Unmatched ERP</v>
      </c>
      <c r="L181" s="50" t="str">
        <f ca="1">IF(K181="Matched","None",IF(G181="","Missing from bank",IF(ABS(H181)&gt;Mapping_Rules!$B$4,"Amount variance","Date variance")))</f>
        <v>Missing from bank</v>
      </c>
      <c r="M181" s="50" t="str">
        <f ca="1">IF(K181="Matched","Low",IF(OR(IFERROR(ABS(H181),0)&gt;Mapping_Rules!$B$7,IFERROR(J181,0)&gt;Mapping_Rules!$B$8),"High","Medium"))</f>
        <v>High</v>
      </c>
      <c r="N181" s="50" t="str">
        <f t="shared" ca="1" si="8"/>
        <v>Check bank date or posting</v>
      </c>
      <c r="O181" s="44" t="s">
        <v>158</v>
      </c>
      <c r="P181" s="44" t="s">
        <v>86</v>
      </c>
      <c r="Q181" s="44" t="s">
        <v>1689</v>
      </c>
      <c r="R181" s="51"/>
      <c r="S181" s="52">
        <f ca="1">IF(K181="Matched",0,Mapping_Rules!$B$6-B181)</f>
        <v>29</v>
      </c>
    </row>
    <row r="182" spans="1:19">
      <c r="A182" s="23" t="s">
        <v>529</v>
      </c>
      <c r="B182" s="31">
        <v>46030</v>
      </c>
      <c r="C182" s="23" t="s">
        <v>72</v>
      </c>
      <c r="D182" s="23" t="s">
        <v>139</v>
      </c>
      <c r="E182" s="23" t="s">
        <v>530</v>
      </c>
      <c r="F182" s="32">
        <v>-4880.3500000000004</v>
      </c>
      <c r="G182" s="38" t="str">
        <f ca="1">IFERROR(_xludf.XLOOKUP(E182,Bank_Statement!$D$4:$D$448,Bank_Statement!$G$4:$G$448,""),"")</f>
        <v/>
      </c>
      <c r="H182" s="32" t="str">
        <f t="shared" ca="1" si="6"/>
        <v/>
      </c>
      <c r="I182" s="39" t="str">
        <f ca="1">IFERROR(_xludf.XLOOKUP(E182,Bank_Statement!$D$4:$D$448,Bank_Statement!$B$4:$B$448,""),"")</f>
        <v/>
      </c>
      <c r="J182" s="40" t="str">
        <f t="shared" ca="1" si="7"/>
        <v/>
      </c>
      <c r="K182" s="41" t="str">
        <f ca="1">IF(G182="","Unmatched ERP",IF(AND(ABS(H182)&lt;=Mapping_Rules!$B$4,ABS(J182)&lt;=Mapping_Rules!$B$5),"Matched","Review"))</f>
        <v>Unmatched ERP</v>
      </c>
      <c r="L182" s="41" t="str">
        <f ca="1">IF(K182="Matched","None",IF(G182="","Missing from bank",IF(ABS(H182)&gt;Mapping_Rules!$B$4,"Amount variance","Date variance")))</f>
        <v>Missing from bank</v>
      </c>
      <c r="M182" s="41" t="str">
        <f ca="1">IF(K182="Matched","Low",IF(OR(IFERROR(ABS(H182),0)&gt;Mapping_Rules!$B$7,IFERROR(J182,0)&gt;Mapping_Rules!$B$8),"High","Medium"))</f>
        <v>High</v>
      </c>
      <c r="N182" s="41" t="str">
        <f t="shared" ca="1" si="8"/>
        <v>Check bank date or posting</v>
      </c>
      <c r="O182" s="23" t="s">
        <v>131</v>
      </c>
      <c r="P182" s="23" t="s">
        <v>77</v>
      </c>
      <c r="Q182" s="23" t="s">
        <v>1689</v>
      </c>
      <c r="R182" s="42"/>
      <c r="S182" s="43">
        <f ca="1">IF(K182="Matched",0,Mapping_Rules!$B$6-B182)</f>
        <v>23</v>
      </c>
    </row>
    <row r="183" spans="1:19">
      <c r="A183" s="44" t="s">
        <v>531</v>
      </c>
      <c r="B183" s="45">
        <v>46032</v>
      </c>
      <c r="C183" s="44" t="s">
        <v>90</v>
      </c>
      <c r="D183" s="44" t="s">
        <v>173</v>
      </c>
      <c r="E183" s="44" t="s">
        <v>532</v>
      </c>
      <c r="F183" s="46">
        <v>-2660.93</v>
      </c>
      <c r="G183" s="47" t="str">
        <f ca="1">IFERROR(_xludf.XLOOKUP(E183,Bank_Statement!$D$4:$D$448,Bank_Statement!$G$4:$G$448,""),"")</f>
        <v/>
      </c>
      <c r="H183" s="46" t="str">
        <f t="shared" ca="1" si="6"/>
        <v/>
      </c>
      <c r="I183" s="48" t="str">
        <f ca="1">IFERROR(_xludf.XLOOKUP(E183,Bank_Statement!$D$4:$D$448,Bank_Statement!$B$4:$B$448,""),"")</f>
        <v/>
      </c>
      <c r="J183" s="49" t="str">
        <f t="shared" ca="1" si="7"/>
        <v/>
      </c>
      <c r="K183" s="50" t="str">
        <f ca="1">IF(G183="","Unmatched ERP",IF(AND(ABS(H183)&lt;=Mapping_Rules!$B$4,ABS(J183)&lt;=Mapping_Rules!$B$5),"Matched","Review"))</f>
        <v>Unmatched ERP</v>
      </c>
      <c r="L183" s="50" t="str">
        <f ca="1">IF(K183="Matched","None",IF(G183="","Missing from bank",IF(ABS(H183)&gt;Mapping_Rules!$B$4,"Amount variance","Date variance")))</f>
        <v>Missing from bank</v>
      </c>
      <c r="M183" s="50" t="str">
        <f ca="1">IF(K183="Matched","Low",IF(OR(IFERROR(ABS(H183),0)&gt;Mapping_Rules!$B$7,IFERROR(J183,0)&gt;Mapping_Rules!$B$8),"High","Medium"))</f>
        <v>High</v>
      </c>
      <c r="N183" s="50" t="str">
        <f t="shared" ca="1" si="8"/>
        <v>Check bank date or posting</v>
      </c>
      <c r="O183" s="44" t="s">
        <v>225</v>
      </c>
      <c r="P183" s="44" t="s">
        <v>95</v>
      </c>
      <c r="Q183" s="44" t="s">
        <v>1689</v>
      </c>
      <c r="R183" s="51"/>
      <c r="S183" s="52">
        <f ca="1">IF(K183="Matched",0,Mapping_Rules!$B$6-B183)</f>
        <v>21</v>
      </c>
    </row>
    <row r="184" spans="1:19">
      <c r="A184" s="23" t="s">
        <v>533</v>
      </c>
      <c r="B184" s="31">
        <v>46024</v>
      </c>
      <c r="C184" s="23" t="s">
        <v>81</v>
      </c>
      <c r="D184" s="23" t="s">
        <v>214</v>
      </c>
      <c r="E184" s="23" t="s">
        <v>534</v>
      </c>
      <c r="F184" s="32">
        <v>4780.42</v>
      </c>
      <c r="G184" s="38" t="str">
        <f ca="1">IFERROR(_xludf.XLOOKUP(E184,Bank_Statement!$D$4:$D$448,Bank_Statement!$G$4:$G$448,""),"")</f>
        <v/>
      </c>
      <c r="H184" s="32" t="str">
        <f t="shared" ca="1" si="6"/>
        <v/>
      </c>
      <c r="I184" s="39" t="str">
        <f ca="1">IFERROR(_xludf.XLOOKUP(E184,Bank_Statement!$D$4:$D$448,Bank_Statement!$B$4:$B$448,""),"")</f>
        <v/>
      </c>
      <c r="J184" s="40" t="str">
        <f t="shared" ca="1" si="7"/>
        <v/>
      </c>
      <c r="K184" s="41" t="str">
        <f ca="1">IF(G184="","Unmatched ERP",IF(AND(ABS(H184)&lt;=Mapping_Rules!$B$4,ABS(J184)&lt;=Mapping_Rules!$B$5),"Matched","Review"))</f>
        <v>Unmatched ERP</v>
      </c>
      <c r="L184" s="41" t="str">
        <f ca="1">IF(K184="Matched","None",IF(G184="","Missing from bank",IF(ABS(H184)&gt;Mapping_Rules!$B$4,"Amount variance","Date variance")))</f>
        <v>Missing from bank</v>
      </c>
      <c r="M184" s="41" t="str">
        <f ca="1">IF(K184="Matched","Low",IF(OR(IFERROR(ABS(H184),0)&gt;Mapping_Rules!$B$7,IFERROR(J184,0)&gt;Mapping_Rules!$B$8),"High","Medium"))</f>
        <v>High</v>
      </c>
      <c r="N184" s="41" t="str">
        <f t="shared" ca="1" si="8"/>
        <v>Check bank date or posting</v>
      </c>
      <c r="O184" s="23" t="s">
        <v>158</v>
      </c>
      <c r="P184" s="23" t="s">
        <v>86</v>
      </c>
      <c r="Q184" s="23" t="s">
        <v>1689</v>
      </c>
      <c r="R184" s="42"/>
      <c r="S184" s="43">
        <f ca="1">IF(K184="Matched",0,Mapping_Rules!$B$6-B184)</f>
        <v>29</v>
      </c>
    </row>
    <row r="185" spans="1:19">
      <c r="A185" s="44" t="s">
        <v>535</v>
      </c>
      <c r="B185" s="45">
        <v>46032</v>
      </c>
      <c r="C185" s="44" t="s">
        <v>72</v>
      </c>
      <c r="D185" s="44" t="s">
        <v>133</v>
      </c>
      <c r="E185" s="44" t="s">
        <v>536</v>
      </c>
      <c r="F185" s="46">
        <v>-1749.48</v>
      </c>
      <c r="G185" s="47" t="str">
        <f ca="1">IFERROR(_xludf.XLOOKUP(E185,Bank_Statement!$D$4:$D$448,Bank_Statement!$G$4:$G$448,""),"")</f>
        <v/>
      </c>
      <c r="H185" s="46" t="str">
        <f t="shared" ca="1" si="6"/>
        <v/>
      </c>
      <c r="I185" s="48" t="str">
        <f ca="1">IFERROR(_xludf.XLOOKUP(E185,Bank_Statement!$D$4:$D$448,Bank_Statement!$B$4:$B$448,""),"")</f>
        <v/>
      </c>
      <c r="J185" s="49" t="str">
        <f t="shared" ca="1" si="7"/>
        <v/>
      </c>
      <c r="K185" s="50" t="str">
        <f ca="1">IF(G185="","Unmatched ERP",IF(AND(ABS(H185)&lt;=Mapping_Rules!$B$4,ABS(J185)&lt;=Mapping_Rules!$B$5),"Matched","Review"))</f>
        <v>Unmatched ERP</v>
      </c>
      <c r="L185" s="50" t="str">
        <f ca="1">IF(K185="Matched","None",IF(G185="","Missing from bank",IF(ABS(H185)&gt;Mapping_Rules!$B$4,"Amount variance","Date variance")))</f>
        <v>Missing from bank</v>
      </c>
      <c r="M185" s="50" t="str">
        <f ca="1">IF(K185="Matched","Low",IF(OR(IFERROR(ABS(H185),0)&gt;Mapping_Rules!$B$7,IFERROR(J185,0)&gt;Mapping_Rules!$B$8),"High","Medium"))</f>
        <v>High</v>
      </c>
      <c r="N185" s="50" t="str">
        <f t="shared" ca="1" si="8"/>
        <v>Check bank date or posting</v>
      </c>
      <c r="O185" s="44" t="s">
        <v>131</v>
      </c>
      <c r="P185" s="44" t="s">
        <v>77</v>
      </c>
      <c r="Q185" s="44" t="s">
        <v>1689</v>
      </c>
      <c r="R185" s="51"/>
      <c r="S185" s="52">
        <f ca="1">IF(K185="Matched",0,Mapping_Rules!$B$6-B185)</f>
        <v>21</v>
      </c>
    </row>
    <row r="186" spans="1:19">
      <c r="A186" s="23" t="s">
        <v>537</v>
      </c>
      <c r="B186" s="31">
        <v>46025</v>
      </c>
      <c r="C186" s="23" t="s">
        <v>107</v>
      </c>
      <c r="D186" s="23" t="s">
        <v>191</v>
      </c>
      <c r="E186" s="23" t="s">
        <v>538</v>
      </c>
      <c r="F186" s="32">
        <v>-30.53</v>
      </c>
      <c r="G186" s="38" t="str">
        <f ca="1">IFERROR(_xludf.XLOOKUP(E186,Bank_Statement!$D$4:$D$448,Bank_Statement!$G$4:$G$448,""),"")</f>
        <v/>
      </c>
      <c r="H186" s="32" t="str">
        <f t="shared" ca="1" si="6"/>
        <v/>
      </c>
      <c r="I186" s="39" t="str">
        <f ca="1">IFERROR(_xludf.XLOOKUP(E186,Bank_Statement!$D$4:$D$448,Bank_Statement!$B$4:$B$448,""),"")</f>
        <v/>
      </c>
      <c r="J186" s="40" t="str">
        <f t="shared" ca="1" si="7"/>
        <v/>
      </c>
      <c r="K186" s="41" t="str">
        <f ca="1">IF(G186="","Unmatched ERP",IF(AND(ABS(H186)&lt;=Mapping_Rules!$B$4,ABS(J186)&lt;=Mapping_Rules!$B$5),"Matched","Review"))</f>
        <v>Unmatched ERP</v>
      </c>
      <c r="L186" s="41" t="str">
        <f ca="1">IF(K186="Matched","None",IF(G186="","Missing from bank",IF(ABS(H186)&gt;Mapping_Rules!$B$4,"Amount variance","Date variance")))</f>
        <v>Missing from bank</v>
      </c>
      <c r="M186" s="41" t="str">
        <f ca="1">IF(K186="Matched","Low",IF(OR(IFERROR(ABS(H186),0)&gt;Mapping_Rules!$B$7,IFERROR(J186,0)&gt;Mapping_Rules!$B$8),"High","Medium"))</f>
        <v>High</v>
      </c>
      <c r="N186" s="41" t="str">
        <f t="shared" ca="1" si="8"/>
        <v>Check bank date or posting</v>
      </c>
      <c r="O186" s="23" t="s">
        <v>194</v>
      </c>
      <c r="P186" s="23" t="s">
        <v>95</v>
      </c>
      <c r="Q186" s="23" t="s">
        <v>1689</v>
      </c>
      <c r="R186" s="42"/>
      <c r="S186" s="43">
        <f ca="1">IF(K186="Matched",0,Mapping_Rules!$B$6-B186)</f>
        <v>28</v>
      </c>
    </row>
    <row r="187" spans="1:19">
      <c r="A187" s="44" t="s">
        <v>539</v>
      </c>
      <c r="B187" s="45">
        <v>46036</v>
      </c>
      <c r="C187" s="44" t="s">
        <v>72</v>
      </c>
      <c r="D187" s="44" t="s">
        <v>204</v>
      </c>
      <c r="E187" s="44" t="s">
        <v>540</v>
      </c>
      <c r="F187" s="46">
        <v>-2368.64</v>
      </c>
      <c r="G187" s="47" t="str">
        <f ca="1">IFERROR(_xludf.XLOOKUP(E187,Bank_Statement!$D$4:$D$448,Bank_Statement!$G$4:$G$448,""),"")</f>
        <v/>
      </c>
      <c r="H187" s="46" t="str">
        <f t="shared" ca="1" si="6"/>
        <v/>
      </c>
      <c r="I187" s="48" t="str">
        <f ca="1">IFERROR(_xludf.XLOOKUP(E187,Bank_Statement!$D$4:$D$448,Bank_Statement!$B$4:$B$448,""),"")</f>
        <v/>
      </c>
      <c r="J187" s="49" t="str">
        <f t="shared" ca="1" si="7"/>
        <v/>
      </c>
      <c r="K187" s="50" t="str">
        <f ca="1">IF(G187="","Unmatched ERP",IF(AND(ABS(H187)&lt;=Mapping_Rules!$B$4,ABS(J187)&lt;=Mapping_Rules!$B$5),"Matched","Review"))</f>
        <v>Unmatched ERP</v>
      </c>
      <c r="L187" s="50" t="str">
        <f ca="1">IF(K187="Matched","None",IF(G187="","Missing from bank",IF(ABS(H187)&gt;Mapping_Rules!$B$4,"Amount variance","Date variance")))</f>
        <v>Missing from bank</v>
      </c>
      <c r="M187" s="50" t="str">
        <f ca="1">IF(K187="Matched","Low",IF(OR(IFERROR(ABS(H187),0)&gt;Mapping_Rules!$B$7,IFERROR(J187,0)&gt;Mapping_Rules!$B$8),"High","Medium"))</f>
        <v>High</v>
      </c>
      <c r="N187" s="50" t="str">
        <f t="shared" ca="1" si="8"/>
        <v>Check bank date or posting</v>
      </c>
      <c r="O187" s="44" t="s">
        <v>131</v>
      </c>
      <c r="P187" s="44" t="s">
        <v>77</v>
      </c>
      <c r="Q187" s="44" t="s">
        <v>1689</v>
      </c>
      <c r="R187" s="51"/>
      <c r="S187" s="52">
        <f ca="1">IF(K187="Matched",0,Mapping_Rules!$B$6-B187)</f>
        <v>17</v>
      </c>
    </row>
    <row r="188" spans="1:19">
      <c r="A188" s="23" t="s">
        <v>541</v>
      </c>
      <c r="B188" s="31">
        <v>46026</v>
      </c>
      <c r="C188" s="23" t="s">
        <v>99</v>
      </c>
      <c r="D188" s="23" t="s">
        <v>182</v>
      </c>
      <c r="E188" s="23" t="s">
        <v>542</v>
      </c>
      <c r="F188" s="32">
        <v>-11924.43</v>
      </c>
      <c r="G188" s="38" t="str">
        <f ca="1">IFERROR(_xludf.XLOOKUP(E188,Bank_Statement!$D$4:$D$448,Bank_Statement!$G$4:$G$448,""),"")</f>
        <v/>
      </c>
      <c r="H188" s="32" t="str">
        <f t="shared" ca="1" si="6"/>
        <v/>
      </c>
      <c r="I188" s="39" t="str">
        <f ca="1">IFERROR(_xludf.XLOOKUP(E188,Bank_Statement!$D$4:$D$448,Bank_Statement!$B$4:$B$448,""),"")</f>
        <v/>
      </c>
      <c r="J188" s="40" t="str">
        <f t="shared" ca="1" si="7"/>
        <v/>
      </c>
      <c r="K188" s="41" t="str">
        <f ca="1">IF(G188="","Unmatched ERP",IF(AND(ABS(H188)&lt;=Mapping_Rules!$B$4,ABS(J188)&lt;=Mapping_Rules!$B$5),"Matched","Review"))</f>
        <v>Unmatched ERP</v>
      </c>
      <c r="L188" s="41" t="str">
        <f ca="1">IF(K188="Matched","None",IF(G188="","Missing from bank",IF(ABS(H188)&gt;Mapping_Rules!$B$4,"Amount variance","Date variance")))</f>
        <v>Missing from bank</v>
      </c>
      <c r="M188" s="41" t="str">
        <f ca="1">IF(K188="Matched","Low",IF(OR(IFERROR(ABS(H188),0)&gt;Mapping_Rules!$B$7,IFERROR(J188,0)&gt;Mapping_Rules!$B$8),"High","Medium"))</f>
        <v>High</v>
      </c>
      <c r="N188" s="41" t="str">
        <f t="shared" ca="1" si="8"/>
        <v>Check bank date or posting</v>
      </c>
      <c r="O188" s="23" t="s">
        <v>185</v>
      </c>
      <c r="P188" s="23" t="s">
        <v>95</v>
      </c>
      <c r="Q188" s="23" t="s">
        <v>1689</v>
      </c>
      <c r="R188" s="42"/>
      <c r="S188" s="43">
        <f ca="1">IF(K188="Matched",0,Mapping_Rules!$B$6-B188)</f>
        <v>27</v>
      </c>
    </row>
    <row r="189" spans="1:19">
      <c r="A189" s="44" t="s">
        <v>543</v>
      </c>
      <c r="B189" s="45">
        <v>46027</v>
      </c>
      <c r="C189" s="44" t="s">
        <v>90</v>
      </c>
      <c r="D189" s="44" t="s">
        <v>220</v>
      </c>
      <c r="E189" s="44" t="s">
        <v>544</v>
      </c>
      <c r="F189" s="46">
        <v>2270.58</v>
      </c>
      <c r="G189" s="47" t="str">
        <f ca="1">IFERROR(_xludf.XLOOKUP(E189,Bank_Statement!$D$4:$D$448,Bank_Statement!$G$4:$G$448,""),"")</f>
        <v/>
      </c>
      <c r="H189" s="46" t="str">
        <f t="shared" ca="1" si="6"/>
        <v/>
      </c>
      <c r="I189" s="48" t="str">
        <f ca="1">IFERROR(_xludf.XLOOKUP(E189,Bank_Statement!$D$4:$D$448,Bank_Statement!$B$4:$B$448,""),"")</f>
        <v/>
      </c>
      <c r="J189" s="49" t="str">
        <f t="shared" ca="1" si="7"/>
        <v/>
      </c>
      <c r="K189" s="50" t="str">
        <f ca="1">IF(G189="","Unmatched ERP",IF(AND(ABS(H189)&lt;=Mapping_Rules!$B$4,ABS(J189)&lt;=Mapping_Rules!$B$5),"Matched","Review"))</f>
        <v>Unmatched ERP</v>
      </c>
      <c r="L189" s="50" t="str">
        <f ca="1">IF(K189="Matched","None",IF(G189="","Missing from bank",IF(ABS(H189)&gt;Mapping_Rules!$B$4,"Amount variance","Date variance")))</f>
        <v>Missing from bank</v>
      </c>
      <c r="M189" s="50" t="str">
        <f ca="1">IF(K189="Matched","Low",IF(OR(IFERROR(ABS(H189),0)&gt;Mapping_Rules!$B$7,IFERROR(J189,0)&gt;Mapping_Rules!$B$8),"High","Medium"))</f>
        <v>High</v>
      </c>
      <c r="N189" s="50" t="str">
        <f t="shared" ca="1" si="8"/>
        <v>Check bank date or posting</v>
      </c>
      <c r="O189" s="44" t="s">
        <v>158</v>
      </c>
      <c r="P189" s="44" t="s">
        <v>95</v>
      </c>
      <c r="Q189" s="44" t="s">
        <v>1689</v>
      </c>
      <c r="R189" s="51"/>
      <c r="S189" s="52">
        <f ca="1">IF(K189="Matched",0,Mapping_Rules!$B$6-B189)</f>
        <v>26</v>
      </c>
    </row>
    <row r="190" spans="1:19">
      <c r="A190" s="23" t="s">
        <v>545</v>
      </c>
      <c r="B190" s="31">
        <v>46046</v>
      </c>
      <c r="C190" s="23" t="s">
        <v>81</v>
      </c>
      <c r="D190" s="23" t="s">
        <v>163</v>
      </c>
      <c r="E190" s="23" t="s">
        <v>546</v>
      </c>
      <c r="F190" s="32">
        <v>1078.4100000000001</v>
      </c>
      <c r="G190" s="38" t="str">
        <f ca="1">IFERROR(_xludf.XLOOKUP(E190,Bank_Statement!$D$4:$D$448,Bank_Statement!$G$4:$G$448,""),"")</f>
        <v/>
      </c>
      <c r="H190" s="32" t="str">
        <f t="shared" ca="1" si="6"/>
        <v/>
      </c>
      <c r="I190" s="39" t="str">
        <f ca="1">IFERROR(_xludf.XLOOKUP(E190,Bank_Statement!$D$4:$D$448,Bank_Statement!$B$4:$B$448,""),"")</f>
        <v/>
      </c>
      <c r="J190" s="40" t="str">
        <f t="shared" ca="1" si="7"/>
        <v/>
      </c>
      <c r="K190" s="41" t="str">
        <f ca="1">IF(G190="","Unmatched ERP",IF(AND(ABS(H190)&lt;=Mapping_Rules!$B$4,ABS(J190)&lt;=Mapping_Rules!$B$5),"Matched","Review"))</f>
        <v>Unmatched ERP</v>
      </c>
      <c r="L190" s="41" t="str">
        <f ca="1">IF(K190="Matched","None",IF(G190="","Missing from bank",IF(ABS(H190)&gt;Mapping_Rules!$B$4,"Amount variance","Date variance")))</f>
        <v>Missing from bank</v>
      </c>
      <c r="M190" s="41" t="str">
        <f ca="1">IF(K190="Matched","Low",IF(OR(IFERROR(ABS(H190),0)&gt;Mapping_Rules!$B$7,IFERROR(J190,0)&gt;Mapping_Rules!$B$8),"High","Medium"))</f>
        <v>High</v>
      </c>
      <c r="N190" s="41" t="str">
        <f t="shared" ca="1" si="8"/>
        <v>Check bank date or posting</v>
      </c>
      <c r="O190" s="23" t="s">
        <v>158</v>
      </c>
      <c r="P190" s="23" t="s">
        <v>86</v>
      </c>
      <c r="Q190" s="23" t="s">
        <v>1689</v>
      </c>
      <c r="R190" s="42"/>
      <c r="S190" s="43">
        <f ca="1">IF(K190="Matched",0,Mapping_Rules!$B$6-B190)</f>
        <v>7</v>
      </c>
    </row>
    <row r="191" spans="1:19">
      <c r="A191" s="44" t="s">
        <v>547</v>
      </c>
      <c r="B191" s="45">
        <v>46043</v>
      </c>
      <c r="C191" s="44" t="s">
        <v>90</v>
      </c>
      <c r="D191" s="44" t="s">
        <v>220</v>
      </c>
      <c r="E191" s="44" t="s">
        <v>548</v>
      </c>
      <c r="F191" s="46">
        <v>-360.9</v>
      </c>
      <c r="G191" s="47" t="str">
        <f ca="1">IFERROR(_xludf.XLOOKUP(E191,Bank_Statement!$D$4:$D$448,Bank_Statement!$G$4:$G$448,""),"")</f>
        <v/>
      </c>
      <c r="H191" s="46" t="str">
        <f t="shared" ca="1" si="6"/>
        <v/>
      </c>
      <c r="I191" s="48" t="str">
        <f ca="1">IFERROR(_xludf.XLOOKUP(E191,Bank_Statement!$D$4:$D$448,Bank_Statement!$B$4:$B$448,""),"")</f>
        <v/>
      </c>
      <c r="J191" s="49" t="str">
        <f t="shared" ca="1" si="7"/>
        <v/>
      </c>
      <c r="K191" s="50" t="str">
        <f ca="1">IF(G191="","Unmatched ERP",IF(AND(ABS(H191)&lt;=Mapping_Rules!$B$4,ABS(J191)&lt;=Mapping_Rules!$B$5),"Matched","Review"))</f>
        <v>Unmatched ERP</v>
      </c>
      <c r="L191" s="50" t="str">
        <f ca="1">IF(K191="Matched","None",IF(G191="","Missing from bank",IF(ABS(H191)&gt;Mapping_Rules!$B$4,"Amount variance","Date variance")))</f>
        <v>Missing from bank</v>
      </c>
      <c r="M191" s="50" t="str">
        <f ca="1">IF(K191="Matched","Low",IF(OR(IFERROR(ABS(H191),0)&gt;Mapping_Rules!$B$7,IFERROR(J191,0)&gt;Mapping_Rules!$B$8),"High","Medium"))</f>
        <v>High</v>
      </c>
      <c r="N191" s="50" t="str">
        <f t="shared" ca="1" si="8"/>
        <v>Check bank date or posting</v>
      </c>
      <c r="O191" s="44" t="s">
        <v>194</v>
      </c>
      <c r="P191" s="44" t="s">
        <v>95</v>
      </c>
      <c r="Q191" s="44" t="s">
        <v>1689</v>
      </c>
      <c r="R191" s="51"/>
      <c r="S191" s="52">
        <f ca="1">IF(K191="Matched",0,Mapping_Rules!$B$6-B191)</f>
        <v>10</v>
      </c>
    </row>
    <row r="192" spans="1:19">
      <c r="A192" s="23" t="s">
        <v>549</v>
      </c>
      <c r="B192" s="31">
        <v>46032</v>
      </c>
      <c r="C192" s="23" t="s">
        <v>81</v>
      </c>
      <c r="D192" s="23" t="s">
        <v>167</v>
      </c>
      <c r="E192" s="23" t="s">
        <v>550</v>
      </c>
      <c r="F192" s="32">
        <v>3096.01</v>
      </c>
      <c r="G192" s="38" t="str">
        <f ca="1">IFERROR(_xludf.XLOOKUP(E192,Bank_Statement!$D$4:$D$448,Bank_Statement!$G$4:$G$448,""),"")</f>
        <v/>
      </c>
      <c r="H192" s="32" t="str">
        <f t="shared" ca="1" si="6"/>
        <v/>
      </c>
      <c r="I192" s="39" t="str">
        <f ca="1">IFERROR(_xludf.XLOOKUP(E192,Bank_Statement!$D$4:$D$448,Bank_Statement!$B$4:$B$448,""),"")</f>
        <v/>
      </c>
      <c r="J192" s="40" t="str">
        <f t="shared" ca="1" si="7"/>
        <v/>
      </c>
      <c r="K192" s="41" t="str">
        <f ca="1">IF(G192="","Unmatched ERP",IF(AND(ABS(H192)&lt;=Mapping_Rules!$B$4,ABS(J192)&lt;=Mapping_Rules!$B$5),"Matched","Review"))</f>
        <v>Unmatched ERP</v>
      </c>
      <c r="L192" s="41" t="str">
        <f ca="1">IF(K192="Matched","None",IF(G192="","Missing from bank",IF(ABS(H192)&gt;Mapping_Rules!$B$4,"Amount variance","Date variance")))</f>
        <v>Missing from bank</v>
      </c>
      <c r="M192" s="41" t="str">
        <f ca="1">IF(K192="Matched","Low",IF(OR(IFERROR(ABS(H192),0)&gt;Mapping_Rules!$B$7,IFERROR(J192,0)&gt;Mapping_Rules!$B$8),"High","Medium"))</f>
        <v>High</v>
      </c>
      <c r="N192" s="41" t="str">
        <f t="shared" ca="1" si="8"/>
        <v>Check bank date or posting</v>
      </c>
      <c r="O192" s="23" t="s">
        <v>158</v>
      </c>
      <c r="P192" s="23" t="s">
        <v>86</v>
      </c>
      <c r="Q192" s="23" t="s">
        <v>1689</v>
      </c>
      <c r="R192" s="42"/>
      <c r="S192" s="43">
        <f ca="1">IF(K192="Matched",0,Mapping_Rules!$B$6-B192)</f>
        <v>21</v>
      </c>
    </row>
    <row r="193" spans="1:19">
      <c r="A193" s="44" t="s">
        <v>551</v>
      </c>
      <c r="B193" s="45">
        <v>46034</v>
      </c>
      <c r="C193" s="44" t="s">
        <v>72</v>
      </c>
      <c r="D193" s="44" t="s">
        <v>204</v>
      </c>
      <c r="E193" s="44" t="s">
        <v>552</v>
      </c>
      <c r="F193" s="46">
        <v>-3409.78</v>
      </c>
      <c r="G193" s="47" t="str">
        <f ca="1">IFERROR(_xludf.XLOOKUP(E193,Bank_Statement!$D$4:$D$448,Bank_Statement!$G$4:$G$448,""),"")</f>
        <v/>
      </c>
      <c r="H193" s="46" t="str">
        <f t="shared" ca="1" si="6"/>
        <v/>
      </c>
      <c r="I193" s="48" t="str">
        <f ca="1">IFERROR(_xludf.XLOOKUP(E193,Bank_Statement!$D$4:$D$448,Bank_Statement!$B$4:$B$448,""),"")</f>
        <v/>
      </c>
      <c r="J193" s="49" t="str">
        <f t="shared" ca="1" si="7"/>
        <v/>
      </c>
      <c r="K193" s="50" t="str">
        <f ca="1">IF(G193="","Unmatched ERP",IF(AND(ABS(H193)&lt;=Mapping_Rules!$B$4,ABS(J193)&lt;=Mapping_Rules!$B$5),"Matched","Review"))</f>
        <v>Unmatched ERP</v>
      </c>
      <c r="L193" s="50" t="str">
        <f ca="1">IF(K193="Matched","None",IF(G193="","Missing from bank",IF(ABS(H193)&gt;Mapping_Rules!$B$4,"Amount variance","Date variance")))</f>
        <v>Missing from bank</v>
      </c>
      <c r="M193" s="50" t="str">
        <f ca="1">IF(K193="Matched","Low",IF(OR(IFERROR(ABS(H193),0)&gt;Mapping_Rules!$B$7,IFERROR(J193,0)&gt;Mapping_Rules!$B$8),"High","Medium"))</f>
        <v>High</v>
      </c>
      <c r="N193" s="50" t="str">
        <f t="shared" ca="1" si="8"/>
        <v>Check bank date or posting</v>
      </c>
      <c r="O193" s="44" t="s">
        <v>131</v>
      </c>
      <c r="P193" s="44" t="s">
        <v>77</v>
      </c>
      <c r="Q193" s="44" t="s">
        <v>1689</v>
      </c>
      <c r="R193" s="51"/>
      <c r="S193" s="52">
        <f ca="1">IF(K193="Matched",0,Mapping_Rules!$B$6-B193)</f>
        <v>19</v>
      </c>
    </row>
    <row r="194" spans="1:19">
      <c r="A194" s="23" t="s">
        <v>553</v>
      </c>
      <c r="B194" s="31">
        <v>46034</v>
      </c>
      <c r="C194" s="23" t="s">
        <v>72</v>
      </c>
      <c r="D194" s="23" t="s">
        <v>144</v>
      </c>
      <c r="E194" s="23" t="s">
        <v>554</v>
      </c>
      <c r="F194" s="32">
        <v>-2265.41</v>
      </c>
      <c r="G194" s="38" t="str">
        <f ca="1">IFERROR(_xludf.XLOOKUP(E194,Bank_Statement!$D$4:$D$448,Bank_Statement!$G$4:$G$448,""),"")</f>
        <v/>
      </c>
      <c r="H194" s="32" t="str">
        <f t="shared" ca="1" si="6"/>
        <v/>
      </c>
      <c r="I194" s="39" t="str">
        <f ca="1">IFERROR(_xludf.XLOOKUP(E194,Bank_Statement!$D$4:$D$448,Bank_Statement!$B$4:$B$448,""),"")</f>
        <v/>
      </c>
      <c r="J194" s="40" t="str">
        <f t="shared" ca="1" si="7"/>
        <v/>
      </c>
      <c r="K194" s="41" t="str">
        <f ca="1">IF(G194="","Unmatched ERP",IF(AND(ABS(H194)&lt;=Mapping_Rules!$B$4,ABS(J194)&lt;=Mapping_Rules!$B$5),"Matched","Review"))</f>
        <v>Unmatched ERP</v>
      </c>
      <c r="L194" s="41" t="str">
        <f ca="1">IF(K194="Matched","None",IF(G194="","Missing from bank",IF(ABS(H194)&gt;Mapping_Rules!$B$4,"Amount variance","Date variance")))</f>
        <v>Missing from bank</v>
      </c>
      <c r="M194" s="41" t="str">
        <f ca="1">IF(K194="Matched","Low",IF(OR(IFERROR(ABS(H194),0)&gt;Mapping_Rules!$B$7,IFERROR(J194,0)&gt;Mapping_Rules!$B$8),"High","Medium"))</f>
        <v>High</v>
      </c>
      <c r="N194" s="41" t="str">
        <f t="shared" ca="1" si="8"/>
        <v>Check bank date or posting</v>
      </c>
      <c r="O194" s="23" t="s">
        <v>131</v>
      </c>
      <c r="P194" s="23" t="s">
        <v>77</v>
      </c>
      <c r="Q194" s="23" t="s">
        <v>1689</v>
      </c>
      <c r="R194" s="42"/>
      <c r="S194" s="43">
        <f ca="1">IF(K194="Matched",0,Mapping_Rules!$B$6-B194)</f>
        <v>19</v>
      </c>
    </row>
    <row r="195" spans="1:19">
      <c r="A195" s="44" t="s">
        <v>555</v>
      </c>
      <c r="B195" s="45">
        <v>46046</v>
      </c>
      <c r="C195" s="44" t="s">
        <v>90</v>
      </c>
      <c r="D195" s="44" t="s">
        <v>208</v>
      </c>
      <c r="E195" s="44" t="s">
        <v>556</v>
      </c>
      <c r="F195" s="46">
        <v>-269.45999999999998</v>
      </c>
      <c r="G195" s="47" t="str">
        <f ca="1">IFERROR(_xludf.XLOOKUP(E195,Bank_Statement!$D$4:$D$448,Bank_Statement!$G$4:$G$448,""),"")</f>
        <v/>
      </c>
      <c r="H195" s="46" t="str">
        <f t="shared" ca="1" si="6"/>
        <v/>
      </c>
      <c r="I195" s="48" t="str">
        <f ca="1">IFERROR(_xludf.XLOOKUP(E195,Bank_Statement!$D$4:$D$448,Bank_Statement!$B$4:$B$448,""),"")</f>
        <v/>
      </c>
      <c r="J195" s="49" t="str">
        <f t="shared" ca="1" si="7"/>
        <v/>
      </c>
      <c r="K195" s="50" t="str">
        <f ca="1">IF(G195="","Unmatched ERP",IF(AND(ABS(H195)&lt;=Mapping_Rules!$B$4,ABS(J195)&lt;=Mapping_Rules!$B$5),"Matched","Review"))</f>
        <v>Unmatched ERP</v>
      </c>
      <c r="L195" s="50" t="str">
        <f ca="1">IF(K195="Matched","None",IF(G195="","Missing from bank",IF(ABS(H195)&gt;Mapping_Rules!$B$4,"Amount variance","Date variance")))</f>
        <v>Missing from bank</v>
      </c>
      <c r="M195" s="50" t="str">
        <f ca="1">IF(K195="Matched","Low",IF(OR(IFERROR(ABS(H195),0)&gt;Mapping_Rules!$B$7,IFERROR(J195,0)&gt;Mapping_Rules!$B$8),"High","Medium"))</f>
        <v>High</v>
      </c>
      <c r="N195" s="50" t="str">
        <f t="shared" ca="1" si="8"/>
        <v>Check bank date or posting</v>
      </c>
      <c r="O195" s="44" t="s">
        <v>131</v>
      </c>
      <c r="P195" s="44" t="s">
        <v>95</v>
      </c>
      <c r="Q195" s="44" t="s">
        <v>1689</v>
      </c>
      <c r="R195" s="51"/>
      <c r="S195" s="52">
        <f ca="1">IF(K195="Matched",0,Mapping_Rules!$B$6-B195)</f>
        <v>7</v>
      </c>
    </row>
    <row r="196" spans="1:19">
      <c r="A196" s="23" t="s">
        <v>557</v>
      </c>
      <c r="B196" s="31">
        <v>46047</v>
      </c>
      <c r="C196" s="23" t="s">
        <v>107</v>
      </c>
      <c r="D196" s="23" t="s">
        <v>191</v>
      </c>
      <c r="E196" s="23" t="s">
        <v>558</v>
      </c>
      <c r="F196" s="32">
        <v>-9.25</v>
      </c>
      <c r="G196" s="38" t="str">
        <f ca="1">IFERROR(_xludf.XLOOKUP(E196,Bank_Statement!$D$4:$D$448,Bank_Statement!$G$4:$G$448,""),"")</f>
        <v/>
      </c>
      <c r="H196" s="32" t="str">
        <f t="shared" ref="H196:H259" ca="1" si="9">IF(G196="","",F196-G196)</f>
        <v/>
      </c>
      <c r="I196" s="39" t="str">
        <f ca="1">IFERROR(_xludf.XLOOKUP(E196,Bank_Statement!$D$4:$D$448,Bank_Statement!$B$4:$B$448,""),"")</f>
        <v/>
      </c>
      <c r="J196" s="40" t="str">
        <f t="shared" ref="J196:J259" ca="1" si="10">IF(I196="","",ABS(B196-I196))</f>
        <v/>
      </c>
      <c r="K196" s="41" t="str">
        <f ca="1">IF(G196="","Unmatched ERP",IF(AND(ABS(H196)&lt;=Mapping_Rules!$B$4,ABS(J196)&lt;=Mapping_Rules!$B$5),"Matched","Review"))</f>
        <v>Unmatched ERP</v>
      </c>
      <c r="L196" s="41" t="str">
        <f ca="1">IF(K196="Matched","None",IF(G196="","Missing from bank",IF(ABS(H196)&gt;Mapping_Rules!$B$4,"Amount variance","Date variance")))</f>
        <v>Missing from bank</v>
      </c>
      <c r="M196" s="41" t="str">
        <f ca="1">IF(K196="Matched","Low",IF(OR(IFERROR(ABS(H196),0)&gt;Mapping_Rules!$B$7,IFERROR(J196,0)&gt;Mapping_Rules!$B$8),"High","Medium"))</f>
        <v>High</v>
      </c>
      <c r="N196" s="41" t="str">
        <f t="shared" ref="N196:N259" ca="1" si="11">IF(K196="Matched","No action needed",IF(L196="Missing from bank","Check bank date or posting",IF(L196="Amount variance","Check invoice/payment amount","Check timing difference")))</f>
        <v>Check bank date or posting</v>
      </c>
      <c r="O196" s="23" t="s">
        <v>194</v>
      </c>
      <c r="P196" s="23" t="s">
        <v>95</v>
      </c>
      <c r="Q196" s="23" t="s">
        <v>1689</v>
      </c>
      <c r="R196" s="42"/>
      <c r="S196" s="43">
        <f ca="1">IF(K196="Matched",0,Mapping_Rules!$B$6-B196)</f>
        <v>6</v>
      </c>
    </row>
    <row r="197" spans="1:19">
      <c r="A197" s="44" t="s">
        <v>559</v>
      </c>
      <c r="B197" s="45">
        <v>46032</v>
      </c>
      <c r="C197" s="44" t="s">
        <v>81</v>
      </c>
      <c r="D197" s="44" t="s">
        <v>167</v>
      </c>
      <c r="E197" s="44" t="s">
        <v>560</v>
      </c>
      <c r="F197" s="46">
        <v>4102.8900000000003</v>
      </c>
      <c r="G197" s="47" t="str">
        <f ca="1">IFERROR(_xludf.XLOOKUP(E197,Bank_Statement!$D$4:$D$448,Bank_Statement!$G$4:$G$448,""),"")</f>
        <v/>
      </c>
      <c r="H197" s="46" t="str">
        <f t="shared" ca="1" si="9"/>
        <v/>
      </c>
      <c r="I197" s="48" t="str">
        <f ca="1">IFERROR(_xludf.XLOOKUP(E197,Bank_Statement!$D$4:$D$448,Bank_Statement!$B$4:$B$448,""),"")</f>
        <v/>
      </c>
      <c r="J197" s="49" t="str">
        <f t="shared" ca="1" si="10"/>
        <v/>
      </c>
      <c r="K197" s="50" t="str">
        <f ca="1">IF(G197="","Unmatched ERP",IF(AND(ABS(H197)&lt;=Mapping_Rules!$B$4,ABS(J197)&lt;=Mapping_Rules!$B$5),"Matched","Review"))</f>
        <v>Unmatched ERP</v>
      </c>
      <c r="L197" s="50" t="str">
        <f ca="1">IF(K197="Matched","None",IF(G197="","Missing from bank",IF(ABS(H197)&gt;Mapping_Rules!$B$4,"Amount variance","Date variance")))</f>
        <v>Missing from bank</v>
      </c>
      <c r="M197" s="50" t="str">
        <f ca="1">IF(K197="Matched","Low",IF(OR(IFERROR(ABS(H197),0)&gt;Mapping_Rules!$B$7,IFERROR(J197,0)&gt;Mapping_Rules!$B$8),"High","Medium"))</f>
        <v>High</v>
      </c>
      <c r="N197" s="50" t="str">
        <f t="shared" ca="1" si="11"/>
        <v>Check bank date or posting</v>
      </c>
      <c r="O197" s="44" t="s">
        <v>158</v>
      </c>
      <c r="P197" s="44" t="s">
        <v>86</v>
      </c>
      <c r="Q197" s="44" t="s">
        <v>1689</v>
      </c>
      <c r="R197" s="51"/>
      <c r="S197" s="52">
        <f ca="1">IF(K197="Matched",0,Mapping_Rules!$B$6-B197)</f>
        <v>21</v>
      </c>
    </row>
    <row r="198" spans="1:19">
      <c r="A198" s="23" t="s">
        <v>561</v>
      </c>
      <c r="B198" s="31">
        <v>46033</v>
      </c>
      <c r="C198" s="23" t="s">
        <v>72</v>
      </c>
      <c r="D198" s="23" t="s">
        <v>139</v>
      </c>
      <c r="E198" s="23" t="s">
        <v>562</v>
      </c>
      <c r="F198" s="32">
        <v>-2332.2800000000002</v>
      </c>
      <c r="G198" s="38" t="str">
        <f ca="1">IFERROR(_xludf.XLOOKUP(E198,Bank_Statement!$D$4:$D$448,Bank_Statement!$G$4:$G$448,""),"")</f>
        <v/>
      </c>
      <c r="H198" s="32" t="str">
        <f t="shared" ca="1" si="9"/>
        <v/>
      </c>
      <c r="I198" s="39" t="str">
        <f ca="1">IFERROR(_xludf.XLOOKUP(E198,Bank_Statement!$D$4:$D$448,Bank_Statement!$B$4:$B$448,""),"")</f>
        <v/>
      </c>
      <c r="J198" s="40" t="str">
        <f t="shared" ca="1" si="10"/>
        <v/>
      </c>
      <c r="K198" s="41" t="str">
        <f ca="1">IF(G198="","Unmatched ERP",IF(AND(ABS(H198)&lt;=Mapping_Rules!$B$4,ABS(J198)&lt;=Mapping_Rules!$B$5),"Matched","Review"))</f>
        <v>Unmatched ERP</v>
      </c>
      <c r="L198" s="41" t="str">
        <f ca="1">IF(K198="Matched","None",IF(G198="","Missing from bank",IF(ABS(H198)&gt;Mapping_Rules!$B$4,"Amount variance","Date variance")))</f>
        <v>Missing from bank</v>
      </c>
      <c r="M198" s="41" t="str">
        <f ca="1">IF(K198="Matched","Low",IF(OR(IFERROR(ABS(H198),0)&gt;Mapping_Rules!$B$7,IFERROR(J198,0)&gt;Mapping_Rules!$B$8),"High","Medium"))</f>
        <v>High</v>
      </c>
      <c r="N198" s="41" t="str">
        <f t="shared" ca="1" si="11"/>
        <v>Check bank date or posting</v>
      </c>
      <c r="O198" s="23" t="s">
        <v>131</v>
      </c>
      <c r="P198" s="23" t="s">
        <v>77</v>
      </c>
      <c r="Q198" s="23" t="s">
        <v>1689</v>
      </c>
      <c r="R198" s="42"/>
      <c r="S198" s="43">
        <f ca="1">IF(K198="Matched",0,Mapping_Rules!$B$6-B198)</f>
        <v>20</v>
      </c>
    </row>
    <row r="199" spans="1:19">
      <c r="A199" s="44" t="s">
        <v>563</v>
      </c>
      <c r="B199" s="45">
        <v>46035</v>
      </c>
      <c r="C199" s="44" t="s">
        <v>72</v>
      </c>
      <c r="D199" s="44" t="s">
        <v>133</v>
      </c>
      <c r="E199" s="44" t="s">
        <v>564</v>
      </c>
      <c r="F199" s="46">
        <v>-3116.76</v>
      </c>
      <c r="G199" s="47" t="str">
        <f ca="1">IFERROR(_xludf.XLOOKUP(E199,Bank_Statement!$D$4:$D$448,Bank_Statement!$G$4:$G$448,""),"")</f>
        <v/>
      </c>
      <c r="H199" s="46" t="str">
        <f t="shared" ca="1" si="9"/>
        <v/>
      </c>
      <c r="I199" s="48" t="str">
        <f ca="1">IFERROR(_xludf.XLOOKUP(E199,Bank_Statement!$D$4:$D$448,Bank_Statement!$B$4:$B$448,""),"")</f>
        <v/>
      </c>
      <c r="J199" s="49" t="str">
        <f t="shared" ca="1" si="10"/>
        <v/>
      </c>
      <c r="K199" s="50" t="str">
        <f ca="1">IF(G199="","Unmatched ERP",IF(AND(ABS(H199)&lt;=Mapping_Rules!$B$4,ABS(J199)&lt;=Mapping_Rules!$B$5),"Matched","Review"))</f>
        <v>Unmatched ERP</v>
      </c>
      <c r="L199" s="50" t="str">
        <f ca="1">IF(K199="Matched","None",IF(G199="","Missing from bank",IF(ABS(H199)&gt;Mapping_Rules!$B$4,"Amount variance","Date variance")))</f>
        <v>Missing from bank</v>
      </c>
      <c r="M199" s="50" t="str">
        <f ca="1">IF(K199="Matched","Low",IF(OR(IFERROR(ABS(H199),0)&gt;Mapping_Rules!$B$7,IFERROR(J199,0)&gt;Mapping_Rules!$B$8),"High","Medium"))</f>
        <v>High</v>
      </c>
      <c r="N199" s="50" t="str">
        <f t="shared" ca="1" si="11"/>
        <v>Check bank date or posting</v>
      </c>
      <c r="O199" s="44" t="s">
        <v>131</v>
      </c>
      <c r="P199" s="44" t="s">
        <v>77</v>
      </c>
      <c r="Q199" s="44" t="s">
        <v>1689</v>
      </c>
      <c r="R199" s="51"/>
      <c r="S199" s="52">
        <f ca="1">IF(K199="Matched",0,Mapping_Rules!$B$6-B199)</f>
        <v>18</v>
      </c>
    </row>
    <row r="200" spans="1:19">
      <c r="A200" s="23" t="s">
        <v>565</v>
      </c>
      <c r="B200" s="31">
        <v>46039</v>
      </c>
      <c r="C200" s="23" t="s">
        <v>72</v>
      </c>
      <c r="D200" s="23" t="s">
        <v>144</v>
      </c>
      <c r="E200" s="23" t="s">
        <v>566</v>
      </c>
      <c r="F200" s="32">
        <v>-4529.74</v>
      </c>
      <c r="G200" s="38" t="str">
        <f ca="1">IFERROR(_xludf.XLOOKUP(E200,Bank_Statement!$D$4:$D$448,Bank_Statement!$G$4:$G$448,""),"")</f>
        <v/>
      </c>
      <c r="H200" s="32" t="str">
        <f t="shared" ca="1" si="9"/>
        <v/>
      </c>
      <c r="I200" s="39" t="str">
        <f ca="1">IFERROR(_xludf.XLOOKUP(E200,Bank_Statement!$D$4:$D$448,Bank_Statement!$B$4:$B$448,""),"")</f>
        <v/>
      </c>
      <c r="J200" s="40" t="str">
        <f t="shared" ca="1" si="10"/>
        <v/>
      </c>
      <c r="K200" s="41" t="str">
        <f ca="1">IF(G200="","Unmatched ERP",IF(AND(ABS(H200)&lt;=Mapping_Rules!$B$4,ABS(J200)&lt;=Mapping_Rules!$B$5),"Matched","Review"))</f>
        <v>Unmatched ERP</v>
      </c>
      <c r="L200" s="41" t="str">
        <f ca="1">IF(K200="Matched","None",IF(G200="","Missing from bank",IF(ABS(H200)&gt;Mapping_Rules!$B$4,"Amount variance","Date variance")))</f>
        <v>Missing from bank</v>
      </c>
      <c r="M200" s="41" t="str">
        <f ca="1">IF(K200="Matched","Low",IF(OR(IFERROR(ABS(H200),0)&gt;Mapping_Rules!$B$7,IFERROR(J200,0)&gt;Mapping_Rules!$B$8),"High","Medium"))</f>
        <v>High</v>
      </c>
      <c r="N200" s="41" t="str">
        <f t="shared" ca="1" si="11"/>
        <v>Check bank date or posting</v>
      </c>
      <c r="O200" s="23" t="s">
        <v>131</v>
      </c>
      <c r="P200" s="23" t="s">
        <v>77</v>
      </c>
      <c r="Q200" s="23" t="s">
        <v>1689</v>
      </c>
      <c r="R200" s="42"/>
      <c r="S200" s="43">
        <f ca="1">IF(K200="Matched",0,Mapping_Rules!$B$6-B200)</f>
        <v>14</v>
      </c>
    </row>
    <row r="201" spans="1:19">
      <c r="A201" s="44" t="s">
        <v>567</v>
      </c>
      <c r="B201" s="45">
        <v>46033</v>
      </c>
      <c r="C201" s="44" t="s">
        <v>72</v>
      </c>
      <c r="D201" s="44" t="s">
        <v>208</v>
      </c>
      <c r="E201" s="44" t="s">
        <v>568</v>
      </c>
      <c r="F201" s="46">
        <v>-4124.83</v>
      </c>
      <c r="G201" s="47" t="str">
        <f ca="1">IFERROR(_xludf.XLOOKUP(E201,Bank_Statement!$D$4:$D$448,Bank_Statement!$G$4:$G$448,""),"")</f>
        <v/>
      </c>
      <c r="H201" s="46" t="str">
        <f t="shared" ca="1" si="9"/>
        <v/>
      </c>
      <c r="I201" s="48" t="str">
        <f ca="1">IFERROR(_xludf.XLOOKUP(E201,Bank_Statement!$D$4:$D$448,Bank_Statement!$B$4:$B$448,""),"")</f>
        <v/>
      </c>
      <c r="J201" s="49" t="str">
        <f t="shared" ca="1" si="10"/>
        <v/>
      </c>
      <c r="K201" s="50" t="str">
        <f ca="1">IF(G201="","Unmatched ERP",IF(AND(ABS(H201)&lt;=Mapping_Rules!$B$4,ABS(J201)&lt;=Mapping_Rules!$B$5),"Matched","Review"))</f>
        <v>Unmatched ERP</v>
      </c>
      <c r="L201" s="50" t="str">
        <f ca="1">IF(K201="Matched","None",IF(G201="","Missing from bank",IF(ABS(H201)&gt;Mapping_Rules!$B$4,"Amount variance","Date variance")))</f>
        <v>Missing from bank</v>
      </c>
      <c r="M201" s="50" t="str">
        <f ca="1">IF(K201="Matched","Low",IF(OR(IFERROR(ABS(H201),0)&gt;Mapping_Rules!$B$7,IFERROR(J201,0)&gt;Mapping_Rules!$B$8),"High","Medium"))</f>
        <v>High</v>
      </c>
      <c r="N201" s="50" t="str">
        <f t="shared" ca="1" si="11"/>
        <v>Check bank date or posting</v>
      </c>
      <c r="O201" s="44" t="s">
        <v>131</v>
      </c>
      <c r="P201" s="44" t="s">
        <v>77</v>
      </c>
      <c r="Q201" s="44" t="s">
        <v>1689</v>
      </c>
      <c r="R201" s="51"/>
      <c r="S201" s="52">
        <f ca="1">IF(K201="Matched",0,Mapping_Rules!$B$6-B201)</f>
        <v>20</v>
      </c>
    </row>
    <row r="202" spans="1:19">
      <c r="A202" s="23" t="s">
        <v>569</v>
      </c>
      <c r="B202" s="31">
        <v>46037</v>
      </c>
      <c r="C202" s="23" t="s">
        <v>81</v>
      </c>
      <c r="D202" s="23" t="s">
        <v>220</v>
      </c>
      <c r="E202" s="23" t="s">
        <v>570</v>
      </c>
      <c r="F202" s="32">
        <v>6218.9</v>
      </c>
      <c r="G202" s="38" t="str">
        <f ca="1">IFERROR(_xludf.XLOOKUP(E202,Bank_Statement!$D$4:$D$448,Bank_Statement!$G$4:$G$448,""),"")</f>
        <v/>
      </c>
      <c r="H202" s="32" t="str">
        <f t="shared" ca="1" si="9"/>
        <v/>
      </c>
      <c r="I202" s="39" t="str">
        <f ca="1">IFERROR(_xludf.XLOOKUP(E202,Bank_Statement!$D$4:$D$448,Bank_Statement!$B$4:$B$448,""),"")</f>
        <v/>
      </c>
      <c r="J202" s="40" t="str">
        <f t="shared" ca="1" si="10"/>
        <v/>
      </c>
      <c r="K202" s="41" t="str">
        <f ca="1">IF(G202="","Unmatched ERP",IF(AND(ABS(H202)&lt;=Mapping_Rules!$B$4,ABS(J202)&lt;=Mapping_Rules!$B$5),"Matched","Review"))</f>
        <v>Unmatched ERP</v>
      </c>
      <c r="L202" s="41" t="str">
        <f ca="1">IF(K202="Matched","None",IF(G202="","Missing from bank",IF(ABS(H202)&gt;Mapping_Rules!$B$4,"Amount variance","Date variance")))</f>
        <v>Missing from bank</v>
      </c>
      <c r="M202" s="41" t="str">
        <f ca="1">IF(K202="Matched","Low",IF(OR(IFERROR(ABS(H202),0)&gt;Mapping_Rules!$B$7,IFERROR(J202,0)&gt;Mapping_Rules!$B$8),"High","Medium"))</f>
        <v>High</v>
      </c>
      <c r="N202" s="41" t="str">
        <f t="shared" ca="1" si="11"/>
        <v>Check bank date or posting</v>
      </c>
      <c r="O202" s="23" t="s">
        <v>158</v>
      </c>
      <c r="P202" s="23" t="s">
        <v>86</v>
      </c>
      <c r="Q202" s="23" t="s">
        <v>1689</v>
      </c>
      <c r="R202" s="42"/>
      <c r="S202" s="43">
        <f ca="1">IF(K202="Matched",0,Mapping_Rules!$B$6-B202)</f>
        <v>16</v>
      </c>
    </row>
    <row r="203" spans="1:19">
      <c r="A203" s="44" t="s">
        <v>571</v>
      </c>
      <c r="B203" s="45">
        <v>46031</v>
      </c>
      <c r="C203" s="44" t="s">
        <v>81</v>
      </c>
      <c r="D203" s="44" t="s">
        <v>220</v>
      </c>
      <c r="E203" s="44" t="s">
        <v>572</v>
      </c>
      <c r="F203" s="46">
        <v>776.59</v>
      </c>
      <c r="G203" s="47" t="str">
        <f ca="1">IFERROR(_xludf.XLOOKUP(E203,Bank_Statement!$D$4:$D$448,Bank_Statement!$G$4:$G$448,""),"")</f>
        <v/>
      </c>
      <c r="H203" s="46" t="str">
        <f t="shared" ca="1" si="9"/>
        <v/>
      </c>
      <c r="I203" s="48" t="str">
        <f ca="1">IFERROR(_xludf.XLOOKUP(E203,Bank_Statement!$D$4:$D$448,Bank_Statement!$B$4:$B$448,""),"")</f>
        <v/>
      </c>
      <c r="J203" s="49" t="str">
        <f t="shared" ca="1" si="10"/>
        <v/>
      </c>
      <c r="K203" s="50" t="str">
        <f ca="1">IF(G203="","Unmatched ERP",IF(AND(ABS(H203)&lt;=Mapping_Rules!$B$4,ABS(J203)&lt;=Mapping_Rules!$B$5),"Matched","Review"))</f>
        <v>Unmatched ERP</v>
      </c>
      <c r="L203" s="50" t="str">
        <f ca="1">IF(K203="Matched","None",IF(G203="","Missing from bank",IF(ABS(H203)&gt;Mapping_Rules!$B$4,"Amount variance","Date variance")))</f>
        <v>Missing from bank</v>
      </c>
      <c r="M203" s="50" t="str">
        <f ca="1">IF(K203="Matched","Low",IF(OR(IFERROR(ABS(H203),0)&gt;Mapping_Rules!$B$7,IFERROR(J203,0)&gt;Mapping_Rules!$B$8),"High","Medium"))</f>
        <v>High</v>
      </c>
      <c r="N203" s="50" t="str">
        <f t="shared" ca="1" si="11"/>
        <v>Check bank date or posting</v>
      </c>
      <c r="O203" s="44" t="s">
        <v>158</v>
      </c>
      <c r="P203" s="44" t="s">
        <v>86</v>
      </c>
      <c r="Q203" s="44" t="s">
        <v>1689</v>
      </c>
      <c r="R203" s="51"/>
      <c r="S203" s="52">
        <f ca="1">IF(K203="Matched",0,Mapping_Rules!$B$6-B203)</f>
        <v>22</v>
      </c>
    </row>
    <row r="204" spans="1:19">
      <c r="A204" s="23" t="s">
        <v>573</v>
      </c>
      <c r="B204" s="31">
        <v>46027</v>
      </c>
      <c r="C204" s="23" t="s">
        <v>99</v>
      </c>
      <c r="D204" s="23" t="s">
        <v>182</v>
      </c>
      <c r="E204" s="23" t="s">
        <v>574</v>
      </c>
      <c r="F204" s="32">
        <v>-12332.29</v>
      </c>
      <c r="G204" s="38" t="str">
        <f ca="1">IFERROR(_xludf.XLOOKUP(E204,Bank_Statement!$D$4:$D$448,Bank_Statement!$G$4:$G$448,""),"")</f>
        <v/>
      </c>
      <c r="H204" s="32" t="str">
        <f t="shared" ca="1" si="9"/>
        <v/>
      </c>
      <c r="I204" s="39" t="str">
        <f ca="1">IFERROR(_xludf.XLOOKUP(E204,Bank_Statement!$D$4:$D$448,Bank_Statement!$B$4:$B$448,""),"")</f>
        <v/>
      </c>
      <c r="J204" s="40" t="str">
        <f t="shared" ca="1" si="10"/>
        <v/>
      </c>
      <c r="K204" s="41" t="str">
        <f ca="1">IF(G204="","Unmatched ERP",IF(AND(ABS(H204)&lt;=Mapping_Rules!$B$4,ABS(J204)&lt;=Mapping_Rules!$B$5),"Matched","Review"))</f>
        <v>Unmatched ERP</v>
      </c>
      <c r="L204" s="41" t="str">
        <f ca="1">IF(K204="Matched","None",IF(G204="","Missing from bank",IF(ABS(H204)&gt;Mapping_Rules!$B$4,"Amount variance","Date variance")))</f>
        <v>Missing from bank</v>
      </c>
      <c r="M204" s="41" t="str">
        <f ca="1">IF(K204="Matched","Low",IF(OR(IFERROR(ABS(H204),0)&gt;Mapping_Rules!$B$7,IFERROR(J204,0)&gt;Mapping_Rules!$B$8),"High","Medium"))</f>
        <v>High</v>
      </c>
      <c r="N204" s="41" t="str">
        <f t="shared" ca="1" si="11"/>
        <v>Check bank date or posting</v>
      </c>
      <c r="O204" s="23" t="s">
        <v>185</v>
      </c>
      <c r="P204" s="23" t="s">
        <v>95</v>
      </c>
      <c r="Q204" s="23" t="s">
        <v>1689</v>
      </c>
      <c r="R204" s="42"/>
      <c r="S204" s="43">
        <f ca="1">IF(K204="Matched",0,Mapping_Rules!$B$6-B204)</f>
        <v>26</v>
      </c>
    </row>
    <row r="205" spans="1:19">
      <c r="A205" s="44" t="s">
        <v>575</v>
      </c>
      <c r="B205" s="45">
        <v>46034</v>
      </c>
      <c r="C205" s="44" t="s">
        <v>81</v>
      </c>
      <c r="D205" s="44" t="s">
        <v>167</v>
      </c>
      <c r="E205" s="44" t="s">
        <v>576</v>
      </c>
      <c r="F205" s="46">
        <v>420.42</v>
      </c>
      <c r="G205" s="47" t="str">
        <f ca="1">IFERROR(_xludf.XLOOKUP(E205,Bank_Statement!$D$4:$D$448,Bank_Statement!$G$4:$G$448,""),"")</f>
        <v/>
      </c>
      <c r="H205" s="46" t="str">
        <f t="shared" ca="1" si="9"/>
        <v/>
      </c>
      <c r="I205" s="48" t="str">
        <f ca="1">IFERROR(_xludf.XLOOKUP(E205,Bank_Statement!$D$4:$D$448,Bank_Statement!$B$4:$B$448,""),"")</f>
        <v/>
      </c>
      <c r="J205" s="49" t="str">
        <f t="shared" ca="1" si="10"/>
        <v/>
      </c>
      <c r="K205" s="50" t="str">
        <f ca="1">IF(G205="","Unmatched ERP",IF(AND(ABS(H205)&lt;=Mapping_Rules!$B$4,ABS(J205)&lt;=Mapping_Rules!$B$5),"Matched","Review"))</f>
        <v>Unmatched ERP</v>
      </c>
      <c r="L205" s="50" t="str">
        <f ca="1">IF(K205="Matched","None",IF(G205="","Missing from bank",IF(ABS(H205)&gt;Mapping_Rules!$B$4,"Amount variance","Date variance")))</f>
        <v>Missing from bank</v>
      </c>
      <c r="M205" s="50" t="str">
        <f ca="1">IF(K205="Matched","Low",IF(OR(IFERROR(ABS(H205),0)&gt;Mapping_Rules!$B$7,IFERROR(J205,0)&gt;Mapping_Rules!$B$8),"High","Medium"))</f>
        <v>High</v>
      </c>
      <c r="N205" s="50" t="str">
        <f t="shared" ca="1" si="11"/>
        <v>Check bank date or posting</v>
      </c>
      <c r="O205" s="44" t="s">
        <v>158</v>
      </c>
      <c r="P205" s="44" t="s">
        <v>86</v>
      </c>
      <c r="Q205" s="44" t="s">
        <v>1689</v>
      </c>
      <c r="R205" s="51"/>
      <c r="S205" s="52">
        <f ca="1">IF(K205="Matched",0,Mapping_Rules!$B$6-B205)</f>
        <v>19</v>
      </c>
    </row>
    <row r="206" spans="1:19">
      <c r="A206" s="23" t="s">
        <v>577</v>
      </c>
      <c r="B206" s="31">
        <v>46034</v>
      </c>
      <c r="C206" s="23" t="s">
        <v>81</v>
      </c>
      <c r="D206" s="23" t="s">
        <v>220</v>
      </c>
      <c r="E206" s="23" t="s">
        <v>578</v>
      </c>
      <c r="F206" s="32">
        <v>4942.25</v>
      </c>
      <c r="G206" s="38" t="str">
        <f ca="1">IFERROR(_xludf.XLOOKUP(E206,Bank_Statement!$D$4:$D$448,Bank_Statement!$G$4:$G$448,""),"")</f>
        <v/>
      </c>
      <c r="H206" s="32" t="str">
        <f t="shared" ca="1" si="9"/>
        <v/>
      </c>
      <c r="I206" s="39" t="str">
        <f ca="1">IFERROR(_xludf.XLOOKUP(E206,Bank_Statement!$D$4:$D$448,Bank_Statement!$B$4:$B$448,""),"")</f>
        <v/>
      </c>
      <c r="J206" s="40" t="str">
        <f t="shared" ca="1" si="10"/>
        <v/>
      </c>
      <c r="K206" s="41" t="str">
        <f ca="1">IF(G206="","Unmatched ERP",IF(AND(ABS(H206)&lt;=Mapping_Rules!$B$4,ABS(J206)&lt;=Mapping_Rules!$B$5),"Matched","Review"))</f>
        <v>Unmatched ERP</v>
      </c>
      <c r="L206" s="41" t="str">
        <f ca="1">IF(K206="Matched","None",IF(G206="","Missing from bank",IF(ABS(H206)&gt;Mapping_Rules!$B$4,"Amount variance","Date variance")))</f>
        <v>Missing from bank</v>
      </c>
      <c r="M206" s="41" t="str">
        <f ca="1">IF(K206="Matched","Low",IF(OR(IFERROR(ABS(H206),0)&gt;Mapping_Rules!$B$7,IFERROR(J206,0)&gt;Mapping_Rules!$B$8),"High","Medium"))</f>
        <v>High</v>
      </c>
      <c r="N206" s="41" t="str">
        <f t="shared" ca="1" si="11"/>
        <v>Check bank date or posting</v>
      </c>
      <c r="O206" s="23" t="s">
        <v>158</v>
      </c>
      <c r="P206" s="23" t="s">
        <v>86</v>
      </c>
      <c r="Q206" s="23" t="s">
        <v>1689</v>
      </c>
      <c r="R206" s="42"/>
      <c r="S206" s="43">
        <f ca="1">IF(K206="Matched",0,Mapping_Rules!$B$6-B206)</f>
        <v>19</v>
      </c>
    </row>
    <row r="207" spans="1:19">
      <c r="A207" s="44" t="s">
        <v>579</v>
      </c>
      <c r="B207" s="45">
        <v>46026</v>
      </c>
      <c r="C207" s="44" t="s">
        <v>72</v>
      </c>
      <c r="D207" s="44" t="s">
        <v>133</v>
      </c>
      <c r="E207" s="44" t="s">
        <v>580</v>
      </c>
      <c r="F207" s="46">
        <v>-3134.15</v>
      </c>
      <c r="G207" s="47" t="str">
        <f ca="1">IFERROR(_xludf.XLOOKUP(E207,Bank_Statement!$D$4:$D$448,Bank_Statement!$G$4:$G$448,""),"")</f>
        <v/>
      </c>
      <c r="H207" s="46" t="str">
        <f t="shared" ca="1" si="9"/>
        <v/>
      </c>
      <c r="I207" s="48" t="str">
        <f ca="1">IFERROR(_xludf.XLOOKUP(E207,Bank_Statement!$D$4:$D$448,Bank_Statement!$B$4:$B$448,""),"")</f>
        <v/>
      </c>
      <c r="J207" s="49" t="str">
        <f t="shared" ca="1" si="10"/>
        <v/>
      </c>
      <c r="K207" s="50" t="str">
        <f ca="1">IF(G207="","Unmatched ERP",IF(AND(ABS(H207)&lt;=Mapping_Rules!$B$4,ABS(J207)&lt;=Mapping_Rules!$B$5),"Matched","Review"))</f>
        <v>Unmatched ERP</v>
      </c>
      <c r="L207" s="50" t="str">
        <f ca="1">IF(K207="Matched","None",IF(G207="","Missing from bank",IF(ABS(H207)&gt;Mapping_Rules!$B$4,"Amount variance","Date variance")))</f>
        <v>Missing from bank</v>
      </c>
      <c r="M207" s="50" t="str">
        <f ca="1">IF(K207="Matched","Low",IF(OR(IFERROR(ABS(H207),0)&gt;Mapping_Rules!$B$7,IFERROR(J207,0)&gt;Mapping_Rules!$B$8),"High","Medium"))</f>
        <v>High</v>
      </c>
      <c r="N207" s="50" t="str">
        <f t="shared" ca="1" si="11"/>
        <v>Check bank date or posting</v>
      </c>
      <c r="O207" s="44" t="s">
        <v>131</v>
      </c>
      <c r="P207" s="44" t="s">
        <v>77</v>
      </c>
      <c r="Q207" s="44" t="s">
        <v>1689</v>
      </c>
      <c r="R207" s="51"/>
      <c r="S207" s="52">
        <f ca="1">IF(K207="Matched",0,Mapping_Rules!$B$6-B207)</f>
        <v>27</v>
      </c>
    </row>
    <row r="208" spans="1:19">
      <c r="A208" s="23" t="s">
        <v>581</v>
      </c>
      <c r="B208" s="31">
        <v>46029</v>
      </c>
      <c r="C208" s="23" t="s">
        <v>107</v>
      </c>
      <c r="D208" s="23" t="s">
        <v>191</v>
      </c>
      <c r="E208" s="23" t="s">
        <v>582</v>
      </c>
      <c r="F208" s="32">
        <v>-37.840000000000003</v>
      </c>
      <c r="G208" s="38" t="str">
        <f ca="1">IFERROR(_xludf.XLOOKUP(E208,Bank_Statement!$D$4:$D$448,Bank_Statement!$G$4:$G$448,""),"")</f>
        <v/>
      </c>
      <c r="H208" s="32" t="str">
        <f t="shared" ca="1" si="9"/>
        <v/>
      </c>
      <c r="I208" s="39" t="str">
        <f ca="1">IFERROR(_xludf.XLOOKUP(E208,Bank_Statement!$D$4:$D$448,Bank_Statement!$B$4:$B$448,""),"")</f>
        <v/>
      </c>
      <c r="J208" s="40" t="str">
        <f t="shared" ca="1" si="10"/>
        <v/>
      </c>
      <c r="K208" s="41" t="str">
        <f ca="1">IF(G208="","Unmatched ERP",IF(AND(ABS(H208)&lt;=Mapping_Rules!$B$4,ABS(J208)&lt;=Mapping_Rules!$B$5),"Matched","Review"))</f>
        <v>Unmatched ERP</v>
      </c>
      <c r="L208" s="41" t="str">
        <f ca="1">IF(K208="Matched","None",IF(G208="","Missing from bank",IF(ABS(H208)&gt;Mapping_Rules!$B$4,"Amount variance","Date variance")))</f>
        <v>Missing from bank</v>
      </c>
      <c r="M208" s="41" t="str">
        <f ca="1">IF(K208="Matched","Low",IF(OR(IFERROR(ABS(H208),0)&gt;Mapping_Rules!$B$7,IFERROR(J208,0)&gt;Mapping_Rules!$B$8),"High","Medium"))</f>
        <v>High</v>
      </c>
      <c r="N208" s="41" t="str">
        <f t="shared" ca="1" si="11"/>
        <v>Check bank date or posting</v>
      </c>
      <c r="O208" s="23" t="s">
        <v>194</v>
      </c>
      <c r="P208" s="23" t="s">
        <v>95</v>
      </c>
      <c r="Q208" s="23" t="s">
        <v>1689</v>
      </c>
      <c r="R208" s="42"/>
      <c r="S208" s="43">
        <f ca="1">IF(K208="Matched",0,Mapping_Rules!$B$6-B208)</f>
        <v>24</v>
      </c>
    </row>
    <row r="209" spans="1:19">
      <c r="A209" s="44" t="s">
        <v>583</v>
      </c>
      <c r="B209" s="45">
        <v>46051</v>
      </c>
      <c r="C209" s="44" t="s">
        <v>90</v>
      </c>
      <c r="D209" s="44" t="s">
        <v>133</v>
      </c>
      <c r="E209" s="44" t="s">
        <v>584</v>
      </c>
      <c r="F209" s="46">
        <v>-4062.04</v>
      </c>
      <c r="G209" s="47" t="str">
        <f ca="1">IFERROR(_xludf.XLOOKUP(E209,Bank_Statement!$D$4:$D$448,Bank_Statement!$G$4:$G$448,""),"")</f>
        <v/>
      </c>
      <c r="H209" s="46" t="str">
        <f t="shared" ca="1" si="9"/>
        <v/>
      </c>
      <c r="I209" s="48" t="str">
        <f ca="1">IFERROR(_xludf.XLOOKUP(E209,Bank_Statement!$D$4:$D$448,Bank_Statement!$B$4:$B$448,""),"")</f>
        <v/>
      </c>
      <c r="J209" s="49" t="str">
        <f t="shared" ca="1" si="10"/>
        <v/>
      </c>
      <c r="K209" s="50" t="str">
        <f ca="1">IF(G209="","Unmatched ERP",IF(AND(ABS(H209)&lt;=Mapping_Rules!$B$4,ABS(J209)&lt;=Mapping_Rules!$B$5),"Matched","Review"))</f>
        <v>Unmatched ERP</v>
      </c>
      <c r="L209" s="50" t="str">
        <f ca="1">IF(K209="Matched","None",IF(G209="","Missing from bank",IF(ABS(H209)&gt;Mapping_Rules!$B$4,"Amount variance","Date variance")))</f>
        <v>Missing from bank</v>
      </c>
      <c r="M209" s="50" t="str">
        <f ca="1">IF(K209="Matched","Low",IF(OR(IFERROR(ABS(H209),0)&gt;Mapping_Rules!$B$7,IFERROR(J209,0)&gt;Mapping_Rules!$B$8),"High","Medium"))</f>
        <v>High</v>
      </c>
      <c r="N209" s="50" t="str">
        <f t="shared" ca="1" si="11"/>
        <v>Check bank date or posting</v>
      </c>
      <c r="O209" s="44" t="s">
        <v>426</v>
      </c>
      <c r="P209" s="44" t="s">
        <v>95</v>
      </c>
      <c r="Q209" s="44" t="s">
        <v>1689</v>
      </c>
      <c r="R209" s="51"/>
      <c r="S209" s="52">
        <f ca="1">IF(K209="Matched",0,Mapping_Rules!$B$6-B209)</f>
        <v>2</v>
      </c>
    </row>
    <row r="210" spans="1:19">
      <c r="A210" s="23" t="s">
        <v>585</v>
      </c>
      <c r="B210" s="31">
        <v>46050</v>
      </c>
      <c r="C210" s="23" t="s">
        <v>72</v>
      </c>
      <c r="D210" s="23" t="s">
        <v>126</v>
      </c>
      <c r="E210" s="23" t="s">
        <v>586</v>
      </c>
      <c r="F210" s="32">
        <v>-5755.23</v>
      </c>
      <c r="G210" s="38" t="str">
        <f ca="1">IFERROR(_xludf.XLOOKUP(E210,Bank_Statement!$D$4:$D$448,Bank_Statement!$G$4:$G$448,""),"")</f>
        <v/>
      </c>
      <c r="H210" s="32" t="str">
        <f t="shared" ca="1" si="9"/>
        <v/>
      </c>
      <c r="I210" s="39" t="str">
        <f ca="1">IFERROR(_xludf.XLOOKUP(E210,Bank_Statement!$D$4:$D$448,Bank_Statement!$B$4:$B$448,""),"")</f>
        <v/>
      </c>
      <c r="J210" s="40" t="str">
        <f t="shared" ca="1" si="10"/>
        <v/>
      </c>
      <c r="K210" s="41" t="str">
        <f ca="1">IF(G210="","Unmatched ERP",IF(AND(ABS(H210)&lt;=Mapping_Rules!$B$4,ABS(J210)&lt;=Mapping_Rules!$B$5),"Matched","Review"))</f>
        <v>Unmatched ERP</v>
      </c>
      <c r="L210" s="41" t="str">
        <f ca="1">IF(K210="Matched","None",IF(G210="","Missing from bank",IF(ABS(H210)&gt;Mapping_Rules!$B$4,"Amount variance","Date variance")))</f>
        <v>Missing from bank</v>
      </c>
      <c r="M210" s="41" t="str">
        <f ca="1">IF(K210="Matched","Low",IF(OR(IFERROR(ABS(H210),0)&gt;Mapping_Rules!$B$7,IFERROR(J210,0)&gt;Mapping_Rules!$B$8),"High","Medium"))</f>
        <v>High</v>
      </c>
      <c r="N210" s="41" t="str">
        <f t="shared" ca="1" si="11"/>
        <v>Check bank date or posting</v>
      </c>
      <c r="O210" s="23" t="s">
        <v>131</v>
      </c>
      <c r="P210" s="23" t="s">
        <v>77</v>
      </c>
      <c r="Q210" s="23" t="s">
        <v>1689</v>
      </c>
      <c r="R210" s="42"/>
      <c r="S210" s="43">
        <f ca="1">IF(K210="Matched",0,Mapping_Rules!$B$6-B210)</f>
        <v>3</v>
      </c>
    </row>
    <row r="211" spans="1:19">
      <c r="A211" s="44" t="s">
        <v>587</v>
      </c>
      <c r="B211" s="45">
        <v>46048</v>
      </c>
      <c r="C211" s="44" t="s">
        <v>72</v>
      </c>
      <c r="D211" s="44" t="s">
        <v>139</v>
      </c>
      <c r="E211" s="44" t="s">
        <v>588</v>
      </c>
      <c r="F211" s="46">
        <v>-3103.41</v>
      </c>
      <c r="G211" s="47" t="str">
        <f ca="1">IFERROR(_xludf.XLOOKUP(E211,Bank_Statement!$D$4:$D$448,Bank_Statement!$G$4:$G$448,""),"")</f>
        <v/>
      </c>
      <c r="H211" s="46" t="str">
        <f t="shared" ca="1" si="9"/>
        <v/>
      </c>
      <c r="I211" s="48" t="str">
        <f ca="1">IFERROR(_xludf.XLOOKUP(E211,Bank_Statement!$D$4:$D$448,Bank_Statement!$B$4:$B$448,""),"")</f>
        <v/>
      </c>
      <c r="J211" s="49" t="str">
        <f t="shared" ca="1" si="10"/>
        <v/>
      </c>
      <c r="K211" s="50" t="str">
        <f ca="1">IF(G211="","Unmatched ERP",IF(AND(ABS(H211)&lt;=Mapping_Rules!$B$4,ABS(J211)&lt;=Mapping_Rules!$B$5),"Matched","Review"))</f>
        <v>Unmatched ERP</v>
      </c>
      <c r="L211" s="50" t="str">
        <f ca="1">IF(K211="Matched","None",IF(G211="","Missing from bank",IF(ABS(H211)&gt;Mapping_Rules!$B$4,"Amount variance","Date variance")))</f>
        <v>Missing from bank</v>
      </c>
      <c r="M211" s="50" t="str">
        <f ca="1">IF(K211="Matched","Low",IF(OR(IFERROR(ABS(H211),0)&gt;Mapping_Rules!$B$7,IFERROR(J211,0)&gt;Mapping_Rules!$B$8),"High","Medium"))</f>
        <v>High</v>
      </c>
      <c r="N211" s="50" t="str">
        <f t="shared" ca="1" si="11"/>
        <v>Check bank date or posting</v>
      </c>
      <c r="O211" s="44" t="s">
        <v>131</v>
      </c>
      <c r="P211" s="44" t="s">
        <v>77</v>
      </c>
      <c r="Q211" s="44" t="s">
        <v>1689</v>
      </c>
      <c r="R211" s="51"/>
      <c r="S211" s="52">
        <f ca="1">IF(K211="Matched",0,Mapping_Rules!$B$6-B211)</f>
        <v>5</v>
      </c>
    </row>
    <row r="212" spans="1:19">
      <c r="A212" s="23" t="s">
        <v>589</v>
      </c>
      <c r="B212" s="31">
        <v>46040</v>
      </c>
      <c r="C212" s="23" t="s">
        <v>72</v>
      </c>
      <c r="D212" s="23" t="s">
        <v>144</v>
      </c>
      <c r="E212" s="23" t="s">
        <v>590</v>
      </c>
      <c r="F212" s="32">
        <v>-482.38</v>
      </c>
      <c r="G212" s="38" t="str">
        <f ca="1">IFERROR(_xludf.XLOOKUP(E212,Bank_Statement!$D$4:$D$448,Bank_Statement!$G$4:$G$448,""),"")</f>
        <v/>
      </c>
      <c r="H212" s="32" t="str">
        <f t="shared" ca="1" si="9"/>
        <v/>
      </c>
      <c r="I212" s="39" t="str">
        <f ca="1">IFERROR(_xludf.XLOOKUP(E212,Bank_Statement!$D$4:$D$448,Bank_Statement!$B$4:$B$448,""),"")</f>
        <v/>
      </c>
      <c r="J212" s="40" t="str">
        <f t="shared" ca="1" si="10"/>
        <v/>
      </c>
      <c r="K212" s="41" t="str">
        <f ca="1">IF(G212="","Unmatched ERP",IF(AND(ABS(H212)&lt;=Mapping_Rules!$B$4,ABS(J212)&lt;=Mapping_Rules!$B$5),"Matched","Review"))</f>
        <v>Unmatched ERP</v>
      </c>
      <c r="L212" s="41" t="str">
        <f ca="1">IF(K212="Matched","None",IF(G212="","Missing from bank",IF(ABS(H212)&gt;Mapping_Rules!$B$4,"Amount variance","Date variance")))</f>
        <v>Missing from bank</v>
      </c>
      <c r="M212" s="41" t="str">
        <f ca="1">IF(K212="Matched","Low",IF(OR(IFERROR(ABS(H212),0)&gt;Mapping_Rules!$B$7,IFERROR(J212,0)&gt;Mapping_Rules!$B$8),"High","Medium"))</f>
        <v>High</v>
      </c>
      <c r="N212" s="41" t="str">
        <f t="shared" ca="1" si="11"/>
        <v>Check bank date or posting</v>
      </c>
      <c r="O212" s="23" t="s">
        <v>131</v>
      </c>
      <c r="P212" s="23" t="s">
        <v>77</v>
      </c>
      <c r="Q212" s="23" t="s">
        <v>1689</v>
      </c>
      <c r="R212" s="42"/>
      <c r="S212" s="43">
        <f ca="1">IF(K212="Matched",0,Mapping_Rules!$B$6-B212)</f>
        <v>13</v>
      </c>
    </row>
    <row r="213" spans="1:19">
      <c r="A213" s="44" t="s">
        <v>591</v>
      </c>
      <c r="B213" s="45">
        <v>46025</v>
      </c>
      <c r="C213" s="44" t="s">
        <v>72</v>
      </c>
      <c r="D213" s="44" t="s">
        <v>208</v>
      </c>
      <c r="E213" s="44" t="s">
        <v>592</v>
      </c>
      <c r="F213" s="46">
        <v>-4011.11</v>
      </c>
      <c r="G213" s="47" t="str">
        <f ca="1">IFERROR(_xludf.XLOOKUP(E213,Bank_Statement!$D$4:$D$448,Bank_Statement!$G$4:$G$448,""),"")</f>
        <v/>
      </c>
      <c r="H213" s="46" t="str">
        <f t="shared" ca="1" si="9"/>
        <v/>
      </c>
      <c r="I213" s="48" t="str">
        <f ca="1">IFERROR(_xludf.XLOOKUP(E213,Bank_Statement!$D$4:$D$448,Bank_Statement!$B$4:$B$448,""),"")</f>
        <v/>
      </c>
      <c r="J213" s="49" t="str">
        <f t="shared" ca="1" si="10"/>
        <v/>
      </c>
      <c r="K213" s="50" t="str">
        <f ca="1">IF(G213="","Unmatched ERP",IF(AND(ABS(H213)&lt;=Mapping_Rules!$B$4,ABS(J213)&lt;=Mapping_Rules!$B$5),"Matched","Review"))</f>
        <v>Unmatched ERP</v>
      </c>
      <c r="L213" s="50" t="str">
        <f ca="1">IF(K213="Matched","None",IF(G213="","Missing from bank",IF(ABS(H213)&gt;Mapping_Rules!$B$4,"Amount variance","Date variance")))</f>
        <v>Missing from bank</v>
      </c>
      <c r="M213" s="50" t="str">
        <f ca="1">IF(K213="Matched","Low",IF(OR(IFERROR(ABS(H213),0)&gt;Mapping_Rules!$B$7,IFERROR(J213,0)&gt;Mapping_Rules!$B$8),"High","Medium"))</f>
        <v>High</v>
      </c>
      <c r="N213" s="50" t="str">
        <f t="shared" ca="1" si="11"/>
        <v>Check bank date or posting</v>
      </c>
      <c r="O213" s="44" t="s">
        <v>131</v>
      </c>
      <c r="P213" s="44" t="s">
        <v>77</v>
      </c>
      <c r="Q213" s="44" t="s">
        <v>1689</v>
      </c>
      <c r="R213" s="51"/>
      <c r="S213" s="52">
        <f ca="1">IF(K213="Matched",0,Mapping_Rules!$B$6-B213)</f>
        <v>28</v>
      </c>
    </row>
    <row r="214" spans="1:19">
      <c r="A214" s="23" t="s">
        <v>593</v>
      </c>
      <c r="B214" s="31">
        <v>46049</v>
      </c>
      <c r="C214" s="23" t="s">
        <v>90</v>
      </c>
      <c r="D214" s="23" t="s">
        <v>163</v>
      </c>
      <c r="E214" s="23" t="s">
        <v>594</v>
      </c>
      <c r="F214" s="32">
        <v>-2959.54</v>
      </c>
      <c r="G214" s="38" t="str">
        <f ca="1">IFERROR(_xludf.XLOOKUP(E214,Bank_Statement!$D$4:$D$448,Bank_Statement!$G$4:$G$448,""),"")</f>
        <v/>
      </c>
      <c r="H214" s="32" t="str">
        <f t="shared" ca="1" si="9"/>
        <v/>
      </c>
      <c r="I214" s="39" t="str">
        <f ca="1">IFERROR(_xludf.XLOOKUP(E214,Bank_Statement!$D$4:$D$448,Bank_Statement!$B$4:$B$448,""),"")</f>
        <v/>
      </c>
      <c r="J214" s="40" t="str">
        <f t="shared" ca="1" si="10"/>
        <v/>
      </c>
      <c r="K214" s="41" t="str">
        <f ca="1">IF(G214="","Unmatched ERP",IF(AND(ABS(H214)&lt;=Mapping_Rules!$B$4,ABS(J214)&lt;=Mapping_Rules!$B$5),"Matched","Review"))</f>
        <v>Unmatched ERP</v>
      </c>
      <c r="L214" s="41" t="str">
        <f ca="1">IF(K214="Matched","None",IF(G214="","Missing from bank",IF(ABS(H214)&gt;Mapping_Rules!$B$4,"Amount variance","Date variance")))</f>
        <v>Missing from bank</v>
      </c>
      <c r="M214" s="41" t="str">
        <f ca="1">IF(K214="Matched","Low",IF(OR(IFERROR(ABS(H214),0)&gt;Mapping_Rules!$B$7,IFERROR(J214,0)&gt;Mapping_Rules!$B$8),"High","Medium"))</f>
        <v>High</v>
      </c>
      <c r="N214" s="41" t="str">
        <f t="shared" ca="1" si="11"/>
        <v>Check bank date or posting</v>
      </c>
      <c r="O214" s="23" t="s">
        <v>131</v>
      </c>
      <c r="P214" s="23" t="s">
        <v>95</v>
      </c>
      <c r="Q214" s="23" t="s">
        <v>1689</v>
      </c>
      <c r="R214" s="42"/>
      <c r="S214" s="43">
        <f ca="1">IF(K214="Matched",0,Mapping_Rules!$B$6-B214)</f>
        <v>4</v>
      </c>
    </row>
    <row r="215" spans="1:19">
      <c r="A215" s="44" t="s">
        <v>595</v>
      </c>
      <c r="B215" s="45">
        <v>46024</v>
      </c>
      <c r="C215" s="44" t="s">
        <v>99</v>
      </c>
      <c r="D215" s="44" t="s">
        <v>182</v>
      </c>
      <c r="E215" s="44" t="s">
        <v>596</v>
      </c>
      <c r="F215" s="46">
        <v>-10012.48</v>
      </c>
      <c r="G215" s="47" t="str">
        <f ca="1">IFERROR(_xludf.XLOOKUP(E215,Bank_Statement!$D$4:$D$448,Bank_Statement!$G$4:$G$448,""),"")</f>
        <v/>
      </c>
      <c r="H215" s="46" t="str">
        <f t="shared" ca="1" si="9"/>
        <v/>
      </c>
      <c r="I215" s="48" t="str">
        <f ca="1">IFERROR(_xludf.XLOOKUP(E215,Bank_Statement!$D$4:$D$448,Bank_Statement!$B$4:$B$448,""),"")</f>
        <v/>
      </c>
      <c r="J215" s="49" t="str">
        <f t="shared" ca="1" si="10"/>
        <v/>
      </c>
      <c r="K215" s="50" t="str">
        <f ca="1">IF(G215="","Unmatched ERP",IF(AND(ABS(H215)&lt;=Mapping_Rules!$B$4,ABS(J215)&lt;=Mapping_Rules!$B$5),"Matched","Review"))</f>
        <v>Unmatched ERP</v>
      </c>
      <c r="L215" s="50" t="str">
        <f ca="1">IF(K215="Matched","None",IF(G215="","Missing from bank",IF(ABS(H215)&gt;Mapping_Rules!$B$4,"Amount variance","Date variance")))</f>
        <v>Missing from bank</v>
      </c>
      <c r="M215" s="50" t="str">
        <f ca="1">IF(K215="Matched","Low",IF(OR(IFERROR(ABS(H215),0)&gt;Mapping_Rules!$B$7,IFERROR(J215,0)&gt;Mapping_Rules!$B$8),"High","Medium"))</f>
        <v>High</v>
      </c>
      <c r="N215" s="50" t="str">
        <f t="shared" ca="1" si="11"/>
        <v>Check bank date or posting</v>
      </c>
      <c r="O215" s="44" t="s">
        <v>185</v>
      </c>
      <c r="P215" s="44" t="s">
        <v>95</v>
      </c>
      <c r="Q215" s="44" t="s">
        <v>1689</v>
      </c>
      <c r="R215" s="51"/>
      <c r="S215" s="52">
        <f ca="1">IF(K215="Matched",0,Mapping_Rules!$B$6-B215)</f>
        <v>29</v>
      </c>
    </row>
    <row r="216" spans="1:19">
      <c r="A216" s="23" t="s">
        <v>597</v>
      </c>
      <c r="B216" s="31">
        <v>46053</v>
      </c>
      <c r="C216" s="23" t="s">
        <v>81</v>
      </c>
      <c r="D216" s="23" t="s">
        <v>214</v>
      </c>
      <c r="E216" s="23" t="s">
        <v>598</v>
      </c>
      <c r="F216" s="32">
        <v>7213.55</v>
      </c>
      <c r="G216" s="38" t="str">
        <f ca="1">IFERROR(_xludf.XLOOKUP(E216,Bank_Statement!$D$4:$D$448,Bank_Statement!$G$4:$G$448,""),"")</f>
        <v/>
      </c>
      <c r="H216" s="32" t="str">
        <f t="shared" ca="1" si="9"/>
        <v/>
      </c>
      <c r="I216" s="39" t="str">
        <f ca="1">IFERROR(_xludf.XLOOKUP(E216,Bank_Statement!$D$4:$D$448,Bank_Statement!$B$4:$B$448,""),"")</f>
        <v/>
      </c>
      <c r="J216" s="40" t="str">
        <f t="shared" ca="1" si="10"/>
        <v/>
      </c>
      <c r="K216" s="41" t="str">
        <f ca="1">IF(G216="","Unmatched ERP",IF(AND(ABS(H216)&lt;=Mapping_Rules!$B$4,ABS(J216)&lt;=Mapping_Rules!$B$5),"Matched","Review"))</f>
        <v>Unmatched ERP</v>
      </c>
      <c r="L216" s="41" t="str">
        <f ca="1">IF(K216="Matched","None",IF(G216="","Missing from bank",IF(ABS(H216)&gt;Mapping_Rules!$B$4,"Amount variance","Date variance")))</f>
        <v>Missing from bank</v>
      </c>
      <c r="M216" s="41" t="str">
        <f ca="1">IF(K216="Matched","Low",IF(OR(IFERROR(ABS(H216),0)&gt;Mapping_Rules!$B$7,IFERROR(J216,0)&gt;Mapping_Rules!$B$8),"High","Medium"))</f>
        <v>High</v>
      </c>
      <c r="N216" s="41" t="str">
        <f t="shared" ca="1" si="11"/>
        <v>Check bank date or posting</v>
      </c>
      <c r="O216" s="23" t="s">
        <v>158</v>
      </c>
      <c r="P216" s="23" t="s">
        <v>86</v>
      </c>
      <c r="Q216" s="23" t="s">
        <v>1689</v>
      </c>
      <c r="R216" s="42"/>
      <c r="S216" s="43">
        <f ca="1">IF(K216="Matched",0,Mapping_Rules!$B$6-B216)</f>
        <v>0</v>
      </c>
    </row>
    <row r="217" spans="1:19">
      <c r="A217" s="44" t="s">
        <v>599</v>
      </c>
      <c r="B217" s="45">
        <v>46032</v>
      </c>
      <c r="C217" s="44" t="s">
        <v>81</v>
      </c>
      <c r="D217" s="44" t="s">
        <v>220</v>
      </c>
      <c r="E217" s="44" t="s">
        <v>600</v>
      </c>
      <c r="F217" s="46">
        <v>4346.49</v>
      </c>
      <c r="G217" s="47" t="str">
        <f ca="1">IFERROR(_xludf.XLOOKUP(E217,Bank_Statement!$D$4:$D$448,Bank_Statement!$G$4:$G$448,""),"")</f>
        <v/>
      </c>
      <c r="H217" s="46" t="str">
        <f t="shared" ca="1" si="9"/>
        <v/>
      </c>
      <c r="I217" s="48" t="str">
        <f ca="1">IFERROR(_xludf.XLOOKUP(E217,Bank_Statement!$D$4:$D$448,Bank_Statement!$B$4:$B$448,""),"")</f>
        <v/>
      </c>
      <c r="J217" s="49" t="str">
        <f t="shared" ca="1" si="10"/>
        <v/>
      </c>
      <c r="K217" s="50" t="str">
        <f ca="1">IF(G217="","Unmatched ERP",IF(AND(ABS(H217)&lt;=Mapping_Rules!$B$4,ABS(J217)&lt;=Mapping_Rules!$B$5),"Matched","Review"))</f>
        <v>Unmatched ERP</v>
      </c>
      <c r="L217" s="50" t="str">
        <f ca="1">IF(K217="Matched","None",IF(G217="","Missing from bank",IF(ABS(H217)&gt;Mapping_Rules!$B$4,"Amount variance","Date variance")))</f>
        <v>Missing from bank</v>
      </c>
      <c r="M217" s="50" t="str">
        <f ca="1">IF(K217="Matched","Low",IF(OR(IFERROR(ABS(H217),0)&gt;Mapping_Rules!$B$7,IFERROR(J217,0)&gt;Mapping_Rules!$B$8),"High","Medium"))</f>
        <v>High</v>
      </c>
      <c r="N217" s="50" t="str">
        <f t="shared" ca="1" si="11"/>
        <v>Check bank date or posting</v>
      </c>
      <c r="O217" s="44" t="s">
        <v>158</v>
      </c>
      <c r="P217" s="44" t="s">
        <v>86</v>
      </c>
      <c r="Q217" s="44" t="s">
        <v>1689</v>
      </c>
      <c r="R217" s="51"/>
      <c r="S217" s="52">
        <f ca="1">IF(K217="Matched",0,Mapping_Rules!$B$6-B217)</f>
        <v>21</v>
      </c>
    </row>
    <row r="218" spans="1:19">
      <c r="A218" s="23" t="s">
        <v>601</v>
      </c>
      <c r="B218" s="31">
        <v>46027</v>
      </c>
      <c r="C218" s="23" t="s">
        <v>72</v>
      </c>
      <c r="D218" s="23" t="s">
        <v>204</v>
      </c>
      <c r="E218" s="23" t="s">
        <v>602</v>
      </c>
      <c r="F218" s="32">
        <v>-4490.2700000000004</v>
      </c>
      <c r="G218" s="38" t="str">
        <f ca="1">IFERROR(_xludf.XLOOKUP(E218,Bank_Statement!$D$4:$D$448,Bank_Statement!$G$4:$G$448,""),"")</f>
        <v/>
      </c>
      <c r="H218" s="32" t="str">
        <f t="shared" ca="1" si="9"/>
        <v/>
      </c>
      <c r="I218" s="39" t="str">
        <f ca="1">IFERROR(_xludf.XLOOKUP(E218,Bank_Statement!$D$4:$D$448,Bank_Statement!$B$4:$B$448,""),"")</f>
        <v/>
      </c>
      <c r="J218" s="40" t="str">
        <f t="shared" ca="1" si="10"/>
        <v/>
      </c>
      <c r="K218" s="41" t="str">
        <f ca="1">IF(G218="","Unmatched ERP",IF(AND(ABS(H218)&lt;=Mapping_Rules!$B$4,ABS(J218)&lt;=Mapping_Rules!$B$5),"Matched","Review"))</f>
        <v>Unmatched ERP</v>
      </c>
      <c r="L218" s="41" t="str">
        <f ca="1">IF(K218="Matched","None",IF(G218="","Missing from bank",IF(ABS(H218)&gt;Mapping_Rules!$B$4,"Amount variance","Date variance")))</f>
        <v>Missing from bank</v>
      </c>
      <c r="M218" s="41" t="str">
        <f ca="1">IF(K218="Matched","Low",IF(OR(IFERROR(ABS(H218),0)&gt;Mapping_Rules!$B$7,IFERROR(J218,0)&gt;Mapping_Rules!$B$8),"High","Medium"))</f>
        <v>High</v>
      </c>
      <c r="N218" s="41" t="str">
        <f t="shared" ca="1" si="11"/>
        <v>Check bank date or posting</v>
      </c>
      <c r="O218" s="23" t="s">
        <v>131</v>
      </c>
      <c r="P218" s="23" t="s">
        <v>77</v>
      </c>
      <c r="Q218" s="23" t="s">
        <v>1689</v>
      </c>
      <c r="R218" s="42"/>
      <c r="S218" s="43">
        <f ca="1">IF(K218="Matched",0,Mapping_Rules!$B$6-B218)</f>
        <v>26</v>
      </c>
    </row>
    <row r="219" spans="1:19">
      <c r="A219" s="44" t="s">
        <v>603</v>
      </c>
      <c r="B219" s="45">
        <v>46041</v>
      </c>
      <c r="C219" s="44" t="s">
        <v>72</v>
      </c>
      <c r="D219" s="44" t="s">
        <v>139</v>
      </c>
      <c r="E219" s="44" t="s">
        <v>604</v>
      </c>
      <c r="F219" s="46">
        <v>-253.65</v>
      </c>
      <c r="G219" s="47" t="str">
        <f ca="1">IFERROR(_xludf.XLOOKUP(E219,Bank_Statement!$D$4:$D$448,Bank_Statement!$G$4:$G$448,""),"")</f>
        <v/>
      </c>
      <c r="H219" s="46" t="str">
        <f t="shared" ca="1" si="9"/>
        <v/>
      </c>
      <c r="I219" s="48" t="str">
        <f ca="1">IFERROR(_xludf.XLOOKUP(E219,Bank_Statement!$D$4:$D$448,Bank_Statement!$B$4:$B$448,""),"")</f>
        <v/>
      </c>
      <c r="J219" s="49" t="str">
        <f t="shared" ca="1" si="10"/>
        <v/>
      </c>
      <c r="K219" s="50" t="str">
        <f ca="1">IF(G219="","Unmatched ERP",IF(AND(ABS(H219)&lt;=Mapping_Rules!$B$4,ABS(J219)&lt;=Mapping_Rules!$B$5),"Matched","Review"))</f>
        <v>Unmatched ERP</v>
      </c>
      <c r="L219" s="50" t="str">
        <f ca="1">IF(K219="Matched","None",IF(G219="","Missing from bank",IF(ABS(H219)&gt;Mapping_Rules!$B$4,"Amount variance","Date variance")))</f>
        <v>Missing from bank</v>
      </c>
      <c r="M219" s="50" t="str">
        <f ca="1">IF(K219="Matched","Low",IF(OR(IFERROR(ABS(H219),0)&gt;Mapping_Rules!$B$7,IFERROR(J219,0)&gt;Mapping_Rules!$B$8),"High","Medium"))</f>
        <v>High</v>
      </c>
      <c r="N219" s="50" t="str">
        <f t="shared" ca="1" si="11"/>
        <v>Check bank date or posting</v>
      </c>
      <c r="O219" s="44" t="s">
        <v>131</v>
      </c>
      <c r="P219" s="44" t="s">
        <v>77</v>
      </c>
      <c r="Q219" s="44" t="s">
        <v>1689</v>
      </c>
      <c r="R219" s="51"/>
      <c r="S219" s="52">
        <f ca="1">IF(K219="Matched",0,Mapping_Rules!$B$6-B219)</f>
        <v>12</v>
      </c>
    </row>
    <row r="220" spans="1:19">
      <c r="A220" s="23" t="s">
        <v>605</v>
      </c>
      <c r="B220" s="31">
        <v>46036</v>
      </c>
      <c r="C220" s="23" t="s">
        <v>81</v>
      </c>
      <c r="D220" s="23" t="s">
        <v>220</v>
      </c>
      <c r="E220" s="23" t="s">
        <v>606</v>
      </c>
      <c r="F220" s="32">
        <v>4308.62</v>
      </c>
      <c r="G220" s="38" t="str">
        <f ca="1">IFERROR(_xludf.XLOOKUP(E220,Bank_Statement!$D$4:$D$448,Bank_Statement!$G$4:$G$448,""),"")</f>
        <v/>
      </c>
      <c r="H220" s="32" t="str">
        <f t="shared" ca="1" si="9"/>
        <v/>
      </c>
      <c r="I220" s="39" t="str">
        <f ca="1">IFERROR(_xludf.XLOOKUP(E220,Bank_Statement!$D$4:$D$448,Bank_Statement!$B$4:$B$448,""),"")</f>
        <v/>
      </c>
      <c r="J220" s="40" t="str">
        <f t="shared" ca="1" si="10"/>
        <v/>
      </c>
      <c r="K220" s="41" t="str">
        <f ca="1">IF(G220="","Unmatched ERP",IF(AND(ABS(H220)&lt;=Mapping_Rules!$B$4,ABS(J220)&lt;=Mapping_Rules!$B$5),"Matched","Review"))</f>
        <v>Unmatched ERP</v>
      </c>
      <c r="L220" s="41" t="str">
        <f ca="1">IF(K220="Matched","None",IF(G220="","Missing from bank",IF(ABS(H220)&gt;Mapping_Rules!$B$4,"Amount variance","Date variance")))</f>
        <v>Missing from bank</v>
      </c>
      <c r="M220" s="41" t="str">
        <f ca="1">IF(K220="Matched","Low",IF(OR(IFERROR(ABS(H220),0)&gt;Mapping_Rules!$B$7,IFERROR(J220,0)&gt;Mapping_Rules!$B$8),"High","Medium"))</f>
        <v>High</v>
      </c>
      <c r="N220" s="41" t="str">
        <f t="shared" ca="1" si="11"/>
        <v>Check bank date or posting</v>
      </c>
      <c r="O220" s="23" t="s">
        <v>158</v>
      </c>
      <c r="P220" s="23" t="s">
        <v>86</v>
      </c>
      <c r="Q220" s="23" t="s">
        <v>1689</v>
      </c>
      <c r="R220" s="42"/>
      <c r="S220" s="43">
        <f ca="1">IF(K220="Matched",0,Mapping_Rules!$B$6-B220)</f>
        <v>17</v>
      </c>
    </row>
    <row r="221" spans="1:19">
      <c r="A221" s="44" t="s">
        <v>607</v>
      </c>
      <c r="B221" s="45">
        <v>46048</v>
      </c>
      <c r="C221" s="44" t="s">
        <v>99</v>
      </c>
      <c r="D221" s="44" t="s">
        <v>182</v>
      </c>
      <c r="E221" s="44" t="s">
        <v>608</v>
      </c>
      <c r="F221" s="46">
        <v>-8388.34</v>
      </c>
      <c r="G221" s="47" t="str">
        <f ca="1">IFERROR(_xludf.XLOOKUP(E221,Bank_Statement!$D$4:$D$448,Bank_Statement!$G$4:$G$448,""),"")</f>
        <v/>
      </c>
      <c r="H221" s="46" t="str">
        <f t="shared" ca="1" si="9"/>
        <v/>
      </c>
      <c r="I221" s="48" t="str">
        <f ca="1">IFERROR(_xludf.XLOOKUP(E221,Bank_Statement!$D$4:$D$448,Bank_Statement!$B$4:$B$448,""),"")</f>
        <v/>
      </c>
      <c r="J221" s="49" t="str">
        <f t="shared" ca="1" si="10"/>
        <v/>
      </c>
      <c r="K221" s="50" t="str">
        <f ca="1">IF(G221="","Unmatched ERP",IF(AND(ABS(H221)&lt;=Mapping_Rules!$B$4,ABS(J221)&lt;=Mapping_Rules!$B$5),"Matched","Review"))</f>
        <v>Unmatched ERP</v>
      </c>
      <c r="L221" s="50" t="str">
        <f ca="1">IF(K221="Matched","None",IF(G221="","Missing from bank",IF(ABS(H221)&gt;Mapping_Rules!$B$4,"Amount variance","Date variance")))</f>
        <v>Missing from bank</v>
      </c>
      <c r="M221" s="50" t="str">
        <f ca="1">IF(K221="Matched","Low",IF(OR(IFERROR(ABS(H221),0)&gt;Mapping_Rules!$B$7,IFERROR(J221,0)&gt;Mapping_Rules!$B$8),"High","Medium"))</f>
        <v>High</v>
      </c>
      <c r="N221" s="50" t="str">
        <f t="shared" ca="1" si="11"/>
        <v>Check bank date or posting</v>
      </c>
      <c r="O221" s="44" t="s">
        <v>185</v>
      </c>
      <c r="P221" s="44" t="s">
        <v>95</v>
      </c>
      <c r="Q221" s="44" t="s">
        <v>1689</v>
      </c>
      <c r="R221" s="51"/>
      <c r="S221" s="52">
        <f ca="1">IF(K221="Matched",0,Mapping_Rules!$B$6-B221)</f>
        <v>5</v>
      </c>
    </row>
    <row r="222" spans="1:19">
      <c r="A222" s="23" t="s">
        <v>609</v>
      </c>
      <c r="B222" s="31">
        <v>46038</v>
      </c>
      <c r="C222" s="23" t="s">
        <v>81</v>
      </c>
      <c r="D222" s="23" t="s">
        <v>214</v>
      </c>
      <c r="E222" s="23" t="s">
        <v>610</v>
      </c>
      <c r="F222" s="32">
        <v>5215.6099999999997</v>
      </c>
      <c r="G222" s="38" t="str">
        <f ca="1">IFERROR(_xludf.XLOOKUP(E222,Bank_Statement!$D$4:$D$448,Bank_Statement!$G$4:$G$448,""),"")</f>
        <v/>
      </c>
      <c r="H222" s="32" t="str">
        <f t="shared" ca="1" si="9"/>
        <v/>
      </c>
      <c r="I222" s="39" t="str">
        <f ca="1">IFERROR(_xludf.XLOOKUP(E222,Bank_Statement!$D$4:$D$448,Bank_Statement!$B$4:$B$448,""),"")</f>
        <v/>
      </c>
      <c r="J222" s="40" t="str">
        <f t="shared" ca="1" si="10"/>
        <v/>
      </c>
      <c r="K222" s="41" t="str">
        <f ca="1">IF(G222="","Unmatched ERP",IF(AND(ABS(H222)&lt;=Mapping_Rules!$B$4,ABS(J222)&lt;=Mapping_Rules!$B$5),"Matched","Review"))</f>
        <v>Unmatched ERP</v>
      </c>
      <c r="L222" s="41" t="str">
        <f ca="1">IF(K222="Matched","None",IF(G222="","Missing from bank",IF(ABS(H222)&gt;Mapping_Rules!$B$4,"Amount variance","Date variance")))</f>
        <v>Missing from bank</v>
      </c>
      <c r="M222" s="41" t="str">
        <f ca="1">IF(K222="Matched","Low",IF(OR(IFERROR(ABS(H222),0)&gt;Mapping_Rules!$B$7,IFERROR(J222,0)&gt;Mapping_Rules!$B$8),"High","Medium"))</f>
        <v>High</v>
      </c>
      <c r="N222" s="41" t="str">
        <f t="shared" ca="1" si="11"/>
        <v>Check bank date or posting</v>
      </c>
      <c r="O222" s="23" t="s">
        <v>158</v>
      </c>
      <c r="P222" s="23" t="s">
        <v>86</v>
      </c>
      <c r="Q222" s="23" t="s">
        <v>1689</v>
      </c>
      <c r="R222" s="42"/>
      <c r="S222" s="43">
        <f ca="1">IF(K222="Matched",0,Mapping_Rules!$B$6-B222)</f>
        <v>15</v>
      </c>
    </row>
    <row r="223" spans="1:19">
      <c r="A223" s="44" t="s">
        <v>611</v>
      </c>
      <c r="B223" s="45">
        <v>46027</v>
      </c>
      <c r="C223" s="44" t="s">
        <v>90</v>
      </c>
      <c r="D223" s="44" t="s">
        <v>173</v>
      </c>
      <c r="E223" s="44" t="s">
        <v>612</v>
      </c>
      <c r="F223" s="46">
        <v>2830.17</v>
      </c>
      <c r="G223" s="47" t="str">
        <f ca="1">IFERROR(_xludf.XLOOKUP(E223,Bank_Statement!$D$4:$D$448,Bank_Statement!$G$4:$G$448,""),"")</f>
        <v/>
      </c>
      <c r="H223" s="46" t="str">
        <f t="shared" ca="1" si="9"/>
        <v/>
      </c>
      <c r="I223" s="48" t="str">
        <f ca="1">IFERROR(_xludf.XLOOKUP(E223,Bank_Statement!$D$4:$D$448,Bank_Statement!$B$4:$B$448,""),"")</f>
        <v/>
      </c>
      <c r="J223" s="49" t="str">
        <f t="shared" ca="1" si="10"/>
        <v/>
      </c>
      <c r="K223" s="50" t="str">
        <f ca="1">IF(G223="","Unmatched ERP",IF(AND(ABS(H223)&lt;=Mapping_Rules!$B$4,ABS(J223)&lt;=Mapping_Rules!$B$5),"Matched","Review"))</f>
        <v>Unmatched ERP</v>
      </c>
      <c r="L223" s="50" t="str">
        <f ca="1">IF(K223="Matched","None",IF(G223="","Missing from bank",IF(ABS(H223)&gt;Mapping_Rules!$B$4,"Amount variance","Date variance")))</f>
        <v>Missing from bank</v>
      </c>
      <c r="M223" s="50" t="str">
        <f ca="1">IF(K223="Matched","Low",IF(OR(IFERROR(ABS(H223),0)&gt;Mapping_Rules!$B$7,IFERROR(J223,0)&gt;Mapping_Rules!$B$8),"High","Medium"))</f>
        <v>High</v>
      </c>
      <c r="N223" s="50" t="str">
        <f t="shared" ca="1" si="11"/>
        <v>Check bank date or posting</v>
      </c>
      <c r="O223" s="44" t="s">
        <v>194</v>
      </c>
      <c r="P223" s="44" t="s">
        <v>95</v>
      </c>
      <c r="Q223" s="44" t="s">
        <v>1689</v>
      </c>
      <c r="R223" s="51"/>
      <c r="S223" s="52">
        <f ca="1">IF(K223="Matched",0,Mapping_Rules!$B$6-B223)</f>
        <v>26</v>
      </c>
    </row>
    <row r="224" spans="1:19">
      <c r="A224" s="23" t="s">
        <v>613</v>
      </c>
      <c r="B224" s="31">
        <v>46032</v>
      </c>
      <c r="C224" s="23" t="s">
        <v>107</v>
      </c>
      <c r="D224" s="23" t="s">
        <v>191</v>
      </c>
      <c r="E224" s="23" t="s">
        <v>614</v>
      </c>
      <c r="F224" s="32">
        <v>-104.38</v>
      </c>
      <c r="G224" s="38" t="str">
        <f ca="1">IFERROR(_xludf.XLOOKUP(E224,Bank_Statement!$D$4:$D$448,Bank_Statement!$G$4:$G$448,""),"")</f>
        <v/>
      </c>
      <c r="H224" s="32" t="str">
        <f t="shared" ca="1" si="9"/>
        <v/>
      </c>
      <c r="I224" s="39" t="str">
        <f ca="1">IFERROR(_xludf.XLOOKUP(E224,Bank_Statement!$D$4:$D$448,Bank_Statement!$B$4:$B$448,""),"")</f>
        <v/>
      </c>
      <c r="J224" s="40" t="str">
        <f t="shared" ca="1" si="10"/>
        <v/>
      </c>
      <c r="K224" s="41" t="str">
        <f ca="1">IF(G224="","Unmatched ERP",IF(AND(ABS(H224)&lt;=Mapping_Rules!$B$4,ABS(J224)&lt;=Mapping_Rules!$B$5),"Matched","Review"))</f>
        <v>Unmatched ERP</v>
      </c>
      <c r="L224" s="41" t="str">
        <f ca="1">IF(K224="Matched","None",IF(G224="","Missing from bank",IF(ABS(H224)&gt;Mapping_Rules!$B$4,"Amount variance","Date variance")))</f>
        <v>Missing from bank</v>
      </c>
      <c r="M224" s="41" t="str">
        <f ca="1">IF(K224="Matched","Low",IF(OR(IFERROR(ABS(H224),0)&gt;Mapping_Rules!$B$7,IFERROR(J224,0)&gt;Mapping_Rules!$B$8),"High","Medium"))</f>
        <v>High</v>
      </c>
      <c r="N224" s="41" t="str">
        <f t="shared" ca="1" si="11"/>
        <v>Check bank date or posting</v>
      </c>
      <c r="O224" s="23" t="s">
        <v>194</v>
      </c>
      <c r="P224" s="23" t="s">
        <v>95</v>
      </c>
      <c r="Q224" s="23" t="s">
        <v>1689</v>
      </c>
      <c r="R224" s="42"/>
      <c r="S224" s="43">
        <f ca="1">IF(K224="Matched",0,Mapping_Rules!$B$6-B224)</f>
        <v>21</v>
      </c>
    </row>
    <row r="225" spans="1:19">
      <c r="A225" s="44" t="s">
        <v>615</v>
      </c>
      <c r="B225" s="45">
        <v>46051</v>
      </c>
      <c r="C225" s="44" t="s">
        <v>72</v>
      </c>
      <c r="D225" s="44" t="s">
        <v>208</v>
      </c>
      <c r="E225" s="44" t="s">
        <v>616</v>
      </c>
      <c r="F225" s="46">
        <v>-5794.56</v>
      </c>
      <c r="G225" s="47" t="str">
        <f ca="1">IFERROR(_xludf.XLOOKUP(E225,Bank_Statement!$D$4:$D$448,Bank_Statement!$G$4:$G$448,""),"")</f>
        <v/>
      </c>
      <c r="H225" s="46" t="str">
        <f t="shared" ca="1" si="9"/>
        <v/>
      </c>
      <c r="I225" s="48" t="str">
        <f ca="1">IFERROR(_xludf.XLOOKUP(E225,Bank_Statement!$D$4:$D$448,Bank_Statement!$B$4:$B$448,""),"")</f>
        <v/>
      </c>
      <c r="J225" s="49" t="str">
        <f t="shared" ca="1" si="10"/>
        <v/>
      </c>
      <c r="K225" s="50" t="str">
        <f ca="1">IF(G225="","Unmatched ERP",IF(AND(ABS(H225)&lt;=Mapping_Rules!$B$4,ABS(J225)&lt;=Mapping_Rules!$B$5),"Matched","Review"))</f>
        <v>Unmatched ERP</v>
      </c>
      <c r="L225" s="50" t="str">
        <f ca="1">IF(K225="Matched","None",IF(G225="","Missing from bank",IF(ABS(H225)&gt;Mapping_Rules!$B$4,"Amount variance","Date variance")))</f>
        <v>Missing from bank</v>
      </c>
      <c r="M225" s="50" t="str">
        <f ca="1">IF(K225="Matched","Low",IF(OR(IFERROR(ABS(H225),0)&gt;Mapping_Rules!$B$7,IFERROR(J225,0)&gt;Mapping_Rules!$B$8),"High","Medium"))</f>
        <v>High</v>
      </c>
      <c r="N225" s="50" t="str">
        <f t="shared" ca="1" si="11"/>
        <v>Check bank date or posting</v>
      </c>
      <c r="O225" s="44" t="s">
        <v>131</v>
      </c>
      <c r="P225" s="44" t="s">
        <v>77</v>
      </c>
      <c r="Q225" s="44" t="s">
        <v>1689</v>
      </c>
      <c r="R225" s="51"/>
      <c r="S225" s="52">
        <f ca="1">IF(K225="Matched",0,Mapping_Rules!$B$6-B225)</f>
        <v>2</v>
      </c>
    </row>
    <row r="226" spans="1:19">
      <c r="A226" s="23" t="s">
        <v>617</v>
      </c>
      <c r="B226" s="31">
        <v>46037</v>
      </c>
      <c r="C226" s="23" t="s">
        <v>81</v>
      </c>
      <c r="D226" s="23" t="s">
        <v>214</v>
      </c>
      <c r="E226" s="23" t="s">
        <v>618</v>
      </c>
      <c r="F226" s="32">
        <v>4303.04</v>
      </c>
      <c r="G226" s="38" t="str">
        <f ca="1">IFERROR(_xludf.XLOOKUP(E226,Bank_Statement!$D$4:$D$448,Bank_Statement!$G$4:$G$448,""),"")</f>
        <v/>
      </c>
      <c r="H226" s="32" t="str">
        <f t="shared" ca="1" si="9"/>
        <v/>
      </c>
      <c r="I226" s="39" t="str">
        <f ca="1">IFERROR(_xludf.XLOOKUP(E226,Bank_Statement!$D$4:$D$448,Bank_Statement!$B$4:$B$448,""),"")</f>
        <v/>
      </c>
      <c r="J226" s="40" t="str">
        <f t="shared" ca="1" si="10"/>
        <v/>
      </c>
      <c r="K226" s="41" t="str">
        <f ca="1">IF(G226="","Unmatched ERP",IF(AND(ABS(H226)&lt;=Mapping_Rules!$B$4,ABS(J226)&lt;=Mapping_Rules!$B$5),"Matched","Review"))</f>
        <v>Unmatched ERP</v>
      </c>
      <c r="L226" s="41" t="str">
        <f ca="1">IF(K226="Matched","None",IF(G226="","Missing from bank",IF(ABS(H226)&gt;Mapping_Rules!$B$4,"Amount variance","Date variance")))</f>
        <v>Missing from bank</v>
      </c>
      <c r="M226" s="41" t="str">
        <f ca="1">IF(K226="Matched","Low",IF(OR(IFERROR(ABS(H226),0)&gt;Mapping_Rules!$B$7,IFERROR(J226,0)&gt;Mapping_Rules!$B$8),"High","Medium"))</f>
        <v>High</v>
      </c>
      <c r="N226" s="41" t="str">
        <f t="shared" ca="1" si="11"/>
        <v>Check bank date or posting</v>
      </c>
      <c r="O226" s="23" t="s">
        <v>158</v>
      </c>
      <c r="P226" s="23" t="s">
        <v>86</v>
      </c>
      <c r="Q226" s="23" t="s">
        <v>1689</v>
      </c>
      <c r="R226" s="42"/>
      <c r="S226" s="43">
        <f ca="1">IF(K226="Matched",0,Mapping_Rules!$B$6-B226)</f>
        <v>16</v>
      </c>
    </row>
    <row r="227" spans="1:19">
      <c r="A227" s="44" t="s">
        <v>619</v>
      </c>
      <c r="B227" s="45">
        <v>46034</v>
      </c>
      <c r="C227" s="44" t="s">
        <v>72</v>
      </c>
      <c r="D227" s="44" t="s">
        <v>208</v>
      </c>
      <c r="E227" s="44" t="s">
        <v>620</v>
      </c>
      <c r="F227" s="46">
        <v>-3108.75</v>
      </c>
      <c r="G227" s="47" t="str">
        <f ca="1">IFERROR(_xludf.XLOOKUP(E227,Bank_Statement!$D$4:$D$448,Bank_Statement!$G$4:$G$448,""),"")</f>
        <v/>
      </c>
      <c r="H227" s="46" t="str">
        <f t="shared" ca="1" si="9"/>
        <v/>
      </c>
      <c r="I227" s="48" t="str">
        <f ca="1">IFERROR(_xludf.XLOOKUP(E227,Bank_Statement!$D$4:$D$448,Bank_Statement!$B$4:$B$448,""),"")</f>
        <v/>
      </c>
      <c r="J227" s="49" t="str">
        <f t="shared" ca="1" si="10"/>
        <v/>
      </c>
      <c r="K227" s="50" t="str">
        <f ca="1">IF(G227="","Unmatched ERP",IF(AND(ABS(H227)&lt;=Mapping_Rules!$B$4,ABS(J227)&lt;=Mapping_Rules!$B$5),"Matched","Review"))</f>
        <v>Unmatched ERP</v>
      </c>
      <c r="L227" s="50" t="str">
        <f ca="1">IF(K227="Matched","None",IF(G227="","Missing from bank",IF(ABS(H227)&gt;Mapping_Rules!$B$4,"Amount variance","Date variance")))</f>
        <v>Missing from bank</v>
      </c>
      <c r="M227" s="50" t="str">
        <f ca="1">IF(K227="Matched","Low",IF(OR(IFERROR(ABS(H227),0)&gt;Mapping_Rules!$B$7,IFERROR(J227,0)&gt;Mapping_Rules!$B$8),"High","Medium"))</f>
        <v>High</v>
      </c>
      <c r="N227" s="50" t="str">
        <f t="shared" ca="1" si="11"/>
        <v>Check bank date or posting</v>
      </c>
      <c r="O227" s="44" t="s">
        <v>131</v>
      </c>
      <c r="P227" s="44" t="s">
        <v>77</v>
      </c>
      <c r="Q227" s="44" t="s">
        <v>1689</v>
      </c>
      <c r="R227" s="51"/>
      <c r="S227" s="52">
        <f ca="1">IF(K227="Matched",0,Mapping_Rules!$B$6-B227)</f>
        <v>19</v>
      </c>
    </row>
    <row r="228" spans="1:19">
      <c r="A228" s="23" t="s">
        <v>621</v>
      </c>
      <c r="B228" s="31">
        <v>46051</v>
      </c>
      <c r="C228" s="23" t="s">
        <v>72</v>
      </c>
      <c r="D228" s="23" t="s">
        <v>208</v>
      </c>
      <c r="E228" s="23" t="s">
        <v>622</v>
      </c>
      <c r="F228" s="32">
        <v>-4754.8</v>
      </c>
      <c r="G228" s="38" t="str">
        <f ca="1">IFERROR(_xludf.XLOOKUP(E228,Bank_Statement!$D$4:$D$448,Bank_Statement!$G$4:$G$448,""),"")</f>
        <v/>
      </c>
      <c r="H228" s="32" t="str">
        <f t="shared" ca="1" si="9"/>
        <v/>
      </c>
      <c r="I228" s="39" t="str">
        <f ca="1">IFERROR(_xludf.XLOOKUP(E228,Bank_Statement!$D$4:$D$448,Bank_Statement!$B$4:$B$448,""),"")</f>
        <v/>
      </c>
      <c r="J228" s="40" t="str">
        <f t="shared" ca="1" si="10"/>
        <v/>
      </c>
      <c r="K228" s="41" t="str">
        <f ca="1">IF(G228="","Unmatched ERP",IF(AND(ABS(H228)&lt;=Mapping_Rules!$B$4,ABS(J228)&lt;=Mapping_Rules!$B$5),"Matched","Review"))</f>
        <v>Unmatched ERP</v>
      </c>
      <c r="L228" s="41" t="str">
        <f ca="1">IF(K228="Matched","None",IF(G228="","Missing from bank",IF(ABS(H228)&gt;Mapping_Rules!$B$4,"Amount variance","Date variance")))</f>
        <v>Missing from bank</v>
      </c>
      <c r="M228" s="41" t="str">
        <f ca="1">IF(K228="Matched","Low",IF(OR(IFERROR(ABS(H228),0)&gt;Mapping_Rules!$B$7,IFERROR(J228,0)&gt;Mapping_Rules!$B$8),"High","Medium"))</f>
        <v>High</v>
      </c>
      <c r="N228" s="41" t="str">
        <f t="shared" ca="1" si="11"/>
        <v>Check bank date or posting</v>
      </c>
      <c r="O228" s="23" t="s">
        <v>131</v>
      </c>
      <c r="P228" s="23" t="s">
        <v>77</v>
      </c>
      <c r="Q228" s="23" t="s">
        <v>1689</v>
      </c>
      <c r="R228" s="42"/>
      <c r="S228" s="43">
        <f ca="1">IF(K228="Matched",0,Mapping_Rules!$B$6-B228)</f>
        <v>2</v>
      </c>
    </row>
    <row r="229" spans="1:19">
      <c r="A229" s="44" t="s">
        <v>623</v>
      </c>
      <c r="B229" s="45">
        <v>46032</v>
      </c>
      <c r="C229" s="44" t="s">
        <v>72</v>
      </c>
      <c r="D229" s="44" t="s">
        <v>204</v>
      </c>
      <c r="E229" s="44" t="s">
        <v>624</v>
      </c>
      <c r="F229" s="46">
        <v>-2836.17</v>
      </c>
      <c r="G229" s="47" t="str">
        <f ca="1">IFERROR(_xludf.XLOOKUP(E229,Bank_Statement!$D$4:$D$448,Bank_Statement!$G$4:$G$448,""),"")</f>
        <v/>
      </c>
      <c r="H229" s="46" t="str">
        <f t="shared" ca="1" si="9"/>
        <v/>
      </c>
      <c r="I229" s="48" t="str">
        <f ca="1">IFERROR(_xludf.XLOOKUP(E229,Bank_Statement!$D$4:$D$448,Bank_Statement!$B$4:$B$448,""),"")</f>
        <v/>
      </c>
      <c r="J229" s="49" t="str">
        <f t="shared" ca="1" si="10"/>
        <v/>
      </c>
      <c r="K229" s="50" t="str">
        <f ca="1">IF(G229="","Unmatched ERP",IF(AND(ABS(H229)&lt;=Mapping_Rules!$B$4,ABS(J229)&lt;=Mapping_Rules!$B$5),"Matched","Review"))</f>
        <v>Unmatched ERP</v>
      </c>
      <c r="L229" s="50" t="str">
        <f ca="1">IF(K229="Matched","None",IF(G229="","Missing from bank",IF(ABS(H229)&gt;Mapping_Rules!$B$4,"Amount variance","Date variance")))</f>
        <v>Missing from bank</v>
      </c>
      <c r="M229" s="50" t="str">
        <f ca="1">IF(K229="Matched","Low",IF(OR(IFERROR(ABS(H229),0)&gt;Mapping_Rules!$B$7,IFERROR(J229,0)&gt;Mapping_Rules!$B$8),"High","Medium"))</f>
        <v>High</v>
      </c>
      <c r="N229" s="50" t="str">
        <f t="shared" ca="1" si="11"/>
        <v>Check bank date or posting</v>
      </c>
      <c r="O229" s="44" t="s">
        <v>131</v>
      </c>
      <c r="P229" s="44" t="s">
        <v>77</v>
      </c>
      <c r="Q229" s="44" t="s">
        <v>1689</v>
      </c>
      <c r="R229" s="51"/>
      <c r="S229" s="52">
        <f ca="1">IF(K229="Matched",0,Mapping_Rules!$B$6-B229)</f>
        <v>21</v>
      </c>
    </row>
    <row r="230" spans="1:19">
      <c r="A230" s="23" t="s">
        <v>625</v>
      </c>
      <c r="B230" s="31">
        <v>46042</v>
      </c>
      <c r="C230" s="23" t="s">
        <v>90</v>
      </c>
      <c r="D230" s="23" t="s">
        <v>133</v>
      </c>
      <c r="E230" s="23" t="s">
        <v>626</v>
      </c>
      <c r="F230" s="32">
        <v>686.88</v>
      </c>
      <c r="G230" s="38" t="str">
        <f ca="1">IFERROR(_xludf.XLOOKUP(E230,Bank_Statement!$D$4:$D$448,Bank_Statement!$G$4:$G$448,""),"")</f>
        <v/>
      </c>
      <c r="H230" s="32" t="str">
        <f t="shared" ca="1" si="9"/>
        <v/>
      </c>
      <c r="I230" s="39" t="str">
        <f ca="1">IFERROR(_xludf.XLOOKUP(E230,Bank_Statement!$D$4:$D$448,Bank_Statement!$B$4:$B$448,""),"")</f>
        <v/>
      </c>
      <c r="J230" s="40" t="str">
        <f t="shared" ca="1" si="10"/>
        <v/>
      </c>
      <c r="K230" s="41" t="str">
        <f ca="1">IF(G230="","Unmatched ERP",IF(AND(ABS(H230)&lt;=Mapping_Rules!$B$4,ABS(J230)&lt;=Mapping_Rules!$B$5),"Matched","Review"))</f>
        <v>Unmatched ERP</v>
      </c>
      <c r="L230" s="41" t="str">
        <f ca="1">IF(K230="Matched","None",IF(G230="","Missing from bank",IF(ABS(H230)&gt;Mapping_Rules!$B$4,"Amount variance","Date variance")))</f>
        <v>Missing from bank</v>
      </c>
      <c r="M230" s="41" t="str">
        <f ca="1">IF(K230="Matched","Low",IF(OR(IFERROR(ABS(H230),0)&gt;Mapping_Rules!$B$7,IFERROR(J230,0)&gt;Mapping_Rules!$B$8),"High","Medium"))</f>
        <v>High</v>
      </c>
      <c r="N230" s="41" t="str">
        <f t="shared" ca="1" si="11"/>
        <v>Check bank date or posting</v>
      </c>
      <c r="O230" s="23" t="s">
        <v>426</v>
      </c>
      <c r="P230" s="23" t="s">
        <v>95</v>
      </c>
      <c r="Q230" s="23" t="s">
        <v>1689</v>
      </c>
      <c r="R230" s="42"/>
      <c r="S230" s="43">
        <f ca="1">IF(K230="Matched",0,Mapping_Rules!$B$6-B230)</f>
        <v>11</v>
      </c>
    </row>
    <row r="231" spans="1:19">
      <c r="A231" s="44" t="s">
        <v>627</v>
      </c>
      <c r="B231" s="45">
        <v>46047</v>
      </c>
      <c r="C231" s="44" t="s">
        <v>72</v>
      </c>
      <c r="D231" s="44" t="s">
        <v>204</v>
      </c>
      <c r="E231" s="44" t="s">
        <v>628</v>
      </c>
      <c r="F231" s="46">
        <v>-3195.83</v>
      </c>
      <c r="G231" s="47" t="str">
        <f ca="1">IFERROR(_xludf.XLOOKUP(E231,Bank_Statement!$D$4:$D$448,Bank_Statement!$G$4:$G$448,""),"")</f>
        <v/>
      </c>
      <c r="H231" s="46" t="str">
        <f t="shared" ca="1" si="9"/>
        <v/>
      </c>
      <c r="I231" s="48" t="str">
        <f ca="1">IFERROR(_xludf.XLOOKUP(E231,Bank_Statement!$D$4:$D$448,Bank_Statement!$B$4:$B$448,""),"")</f>
        <v/>
      </c>
      <c r="J231" s="49" t="str">
        <f t="shared" ca="1" si="10"/>
        <v/>
      </c>
      <c r="K231" s="50" t="str">
        <f ca="1">IF(G231="","Unmatched ERP",IF(AND(ABS(H231)&lt;=Mapping_Rules!$B$4,ABS(J231)&lt;=Mapping_Rules!$B$5),"Matched","Review"))</f>
        <v>Unmatched ERP</v>
      </c>
      <c r="L231" s="50" t="str">
        <f ca="1">IF(K231="Matched","None",IF(G231="","Missing from bank",IF(ABS(H231)&gt;Mapping_Rules!$B$4,"Amount variance","Date variance")))</f>
        <v>Missing from bank</v>
      </c>
      <c r="M231" s="50" t="str">
        <f ca="1">IF(K231="Matched","Low",IF(OR(IFERROR(ABS(H231),0)&gt;Mapping_Rules!$B$7,IFERROR(J231,0)&gt;Mapping_Rules!$B$8),"High","Medium"))</f>
        <v>High</v>
      </c>
      <c r="N231" s="50" t="str">
        <f t="shared" ca="1" si="11"/>
        <v>Check bank date or posting</v>
      </c>
      <c r="O231" s="44" t="s">
        <v>131</v>
      </c>
      <c r="P231" s="44" t="s">
        <v>77</v>
      </c>
      <c r="Q231" s="44" t="s">
        <v>1689</v>
      </c>
      <c r="R231" s="51"/>
      <c r="S231" s="52">
        <f ca="1">IF(K231="Matched",0,Mapping_Rules!$B$6-B231)</f>
        <v>6</v>
      </c>
    </row>
    <row r="232" spans="1:19">
      <c r="A232" s="23" t="s">
        <v>629</v>
      </c>
      <c r="B232" s="31">
        <v>46048</v>
      </c>
      <c r="C232" s="23" t="s">
        <v>81</v>
      </c>
      <c r="D232" s="23" t="s">
        <v>163</v>
      </c>
      <c r="E232" s="23" t="s">
        <v>630</v>
      </c>
      <c r="F232" s="32">
        <v>1393.65</v>
      </c>
      <c r="G232" s="38" t="str">
        <f ca="1">IFERROR(_xludf.XLOOKUP(E232,Bank_Statement!$D$4:$D$448,Bank_Statement!$G$4:$G$448,""),"")</f>
        <v/>
      </c>
      <c r="H232" s="32" t="str">
        <f t="shared" ca="1" si="9"/>
        <v/>
      </c>
      <c r="I232" s="39" t="str">
        <f ca="1">IFERROR(_xludf.XLOOKUP(E232,Bank_Statement!$D$4:$D$448,Bank_Statement!$B$4:$B$448,""),"")</f>
        <v/>
      </c>
      <c r="J232" s="40" t="str">
        <f t="shared" ca="1" si="10"/>
        <v/>
      </c>
      <c r="K232" s="41" t="str">
        <f ca="1">IF(G232="","Unmatched ERP",IF(AND(ABS(H232)&lt;=Mapping_Rules!$B$4,ABS(J232)&lt;=Mapping_Rules!$B$5),"Matched","Review"))</f>
        <v>Unmatched ERP</v>
      </c>
      <c r="L232" s="41" t="str">
        <f ca="1">IF(K232="Matched","None",IF(G232="","Missing from bank",IF(ABS(H232)&gt;Mapping_Rules!$B$4,"Amount variance","Date variance")))</f>
        <v>Missing from bank</v>
      </c>
      <c r="M232" s="41" t="str">
        <f ca="1">IF(K232="Matched","Low",IF(OR(IFERROR(ABS(H232),0)&gt;Mapping_Rules!$B$7,IFERROR(J232,0)&gt;Mapping_Rules!$B$8),"High","Medium"))</f>
        <v>High</v>
      </c>
      <c r="N232" s="41" t="str">
        <f t="shared" ca="1" si="11"/>
        <v>Check bank date or posting</v>
      </c>
      <c r="O232" s="23" t="s">
        <v>158</v>
      </c>
      <c r="P232" s="23" t="s">
        <v>86</v>
      </c>
      <c r="Q232" s="23" t="s">
        <v>1689</v>
      </c>
      <c r="R232" s="42"/>
      <c r="S232" s="43">
        <f ca="1">IF(K232="Matched",0,Mapping_Rules!$B$6-B232)</f>
        <v>5</v>
      </c>
    </row>
    <row r="233" spans="1:19">
      <c r="A233" s="44" t="s">
        <v>631</v>
      </c>
      <c r="B233" s="45">
        <v>46042</v>
      </c>
      <c r="C233" s="44" t="s">
        <v>90</v>
      </c>
      <c r="D233" s="44" t="s">
        <v>204</v>
      </c>
      <c r="E233" s="44" t="s">
        <v>632</v>
      </c>
      <c r="F233" s="46">
        <v>-2988.94</v>
      </c>
      <c r="G233" s="47" t="str">
        <f ca="1">IFERROR(_xludf.XLOOKUP(E233,Bank_Statement!$D$4:$D$448,Bank_Statement!$G$4:$G$448,""),"")</f>
        <v/>
      </c>
      <c r="H233" s="46" t="str">
        <f t="shared" ca="1" si="9"/>
        <v/>
      </c>
      <c r="I233" s="48" t="str">
        <f ca="1">IFERROR(_xludf.XLOOKUP(E233,Bank_Statement!$D$4:$D$448,Bank_Statement!$B$4:$B$448,""),"")</f>
        <v/>
      </c>
      <c r="J233" s="49" t="str">
        <f t="shared" ca="1" si="10"/>
        <v/>
      </c>
      <c r="K233" s="50" t="str">
        <f ca="1">IF(G233="","Unmatched ERP",IF(AND(ABS(H233)&lt;=Mapping_Rules!$B$4,ABS(J233)&lt;=Mapping_Rules!$B$5),"Matched","Review"))</f>
        <v>Unmatched ERP</v>
      </c>
      <c r="L233" s="50" t="str">
        <f ca="1">IF(K233="Matched","None",IF(G233="","Missing from bank",IF(ABS(H233)&gt;Mapping_Rules!$B$4,"Amount variance","Date variance")))</f>
        <v>Missing from bank</v>
      </c>
      <c r="M233" s="50" t="str">
        <f ca="1">IF(K233="Matched","Low",IF(OR(IFERROR(ABS(H233),0)&gt;Mapping_Rules!$B$7,IFERROR(J233,0)&gt;Mapping_Rules!$B$8),"High","Medium"))</f>
        <v>High</v>
      </c>
      <c r="N233" s="50" t="str">
        <f t="shared" ca="1" si="11"/>
        <v>Check bank date or posting</v>
      </c>
      <c r="O233" s="44" t="s">
        <v>194</v>
      </c>
      <c r="P233" s="44" t="s">
        <v>95</v>
      </c>
      <c r="Q233" s="44" t="s">
        <v>1689</v>
      </c>
      <c r="R233" s="51"/>
      <c r="S233" s="52">
        <f ca="1">IF(K233="Matched",0,Mapping_Rules!$B$6-B233)</f>
        <v>11</v>
      </c>
    </row>
    <row r="234" spans="1:19">
      <c r="A234" s="23" t="s">
        <v>633</v>
      </c>
      <c r="B234" s="31">
        <v>46044</v>
      </c>
      <c r="C234" s="23" t="s">
        <v>72</v>
      </c>
      <c r="D234" s="23" t="s">
        <v>150</v>
      </c>
      <c r="E234" s="23" t="s">
        <v>634</v>
      </c>
      <c r="F234" s="32">
        <v>-3652.26</v>
      </c>
      <c r="G234" s="38" t="str">
        <f ca="1">IFERROR(_xludf.XLOOKUP(E234,Bank_Statement!$D$4:$D$448,Bank_Statement!$G$4:$G$448,""),"")</f>
        <v/>
      </c>
      <c r="H234" s="32" t="str">
        <f t="shared" ca="1" si="9"/>
        <v/>
      </c>
      <c r="I234" s="39" t="str">
        <f ca="1">IFERROR(_xludf.XLOOKUP(E234,Bank_Statement!$D$4:$D$448,Bank_Statement!$B$4:$B$448,""),"")</f>
        <v/>
      </c>
      <c r="J234" s="40" t="str">
        <f t="shared" ca="1" si="10"/>
        <v/>
      </c>
      <c r="K234" s="41" t="str">
        <f ca="1">IF(G234="","Unmatched ERP",IF(AND(ABS(H234)&lt;=Mapping_Rules!$B$4,ABS(J234)&lt;=Mapping_Rules!$B$5),"Matched","Review"))</f>
        <v>Unmatched ERP</v>
      </c>
      <c r="L234" s="41" t="str">
        <f ca="1">IF(K234="Matched","None",IF(G234="","Missing from bank",IF(ABS(H234)&gt;Mapping_Rules!$B$4,"Amount variance","Date variance")))</f>
        <v>Missing from bank</v>
      </c>
      <c r="M234" s="41" t="str">
        <f ca="1">IF(K234="Matched","Low",IF(OR(IFERROR(ABS(H234),0)&gt;Mapping_Rules!$B$7,IFERROR(J234,0)&gt;Mapping_Rules!$B$8),"High","Medium"))</f>
        <v>High</v>
      </c>
      <c r="N234" s="41" t="str">
        <f t="shared" ca="1" si="11"/>
        <v>Check bank date or posting</v>
      </c>
      <c r="O234" s="23" t="s">
        <v>131</v>
      </c>
      <c r="P234" s="23" t="s">
        <v>77</v>
      </c>
      <c r="Q234" s="23" t="s">
        <v>1689</v>
      </c>
      <c r="R234" s="42"/>
      <c r="S234" s="43">
        <f ca="1">IF(K234="Matched",0,Mapping_Rules!$B$6-B234)</f>
        <v>9</v>
      </c>
    </row>
    <row r="235" spans="1:19">
      <c r="A235" s="44" t="s">
        <v>635</v>
      </c>
      <c r="B235" s="45">
        <v>46041</v>
      </c>
      <c r="C235" s="44" t="s">
        <v>81</v>
      </c>
      <c r="D235" s="44" t="s">
        <v>167</v>
      </c>
      <c r="E235" s="44" t="s">
        <v>636</v>
      </c>
      <c r="F235" s="46">
        <v>5402.36</v>
      </c>
      <c r="G235" s="47" t="str">
        <f ca="1">IFERROR(_xludf.XLOOKUP(E235,Bank_Statement!$D$4:$D$448,Bank_Statement!$G$4:$G$448,""),"")</f>
        <v/>
      </c>
      <c r="H235" s="46" t="str">
        <f t="shared" ca="1" si="9"/>
        <v/>
      </c>
      <c r="I235" s="48" t="str">
        <f ca="1">IFERROR(_xludf.XLOOKUP(E235,Bank_Statement!$D$4:$D$448,Bank_Statement!$B$4:$B$448,""),"")</f>
        <v/>
      </c>
      <c r="J235" s="49" t="str">
        <f t="shared" ca="1" si="10"/>
        <v/>
      </c>
      <c r="K235" s="50" t="str">
        <f ca="1">IF(G235="","Unmatched ERP",IF(AND(ABS(H235)&lt;=Mapping_Rules!$B$4,ABS(J235)&lt;=Mapping_Rules!$B$5),"Matched","Review"))</f>
        <v>Unmatched ERP</v>
      </c>
      <c r="L235" s="50" t="str">
        <f ca="1">IF(K235="Matched","None",IF(G235="","Missing from bank",IF(ABS(H235)&gt;Mapping_Rules!$B$4,"Amount variance","Date variance")))</f>
        <v>Missing from bank</v>
      </c>
      <c r="M235" s="50" t="str">
        <f ca="1">IF(K235="Matched","Low",IF(OR(IFERROR(ABS(H235),0)&gt;Mapping_Rules!$B$7,IFERROR(J235,0)&gt;Mapping_Rules!$B$8),"High","Medium"))</f>
        <v>High</v>
      </c>
      <c r="N235" s="50" t="str">
        <f t="shared" ca="1" si="11"/>
        <v>Check bank date or posting</v>
      </c>
      <c r="O235" s="44" t="s">
        <v>158</v>
      </c>
      <c r="P235" s="44" t="s">
        <v>86</v>
      </c>
      <c r="Q235" s="44" t="s">
        <v>1689</v>
      </c>
      <c r="R235" s="51"/>
      <c r="S235" s="52">
        <f ca="1">IF(K235="Matched",0,Mapping_Rules!$B$6-B235)</f>
        <v>12</v>
      </c>
    </row>
    <row r="236" spans="1:19">
      <c r="A236" s="23" t="s">
        <v>637</v>
      </c>
      <c r="B236" s="31">
        <v>46029</v>
      </c>
      <c r="C236" s="23" t="s">
        <v>72</v>
      </c>
      <c r="D236" s="23" t="s">
        <v>208</v>
      </c>
      <c r="E236" s="23" t="s">
        <v>638</v>
      </c>
      <c r="F236" s="32">
        <v>-2642.94</v>
      </c>
      <c r="G236" s="38" t="str">
        <f ca="1">IFERROR(_xludf.XLOOKUP(E236,Bank_Statement!$D$4:$D$448,Bank_Statement!$G$4:$G$448,""),"")</f>
        <v/>
      </c>
      <c r="H236" s="32" t="str">
        <f t="shared" ca="1" si="9"/>
        <v/>
      </c>
      <c r="I236" s="39" t="str">
        <f ca="1">IFERROR(_xludf.XLOOKUP(E236,Bank_Statement!$D$4:$D$448,Bank_Statement!$B$4:$B$448,""),"")</f>
        <v/>
      </c>
      <c r="J236" s="40" t="str">
        <f t="shared" ca="1" si="10"/>
        <v/>
      </c>
      <c r="K236" s="41" t="str">
        <f ca="1">IF(G236="","Unmatched ERP",IF(AND(ABS(H236)&lt;=Mapping_Rules!$B$4,ABS(J236)&lt;=Mapping_Rules!$B$5),"Matched","Review"))</f>
        <v>Unmatched ERP</v>
      </c>
      <c r="L236" s="41" t="str">
        <f ca="1">IF(K236="Matched","None",IF(G236="","Missing from bank",IF(ABS(H236)&gt;Mapping_Rules!$B$4,"Amount variance","Date variance")))</f>
        <v>Missing from bank</v>
      </c>
      <c r="M236" s="41" t="str">
        <f ca="1">IF(K236="Matched","Low",IF(OR(IFERROR(ABS(H236),0)&gt;Mapping_Rules!$B$7,IFERROR(J236,0)&gt;Mapping_Rules!$B$8),"High","Medium"))</f>
        <v>High</v>
      </c>
      <c r="N236" s="41" t="str">
        <f t="shared" ca="1" si="11"/>
        <v>Check bank date or posting</v>
      </c>
      <c r="O236" s="23" t="s">
        <v>131</v>
      </c>
      <c r="P236" s="23" t="s">
        <v>77</v>
      </c>
      <c r="Q236" s="23" t="s">
        <v>1689</v>
      </c>
      <c r="R236" s="42"/>
      <c r="S236" s="43">
        <f ca="1">IF(K236="Matched",0,Mapping_Rules!$B$6-B236)</f>
        <v>24</v>
      </c>
    </row>
    <row r="237" spans="1:19">
      <c r="A237" s="44" t="s">
        <v>639</v>
      </c>
      <c r="B237" s="45">
        <v>46046</v>
      </c>
      <c r="C237" s="44" t="s">
        <v>90</v>
      </c>
      <c r="D237" s="44" t="s">
        <v>167</v>
      </c>
      <c r="E237" s="44" t="s">
        <v>640</v>
      </c>
      <c r="F237" s="46">
        <v>733.51</v>
      </c>
      <c r="G237" s="47" t="str">
        <f ca="1">IFERROR(_xludf.XLOOKUP(E237,Bank_Statement!$D$4:$D$448,Bank_Statement!$G$4:$G$448,""),"")</f>
        <v/>
      </c>
      <c r="H237" s="46" t="str">
        <f t="shared" ca="1" si="9"/>
        <v/>
      </c>
      <c r="I237" s="48" t="str">
        <f ca="1">IFERROR(_xludf.XLOOKUP(E237,Bank_Statement!$D$4:$D$448,Bank_Statement!$B$4:$B$448,""),"")</f>
        <v/>
      </c>
      <c r="J237" s="49" t="str">
        <f t="shared" ca="1" si="10"/>
        <v/>
      </c>
      <c r="K237" s="50" t="str">
        <f ca="1">IF(G237="","Unmatched ERP",IF(AND(ABS(H237)&lt;=Mapping_Rules!$B$4,ABS(J237)&lt;=Mapping_Rules!$B$5),"Matched","Review"))</f>
        <v>Unmatched ERP</v>
      </c>
      <c r="L237" s="50" t="str">
        <f ca="1">IF(K237="Matched","None",IF(G237="","Missing from bank",IF(ABS(H237)&gt;Mapping_Rules!$B$4,"Amount variance","Date variance")))</f>
        <v>Missing from bank</v>
      </c>
      <c r="M237" s="50" t="str">
        <f ca="1">IF(K237="Matched","Low",IF(OR(IFERROR(ABS(H237),0)&gt;Mapping_Rules!$B$7,IFERROR(J237,0)&gt;Mapping_Rules!$B$8),"High","Medium"))</f>
        <v>High</v>
      </c>
      <c r="N237" s="50" t="str">
        <f t="shared" ca="1" si="11"/>
        <v>Check bank date or posting</v>
      </c>
      <c r="O237" s="44" t="s">
        <v>426</v>
      </c>
      <c r="P237" s="44" t="s">
        <v>95</v>
      </c>
      <c r="Q237" s="44" t="s">
        <v>1689</v>
      </c>
      <c r="R237" s="51"/>
      <c r="S237" s="52">
        <f ca="1">IF(K237="Matched",0,Mapping_Rules!$B$6-B237)</f>
        <v>7</v>
      </c>
    </row>
    <row r="238" spans="1:19">
      <c r="A238" s="23" t="s">
        <v>641</v>
      </c>
      <c r="B238" s="31">
        <v>46040</v>
      </c>
      <c r="C238" s="23" t="s">
        <v>72</v>
      </c>
      <c r="D238" s="23" t="s">
        <v>208</v>
      </c>
      <c r="E238" s="23" t="s">
        <v>642</v>
      </c>
      <c r="F238" s="32">
        <v>-4216.32</v>
      </c>
      <c r="G238" s="38" t="str">
        <f ca="1">IFERROR(_xludf.XLOOKUP(E238,Bank_Statement!$D$4:$D$448,Bank_Statement!$G$4:$G$448,""),"")</f>
        <v/>
      </c>
      <c r="H238" s="32" t="str">
        <f t="shared" ca="1" si="9"/>
        <v/>
      </c>
      <c r="I238" s="39" t="str">
        <f ca="1">IFERROR(_xludf.XLOOKUP(E238,Bank_Statement!$D$4:$D$448,Bank_Statement!$B$4:$B$448,""),"")</f>
        <v/>
      </c>
      <c r="J238" s="40" t="str">
        <f t="shared" ca="1" si="10"/>
        <v/>
      </c>
      <c r="K238" s="41" t="str">
        <f ca="1">IF(G238="","Unmatched ERP",IF(AND(ABS(H238)&lt;=Mapping_Rules!$B$4,ABS(J238)&lt;=Mapping_Rules!$B$5),"Matched","Review"))</f>
        <v>Unmatched ERP</v>
      </c>
      <c r="L238" s="41" t="str">
        <f ca="1">IF(K238="Matched","None",IF(G238="","Missing from bank",IF(ABS(H238)&gt;Mapping_Rules!$B$4,"Amount variance","Date variance")))</f>
        <v>Missing from bank</v>
      </c>
      <c r="M238" s="41" t="str">
        <f ca="1">IF(K238="Matched","Low",IF(OR(IFERROR(ABS(H238),0)&gt;Mapping_Rules!$B$7,IFERROR(J238,0)&gt;Mapping_Rules!$B$8),"High","Medium"))</f>
        <v>High</v>
      </c>
      <c r="N238" s="41" t="str">
        <f t="shared" ca="1" si="11"/>
        <v>Check bank date or posting</v>
      </c>
      <c r="O238" s="23" t="s">
        <v>131</v>
      </c>
      <c r="P238" s="23" t="s">
        <v>77</v>
      </c>
      <c r="Q238" s="23" t="s">
        <v>1689</v>
      </c>
      <c r="R238" s="42"/>
      <c r="S238" s="43">
        <f ca="1">IF(K238="Matched",0,Mapping_Rules!$B$6-B238)</f>
        <v>13</v>
      </c>
    </row>
    <row r="239" spans="1:19">
      <c r="A239" s="44" t="s">
        <v>643</v>
      </c>
      <c r="B239" s="45">
        <v>46032</v>
      </c>
      <c r="C239" s="44" t="s">
        <v>72</v>
      </c>
      <c r="D239" s="44" t="s">
        <v>208</v>
      </c>
      <c r="E239" s="44" t="s">
        <v>644</v>
      </c>
      <c r="F239" s="46">
        <v>-4799.59</v>
      </c>
      <c r="G239" s="47" t="str">
        <f ca="1">IFERROR(_xludf.XLOOKUP(E239,Bank_Statement!$D$4:$D$448,Bank_Statement!$G$4:$G$448,""),"")</f>
        <v/>
      </c>
      <c r="H239" s="46" t="str">
        <f t="shared" ca="1" si="9"/>
        <v/>
      </c>
      <c r="I239" s="48" t="str">
        <f ca="1">IFERROR(_xludf.XLOOKUP(E239,Bank_Statement!$D$4:$D$448,Bank_Statement!$B$4:$B$448,""),"")</f>
        <v/>
      </c>
      <c r="J239" s="49" t="str">
        <f t="shared" ca="1" si="10"/>
        <v/>
      </c>
      <c r="K239" s="50" t="str">
        <f ca="1">IF(G239="","Unmatched ERP",IF(AND(ABS(H239)&lt;=Mapping_Rules!$B$4,ABS(J239)&lt;=Mapping_Rules!$B$5),"Matched","Review"))</f>
        <v>Unmatched ERP</v>
      </c>
      <c r="L239" s="50" t="str">
        <f ca="1">IF(K239="Matched","None",IF(G239="","Missing from bank",IF(ABS(H239)&gt;Mapping_Rules!$B$4,"Amount variance","Date variance")))</f>
        <v>Missing from bank</v>
      </c>
      <c r="M239" s="50" t="str">
        <f ca="1">IF(K239="Matched","Low",IF(OR(IFERROR(ABS(H239),0)&gt;Mapping_Rules!$B$7,IFERROR(J239,0)&gt;Mapping_Rules!$B$8),"High","Medium"))</f>
        <v>High</v>
      </c>
      <c r="N239" s="50" t="str">
        <f t="shared" ca="1" si="11"/>
        <v>Check bank date or posting</v>
      </c>
      <c r="O239" s="44" t="s">
        <v>131</v>
      </c>
      <c r="P239" s="44" t="s">
        <v>77</v>
      </c>
      <c r="Q239" s="44" t="s">
        <v>1689</v>
      </c>
      <c r="R239" s="51"/>
      <c r="S239" s="52">
        <f ca="1">IF(K239="Matched",0,Mapping_Rules!$B$6-B239)</f>
        <v>21</v>
      </c>
    </row>
    <row r="240" spans="1:19">
      <c r="A240" s="23" t="s">
        <v>645</v>
      </c>
      <c r="B240" s="31">
        <v>46052</v>
      </c>
      <c r="C240" s="23" t="s">
        <v>90</v>
      </c>
      <c r="D240" s="23" t="s">
        <v>204</v>
      </c>
      <c r="E240" s="23" t="s">
        <v>646</v>
      </c>
      <c r="F240" s="32">
        <v>-1474.56</v>
      </c>
      <c r="G240" s="38" t="str">
        <f ca="1">IFERROR(_xludf.XLOOKUP(E240,Bank_Statement!$D$4:$D$448,Bank_Statement!$G$4:$G$448,""),"")</f>
        <v/>
      </c>
      <c r="H240" s="32" t="str">
        <f t="shared" ca="1" si="9"/>
        <v/>
      </c>
      <c r="I240" s="39" t="str">
        <f ca="1">IFERROR(_xludf.XLOOKUP(E240,Bank_Statement!$D$4:$D$448,Bank_Statement!$B$4:$B$448,""),"")</f>
        <v/>
      </c>
      <c r="J240" s="40" t="str">
        <f t="shared" ca="1" si="10"/>
        <v/>
      </c>
      <c r="K240" s="41" t="str">
        <f ca="1">IF(G240="","Unmatched ERP",IF(AND(ABS(H240)&lt;=Mapping_Rules!$B$4,ABS(J240)&lt;=Mapping_Rules!$B$5),"Matched","Review"))</f>
        <v>Unmatched ERP</v>
      </c>
      <c r="L240" s="41" t="str">
        <f ca="1">IF(K240="Matched","None",IF(G240="","Missing from bank",IF(ABS(H240)&gt;Mapping_Rules!$B$4,"Amount variance","Date variance")))</f>
        <v>Missing from bank</v>
      </c>
      <c r="M240" s="41" t="str">
        <f ca="1">IF(K240="Matched","Low",IF(OR(IFERROR(ABS(H240),0)&gt;Mapping_Rules!$B$7,IFERROR(J240,0)&gt;Mapping_Rules!$B$8),"High","Medium"))</f>
        <v>High</v>
      </c>
      <c r="N240" s="41" t="str">
        <f t="shared" ca="1" si="11"/>
        <v>Check bank date or posting</v>
      </c>
      <c r="O240" s="23" t="s">
        <v>185</v>
      </c>
      <c r="P240" s="23" t="s">
        <v>95</v>
      </c>
      <c r="Q240" s="23" t="s">
        <v>1689</v>
      </c>
      <c r="R240" s="42"/>
      <c r="S240" s="43">
        <f ca="1">IF(K240="Matched",0,Mapping_Rules!$B$6-B240)</f>
        <v>1</v>
      </c>
    </row>
    <row r="241" spans="1:19">
      <c r="A241" s="44" t="s">
        <v>647</v>
      </c>
      <c r="B241" s="45">
        <v>46048</v>
      </c>
      <c r="C241" s="44" t="s">
        <v>72</v>
      </c>
      <c r="D241" s="44" t="s">
        <v>144</v>
      </c>
      <c r="E241" s="44" t="s">
        <v>648</v>
      </c>
      <c r="F241" s="46">
        <v>-1840.3</v>
      </c>
      <c r="G241" s="47" t="str">
        <f ca="1">IFERROR(_xludf.XLOOKUP(E241,Bank_Statement!$D$4:$D$448,Bank_Statement!$G$4:$G$448,""),"")</f>
        <v/>
      </c>
      <c r="H241" s="46" t="str">
        <f t="shared" ca="1" si="9"/>
        <v/>
      </c>
      <c r="I241" s="48" t="str">
        <f ca="1">IFERROR(_xludf.XLOOKUP(E241,Bank_Statement!$D$4:$D$448,Bank_Statement!$B$4:$B$448,""),"")</f>
        <v/>
      </c>
      <c r="J241" s="49" t="str">
        <f t="shared" ca="1" si="10"/>
        <v/>
      </c>
      <c r="K241" s="50" t="str">
        <f ca="1">IF(G241="","Unmatched ERP",IF(AND(ABS(H241)&lt;=Mapping_Rules!$B$4,ABS(J241)&lt;=Mapping_Rules!$B$5),"Matched","Review"))</f>
        <v>Unmatched ERP</v>
      </c>
      <c r="L241" s="50" t="str">
        <f ca="1">IF(K241="Matched","None",IF(G241="","Missing from bank",IF(ABS(H241)&gt;Mapping_Rules!$B$4,"Amount variance","Date variance")))</f>
        <v>Missing from bank</v>
      </c>
      <c r="M241" s="50" t="str">
        <f ca="1">IF(K241="Matched","Low",IF(OR(IFERROR(ABS(H241),0)&gt;Mapping_Rules!$B$7,IFERROR(J241,0)&gt;Mapping_Rules!$B$8),"High","Medium"))</f>
        <v>High</v>
      </c>
      <c r="N241" s="50" t="str">
        <f t="shared" ca="1" si="11"/>
        <v>Check bank date or posting</v>
      </c>
      <c r="O241" s="44" t="s">
        <v>131</v>
      </c>
      <c r="P241" s="44" t="s">
        <v>77</v>
      </c>
      <c r="Q241" s="44" t="s">
        <v>1689</v>
      </c>
      <c r="R241" s="51"/>
      <c r="S241" s="52">
        <f ca="1">IF(K241="Matched",0,Mapping_Rules!$B$6-B241)</f>
        <v>5</v>
      </c>
    </row>
    <row r="242" spans="1:19">
      <c r="A242" s="23" t="s">
        <v>649</v>
      </c>
      <c r="B242" s="31">
        <v>46043</v>
      </c>
      <c r="C242" s="23" t="s">
        <v>72</v>
      </c>
      <c r="D242" s="23" t="s">
        <v>150</v>
      </c>
      <c r="E242" s="23" t="s">
        <v>650</v>
      </c>
      <c r="F242" s="32">
        <v>-1389.6</v>
      </c>
      <c r="G242" s="38" t="str">
        <f ca="1">IFERROR(_xludf.XLOOKUP(E242,Bank_Statement!$D$4:$D$448,Bank_Statement!$G$4:$G$448,""),"")</f>
        <v/>
      </c>
      <c r="H242" s="32" t="str">
        <f t="shared" ca="1" si="9"/>
        <v/>
      </c>
      <c r="I242" s="39" t="str">
        <f ca="1">IFERROR(_xludf.XLOOKUP(E242,Bank_Statement!$D$4:$D$448,Bank_Statement!$B$4:$B$448,""),"")</f>
        <v/>
      </c>
      <c r="J242" s="40" t="str">
        <f t="shared" ca="1" si="10"/>
        <v/>
      </c>
      <c r="K242" s="41" t="str">
        <f ca="1">IF(G242="","Unmatched ERP",IF(AND(ABS(H242)&lt;=Mapping_Rules!$B$4,ABS(J242)&lt;=Mapping_Rules!$B$5),"Matched","Review"))</f>
        <v>Unmatched ERP</v>
      </c>
      <c r="L242" s="41" t="str">
        <f ca="1">IF(K242="Matched","None",IF(G242="","Missing from bank",IF(ABS(H242)&gt;Mapping_Rules!$B$4,"Amount variance","Date variance")))</f>
        <v>Missing from bank</v>
      </c>
      <c r="M242" s="41" t="str">
        <f ca="1">IF(K242="Matched","Low",IF(OR(IFERROR(ABS(H242),0)&gt;Mapping_Rules!$B$7,IFERROR(J242,0)&gt;Mapping_Rules!$B$8),"High","Medium"))</f>
        <v>High</v>
      </c>
      <c r="N242" s="41" t="str">
        <f t="shared" ca="1" si="11"/>
        <v>Check bank date or posting</v>
      </c>
      <c r="O242" s="23" t="s">
        <v>131</v>
      </c>
      <c r="P242" s="23" t="s">
        <v>77</v>
      </c>
      <c r="Q242" s="23" t="s">
        <v>1689</v>
      </c>
      <c r="R242" s="42"/>
      <c r="S242" s="43">
        <f ca="1">IF(K242="Matched",0,Mapping_Rules!$B$6-B242)</f>
        <v>10</v>
      </c>
    </row>
    <row r="243" spans="1:19">
      <c r="A243" s="44" t="s">
        <v>651</v>
      </c>
      <c r="B243" s="45">
        <v>46045</v>
      </c>
      <c r="C243" s="44" t="s">
        <v>72</v>
      </c>
      <c r="D243" s="44" t="s">
        <v>144</v>
      </c>
      <c r="E243" s="44" t="s">
        <v>652</v>
      </c>
      <c r="F243" s="46">
        <v>-3847.94</v>
      </c>
      <c r="G243" s="47" t="str">
        <f ca="1">IFERROR(_xludf.XLOOKUP(E243,Bank_Statement!$D$4:$D$448,Bank_Statement!$G$4:$G$448,""),"")</f>
        <v/>
      </c>
      <c r="H243" s="46" t="str">
        <f t="shared" ca="1" si="9"/>
        <v/>
      </c>
      <c r="I243" s="48" t="str">
        <f ca="1">IFERROR(_xludf.XLOOKUP(E243,Bank_Statement!$D$4:$D$448,Bank_Statement!$B$4:$B$448,""),"")</f>
        <v/>
      </c>
      <c r="J243" s="49" t="str">
        <f t="shared" ca="1" si="10"/>
        <v/>
      </c>
      <c r="K243" s="50" t="str">
        <f ca="1">IF(G243="","Unmatched ERP",IF(AND(ABS(H243)&lt;=Mapping_Rules!$B$4,ABS(J243)&lt;=Mapping_Rules!$B$5),"Matched","Review"))</f>
        <v>Unmatched ERP</v>
      </c>
      <c r="L243" s="50" t="str">
        <f ca="1">IF(K243="Matched","None",IF(G243="","Missing from bank",IF(ABS(H243)&gt;Mapping_Rules!$B$4,"Amount variance","Date variance")))</f>
        <v>Missing from bank</v>
      </c>
      <c r="M243" s="50" t="str">
        <f ca="1">IF(K243="Matched","Low",IF(OR(IFERROR(ABS(H243),0)&gt;Mapping_Rules!$B$7,IFERROR(J243,0)&gt;Mapping_Rules!$B$8),"High","Medium"))</f>
        <v>High</v>
      </c>
      <c r="N243" s="50" t="str">
        <f t="shared" ca="1" si="11"/>
        <v>Check bank date or posting</v>
      </c>
      <c r="O243" s="44" t="s">
        <v>131</v>
      </c>
      <c r="P243" s="44" t="s">
        <v>77</v>
      </c>
      <c r="Q243" s="44" t="s">
        <v>1689</v>
      </c>
      <c r="R243" s="51"/>
      <c r="S243" s="52">
        <f ca="1">IF(K243="Matched",0,Mapping_Rules!$B$6-B243)</f>
        <v>8</v>
      </c>
    </row>
    <row r="244" spans="1:19">
      <c r="A244" s="23" t="s">
        <v>653</v>
      </c>
      <c r="B244" s="31">
        <v>46024</v>
      </c>
      <c r="C244" s="23" t="s">
        <v>72</v>
      </c>
      <c r="D244" s="23" t="s">
        <v>208</v>
      </c>
      <c r="E244" s="23" t="s">
        <v>654</v>
      </c>
      <c r="F244" s="32">
        <v>-4470.2299999999996</v>
      </c>
      <c r="G244" s="38" t="str">
        <f ca="1">IFERROR(_xludf.XLOOKUP(E244,Bank_Statement!$D$4:$D$448,Bank_Statement!$G$4:$G$448,""),"")</f>
        <v/>
      </c>
      <c r="H244" s="32" t="str">
        <f t="shared" ca="1" si="9"/>
        <v/>
      </c>
      <c r="I244" s="39" t="str">
        <f ca="1">IFERROR(_xludf.XLOOKUP(E244,Bank_Statement!$D$4:$D$448,Bank_Statement!$B$4:$B$448,""),"")</f>
        <v/>
      </c>
      <c r="J244" s="40" t="str">
        <f t="shared" ca="1" si="10"/>
        <v/>
      </c>
      <c r="K244" s="41" t="str">
        <f ca="1">IF(G244="","Unmatched ERP",IF(AND(ABS(H244)&lt;=Mapping_Rules!$B$4,ABS(J244)&lt;=Mapping_Rules!$B$5),"Matched","Review"))</f>
        <v>Unmatched ERP</v>
      </c>
      <c r="L244" s="41" t="str">
        <f ca="1">IF(K244="Matched","None",IF(G244="","Missing from bank",IF(ABS(H244)&gt;Mapping_Rules!$B$4,"Amount variance","Date variance")))</f>
        <v>Missing from bank</v>
      </c>
      <c r="M244" s="41" t="str">
        <f ca="1">IF(K244="Matched","Low",IF(OR(IFERROR(ABS(H244),0)&gt;Mapping_Rules!$B$7,IFERROR(J244,0)&gt;Mapping_Rules!$B$8),"High","Medium"))</f>
        <v>High</v>
      </c>
      <c r="N244" s="41" t="str">
        <f t="shared" ca="1" si="11"/>
        <v>Check bank date or posting</v>
      </c>
      <c r="O244" s="23" t="s">
        <v>131</v>
      </c>
      <c r="P244" s="23" t="s">
        <v>77</v>
      </c>
      <c r="Q244" s="23" t="s">
        <v>1689</v>
      </c>
      <c r="R244" s="42"/>
      <c r="S244" s="43">
        <f ca="1">IF(K244="Matched",0,Mapping_Rules!$B$6-B244)</f>
        <v>29</v>
      </c>
    </row>
    <row r="245" spans="1:19">
      <c r="A245" s="44" t="s">
        <v>655</v>
      </c>
      <c r="B245" s="45">
        <v>46052</v>
      </c>
      <c r="C245" s="44" t="s">
        <v>99</v>
      </c>
      <c r="D245" s="44" t="s">
        <v>182</v>
      </c>
      <c r="E245" s="44" t="s">
        <v>656</v>
      </c>
      <c r="F245" s="46">
        <v>-9397.64</v>
      </c>
      <c r="G245" s="47" t="str">
        <f ca="1">IFERROR(_xludf.XLOOKUP(E245,Bank_Statement!$D$4:$D$448,Bank_Statement!$G$4:$G$448,""),"")</f>
        <v/>
      </c>
      <c r="H245" s="46" t="str">
        <f t="shared" ca="1" si="9"/>
        <v/>
      </c>
      <c r="I245" s="48" t="str">
        <f ca="1">IFERROR(_xludf.XLOOKUP(E245,Bank_Statement!$D$4:$D$448,Bank_Statement!$B$4:$B$448,""),"")</f>
        <v/>
      </c>
      <c r="J245" s="49" t="str">
        <f t="shared" ca="1" si="10"/>
        <v/>
      </c>
      <c r="K245" s="50" t="str">
        <f ca="1">IF(G245="","Unmatched ERP",IF(AND(ABS(H245)&lt;=Mapping_Rules!$B$4,ABS(J245)&lt;=Mapping_Rules!$B$5),"Matched","Review"))</f>
        <v>Unmatched ERP</v>
      </c>
      <c r="L245" s="50" t="str">
        <f ca="1">IF(K245="Matched","None",IF(G245="","Missing from bank",IF(ABS(H245)&gt;Mapping_Rules!$B$4,"Amount variance","Date variance")))</f>
        <v>Missing from bank</v>
      </c>
      <c r="M245" s="50" t="str">
        <f ca="1">IF(K245="Matched","Low",IF(OR(IFERROR(ABS(H245),0)&gt;Mapping_Rules!$B$7,IFERROR(J245,0)&gt;Mapping_Rules!$B$8),"High","Medium"))</f>
        <v>High</v>
      </c>
      <c r="N245" s="50" t="str">
        <f t="shared" ca="1" si="11"/>
        <v>Check bank date or posting</v>
      </c>
      <c r="O245" s="44" t="s">
        <v>185</v>
      </c>
      <c r="P245" s="44" t="s">
        <v>95</v>
      </c>
      <c r="Q245" s="44" t="s">
        <v>1689</v>
      </c>
      <c r="R245" s="51"/>
      <c r="S245" s="52">
        <f ca="1">IF(K245="Matched",0,Mapping_Rules!$B$6-B245)</f>
        <v>1</v>
      </c>
    </row>
    <row r="246" spans="1:19">
      <c r="A246" s="23" t="s">
        <v>657</v>
      </c>
      <c r="B246" s="31">
        <v>46025</v>
      </c>
      <c r="C246" s="23" t="s">
        <v>81</v>
      </c>
      <c r="D246" s="23" t="s">
        <v>173</v>
      </c>
      <c r="E246" s="23" t="s">
        <v>658</v>
      </c>
      <c r="F246" s="32">
        <v>4618.5200000000004</v>
      </c>
      <c r="G246" s="38" t="str">
        <f ca="1">IFERROR(_xludf.XLOOKUP(E246,Bank_Statement!$D$4:$D$448,Bank_Statement!$G$4:$G$448,""),"")</f>
        <v/>
      </c>
      <c r="H246" s="32" t="str">
        <f t="shared" ca="1" si="9"/>
        <v/>
      </c>
      <c r="I246" s="39" t="str">
        <f ca="1">IFERROR(_xludf.XLOOKUP(E246,Bank_Statement!$D$4:$D$448,Bank_Statement!$B$4:$B$448,""),"")</f>
        <v/>
      </c>
      <c r="J246" s="40" t="str">
        <f t="shared" ca="1" si="10"/>
        <v/>
      </c>
      <c r="K246" s="41" t="str">
        <f ca="1">IF(G246="","Unmatched ERP",IF(AND(ABS(H246)&lt;=Mapping_Rules!$B$4,ABS(J246)&lt;=Mapping_Rules!$B$5),"Matched","Review"))</f>
        <v>Unmatched ERP</v>
      </c>
      <c r="L246" s="41" t="str">
        <f ca="1">IF(K246="Matched","None",IF(G246="","Missing from bank",IF(ABS(H246)&gt;Mapping_Rules!$B$4,"Amount variance","Date variance")))</f>
        <v>Missing from bank</v>
      </c>
      <c r="M246" s="41" t="str">
        <f ca="1">IF(K246="Matched","Low",IF(OR(IFERROR(ABS(H246),0)&gt;Mapping_Rules!$B$7,IFERROR(J246,0)&gt;Mapping_Rules!$B$8),"High","Medium"))</f>
        <v>High</v>
      </c>
      <c r="N246" s="41" t="str">
        <f t="shared" ca="1" si="11"/>
        <v>Check bank date or posting</v>
      </c>
      <c r="O246" s="23" t="s">
        <v>158</v>
      </c>
      <c r="P246" s="23" t="s">
        <v>86</v>
      </c>
      <c r="Q246" s="23" t="s">
        <v>1689</v>
      </c>
      <c r="R246" s="42"/>
      <c r="S246" s="43">
        <f ca="1">IF(K246="Matched",0,Mapping_Rules!$B$6-B246)</f>
        <v>28</v>
      </c>
    </row>
    <row r="247" spans="1:19">
      <c r="A247" s="44" t="s">
        <v>659</v>
      </c>
      <c r="B247" s="45">
        <v>46024</v>
      </c>
      <c r="C247" s="44" t="s">
        <v>107</v>
      </c>
      <c r="D247" s="44" t="s">
        <v>191</v>
      </c>
      <c r="E247" s="44" t="s">
        <v>660</v>
      </c>
      <c r="F247" s="46">
        <v>-50.65</v>
      </c>
      <c r="G247" s="47" t="str">
        <f ca="1">IFERROR(_xludf.XLOOKUP(E247,Bank_Statement!$D$4:$D$448,Bank_Statement!$G$4:$G$448,""),"")</f>
        <v/>
      </c>
      <c r="H247" s="46" t="str">
        <f t="shared" ca="1" si="9"/>
        <v/>
      </c>
      <c r="I247" s="48" t="str">
        <f ca="1">IFERROR(_xludf.XLOOKUP(E247,Bank_Statement!$D$4:$D$448,Bank_Statement!$B$4:$B$448,""),"")</f>
        <v/>
      </c>
      <c r="J247" s="49" t="str">
        <f t="shared" ca="1" si="10"/>
        <v/>
      </c>
      <c r="K247" s="50" t="str">
        <f ca="1">IF(G247="","Unmatched ERP",IF(AND(ABS(H247)&lt;=Mapping_Rules!$B$4,ABS(J247)&lt;=Mapping_Rules!$B$5),"Matched","Review"))</f>
        <v>Unmatched ERP</v>
      </c>
      <c r="L247" s="50" t="str">
        <f ca="1">IF(K247="Matched","None",IF(G247="","Missing from bank",IF(ABS(H247)&gt;Mapping_Rules!$B$4,"Amount variance","Date variance")))</f>
        <v>Missing from bank</v>
      </c>
      <c r="M247" s="50" t="str">
        <f ca="1">IF(K247="Matched","Low",IF(OR(IFERROR(ABS(H247),0)&gt;Mapping_Rules!$B$7,IFERROR(J247,0)&gt;Mapping_Rules!$B$8),"High","Medium"))</f>
        <v>High</v>
      </c>
      <c r="N247" s="50" t="str">
        <f t="shared" ca="1" si="11"/>
        <v>Check bank date or posting</v>
      </c>
      <c r="O247" s="44" t="s">
        <v>194</v>
      </c>
      <c r="P247" s="44" t="s">
        <v>95</v>
      </c>
      <c r="Q247" s="44" t="s">
        <v>1689</v>
      </c>
      <c r="R247" s="51"/>
      <c r="S247" s="52">
        <f ca="1">IF(K247="Matched",0,Mapping_Rules!$B$6-B247)</f>
        <v>29</v>
      </c>
    </row>
    <row r="248" spans="1:19">
      <c r="A248" s="23" t="s">
        <v>661</v>
      </c>
      <c r="B248" s="31">
        <v>46053</v>
      </c>
      <c r="C248" s="23" t="s">
        <v>99</v>
      </c>
      <c r="D248" s="23" t="s">
        <v>182</v>
      </c>
      <c r="E248" s="23" t="s">
        <v>662</v>
      </c>
      <c r="F248" s="32">
        <v>-6697.27</v>
      </c>
      <c r="G248" s="38" t="str">
        <f ca="1">IFERROR(_xludf.XLOOKUP(E248,Bank_Statement!$D$4:$D$448,Bank_Statement!$G$4:$G$448,""),"")</f>
        <v/>
      </c>
      <c r="H248" s="32" t="str">
        <f t="shared" ca="1" si="9"/>
        <v/>
      </c>
      <c r="I248" s="39" t="str">
        <f ca="1">IFERROR(_xludf.XLOOKUP(E248,Bank_Statement!$D$4:$D$448,Bank_Statement!$B$4:$B$448,""),"")</f>
        <v/>
      </c>
      <c r="J248" s="40" t="str">
        <f t="shared" ca="1" si="10"/>
        <v/>
      </c>
      <c r="K248" s="41" t="str">
        <f ca="1">IF(G248="","Unmatched ERP",IF(AND(ABS(H248)&lt;=Mapping_Rules!$B$4,ABS(J248)&lt;=Mapping_Rules!$B$5),"Matched","Review"))</f>
        <v>Unmatched ERP</v>
      </c>
      <c r="L248" s="41" t="str">
        <f ca="1">IF(K248="Matched","None",IF(G248="","Missing from bank",IF(ABS(H248)&gt;Mapping_Rules!$B$4,"Amount variance","Date variance")))</f>
        <v>Missing from bank</v>
      </c>
      <c r="M248" s="41" t="str">
        <f ca="1">IF(K248="Matched","Low",IF(OR(IFERROR(ABS(H248),0)&gt;Mapping_Rules!$B$7,IFERROR(J248,0)&gt;Mapping_Rules!$B$8),"High","Medium"))</f>
        <v>High</v>
      </c>
      <c r="N248" s="41" t="str">
        <f t="shared" ca="1" si="11"/>
        <v>Check bank date or posting</v>
      </c>
      <c r="O248" s="23" t="s">
        <v>185</v>
      </c>
      <c r="P248" s="23" t="s">
        <v>95</v>
      </c>
      <c r="Q248" s="23" t="s">
        <v>1689</v>
      </c>
      <c r="R248" s="42"/>
      <c r="S248" s="43">
        <f ca="1">IF(K248="Matched",0,Mapping_Rules!$B$6-B248)</f>
        <v>0</v>
      </c>
    </row>
    <row r="249" spans="1:19">
      <c r="A249" s="44" t="s">
        <v>663</v>
      </c>
      <c r="B249" s="45">
        <v>46033</v>
      </c>
      <c r="C249" s="44" t="s">
        <v>72</v>
      </c>
      <c r="D249" s="44" t="s">
        <v>126</v>
      </c>
      <c r="E249" s="44" t="s">
        <v>664</v>
      </c>
      <c r="F249" s="46">
        <v>-3405</v>
      </c>
      <c r="G249" s="47" t="str">
        <f ca="1">IFERROR(_xludf.XLOOKUP(E249,Bank_Statement!$D$4:$D$448,Bank_Statement!$G$4:$G$448,""),"")</f>
        <v/>
      </c>
      <c r="H249" s="46" t="str">
        <f t="shared" ca="1" si="9"/>
        <v/>
      </c>
      <c r="I249" s="48" t="str">
        <f ca="1">IFERROR(_xludf.XLOOKUP(E249,Bank_Statement!$D$4:$D$448,Bank_Statement!$B$4:$B$448,""),"")</f>
        <v/>
      </c>
      <c r="J249" s="49" t="str">
        <f t="shared" ca="1" si="10"/>
        <v/>
      </c>
      <c r="K249" s="50" t="str">
        <f ca="1">IF(G249="","Unmatched ERP",IF(AND(ABS(H249)&lt;=Mapping_Rules!$B$4,ABS(J249)&lt;=Mapping_Rules!$B$5),"Matched","Review"))</f>
        <v>Unmatched ERP</v>
      </c>
      <c r="L249" s="50" t="str">
        <f ca="1">IF(K249="Matched","None",IF(G249="","Missing from bank",IF(ABS(H249)&gt;Mapping_Rules!$B$4,"Amount variance","Date variance")))</f>
        <v>Missing from bank</v>
      </c>
      <c r="M249" s="50" t="str">
        <f ca="1">IF(K249="Matched","Low",IF(OR(IFERROR(ABS(H249),0)&gt;Mapping_Rules!$B$7,IFERROR(J249,0)&gt;Mapping_Rules!$B$8),"High","Medium"))</f>
        <v>High</v>
      </c>
      <c r="N249" s="50" t="str">
        <f t="shared" ca="1" si="11"/>
        <v>Check bank date or posting</v>
      </c>
      <c r="O249" s="44" t="s">
        <v>131</v>
      </c>
      <c r="P249" s="44" t="s">
        <v>77</v>
      </c>
      <c r="Q249" s="44" t="s">
        <v>1689</v>
      </c>
      <c r="R249" s="51"/>
      <c r="S249" s="52">
        <f ca="1">IF(K249="Matched",0,Mapping_Rules!$B$6-B249)</f>
        <v>20</v>
      </c>
    </row>
    <row r="250" spans="1:19">
      <c r="A250" s="23" t="s">
        <v>665</v>
      </c>
      <c r="B250" s="31">
        <v>46037</v>
      </c>
      <c r="C250" s="23" t="s">
        <v>72</v>
      </c>
      <c r="D250" s="23" t="s">
        <v>139</v>
      </c>
      <c r="E250" s="23" t="s">
        <v>666</v>
      </c>
      <c r="F250" s="32">
        <v>-769.4</v>
      </c>
      <c r="G250" s="38" t="str">
        <f ca="1">IFERROR(_xludf.XLOOKUP(E250,Bank_Statement!$D$4:$D$448,Bank_Statement!$G$4:$G$448,""),"")</f>
        <v/>
      </c>
      <c r="H250" s="32" t="str">
        <f t="shared" ca="1" si="9"/>
        <v/>
      </c>
      <c r="I250" s="39" t="str">
        <f ca="1">IFERROR(_xludf.XLOOKUP(E250,Bank_Statement!$D$4:$D$448,Bank_Statement!$B$4:$B$448,""),"")</f>
        <v/>
      </c>
      <c r="J250" s="40" t="str">
        <f t="shared" ca="1" si="10"/>
        <v/>
      </c>
      <c r="K250" s="41" t="str">
        <f ca="1">IF(G250="","Unmatched ERP",IF(AND(ABS(H250)&lt;=Mapping_Rules!$B$4,ABS(J250)&lt;=Mapping_Rules!$B$5),"Matched","Review"))</f>
        <v>Unmatched ERP</v>
      </c>
      <c r="L250" s="41" t="str">
        <f ca="1">IF(K250="Matched","None",IF(G250="","Missing from bank",IF(ABS(H250)&gt;Mapping_Rules!$B$4,"Amount variance","Date variance")))</f>
        <v>Missing from bank</v>
      </c>
      <c r="M250" s="41" t="str">
        <f ca="1">IF(K250="Matched","Low",IF(OR(IFERROR(ABS(H250),0)&gt;Mapping_Rules!$B$7,IFERROR(J250,0)&gt;Mapping_Rules!$B$8),"High","Medium"))</f>
        <v>High</v>
      </c>
      <c r="N250" s="41" t="str">
        <f t="shared" ca="1" si="11"/>
        <v>Check bank date or posting</v>
      </c>
      <c r="O250" s="23" t="s">
        <v>131</v>
      </c>
      <c r="P250" s="23" t="s">
        <v>77</v>
      </c>
      <c r="Q250" s="23" t="s">
        <v>1689</v>
      </c>
      <c r="R250" s="42"/>
      <c r="S250" s="43">
        <f ca="1">IF(K250="Matched",0,Mapping_Rules!$B$6-B250)</f>
        <v>16</v>
      </c>
    </row>
    <row r="251" spans="1:19">
      <c r="A251" s="44" t="s">
        <v>667</v>
      </c>
      <c r="B251" s="45">
        <v>46048</v>
      </c>
      <c r="C251" s="44" t="s">
        <v>72</v>
      </c>
      <c r="D251" s="44" t="s">
        <v>126</v>
      </c>
      <c r="E251" s="44" t="s">
        <v>668</v>
      </c>
      <c r="F251" s="46">
        <v>-4714.57</v>
      </c>
      <c r="G251" s="47" t="str">
        <f ca="1">IFERROR(_xludf.XLOOKUP(E251,Bank_Statement!$D$4:$D$448,Bank_Statement!$G$4:$G$448,""),"")</f>
        <v/>
      </c>
      <c r="H251" s="46" t="str">
        <f t="shared" ca="1" si="9"/>
        <v/>
      </c>
      <c r="I251" s="48" t="str">
        <f ca="1">IFERROR(_xludf.XLOOKUP(E251,Bank_Statement!$D$4:$D$448,Bank_Statement!$B$4:$B$448,""),"")</f>
        <v/>
      </c>
      <c r="J251" s="49" t="str">
        <f t="shared" ca="1" si="10"/>
        <v/>
      </c>
      <c r="K251" s="50" t="str">
        <f ca="1">IF(G251="","Unmatched ERP",IF(AND(ABS(H251)&lt;=Mapping_Rules!$B$4,ABS(J251)&lt;=Mapping_Rules!$B$5),"Matched","Review"))</f>
        <v>Unmatched ERP</v>
      </c>
      <c r="L251" s="50" t="str">
        <f ca="1">IF(K251="Matched","None",IF(G251="","Missing from bank",IF(ABS(H251)&gt;Mapping_Rules!$B$4,"Amount variance","Date variance")))</f>
        <v>Missing from bank</v>
      </c>
      <c r="M251" s="50" t="str">
        <f ca="1">IF(K251="Matched","Low",IF(OR(IFERROR(ABS(H251),0)&gt;Mapping_Rules!$B$7,IFERROR(J251,0)&gt;Mapping_Rules!$B$8),"High","Medium"))</f>
        <v>High</v>
      </c>
      <c r="N251" s="50" t="str">
        <f t="shared" ca="1" si="11"/>
        <v>Check bank date or posting</v>
      </c>
      <c r="O251" s="44" t="s">
        <v>131</v>
      </c>
      <c r="P251" s="44" t="s">
        <v>77</v>
      </c>
      <c r="Q251" s="44" t="s">
        <v>1689</v>
      </c>
      <c r="R251" s="51"/>
      <c r="S251" s="52">
        <f ca="1">IF(K251="Matched",0,Mapping_Rules!$B$6-B251)</f>
        <v>5</v>
      </c>
    </row>
    <row r="252" spans="1:19">
      <c r="A252" s="23" t="s">
        <v>669</v>
      </c>
      <c r="B252" s="31">
        <v>46051</v>
      </c>
      <c r="C252" s="23" t="s">
        <v>81</v>
      </c>
      <c r="D252" s="23" t="s">
        <v>163</v>
      </c>
      <c r="E252" s="23" t="s">
        <v>670</v>
      </c>
      <c r="F252" s="32">
        <v>4452.59</v>
      </c>
      <c r="G252" s="38" t="str">
        <f ca="1">IFERROR(_xludf.XLOOKUP(E252,Bank_Statement!$D$4:$D$448,Bank_Statement!$G$4:$G$448,""),"")</f>
        <v/>
      </c>
      <c r="H252" s="32" t="str">
        <f t="shared" ca="1" si="9"/>
        <v/>
      </c>
      <c r="I252" s="39" t="str">
        <f ca="1">IFERROR(_xludf.XLOOKUP(E252,Bank_Statement!$D$4:$D$448,Bank_Statement!$B$4:$B$448,""),"")</f>
        <v/>
      </c>
      <c r="J252" s="40" t="str">
        <f t="shared" ca="1" si="10"/>
        <v/>
      </c>
      <c r="K252" s="41" t="str">
        <f ca="1">IF(G252="","Unmatched ERP",IF(AND(ABS(H252)&lt;=Mapping_Rules!$B$4,ABS(J252)&lt;=Mapping_Rules!$B$5),"Matched","Review"))</f>
        <v>Unmatched ERP</v>
      </c>
      <c r="L252" s="41" t="str">
        <f ca="1">IF(K252="Matched","None",IF(G252="","Missing from bank",IF(ABS(H252)&gt;Mapping_Rules!$B$4,"Amount variance","Date variance")))</f>
        <v>Missing from bank</v>
      </c>
      <c r="M252" s="41" t="str">
        <f ca="1">IF(K252="Matched","Low",IF(OR(IFERROR(ABS(H252),0)&gt;Mapping_Rules!$B$7,IFERROR(J252,0)&gt;Mapping_Rules!$B$8),"High","Medium"))</f>
        <v>High</v>
      </c>
      <c r="N252" s="41" t="str">
        <f t="shared" ca="1" si="11"/>
        <v>Check bank date or posting</v>
      </c>
      <c r="O252" s="23" t="s">
        <v>158</v>
      </c>
      <c r="P252" s="23" t="s">
        <v>86</v>
      </c>
      <c r="Q252" s="23" t="s">
        <v>1689</v>
      </c>
      <c r="R252" s="42"/>
      <c r="S252" s="43">
        <f ca="1">IF(K252="Matched",0,Mapping_Rules!$B$6-B252)</f>
        <v>2</v>
      </c>
    </row>
    <row r="253" spans="1:19">
      <c r="A253" s="44" t="s">
        <v>671</v>
      </c>
      <c r="B253" s="45">
        <v>46038</v>
      </c>
      <c r="C253" s="44" t="s">
        <v>72</v>
      </c>
      <c r="D253" s="44" t="s">
        <v>133</v>
      </c>
      <c r="E253" s="44" t="s">
        <v>672</v>
      </c>
      <c r="F253" s="46">
        <v>-121.8</v>
      </c>
      <c r="G253" s="47" t="str">
        <f ca="1">IFERROR(_xludf.XLOOKUP(E253,Bank_Statement!$D$4:$D$448,Bank_Statement!$G$4:$G$448,""),"")</f>
        <v/>
      </c>
      <c r="H253" s="46" t="str">
        <f t="shared" ca="1" si="9"/>
        <v/>
      </c>
      <c r="I253" s="48" t="str">
        <f ca="1">IFERROR(_xludf.XLOOKUP(E253,Bank_Statement!$D$4:$D$448,Bank_Statement!$B$4:$B$448,""),"")</f>
        <v/>
      </c>
      <c r="J253" s="49" t="str">
        <f t="shared" ca="1" si="10"/>
        <v/>
      </c>
      <c r="K253" s="50" t="str">
        <f ca="1">IF(G253="","Unmatched ERP",IF(AND(ABS(H253)&lt;=Mapping_Rules!$B$4,ABS(J253)&lt;=Mapping_Rules!$B$5),"Matched","Review"))</f>
        <v>Unmatched ERP</v>
      </c>
      <c r="L253" s="50" t="str">
        <f ca="1">IF(K253="Matched","None",IF(G253="","Missing from bank",IF(ABS(H253)&gt;Mapping_Rules!$B$4,"Amount variance","Date variance")))</f>
        <v>Missing from bank</v>
      </c>
      <c r="M253" s="50" t="str">
        <f ca="1">IF(K253="Matched","Low",IF(OR(IFERROR(ABS(H253),0)&gt;Mapping_Rules!$B$7,IFERROR(J253,0)&gt;Mapping_Rules!$B$8),"High","Medium"))</f>
        <v>High</v>
      </c>
      <c r="N253" s="50" t="str">
        <f t="shared" ca="1" si="11"/>
        <v>Check bank date or posting</v>
      </c>
      <c r="O253" s="44" t="s">
        <v>131</v>
      </c>
      <c r="P253" s="44" t="s">
        <v>77</v>
      </c>
      <c r="Q253" s="44" t="s">
        <v>1689</v>
      </c>
      <c r="R253" s="51"/>
      <c r="S253" s="52">
        <f ca="1">IF(K253="Matched",0,Mapping_Rules!$B$6-B253)</f>
        <v>15</v>
      </c>
    </row>
    <row r="254" spans="1:19">
      <c r="A254" s="23" t="s">
        <v>673</v>
      </c>
      <c r="B254" s="31">
        <v>46032</v>
      </c>
      <c r="C254" s="23" t="s">
        <v>81</v>
      </c>
      <c r="D254" s="23" t="s">
        <v>167</v>
      </c>
      <c r="E254" s="23" t="s">
        <v>674</v>
      </c>
      <c r="F254" s="32">
        <v>245.49</v>
      </c>
      <c r="G254" s="38" t="str">
        <f ca="1">IFERROR(_xludf.XLOOKUP(E254,Bank_Statement!$D$4:$D$448,Bank_Statement!$G$4:$G$448,""),"")</f>
        <v/>
      </c>
      <c r="H254" s="32" t="str">
        <f t="shared" ca="1" si="9"/>
        <v/>
      </c>
      <c r="I254" s="39" t="str">
        <f ca="1">IFERROR(_xludf.XLOOKUP(E254,Bank_Statement!$D$4:$D$448,Bank_Statement!$B$4:$B$448,""),"")</f>
        <v/>
      </c>
      <c r="J254" s="40" t="str">
        <f t="shared" ca="1" si="10"/>
        <v/>
      </c>
      <c r="K254" s="41" t="str">
        <f ca="1">IF(G254="","Unmatched ERP",IF(AND(ABS(H254)&lt;=Mapping_Rules!$B$4,ABS(J254)&lt;=Mapping_Rules!$B$5),"Matched","Review"))</f>
        <v>Unmatched ERP</v>
      </c>
      <c r="L254" s="41" t="str">
        <f ca="1">IF(K254="Matched","None",IF(G254="","Missing from bank",IF(ABS(H254)&gt;Mapping_Rules!$B$4,"Amount variance","Date variance")))</f>
        <v>Missing from bank</v>
      </c>
      <c r="M254" s="41" t="str">
        <f ca="1">IF(K254="Matched","Low",IF(OR(IFERROR(ABS(H254),0)&gt;Mapping_Rules!$B$7,IFERROR(J254,0)&gt;Mapping_Rules!$B$8),"High","Medium"))</f>
        <v>High</v>
      </c>
      <c r="N254" s="41" t="str">
        <f t="shared" ca="1" si="11"/>
        <v>Check bank date or posting</v>
      </c>
      <c r="O254" s="23" t="s">
        <v>158</v>
      </c>
      <c r="P254" s="23" t="s">
        <v>86</v>
      </c>
      <c r="Q254" s="23" t="s">
        <v>1689</v>
      </c>
      <c r="R254" s="42"/>
      <c r="S254" s="43">
        <f ca="1">IF(K254="Matched",0,Mapping_Rules!$B$6-B254)</f>
        <v>21</v>
      </c>
    </row>
    <row r="255" spans="1:19">
      <c r="A255" s="44" t="s">
        <v>675</v>
      </c>
      <c r="B255" s="45">
        <v>46028</v>
      </c>
      <c r="C255" s="44" t="s">
        <v>81</v>
      </c>
      <c r="D255" s="44" t="s">
        <v>167</v>
      </c>
      <c r="E255" s="44" t="s">
        <v>676</v>
      </c>
      <c r="F255" s="46">
        <v>7857.94</v>
      </c>
      <c r="G255" s="47" t="str">
        <f ca="1">IFERROR(_xludf.XLOOKUP(E255,Bank_Statement!$D$4:$D$448,Bank_Statement!$G$4:$G$448,""),"")</f>
        <v/>
      </c>
      <c r="H255" s="46" t="str">
        <f t="shared" ca="1" si="9"/>
        <v/>
      </c>
      <c r="I255" s="48" t="str">
        <f ca="1">IFERROR(_xludf.XLOOKUP(E255,Bank_Statement!$D$4:$D$448,Bank_Statement!$B$4:$B$448,""),"")</f>
        <v/>
      </c>
      <c r="J255" s="49" t="str">
        <f t="shared" ca="1" si="10"/>
        <v/>
      </c>
      <c r="K255" s="50" t="str">
        <f ca="1">IF(G255="","Unmatched ERP",IF(AND(ABS(H255)&lt;=Mapping_Rules!$B$4,ABS(J255)&lt;=Mapping_Rules!$B$5),"Matched","Review"))</f>
        <v>Unmatched ERP</v>
      </c>
      <c r="L255" s="50" t="str">
        <f ca="1">IF(K255="Matched","None",IF(G255="","Missing from bank",IF(ABS(H255)&gt;Mapping_Rules!$B$4,"Amount variance","Date variance")))</f>
        <v>Missing from bank</v>
      </c>
      <c r="M255" s="50" t="str">
        <f ca="1">IF(K255="Matched","Low",IF(OR(IFERROR(ABS(H255),0)&gt;Mapping_Rules!$B$7,IFERROR(J255,0)&gt;Mapping_Rules!$B$8),"High","Medium"))</f>
        <v>High</v>
      </c>
      <c r="N255" s="50" t="str">
        <f t="shared" ca="1" si="11"/>
        <v>Check bank date or posting</v>
      </c>
      <c r="O255" s="44" t="s">
        <v>158</v>
      </c>
      <c r="P255" s="44" t="s">
        <v>86</v>
      </c>
      <c r="Q255" s="44" t="s">
        <v>1689</v>
      </c>
      <c r="R255" s="51"/>
      <c r="S255" s="52">
        <f ca="1">IF(K255="Matched",0,Mapping_Rules!$B$6-B255)</f>
        <v>25</v>
      </c>
    </row>
    <row r="256" spans="1:19">
      <c r="A256" s="23" t="s">
        <v>677</v>
      </c>
      <c r="B256" s="31">
        <v>46030</v>
      </c>
      <c r="C256" s="23" t="s">
        <v>72</v>
      </c>
      <c r="D256" s="23" t="s">
        <v>133</v>
      </c>
      <c r="E256" s="23" t="s">
        <v>678</v>
      </c>
      <c r="F256" s="32">
        <v>-3006.47</v>
      </c>
      <c r="G256" s="38" t="str">
        <f ca="1">IFERROR(_xludf.XLOOKUP(E256,Bank_Statement!$D$4:$D$448,Bank_Statement!$G$4:$G$448,""),"")</f>
        <v/>
      </c>
      <c r="H256" s="32" t="str">
        <f t="shared" ca="1" si="9"/>
        <v/>
      </c>
      <c r="I256" s="39" t="str">
        <f ca="1">IFERROR(_xludf.XLOOKUP(E256,Bank_Statement!$D$4:$D$448,Bank_Statement!$B$4:$B$448,""),"")</f>
        <v/>
      </c>
      <c r="J256" s="40" t="str">
        <f t="shared" ca="1" si="10"/>
        <v/>
      </c>
      <c r="K256" s="41" t="str">
        <f ca="1">IF(G256="","Unmatched ERP",IF(AND(ABS(H256)&lt;=Mapping_Rules!$B$4,ABS(J256)&lt;=Mapping_Rules!$B$5),"Matched","Review"))</f>
        <v>Unmatched ERP</v>
      </c>
      <c r="L256" s="41" t="str">
        <f ca="1">IF(K256="Matched","None",IF(G256="","Missing from bank",IF(ABS(H256)&gt;Mapping_Rules!$B$4,"Amount variance","Date variance")))</f>
        <v>Missing from bank</v>
      </c>
      <c r="M256" s="41" t="str">
        <f ca="1">IF(K256="Matched","Low",IF(OR(IFERROR(ABS(H256),0)&gt;Mapping_Rules!$B$7,IFERROR(J256,0)&gt;Mapping_Rules!$B$8),"High","Medium"))</f>
        <v>High</v>
      </c>
      <c r="N256" s="41" t="str">
        <f t="shared" ca="1" si="11"/>
        <v>Check bank date or posting</v>
      </c>
      <c r="O256" s="23" t="s">
        <v>131</v>
      </c>
      <c r="P256" s="23" t="s">
        <v>77</v>
      </c>
      <c r="Q256" s="23" t="s">
        <v>1689</v>
      </c>
      <c r="R256" s="42"/>
      <c r="S256" s="43">
        <f ca="1">IF(K256="Matched",0,Mapping_Rules!$B$6-B256)</f>
        <v>23</v>
      </c>
    </row>
    <row r="257" spans="1:19">
      <c r="A257" s="44" t="s">
        <v>679</v>
      </c>
      <c r="B257" s="45">
        <v>46048</v>
      </c>
      <c r="C257" s="44" t="s">
        <v>81</v>
      </c>
      <c r="D257" s="44" t="s">
        <v>173</v>
      </c>
      <c r="E257" s="44" t="s">
        <v>680</v>
      </c>
      <c r="F257" s="46">
        <v>6511.53</v>
      </c>
      <c r="G257" s="47" t="str">
        <f ca="1">IFERROR(_xludf.XLOOKUP(E257,Bank_Statement!$D$4:$D$448,Bank_Statement!$G$4:$G$448,""),"")</f>
        <v/>
      </c>
      <c r="H257" s="46" t="str">
        <f t="shared" ca="1" si="9"/>
        <v/>
      </c>
      <c r="I257" s="48" t="str">
        <f ca="1">IFERROR(_xludf.XLOOKUP(E257,Bank_Statement!$D$4:$D$448,Bank_Statement!$B$4:$B$448,""),"")</f>
        <v/>
      </c>
      <c r="J257" s="49" t="str">
        <f t="shared" ca="1" si="10"/>
        <v/>
      </c>
      <c r="K257" s="50" t="str">
        <f ca="1">IF(G257="","Unmatched ERP",IF(AND(ABS(H257)&lt;=Mapping_Rules!$B$4,ABS(J257)&lt;=Mapping_Rules!$B$5),"Matched","Review"))</f>
        <v>Unmatched ERP</v>
      </c>
      <c r="L257" s="50" t="str">
        <f ca="1">IF(K257="Matched","None",IF(G257="","Missing from bank",IF(ABS(H257)&gt;Mapping_Rules!$B$4,"Amount variance","Date variance")))</f>
        <v>Missing from bank</v>
      </c>
      <c r="M257" s="50" t="str">
        <f ca="1">IF(K257="Matched","Low",IF(OR(IFERROR(ABS(H257),0)&gt;Mapping_Rules!$B$7,IFERROR(J257,0)&gt;Mapping_Rules!$B$8),"High","Medium"))</f>
        <v>High</v>
      </c>
      <c r="N257" s="50" t="str">
        <f t="shared" ca="1" si="11"/>
        <v>Check bank date or posting</v>
      </c>
      <c r="O257" s="44" t="s">
        <v>158</v>
      </c>
      <c r="P257" s="44" t="s">
        <v>86</v>
      </c>
      <c r="Q257" s="44" t="s">
        <v>1689</v>
      </c>
      <c r="R257" s="51"/>
      <c r="S257" s="52">
        <f ca="1">IF(K257="Matched",0,Mapping_Rules!$B$6-B257)</f>
        <v>5</v>
      </c>
    </row>
    <row r="258" spans="1:19">
      <c r="A258" s="23" t="s">
        <v>681</v>
      </c>
      <c r="B258" s="31">
        <v>46041</v>
      </c>
      <c r="C258" s="23" t="s">
        <v>72</v>
      </c>
      <c r="D258" s="23" t="s">
        <v>139</v>
      </c>
      <c r="E258" s="23" t="s">
        <v>682</v>
      </c>
      <c r="F258" s="32">
        <v>-3431.61</v>
      </c>
      <c r="G258" s="38" t="str">
        <f ca="1">IFERROR(_xludf.XLOOKUP(E258,Bank_Statement!$D$4:$D$448,Bank_Statement!$G$4:$G$448,""),"")</f>
        <v/>
      </c>
      <c r="H258" s="32" t="str">
        <f t="shared" ca="1" si="9"/>
        <v/>
      </c>
      <c r="I258" s="39" t="str">
        <f ca="1">IFERROR(_xludf.XLOOKUP(E258,Bank_Statement!$D$4:$D$448,Bank_Statement!$B$4:$B$448,""),"")</f>
        <v/>
      </c>
      <c r="J258" s="40" t="str">
        <f t="shared" ca="1" si="10"/>
        <v/>
      </c>
      <c r="K258" s="41" t="str">
        <f ca="1">IF(G258="","Unmatched ERP",IF(AND(ABS(H258)&lt;=Mapping_Rules!$B$4,ABS(J258)&lt;=Mapping_Rules!$B$5),"Matched","Review"))</f>
        <v>Unmatched ERP</v>
      </c>
      <c r="L258" s="41" t="str">
        <f ca="1">IF(K258="Matched","None",IF(G258="","Missing from bank",IF(ABS(H258)&gt;Mapping_Rules!$B$4,"Amount variance","Date variance")))</f>
        <v>Missing from bank</v>
      </c>
      <c r="M258" s="41" t="str">
        <f ca="1">IF(K258="Matched","Low",IF(OR(IFERROR(ABS(H258),0)&gt;Mapping_Rules!$B$7,IFERROR(J258,0)&gt;Mapping_Rules!$B$8),"High","Medium"))</f>
        <v>High</v>
      </c>
      <c r="N258" s="41" t="str">
        <f t="shared" ca="1" si="11"/>
        <v>Check bank date or posting</v>
      </c>
      <c r="O258" s="23" t="s">
        <v>131</v>
      </c>
      <c r="P258" s="23" t="s">
        <v>77</v>
      </c>
      <c r="Q258" s="23" t="s">
        <v>1689</v>
      </c>
      <c r="R258" s="42"/>
      <c r="S258" s="43">
        <f ca="1">IF(K258="Matched",0,Mapping_Rules!$B$6-B258)</f>
        <v>12</v>
      </c>
    </row>
    <row r="259" spans="1:19">
      <c r="A259" s="44" t="s">
        <v>683</v>
      </c>
      <c r="B259" s="45">
        <v>46050</v>
      </c>
      <c r="C259" s="44" t="s">
        <v>81</v>
      </c>
      <c r="D259" s="44" t="s">
        <v>220</v>
      </c>
      <c r="E259" s="44" t="s">
        <v>684</v>
      </c>
      <c r="F259" s="46">
        <v>5830.47</v>
      </c>
      <c r="G259" s="47" t="str">
        <f ca="1">IFERROR(_xludf.XLOOKUP(E259,Bank_Statement!$D$4:$D$448,Bank_Statement!$G$4:$G$448,""),"")</f>
        <v/>
      </c>
      <c r="H259" s="46" t="str">
        <f t="shared" ca="1" si="9"/>
        <v/>
      </c>
      <c r="I259" s="48" t="str">
        <f ca="1">IFERROR(_xludf.XLOOKUP(E259,Bank_Statement!$D$4:$D$448,Bank_Statement!$B$4:$B$448,""),"")</f>
        <v/>
      </c>
      <c r="J259" s="49" t="str">
        <f t="shared" ca="1" si="10"/>
        <v/>
      </c>
      <c r="K259" s="50" t="str">
        <f ca="1">IF(G259="","Unmatched ERP",IF(AND(ABS(H259)&lt;=Mapping_Rules!$B$4,ABS(J259)&lt;=Mapping_Rules!$B$5),"Matched","Review"))</f>
        <v>Unmatched ERP</v>
      </c>
      <c r="L259" s="50" t="str">
        <f ca="1">IF(K259="Matched","None",IF(G259="","Missing from bank",IF(ABS(H259)&gt;Mapping_Rules!$B$4,"Amount variance","Date variance")))</f>
        <v>Missing from bank</v>
      </c>
      <c r="M259" s="50" t="str">
        <f ca="1">IF(K259="Matched","Low",IF(OR(IFERROR(ABS(H259),0)&gt;Mapping_Rules!$B$7,IFERROR(J259,0)&gt;Mapping_Rules!$B$8),"High","Medium"))</f>
        <v>High</v>
      </c>
      <c r="N259" s="50" t="str">
        <f t="shared" ca="1" si="11"/>
        <v>Check bank date or posting</v>
      </c>
      <c r="O259" s="44" t="s">
        <v>158</v>
      </c>
      <c r="P259" s="44" t="s">
        <v>86</v>
      </c>
      <c r="Q259" s="44" t="s">
        <v>1689</v>
      </c>
      <c r="R259" s="51"/>
      <c r="S259" s="52">
        <f ca="1">IF(K259="Matched",0,Mapping_Rules!$B$6-B259)</f>
        <v>3</v>
      </c>
    </row>
    <row r="260" spans="1:19">
      <c r="A260" s="23" t="s">
        <v>685</v>
      </c>
      <c r="B260" s="31">
        <v>46037</v>
      </c>
      <c r="C260" s="23" t="s">
        <v>72</v>
      </c>
      <c r="D260" s="23" t="s">
        <v>150</v>
      </c>
      <c r="E260" s="23" t="s">
        <v>686</v>
      </c>
      <c r="F260" s="32">
        <v>-2875.61</v>
      </c>
      <c r="G260" s="38" t="str">
        <f ca="1">IFERROR(_xludf.XLOOKUP(E260,Bank_Statement!$D$4:$D$448,Bank_Statement!$G$4:$G$448,""),"")</f>
        <v/>
      </c>
      <c r="H260" s="32" t="str">
        <f t="shared" ref="H260:H323" ca="1" si="12">IF(G260="","",F260-G260)</f>
        <v/>
      </c>
      <c r="I260" s="39" t="str">
        <f ca="1">IFERROR(_xludf.XLOOKUP(E260,Bank_Statement!$D$4:$D$448,Bank_Statement!$B$4:$B$448,""),"")</f>
        <v/>
      </c>
      <c r="J260" s="40" t="str">
        <f t="shared" ref="J260:J323" ca="1" si="13">IF(I260="","",ABS(B260-I260))</f>
        <v/>
      </c>
      <c r="K260" s="41" t="str">
        <f ca="1">IF(G260="","Unmatched ERP",IF(AND(ABS(H260)&lt;=Mapping_Rules!$B$4,ABS(J260)&lt;=Mapping_Rules!$B$5),"Matched","Review"))</f>
        <v>Unmatched ERP</v>
      </c>
      <c r="L260" s="41" t="str">
        <f ca="1">IF(K260="Matched","None",IF(G260="","Missing from bank",IF(ABS(H260)&gt;Mapping_Rules!$B$4,"Amount variance","Date variance")))</f>
        <v>Missing from bank</v>
      </c>
      <c r="M260" s="41" t="str">
        <f ca="1">IF(K260="Matched","Low",IF(OR(IFERROR(ABS(H260),0)&gt;Mapping_Rules!$B$7,IFERROR(J260,0)&gt;Mapping_Rules!$B$8),"High","Medium"))</f>
        <v>High</v>
      </c>
      <c r="N260" s="41" t="str">
        <f t="shared" ref="N260:N323" ca="1" si="14">IF(K260="Matched","No action needed",IF(L260="Missing from bank","Check bank date or posting",IF(L260="Amount variance","Check invoice/payment amount","Check timing difference")))</f>
        <v>Check bank date or posting</v>
      </c>
      <c r="O260" s="23" t="s">
        <v>131</v>
      </c>
      <c r="P260" s="23" t="s">
        <v>77</v>
      </c>
      <c r="Q260" s="23" t="s">
        <v>1689</v>
      </c>
      <c r="R260" s="42"/>
      <c r="S260" s="43">
        <f ca="1">IF(K260="Matched",0,Mapping_Rules!$B$6-B260)</f>
        <v>16</v>
      </c>
    </row>
    <row r="261" spans="1:19">
      <c r="A261" s="44" t="s">
        <v>687</v>
      </c>
      <c r="B261" s="45">
        <v>46035</v>
      </c>
      <c r="C261" s="44" t="s">
        <v>72</v>
      </c>
      <c r="D261" s="44" t="s">
        <v>144</v>
      </c>
      <c r="E261" s="44" t="s">
        <v>688</v>
      </c>
      <c r="F261" s="46">
        <v>-4644.32</v>
      </c>
      <c r="G261" s="47" t="str">
        <f ca="1">IFERROR(_xludf.XLOOKUP(E261,Bank_Statement!$D$4:$D$448,Bank_Statement!$G$4:$G$448,""),"")</f>
        <v/>
      </c>
      <c r="H261" s="46" t="str">
        <f t="shared" ca="1" si="12"/>
        <v/>
      </c>
      <c r="I261" s="48" t="str">
        <f ca="1">IFERROR(_xludf.XLOOKUP(E261,Bank_Statement!$D$4:$D$448,Bank_Statement!$B$4:$B$448,""),"")</f>
        <v/>
      </c>
      <c r="J261" s="49" t="str">
        <f t="shared" ca="1" si="13"/>
        <v/>
      </c>
      <c r="K261" s="50" t="str">
        <f ca="1">IF(G261="","Unmatched ERP",IF(AND(ABS(H261)&lt;=Mapping_Rules!$B$4,ABS(J261)&lt;=Mapping_Rules!$B$5),"Matched","Review"))</f>
        <v>Unmatched ERP</v>
      </c>
      <c r="L261" s="50" t="str">
        <f ca="1">IF(K261="Matched","None",IF(G261="","Missing from bank",IF(ABS(H261)&gt;Mapping_Rules!$B$4,"Amount variance","Date variance")))</f>
        <v>Missing from bank</v>
      </c>
      <c r="M261" s="50" t="str">
        <f ca="1">IF(K261="Matched","Low",IF(OR(IFERROR(ABS(H261),0)&gt;Mapping_Rules!$B$7,IFERROR(J261,0)&gt;Mapping_Rules!$B$8),"High","Medium"))</f>
        <v>High</v>
      </c>
      <c r="N261" s="50" t="str">
        <f t="shared" ca="1" si="14"/>
        <v>Check bank date or posting</v>
      </c>
      <c r="O261" s="44" t="s">
        <v>131</v>
      </c>
      <c r="P261" s="44" t="s">
        <v>77</v>
      </c>
      <c r="Q261" s="44" t="s">
        <v>1689</v>
      </c>
      <c r="R261" s="51"/>
      <c r="S261" s="52">
        <f ca="1">IF(K261="Matched",0,Mapping_Rules!$B$6-B261)</f>
        <v>18</v>
      </c>
    </row>
    <row r="262" spans="1:19">
      <c r="A262" s="23" t="s">
        <v>689</v>
      </c>
      <c r="B262" s="31">
        <v>46040</v>
      </c>
      <c r="C262" s="23" t="s">
        <v>107</v>
      </c>
      <c r="D262" s="23" t="s">
        <v>191</v>
      </c>
      <c r="E262" s="23" t="s">
        <v>690</v>
      </c>
      <c r="F262" s="32">
        <v>-112.48</v>
      </c>
      <c r="G262" s="38" t="str">
        <f ca="1">IFERROR(_xludf.XLOOKUP(E262,Bank_Statement!$D$4:$D$448,Bank_Statement!$G$4:$G$448,""),"")</f>
        <v/>
      </c>
      <c r="H262" s="32" t="str">
        <f t="shared" ca="1" si="12"/>
        <v/>
      </c>
      <c r="I262" s="39" t="str">
        <f ca="1">IFERROR(_xludf.XLOOKUP(E262,Bank_Statement!$D$4:$D$448,Bank_Statement!$B$4:$B$448,""),"")</f>
        <v/>
      </c>
      <c r="J262" s="40" t="str">
        <f t="shared" ca="1" si="13"/>
        <v/>
      </c>
      <c r="K262" s="41" t="str">
        <f ca="1">IF(G262="","Unmatched ERP",IF(AND(ABS(H262)&lt;=Mapping_Rules!$B$4,ABS(J262)&lt;=Mapping_Rules!$B$5),"Matched","Review"))</f>
        <v>Unmatched ERP</v>
      </c>
      <c r="L262" s="41" t="str">
        <f ca="1">IF(K262="Matched","None",IF(G262="","Missing from bank",IF(ABS(H262)&gt;Mapping_Rules!$B$4,"Amount variance","Date variance")))</f>
        <v>Missing from bank</v>
      </c>
      <c r="M262" s="41" t="str">
        <f ca="1">IF(K262="Matched","Low",IF(OR(IFERROR(ABS(H262),0)&gt;Mapping_Rules!$B$7,IFERROR(J262,0)&gt;Mapping_Rules!$B$8),"High","Medium"))</f>
        <v>High</v>
      </c>
      <c r="N262" s="41" t="str">
        <f t="shared" ca="1" si="14"/>
        <v>Check bank date or posting</v>
      </c>
      <c r="O262" s="23" t="s">
        <v>194</v>
      </c>
      <c r="P262" s="23" t="s">
        <v>95</v>
      </c>
      <c r="Q262" s="23" t="s">
        <v>1689</v>
      </c>
      <c r="R262" s="42"/>
      <c r="S262" s="43">
        <f ca="1">IF(K262="Matched",0,Mapping_Rules!$B$6-B262)</f>
        <v>13</v>
      </c>
    </row>
    <row r="263" spans="1:19">
      <c r="A263" s="44" t="s">
        <v>691</v>
      </c>
      <c r="B263" s="45">
        <v>46027</v>
      </c>
      <c r="C263" s="44" t="s">
        <v>90</v>
      </c>
      <c r="D263" s="44" t="s">
        <v>167</v>
      </c>
      <c r="E263" s="44" t="s">
        <v>692</v>
      </c>
      <c r="F263" s="46">
        <v>3247.11</v>
      </c>
      <c r="G263" s="47" t="str">
        <f ca="1">IFERROR(_xludf.XLOOKUP(E263,Bank_Statement!$D$4:$D$448,Bank_Statement!$G$4:$G$448,""),"")</f>
        <v/>
      </c>
      <c r="H263" s="46" t="str">
        <f t="shared" ca="1" si="12"/>
        <v/>
      </c>
      <c r="I263" s="48" t="str">
        <f ca="1">IFERROR(_xludf.XLOOKUP(E263,Bank_Statement!$D$4:$D$448,Bank_Statement!$B$4:$B$448,""),"")</f>
        <v/>
      </c>
      <c r="J263" s="49" t="str">
        <f t="shared" ca="1" si="13"/>
        <v/>
      </c>
      <c r="K263" s="50" t="str">
        <f ca="1">IF(G263="","Unmatched ERP",IF(AND(ABS(H263)&lt;=Mapping_Rules!$B$4,ABS(J263)&lt;=Mapping_Rules!$B$5),"Matched","Review"))</f>
        <v>Unmatched ERP</v>
      </c>
      <c r="L263" s="50" t="str">
        <f ca="1">IF(K263="Matched","None",IF(G263="","Missing from bank",IF(ABS(H263)&gt;Mapping_Rules!$B$4,"Amount variance","Date variance")))</f>
        <v>Missing from bank</v>
      </c>
      <c r="M263" s="50" t="str">
        <f ca="1">IF(K263="Matched","Low",IF(OR(IFERROR(ABS(H263),0)&gt;Mapping_Rules!$B$7,IFERROR(J263,0)&gt;Mapping_Rules!$B$8),"High","Medium"))</f>
        <v>High</v>
      </c>
      <c r="N263" s="50" t="str">
        <f t="shared" ca="1" si="14"/>
        <v>Check bank date or posting</v>
      </c>
      <c r="O263" s="44" t="s">
        <v>185</v>
      </c>
      <c r="P263" s="44" t="s">
        <v>95</v>
      </c>
      <c r="Q263" s="44" t="s">
        <v>1689</v>
      </c>
      <c r="R263" s="51"/>
      <c r="S263" s="52">
        <f ca="1">IF(K263="Matched",0,Mapping_Rules!$B$6-B263)</f>
        <v>26</v>
      </c>
    </row>
    <row r="264" spans="1:19">
      <c r="A264" s="23" t="s">
        <v>693</v>
      </c>
      <c r="B264" s="31">
        <v>46034</v>
      </c>
      <c r="C264" s="23" t="s">
        <v>72</v>
      </c>
      <c r="D264" s="23" t="s">
        <v>204</v>
      </c>
      <c r="E264" s="23" t="s">
        <v>694</v>
      </c>
      <c r="F264" s="32">
        <v>-2485.52</v>
      </c>
      <c r="G264" s="38" t="str">
        <f ca="1">IFERROR(_xludf.XLOOKUP(E264,Bank_Statement!$D$4:$D$448,Bank_Statement!$G$4:$G$448,""),"")</f>
        <v/>
      </c>
      <c r="H264" s="32" t="str">
        <f t="shared" ca="1" si="12"/>
        <v/>
      </c>
      <c r="I264" s="39" t="str">
        <f ca="1">IFERROR(_xludf.XLOOKUP(E264,Bank_Statement!$D$4:$D$448,Bank_Statement!$B$4:$B$448,""),"")</f>
        <v/>
      </c>
      <c r="J264" s="40" t="str">
        <f t="shared" ca="1" si="13"/>
        <v/>
      </c>
      <c r="K264" s="41" t="str">
        <f ca="1">IF(G264="","Unmatched ERP",IF(AND(ABS(H264)&lt;=Mapping_Rules!$B$4,ABS(J264)&lt;=Mapping_Rules!$B$5),"Matched","Review"))</f>
        <v>Unmatched ERP</v>
      </c>
      <c r="L264" s="41" t="str">
        <f ca="1">IF(K264="Matched","None",IF(G264="","Missing from bank",IF(ABS(H264)&gt;Mapping_Rules!$B$4,"Amount variance","Date variance")))</f>
        <v>Missing from bank</v>
      </c>
      <c r="M264" s="41" t="str">
        <f ca="1">IF(K264="Matched","Low",IF(OR(IFERROR(ABS(H264),0)&gt;Mapping_Rules!$B$7,IFERROR(J264,0)&gt;Mapping_Rules!$B$8),"High","Medium"))</f>
        <v>High</v>
      </c>
      <c r="N264" s="41" t="str">
        <f t="shared" ca="1" si="14"/>
        <v>Check bank date or posting</v>
      </c>
      <c r="O264" s="23" t="s">
        <v>131</v>
      </c>
      <c r="P264" s="23" t="s">
        <v>77</v>
      </c>
      <c r="Q264" s="23" t="s">
        <v>1689</v>
      </c>
      <c r="R264" s="42"/>
      <c r="S264" s="43">
        <f ca="1">IF(K264="Matched",0,Mapping_Rules!$B$6-B264)</f>
        <v>19</v>
      </c>
    </row>
    <row r="265" spans="1:19">
      <c r="A265" s="44" t="s">
        <v>695</v>
      </c>
      <c r="B265" s="45">
        <v>46047</v>
      </c>
      <c r="C265" s="44" t="s">
        <v>72</v>
      </c>
      <c r="D265" s="44" t="s">
        <v>208</v>
      </c>
      <c r="E265" s="44" t="s">
        <v>696</v>
      </c>
      <c r="F265" s="46">
        <v>-2913.58</v>
      </c>
      <c r="G265" s="47" t="str">
        <f ca="1">IFERROR(_xludf.XLOOKUP(E265,Bank_Statement!$D$4:$D$448,Bank_Statement!$G$4:$G$448,""),"")</f>
        <v/>
      </c>
      <c r="H265" s="46" t="str">
        <f t="shared" ca="1" si="12"/>
        <v/>
      </c>
      <c r="I265" s="48" t="str">
        <f ca="1">IFERROR(_xludf.XLOOKUP(E265,Bank_Statement!$D$4:$D$448,Bank_Statement!$B$4:$B$448,""),"")</f>
        <v/>
      </c>
      <c r="J265" s="49" t="str">
        <f t="shared" ca="1" si="13"/>
        <v/>
      </c>
      <c r="K265" s="50" t="str">
        <f ca="1">IF(G265="","Unmatched ERP",IF(AND(ABS(H265)&lt;=Mapping_Rules!$B$4,ABS(J265)&lt;=Mapping_Rules!$B$5),"Matched","Review"))</f>
        <v>Unmatched ERP</v>
      </c>
      <c r="L265" s="50" t="str">
        <f ca="1">IF(K265="Matched","None",IF(G265="","Missing from bank",IF(ABS(H265)&gt;Mapping_Rules!$B$4,"Amount variance","Date variance")))</f>
        <v>Missing from bank</v>
      </c>
      <c r="M265" s="50" t="str">
        <f ca="1">IF(K265="Matched","Low",IF(OR(IFERROR(ABS(H265),0)&gt;Mapping_Rules!$B$7,IFERROR(J265,0)&gt;Mapping_Rules!$B$8),"High","Medium"))</f>
        <v>High</v>
      </c>
      <c r="N265" s="50" t="str">
        <f t="shared" ca="1" si="14"/>
        <v>Check bank date or posting</v>
      </c>
      <c r="O265" s="44" t="s">
        <v>131</v>
      </c>
      <c r="P265" s="44" t="s">
        <v>77</v>
      </c>
      <c r="Q265" s="44" t="s">
        <v>1689</v>
      </c>
      <c r="R265" s="51"/>
      <c r="S265" s="52">
        <f ca="1">IF(K265="Matched",0,Mapping_Rules!$B$6-B265)</f>
        <v>6</v>
      </c>
    </row>
    <row r="266" spans="1:19">
      <c r="A266" s="23" t="s">
        <v>697</v>
      </c>
      <c r="B266" s="31">
        <v>46034</v>
      </c>
      <c r="C266" s="23" t="s">
        <v>72</v>
      </c>
      <c r="D266" s="23" t="s">
        <v>133</v>
      </c>
      <c r="E266" s="23" t="s">
        <v>698</v>
      </c>
      <c r="F266" s="32">
        <v>-5816.95</v>
      </c>
      <c r="G266" s="38" t="str">
        <f ca="1">IFERROR(_xludf.XLOOKUP(E266,Bank_Statement!$D$4:$D$448,Bank_Statement!$G$4:$G$448,""),"")</f>
        <v/>
      </c>
      <c r="H266" s="32" t="str">
        <f t="shared" ca="1" si="12"/>
        <v/>
      </c>
      <c r="I266" s="39" t="str">
        <f ca="1">IFERROR(_xludf.XLOOKUP(E266,Bank_Statement!$D$4:$D$448,Bank_Statement!$B$4:$B$448,""),"")</f>
        <v/>
      </c>
      <c r="J266" s="40" t="str">
        <f t="shared" ca="1" si="13"/>
        <v/>
      </c>
      <c r="K266" s="41" t="str">
        <f ca="1">IF(G266="","Unmatched ERP",IF(AND(ABS(H266)&lt;=Mapping_Rules!$B$4,ABS(J266)&lt;=Mapping_Rules!$B$5),"Matched","Review"))</f>
        <v>Unmatched ERP</v>
      </c>
      <c r="L266" s="41" t="str">
        <f ca="1">IF(K266="Matched","None",IF(G266="","Missing from bank",IF(ABS(H266)&gt;Mapping_Rules!$B$4,"Amount variance","Date variance")))</f>
        <v>Missing from bank</v>
      </c>
      <c r="M266" s="41" t="str">
        <f ca="1">IF(K266="Matched","Low",IF(OR(IFERROR(ABS(H266),0)&gt;Mapping_Rules!$B$7,IFERROR(J266,0)&gt;Mapping_Rules!$B$8),"High","Medium"))</f>
        <v>High</v>
      </c>
      <c r="N266" s="41" t="str">
        <f t="shared" ca="1" si="14"/>
        <v>Check bank date or posting</v>
      </c>
      <c r="O266" s="23" t="s">
        <v>131</v>
      </c>
      <c r="P266" s="23" t="s">
        <v>77</v>
      </c>
      <c r="Q266" s="23" t="s">
        <v>1689</v>
      </c>
      <c r="R266" s="42"/>
      <c r="S266" s="43">
        <f ca="1">IF(K266="Matched",0,Mapping_Rules!$B$6-B266)</f>
        <v>19</v>
      </c>
    </row>
    <row r="267" spans="1:19">
      <c r="A267" s="44" t="s">
        <v>699</v>
      </c>
      <c r="B267" s="45">
        <v>46052</v>
      </c>
      <c r="C267" s="44" t="s">
        <v>99</v>
      </c>
      <c r="D267" s="44" t="s">
        <v>182</v>
      </c>
      <c r="E267" s="44" t="s">
        <v>700</v>
      </c>
      <c r="F267" s="46">
        <v>-2726.86</v>
      </c>
      <c r="G267" s="47" t="str">
        <f ca="1">IFERROR(_xludf.XLOOKUP(E267,Bank_Statement!$D$4:$D$448,Bank_Statement!$G$4:$G$448,""),"")</f>
        <v/>
      </c>
      <c r="H267" s="46" t="str">
        <f t="shared" ca="1" si="12"/>
        <v/>
      </c>
      <c r="I267" s="48" t="str">
        <f ca="1">IFERROR(_xludf.XLOOKUP(E267,Bank_Statement!$D$4:$D$448,Bank_Statement!$B$4:$B$448,""),"")</f>
        <v/>
      </c>
      <c r="J267" s="49" t="str">
        <f t="shared" ca="1" si="13"/>
        <v/>
      </c>
      <c r="K267" s="50" t="str">
        <f ca="1">IF(G267="","Unmatched ERP",IF(AND(ABS(H267)&lt;=Mapping_Rules!$B$4,ABS(J267)&lt;=Mapping_Rules!$B$5),"Matched","Review"))</f>
        <v>Unmatched ERP</v>
      </c>
      <c r="L267" s="50" t="str">
        <f ca="1">IF(K267="Matched","None",IF(G267="","Missing from bank",IF(ABS(H267)&gt;Mapping_Rules!$B$4,"Amount variance","Date variance")))</f>
        <v>Missing from bank</v>
      </c>
      <c r="M267" s="50" t="str">
        <f ca="1">IF(K267="Matched","Low",IF(OR(IFERROR(ABS(H267),0)&gt;Mapping_Rules!$B$7,IFERROR(J267,0)&gt;Mapping_Rules!$B$8),"High","Medium"))</f>
        <v>High</v>
      </c>
      <c r="N267" s="50" t="str">
        <f t="shared" ca="1" si="14"/>
        <v>Check bank date or posting</v>
      </c>
      <c r="O267" s="44" t="s">
        <v>185</v>
      </c>
      <c r="P267" s="44" t="s">
        <v>95</v>
      </c>
      <c r="Q267" s="44" t="s">
        <v>1689</v>
      </c>
      <c r="R267" s="51"/>
      <c r="S267" s="52">
        <f ca="1">IF(K267="Matched",0,Mapping_Rules!$B$6-B267)</f>
        <v>1</v>
      </c>
    </row>
    <row r="268" spans="1:19">
      <c r="A268" s="23" t="s">
        <v>701</v>
      </c>
      <c r="B268" s="31">
        <v>46044</v>
      </c>
      <c r="C268" s="23" t="s">
        <v>90</v>
      </c>
      <c r="D268" s="23" t="s">
        <v>144</v>
      </c>
      <c r="E268" s="23" t="s">
        <v>702</v>
      </c>
      <c r="F268" s="32">
        <v>1261.43</v>
      </c>
      <c r="G268" s="38" t="str">
        <f ca="1">IFERROR(_xludf.XLOOKUP(E268,Bank_Statement!$D$4:$D$448,Bank_Statement!$G$4:$G$448,""),"")</f>
        <v/>
      </c>
      <c r="H268" s="32" t="str">
        <f t="shared" ca="1" si="12"/>
        <v/>
      </c>
      <c r="I268" s="39" t="str">
        <f ca="1">IFERROR(_xludf.XLOOKUP(E268,Bank_Statement!$D$4:$D$448,Bank_Statement!$B$4:$B$448,""),"")</f>
        <v/>
      </c>
      <c r="J268" s="40" t="str">
        <f t="shared" ca="1" si="13"/>
        <v/>
      </c>
      <c r="K268" s="41" t="str">
        <f ca="1">IF(G268="","Unmatched ERP",IF(AND(ABS(H268)&lt;=Mapping_Rules!$B$4,ABS(J268)&lt;=Mapping_Rules!$B$5),"Matched","Review"))</f>
        <v>Unmatched ERP</v>
      </c>
      <c r="L268" s="41" t="str">
        <f ca="1">IF(K268="Matched","None",IF(G268="","Missing from bank",IF(ABS(H268)&gt;Mapping_Rules!$B$4,"Amount variance","Date variance")))</f>
        <v>Missing from bank</v>
      </c>
      <c r="M268" s="41" t="str">
        <f ca="1">IF(K268="Matched","Low",IF(OR(IFERROR(ABS(H268),0)&gt;Mapping_Rules!$B$7,IFERROR(J268,0)&gt;Mapping_Rules!$B$8),"High","Medium"))</f>
        <v>High</v>
      </c>
      <c r="N268" s="41" t="str">
        <f t="shared" ca="1" si="14"/>
        <v>Check bank date or posting</v>
      </c>
      <c r="O268" s="23" t="s">
        <v>194</v>
      </c>
      <c r="P268" s="23" t="s">
        <v>95</v>
      </c>
      <c r="Q268" s="23" t="s">
        <v>1689</v>
      </c>
      <c r="R268" s="42"/>
      <c r="S268" s="43">
        <f ca="1">IF(K268="Matched",0,Mapping_Rules!$B$6-B268)</f>
        <v>9</v>
      </c>
    </row>
    <row r="269" spans="1:19">
      <c r="A269" s="44" t="s">
        <v>703</v>
      </c>
      <c r="B269" s="45">
        <v>46032</v>
      </c>
      <c r="C269" s="44" t="s">
        <v>72</v>
      </c>
      <c r="D269" s="44" t="s">
        <v>126</v>
      </c>
      <c r="E269" s="44" t="s">
        <v>704</v>
      </c>
      <c r="F269" s="46">
        <v>-3605.8</v>
      </c>
      <c r="G269" s="47" t="str">
        <f ca="1">IFERROR(_xludf.XLOOKUP(E269,Bank_Statement!$D$4:$D$448,Bank_Statement!$G$4:$G$448,""),"")</f>
        <v/>
      </c>
      <c r="H269" s="46" t="str">
        <f t="shared" ca="1" si="12"/>
        <v/>
      </c>
      <c r="I269" s="48" t="str">
        <f ca="1">IFERROR(_xludf.XLOOKUP(E269,Bank_Statement!$D$4:$D$448,Bank_Statement!$B$4:$B$448,""),"")</f>
        <v/>
      </c>
      <c r="J269" s="49" t="str">
        <f t="shared" ca="1" si="13"/>
        <v/>
      </c>
      <c r="K269" s="50" t="str">
        <f ca="1">IF(G269="","Unmatched ERP",IF(AND(ABS(H269)&lt;=Mapping_Rules!$B$4,ABS(J269)&lt;=Mapping_Rules!$B$5),"Matched","Review"))</f>
        <v>Unmatched ERP</v>
      </c>
      <c r="L269" s="50" t="str">
        <f ca="1">IF(K269="Matched","None",IF(G269="","Missing from bank",IF(ABS(H269)&gt;Mapping_Rules!$B$4,"Amount variance","Date variance")))</f>
        <v>Missing from bank</v>
      </c>
      <c r="M269" s="50" t="str">
        <f ca="1">IF(K269="Matched","Low",IF(OR(IFERROR(ABS(H269),0)&gt;Mapping_Rules!$B$7,IFERROR(J269,0)&gt;Mapping_Rules!$B$8),"High","Medium"))</f>
        <v>High</v>
      </c>
      <c r="N269" s="50" t="str">
        <f t="shared" ca="1" si="14"/>
        <v>Check bank date or posting</v>
      </c>
      <c r="O269" s="44" t="s">
        <v>131</v>
      </c>
      <c r="P269" s="44" t="s">
        <v>77</v>
      </c>
      <c r="Q269" s="44" t="s">
        <v>1689</v>
      </c>
      <c r="R269" s="51"/>
      <c r="S269" s="52">
        <f ca="1">IF(K269="Matched",0,Mapping_Rules!$B$6-B269)</f>
        <v>21</v>
      </c>
    </row>
    <row r="270" spans="1:19">
      <c r="A270" s="23" t="s">
        <v>705</v>
      </c>
      <c r="B270" s="31">
        <v>46051</v>
      </c>
      <c r="C270" s="23" t="s">
        <v>72</v>
      </c>
      <c r="D270" s="23" t="s">
        <v>126</v>
      </c>
      <c r="E270" s="23" t="s">
        <v>706</v>
      </c>
      <c r="F270" s="32">
        <v>-3270.06</v>
      </c>
      <c r="G270" s="38" t="str">
        <f ca="1">IFERROR(_xludf.XLOOKUP(E270,Bank_Statement!$D$4:$D$448,Bank_Statement!$G$4:$G$448,""),"")</f>
        <v/>
      </c>
      <c r="H270" s="32" t="str">
        <f t="shared" ca="1" si="12"/>
        <v/>
      </c>
      <c r="I270" s="39" t="str">
        <f ca="1">IFERROR(_xludf.XLOOKUP(E270,Bank_Statement!$D$4:$D$448,Bank_Statement!$B$4:$B$448,""),"")</f>
        <v/>
      </c>
      <c r="J270" s="40" t="str">
        <f t="shared" ca="1" si="13"/>
        <v/>
      </c>
      <c r="K270" s="41" t="str">
        <f ca="1">IF(G270="","Unmatched ERP",IF(AND(ABS(H270)&lt;=Mapping_Rules!$B$4,ABS(J270)&lt;=Mapping_Rules!$B$5),"Matched","Review"))</f>
        <v>Unmatched ERP</v>
      </c>
      <c r="L270" s="41" t="str">
        <f ca="1">IF(K270="Matched","None",IF(G270="","Missing from bank",IF(ABS(H270)&gt;Mapping_Rules!$B$4,"Amount variance","Date variance")))</f>
        <v>Missing from bank</v>
      </c>
      <c r="M270" s="41" t="str">
        <f ca="1">IF(K270="Matched","Low",IF(OR(IFERROR(ABS(H270),0)&gt;Mapping_Rules!$B$7,IFERROR(J270,0)&gt;Mapping_Rules!$B$8),"High","Medium"))</f>
        <v>High</v>
      </c>
      <c r="N270" s="41" t="str">
        <f t="shared" ca="1" si="14"/>
        <v>Check bank date or posting</v>
      </c>
      <c r="O270" s="23" t="s">
        <v>131</v>
      </c>
      <c r="P270" s="23" t="s">
        <v>77</v>
      </c>
      <c r="Q270" s="23" t="s">
        <v>1689</v>
      </c>
      <c r="R270" s="42"/>
      <c r="S270" s="43">
        <f ca="1">IF(K270="Matched",0,Mapping_Rules!$B$6-B270)</f>
        <v>2</v>
      </c>
    </row>
    <row r="271" spans="1:19">
      <c r="A271" s="44" t="s">
        <v>707</v>
      </c>
      <c r="B271" s="45">
        <v>46036</v>
      </c>
      <c r="C271" s="44" t="s">
        <v>81</v>
      </c>
      <c r="D271" s="44" t="s">
        <v>220</v>
      </c>
      <c r="E271" s="44" t="s">
        <v>708</v>
      </c>
      <c r="F271" s="46">
        <v>8268.6200000000008</v>
      </c>
      <c r="G271" s="47" t="str">
        <f ca="1">IFERROR(_xludf.XLOOKUP(E271,Bank_Statement!$D$4:$D$448,Bank_Statement!$G$4:$G$448,""),"")</f>
        <v/>
      </c>
      <c r="H271" s="46" t="str">
        <f t="shared" ca="1" si="12"/>
        <v/>
      </c>
      <c r="I271" s="48" t="str">
        <f ca="1">IFERROR(_xludf.XLOOKUP(E271,Bank_Statement!$D$4:$D$448,Bank_Statement!$B$4:$B$448,""),"")</f>
        <v/>
      </c>
      <c r="J271" s="49" t="str">
        <f t="shared" ca="1" si="13"/>
        <v/>
      </c>
      <c r="K271" s="50" t="str">
        <f ca="1">IF(G271="","Unmatched ERP",IF(AND(ABS(H271)&lt;=Mapping_Rules!$B$4,ABS(J271)&lt;=Mapping_Rules!$B$5),"Matched","Review"))</f>
        <v>Unmatched ERP</v>
      </c>
      <c r="L271" s="50" t="str">
        <f ca="1">IF(K271="Matched","None",IF(G271="","Missing from bank",IF(ABS(H271)&gt;Mapping_Rules!$B$4,"Amount variance","Date variance")))</f>
        <v>Missing from bank</v>
      </c>
      <c r="M271" s="50" t="str">
        <f ca="1">IF(K271="Matched","Low",IF(OR(IFERROR(ABS(H271),0)&gt;Mapping_Rules!$B$7,IFERROR(J271,0)&gt;Mapping_Rules!$B$8),"High","Medium"))</f>
        <v>High</v>
      </c>
      <c r="N271" s="50" t="str">
        <f t="shared" ca="1" si="14"/>
        <v>Check bank date or posting</v>
      </c>
      <c r="O271" s="44" t="s">
        <v>158</v>
      </c>
      <c r="P271" s="44" t="s">
        <v>86</v>
      </c>
      <c r="Q271" s="44" t="s">
        <v>1689</v>
      </c>
      <c r="R271" s="51"/>
      <c r="S271" s="52">
        <f ca="1">IF(K271="Matched",0,Mapping_Rules!$B$6-B271)</f>
        <v>17</v>
      </c>
    </row>
    <row r="272" spans="1:19">
      <c r="A272" s="23" t="s">
        <v>709</v>
      </c>
      <c r="B272" s="31">
        <v>46032</v>
      </c>
      <c r="C272" s="23" t="s">
        <v>81</v>
      </c>
      <c r="D272" s="23" t="s">
        <v>167</v>
      </c>
      <c r="E272" s="23" t="s">
        <v>710</v>
      </c>
      <c r="F272" s="32">
        <v>4103.88</v>
      </c>
      <c r="G272" s="38" t="str">
        <f ca="1">IFERROR(_xludf.XLOOKUP(E272,Bank_Statement!$D$4:$D$448,Bank_Statement!$G$4:$G$448,""),"")</f>
        <v/>
      </c>
      <c r="H272" s="32" t="str">
        <f t="shared" ca="1" si="12"/>
        <v/>
      </c>
      <c r="I272" s="39" t="str">
        <f ca="1">IFERROR(_xludf.XLOOKUP(E272,Bank_Statement!$D$4:$D$448,Bank_Statement!$B$4:$B$448,""),"")</f>
        <v/>
      </c>
      <c r="J272" s="40" t="str">
        <f t="shared" ca="1" si="13"/>
        <v/>
      </c>
      <c r="K272" s="41" t="str">
        <f ca="1">IF(G272="","Unmatched ERP",IF(AND(ABS(H272)&lt;=Mapping_Rules!$B$4,ABS(J272)&lt;=Mapping_Rules!$B$5),"Matched","Review"))</f>
        <v>Unmatched ERP</v>
      </c>
      <c r="L272" s="41" t="str">
        <f ca="1">IF(K272="Matched","None",IF(G272="","Missing from bank",IF(ABS(H272)&gt;Mapping_Rules!$B$4,"Amount variance","Date variance")))</f>
        <v>Missing from bank</v>
      </c>
      <c r="M272" s="41" t="str">
        <f ca="1">IF(K272="Matched","Low",IF(OR(IFERROR(ABS(H272),0)&gt;Mapping_Rules!$B$7,IFERROR(J272,0)&gt;Mapping_Rules!$B$8),"High","Medium"))</f>
        <v>High</v>
      </c>
      <c r="N272" s="41" t="str">
        <f t="shared" ca="1" si="14"/>
        <v>Check bank date or posting</v>
      </c>
      <c r="O272" s="23" t="s">
        <v>158</v>
      </c>
      <c r="P272" s="23" t="s">
        <v>86</v>
      </c>
      <c r="Q272" s="23" t="s">
        <v>1689</v>
      </c>
      <c r="R272" s="42"/>
      <c r="S272" s="43">
        <f ca="1">IF(K272="Matched",0,Mapping_Rules!$B$6-B272)</f>
        <v>21</v>
      </c>
    </row>
    <row r="273" spans="1:19">
      <c r="A273" s="44" t="s">
        <v>711</v>
      </c>
      <c r="B273" s="45">
        <v>46027</v>
      </c>
      <c r="C273" s="44" t="s">
        <v>99</v>
      </c>
      <c r="D273" s="44" t="s">
        <v>182</v>
      </c>
      <c r="E273" s="44" t="s">
        <v>712</v>
      </c>
      <c r="F273" s="46">
        <v>-15763.75</v>
      </c>
      <c r="G273" s="47" t="str">
        <f ca="1">IFERROR(_xludf.XLOOKUP(E273,Bank_Statement!$D$4:$D$448,Bank_Statement!$G$4:$G$448,""),"")</f>
        <v/>
      </c>
      <c r="H273" s="46" t="str">
        <f t="shared" ca="1" si="12"/>
        <v/>
      </c>
      <c r="I273" s="48" t="str">
        <f ca="1">IFERROR(_xludf.XLOOKUP(E273,Bank_Statement!$D$4:$D$448,Bank_Statement!$B$4:$B$448,""),"")</f>
        <v/>
      </c>
      <c r="J273" s="49" t="str">
        <f t="shared" ca="1" si="13"/>
        <v/>
      </c>
      <c r="K273" s="50" t="str">
        <f ca="1">IF(G273="","Unmatched ERP",IF(AND(ABS(H273)&lt;=Mapping_Rules!$B$4,ABS(J273)&lt;=Mapping_Rules!$B$5),"Matched","Review"))</f>
        <v>Unmatched ERP</v>
      </c>
      <c r="L273" s="50" t="str">
        <f ca="1">IF(K273="Matched","None",IF(G273="","Missing from bank",IF(ABS(H273)&gt;Mapping_Rules!$B$4,"Amount variance","Date variance")))</f>
        <v>Missing from bank</v>
      </c>
      <c r="M273" s="50" t="str">
        <f ca="1">IF(K273="Matched","Low",IF(OR(IFERROR(ABS(H273),0)&gt;Mapping_Rules!$B$7,IFERROR(J273,0)&gt;Mapping_Rules!$B$8),"High","Medium"))</f>
        <v>High</v>
      </c>
      <c r="N273" s="50" t="str">
        <f t="shared" ca="1" si="14"/>
        <v>Check bank date or posting</v>
      </c>
      <c r="O273" s="44" t="s">
        <v>185</v>
      </c>
      <c r="P273" s="44" t="s">
        <v>95</v>
      </c>
      <c r="Q273" s="44" t="s">
        <v>1689</v>
      </c>
      <c r="R273" s="51"/>
      <c r="S273" s="52">
        <f ca="1">IF(K273="Matched",0,Mapping_Rules!$B$6-B273)</f>
        <v>26</v>
      </c>
    </row>
    <row r="274" spans="1:19">
      <c r="A274" s="23" t="s">
        <v>713</v>
      </c>
      <c r="B274" s="31">
        <v>46040</v>
      </c>
      <c r="C274" s="23" t="s">
        <v>81</v>
      </c>
      <c r="D274" s="23" t="s">
        <v>163</v>
      </c>
      <c r="E274" s="23" t="s">
        <v>714</v>
      </c>
      <c r="F274" s="32">
        <v>2177.87</v>
      </c>
      <c r="G274" s="38" t="str">
        <f ca="1">IFERROR(_xludf.XLOOKUP(E274,Bank_Statement!$D$4:$D$448,Bank_Statement!$G$4:$G$448,""),"")</f>
        <v/>
      </c>
      <c r="H274" s="32" t="str">
        <f t="shared" ca="1" si="12"/>
        <v/>
      </c>
      <c r="I274" s="39" t="str">
        <f ca="1">IFERROR(_xludf.XLOOKUP(E274,Bank_Statement!$D$4:$D$448,Bank_Statement!$B$4:$B$448,""),"")</f>
        <v/>
      </c>
      <c r="J274" s="40" t="str">
        <f t="shared" ca="1" si="13"/>
        <v/>
      </c>
      <c r="K274" s="41" t="str">
        <f ca="1">IF(G274="","Unmatched ERP",IF(AND(ABS(H274)&lt;=Mapping_Rules!$B$4,ABS(J274)&lt;=Mapping_Rules!$B$5),"Matched","Review"))</f>
        <v>Unmatched ERP</v>
      </c>
      <c r="L274" s="41" t="str">
        <f ca="1">IF(K274="Matched","None",IF(G274="","Missing from bank",IF(ABS(H274)&gt;Mapping_Rules!$B$4,"Amount variance","Date variance")))</f>
        <v>Missing from bank</v>
      </c>
      <c r="M274" s="41" t="str">
        <f ca="1">IF(K274="Matched","Low",IF(OR(IFERROR(ABS(H274),0)&gt;Mapping_Rules!$B$7,IFERROR(J274,0)&gt;Mapping_Rules!$B$8),"High","Medium"))</f>
        <v>High</v>
      </c>
      <c r="N274" s="41" t="str">
        <f t="shared" ca="1" si="14"/>
        <v>Check bank date or posting</v>
      </c>
      <c r="O274" s="23" t="s">
        <v>158</v>
      </c>
      <c r="P274" s="23" t="s">
        <v>86</v>
      </c>
      <c r="Q274" s="23" t="s">
        <v>1689</v>
      </c>
      <c r="R274" s="42"/>
      <c r="S274" s="43">
        <f ca="1">IF(K274="Matched",0,Mapping_Rules!$B$6-B274)</f>
        <v>13</v>
      </c>
    </row>
    <row r="275" spans="1:19">
      <c r="A275" s="44" t="s">
        <v>715</v>
      </c>
      <c r="B275" s="45">
        <v>46025</v>
      </c>
      <c r="C275" s="44" t="s">
        <v>81</v>
      </c>
      <c r="D275" s="44" t="s">
        <v>173</v>
      </c>
      <c r="E275" s="44" t="s">
        <v>716</v>
      </c>
      <c r="F275" s="46">
        <v>580.33000000000004</v>
      </c>
      <c r="G275" s="47" t="str">
        <f ca="1">IFERROR(_xludf.XLOOKUP(E275,Bank_Statement!$D$4:$D$448,Bank_Statement!$G$4:$G$448,""),"")</f>
        <v/>
      </c>
      <c r="H275" s="46" t="str">
        <f t="shared" ca="1" si="12"/>
        <v/>
      </c>
      <c r="I275" s="48" t="str">
        <f ca="1">IFERROR(_xludf.XLOOKUP(E275,Bank_Statement!$D$4:$D$448,Bank_Statement!$B$4:$B$448,""),"")</f>
        <v/>
      </c>
      <c r="J275" s="49" t="str">
        <f t="shared" ca="1" si="13"/>
        <v/>
      </c>
      <c r="K275" s="50" t="str">
        <f ca="1">IF(G275="","Unmatched ERP",IF(AND(ABS(H275)&lt;=Mapping_Rules!$B$4,ABS(J275)&lt;=Mapping_Rules!$B$5),"Matched","Review"))</f>
        <v>Unmatched ERP</v>
      </c>
      <c r="L275" s="50" t="str">
        <f ca="1">IF(K275="Matched","None",IF(G275="","Missing from bank",IF(ABS(H275)&gt;Mapping_Rules!$B$4,"Amount variance","Date variance")))</f>
        <v>Missing from bank</v>
      </c>
      <c r="M275" s="50" t="str">
        <f ca="1">IF(K275="Matched","Low",IF(OR(IFERROR(ABS(H275),0)&gt;Mapping_Rules!$B$7,IFERROR(J275,0)&gt;Mapping_Rules!$B$8),"High","Medium"))</f>
        <v>High</v>
      </c>
      <c r="N275" s="50" t="str">
        <f t="shared" ca="1" si="14"/>
        <v>Check bank date or posting</v>
      </c>
      <c r="O275" s="44" t="s">
        <v>158</v>
      </c>
      <c r="P275" s="44" t="s">
        <v>86</v>
      </c>
      <c r="Q275" s="44" t="s">
        <v>1689</v>
      </c>
      <c r="R275" s="51"/>
      <c r="S275" s="52">
        <f ca="1">IF(K275="Matched",0,Mapping_Rules!$B$6-B275)</f>
        <v>28</v>
      </c>
    </row>
    <row r="276" spans="1:19">
      <c r="A276" s="23" t="s">
        <v>717</v>
      </c>
      <c r="B276" s="31">
        <v>46047</v>
      </c>
      <c r="C276" s="23" t="s">
        <v>81</v>
      </c>
      <c r="D276" s="23" t="s">
        <v>155</v>
      </c>
      <c r="E276" s="23" t="s">
        <v>718</v>
      </c>
      <c r="F276" s="32">
        <v>4816.3999999999996</v>
      </c>
      <c r="G276" s="38" t="str">
        <f ca="1">IFERROR(_xludf.XLOOKUP(E276,Bank_Statement!$D$4:$D$448,Bank_Statement!$G$4:$G$448,""),"")</f>
        <v/>
      </c>
      <c r="H276" s="32" t="str">
        <f t="shared" ca="1" si="12"/>
        <v/>
      </c>
      <c r="I276" s="39" t="str">
        <f ca="1">IFERROR(_xludf.XLOOKUP(E276,Bank_Statement!$D$4:$D$448,Bank_Statement!$B$4:$B$448,""),"")</f>
        <v/>
      </c>
      <c r="J276" s="40" t="str">
        <f t="shared" ca="1" si="13"/>
        <v/>
      </c>
      <c r="K276" s="41" t="str">
        <f ca="1">IF(G276="","Unmatched ERP",IF(AND(ABS(H276)&lt;=Mapping_Rules!$B$4,ABS(J276)&lt;=Mapping_Rules!$B$5),"Matched","Review"))</f>
        <v>Unmatched ERP</v>
      </c>
      <c r="L276" s="41" t="str">
        <f ca="1">IF(K276="Matched","None",IF(G276="","Missing from bank",IF(ABS(H276)&gt;Mapping_Rules!$B$4,"Amount variance","Date variance")))</f>
        <v>Missing from bank</v>
      </c>
      <c r="M276" s="41" t="str">
        <f ca="1">IF(K276="Matched","Low",IF(OR(IFERROR(ABS(H276),0)&gt;Mapping_Rules!$B$7,IFERROR(J276,0)&gt;Mapping_Rules!$B$8),"High","Medium"))</f>
        <v>High</v>
      </c>
      <c r="N276" s="41" t="str">
        <f t="shared" ca="1" si="14"/>
        <v>Check bank date or posting</v>
      </c>
      <c r="O276" s="23" t="s">
        <v>158</v>
      </c>
      <c r="P276" s="23" t="s">
        <v>86</v>
      </c>
      <c r="Q276" s="23" t="s">
        <v>1689</v>
      </c>
      <c r="R276" s="42"/>
      <c r="S276" s="43">
        <f ca="1">IF(K276="Matched",0,Mapping_Rules!$B$6-B276)</f>
        <v>6</v>
      </c>
    </row>
    <row r="277" spans="1:19">
      <c r="A277" s="44" t="s">
        <v>719</v>
      </c>
      <c r="B277" s="45">
        <v>46033</v>
      </c>
      <c r="C277" s="44" t="s">
        <v>72</v>
      </c>
      <c r="D277" s="44" t="s">
        <v>144</v>
      </c>
      <c r="E277" s="44" t="s">
        <v>720</v>
      </c>
      <c r="F277" s="46">
        <v>-1376.26</v>
      </c>
      <c r="G277" s="47" t="str">
        <f ca="1">IFERROR(_xludf.XLOOKUP(E277,Bank_Statement!$D$4:$D$448,Bank_Statement!$G$4:$G$448,""),"")</f>
        <v/>
      </c>
      <c r="H277" s="46" t="str">
        <f t="shared" ca="1" si="12"/>
        <v/>
      </c>
      <c r="I277" s="48" t="str">
        <f ca="1">IFERROR(_xludf.XLOOKUP(E277,Bank_Statement!$D$4:$D$448,Bank_Statement!$B$4:$B$448,""),"")</f>
        <v/>
      </c>
      <c r="J277" s="49" t="str">
        <f t="shared" ca="1" si="13"/>
        <v/>
      </c>
      <c r="K277" s="50" t="str">
        <f ca="1">IF(G277="","Unmatched ERP",IF(AND(ABS(H277)&lt;=Mapping_Rules!$B$4,ABS(J277)&lt;=Mapping_Rules!$B$5),"Matched","Review"))</f>
        <v>Unmatched ERP</v>
      </c>
      <c r="L277" s="50" t="str">
        <f ca="1">IF(K277="Matched","None",IF(G277="","Missing from bank",IF(ABS(H277)&gt;Mapping_Rules!$B$4,"Amount variance","Date variance")))</f>
        <v>Missing from bank</v>
      </c>
      <c r="M277" s="50" t="str">
        <f ca="1">IF(K277="Matched","Low",IF(OR(IFERROR(ABS(H277),0)&gt;Mapping_Rules!$B$7,IFERROR(J277,0)&gt;Mapping_Rules!$B$8),"High","Medium"))</f>
        <v>High</v>
      </c>
      <c r="N277" s="50" t="str">
        <f t="shared" ca="1" si="14"/>
        <v>Check bank date or posting</v>
      </c>
      <c r="O277" s="44" t="s">
        <v>131</v>
      </c>
      <c r="P277" s="44" t="s">
        <v>77</v>
      </c>
      <c r="Q277" s="44" t="s">
        <v>1689</v>
      </c>
      <c r="R277" s="51"/>
      <c r="S277" s="52">
        <f ca="1">IF(K277="Matched",0,Mapping_Rules!$B$6-B277)</f>
        <v>20</v>
      </c>
    </row>
    <row r="278" spans="1:19">
      <c r="A278" s="23" t="s">
        <v>721</v>
      </c>
      <c r="B278" s="31">
        <v>46045</v>
      </c>
      <c r="C278" s="23" t="s">
        <v>81</v>
      </c>
      <c r="D278" s="23" t="s">
        <v>173</v>
      </c>
      <c r="E278" s="23" t="s">
        <v>722</v>
      </c>
      <c r="F278" s="32">
        <v>3461.88</v>
      </c>
      <c r="G278" s="38" t="str">
        <f ca="1">IFERROR(_xludf.XLOOKUP(E278,Bank_Statement!$D$4:$D$448,Bank_Statement!$G$4:$G$448,""),"")</f>
        <v/>
      </c>
      <c r="H278" s="32" t="str">
        <f t="shared" ca="1" si="12"/>
        <v/>
      </c>
      <c r="I278" s="39" t="str">
        <f ca="1">IFERROR(_xludf.XLOOKUP(E278,Bank_Statement!$D$4:$D$448,Bank_Statement!$B$4:$B$448,""),"")</f>
        <v/>
      </c>
      <c r="J278" s="40" t="str">
        <f t="shared" ca="1" si="13"/>
        <v/>
      </c>
      <c r="K278" s="41" t="str">
        <f ca="1">IF(G278="","Unmatched ERP",IF(AND(ABS(H278)&lt;=Mapping_Rules!$B$4,ABS(J278)&lt;=Mapping_Rules!$B$5),"Matched","Review"))</f>
        <v>Unmatched ERP</v>
      </c>
      <c r="L278" s="41" t="str">
        <f ca="1">IF(K278="Matched","None",IF(G278="","Missing from bank",IF(ABS(H278)&gt;Mapping_Rules!$B$4,"Amount variance","Date variance")))</f>
        <v>Missing from bank</v>
      </c>
      <c r="M278" s="41" t="str">
        <f ca="1">IF(K278="Matched","Low",IF(OR(IFERROR(ABS(H278),0)&gt;Mapping_Rules!$B$7,IFERROR(J278,0)&gt;Mapping_Rules!$B$8),"High","Medium"))</f>
        <v>High</v>
      </c>
      <c r="N278" s="41" t="str">
        <f t="shared" ca="1" si="14"/>
        <v>Check bank date or posting</v>
      </c>
      <c r="O278" s="23" t="s">
        <v>158</v>
      </c>
      <c r="P278" s="23" t="s">
        <v>86</v>
      </c>
      <c r="Q278" s="23" t="s">
        <v>1689</v>
      </c>
      <c r="R278" s="42"/>
      <c r="S278" s="43">
        <f ca="1">IF(K278="Matched",0,Mapping_Rules!$B$6-B278)</f>
        <v>8</v>
      </c>
    </row>
    <row r="279" spans="1:19">
      <c r="A279" s="44" t="s">
        <v>723</v>
      </c>
      <c r="B279" s="45">
        <v>46040</v>
      </c>
      <c r="C279" s="44" t="s">
        <v>81</v>
      </c>
      <c r="D279" s="44" t="s">
        <v>214</v>
      </c>
      <c r="E279" s="44" t="s">
        <v>724</v>
      </c>
      <c r="F279" s="46">
        <v>2334.04</v>
      </c>
      <c r="G279" s="47" t="str">
        <f ca="1">IFERROR(_xludf.XLOOKUP(E279,Bank_Statement!$D$4:$D$448,Bank_Statement!$G$4:$G$448,""),"")</f>
        <v/>
      </c>
      <c r="H279" s="46" t="str">
        <f t="shared" ca="1" si="12"/>
        <v/>
      </c>
      <c r="I279" s="48" t="str">
        <f ca="1">IFERROR(_xludf.XLOOKUP(E279,Bank_Statement!$D$4:$D$448,Bank_Statement!$B$4:$B$448,""),"")</f>
        <v/>
      </c>
      <c r="J279" s="49" t="str">
        <f t="shared" ca="1" si="13"/>
        <v/>
      </c>
      <c r="K279" s="50" t="str">
        <f ca="1">IF(G279="","Unmatched ERP",IF(AND(ABS(H279)&lt;=Mapping_Rules!$B$4,ABS(J279)&lt;=Mapping_Rules!$B$5),"Matched","Review"))</f>
        <v>Unmatched ERP</v>
      </c>
      <c r="L279" s="50" t="str">
        <f ca="1">IF(K279="Matched","None",IF(G279="","Missing from bank",IF(ABS(H279)&gt;Mapping_Rules!$B$4,"Amount variance","Date variance")))</f>
        <v>Missing from bank</v>
      </c>
      <c r="M279" s="50" t="str">
        <f ca="1">IF(K279="Matched","Low",IF(OR(IFERROR(ABS(H279),0)&gt;Mapping_Rules!$B$7,IFERROR(J279,0)&gt;Mapping_Rules!$B$8),"High","Medium"))</f>
        <v>High</v>
      </c>
      <c r="N279" s="50" t="str">
        <f t="shared" ca="1" si="14"/>
        <v>Check bank date or posting</v>
      </c>
      <c r="O279" s="44" t="s">
        <v>158</v>
      </c>
      <c r="P279" s="44" t="s">
        <v>86</v>
      </c>
      <c r="Q279" s="44" t="s">
        <v>1689</v>
      </c>
      <c r="R279" s="51"/>
      <c r="S279" s="52">
        <f ca="1">IF(K279="Matched",0,Mapping_Rules!$B$6-B279)</f>
        <v>13</v>
      </c>
    </row>
    <row r="280" spans="1:19">
      <c r="A280" s="23" t="s">
        <v>725</v>
      </c>
      <c r="B280" s="31">
        <v>46033</v>
      </c>
      <c r="C280" s="23" t="s">
        <v>99</v>
      </c>
      <c r="D280" s="23" t="s">
        <v>182</v>
      </c>
      <c r="E280" s="23" t="s">
        <v>726</v>
      </c>
      <c r="F280" s="32">
        <v>-7875.22</v>
      </c>
      <c r="G280" s="38" t="str">
        <f ca="1">IFERROR(_xludf.XLOOKUP(E280,Bank_Statement!$D$4:$D$448,Bank_Statement!$G$4:$G$448,""),"")</f>
        <v/>
      </c>
      <c r="H280" s="32" t="str">
        <f t="shared" ca="1" si="12"/>
        <v/>
      </c>
      <c r="I280" s="39" t="str">
        <f ca="1">IFERROR(_xludf.XLOOKUP(E280,Bank_Statement!$D$4:$D$448,Bank_Statement!$B$4:$B$448,""),"")</f>
        <v/>
      </c>
      <c r="J280" s="40" t="str">
        <f t="shared" ca="1" si="13"/>
        <v/>
      </c>
      <c r="K280" s="41" t="str">
        <f ca="1">IF(G280="","Unmatched ERP",IF(AND(ABS(H280)&lt;=Mapping_Rules!$B$4,ABS(J280)&lt;=Mapping_Rules!$B$5),"Matched","Review"))</f>
        <v>Unmatched ERP</v>
      </c>
      <c r="L280" s="41" t="str">
        <f ca="1">IF(K280="Matched","None",IF(G280="","Missing from bank",IF(ABS(H280)&gt;Mapping_Rules!$B$4,"Amount variance","Date variance")))</f>
        <v>Missing from bank</v>
      </c>
      <c r="M280" s="41" t="str">
        <f ca="1">IF(K280="Matched","Low",IF(OR(IFERROR(ABS(H280),0)&gt;Mapping_Rules!$B$7,IFERROR(J280,0)&gt;Mapping_Rules!$B$8),"High","Medium"))</f>
        <v>High</v>
      </c>
      <c r="N280" s="41" t="str">
        <f t="shared" ca="1" si="14"/>
        <v>Check bank date or posting</v>
      </c>
      <c r="O280" s="23" t="s">
        <v>185</v>
      </c>
      <c r="P280" s="23" t="s">
        <v>95</v>
      </c>
      <c r="Q280" s="23" t="s">
        <v>1689</v>
      </c>
      <c r="R280" s="42"/>
      <c r="S280" s="43">
        <f ca="1">IF(K280="Matched",0,Mapping_Rules!$B$6-B280)</f>
        <v>20</v>
      </c>
    </row>
    <row r="281" spans="1:19">
      <c r="A281" s="44" t="s">
        <v>727</v>
      </c>
      <c r="B281" s="45">
        <v>46023</v>
      </c>
      <c r="C281" s="44" t="s">
        <v>72</v>
      </c>
      <c r="D281" s="44" t="s">
        <v>204</v>
      </c>
      <c r="E281" s="44" t="s">
        <v>728</v>
      </c>
      <c r="F281" s="46">
        <v>-3624.35</v>
      </c>
      <c r="G281" s="47" t="str">
        <f ca="1">IFERROR(_xludf.XLOOKUP(E281,Bank_Statement!$D$4:$D$448,Bank_Statement!$G$4:$G$448,""),"")</f>
        <v/>
      </c>
      <c r="H281" s="46" t="str">
        <f t="shared" ca="1" si="12"/>
        <v/>
      </c>
      <c r="I281" s="48" t="str">
        <f ca="1">IFERROR(_xludf.XLOOKUP(E281,Bank_Statement!$D$4:$D$448,Bank_Statement!$B$4:$B$448,""),"")</f>
        <v/>
      </c>
      <c r="J281" s="49" t="str">
        <f t="shared" ca="1" si="13"/>
        <v/>
      </c>
      <c r="K281" s="50" t="str">
        <f ca="1">IF(G281="","Unmatched ERP",IF(AND(ABS(H281)&lt;=Mapping_Rules!$B$4,ABS(J281)&lt;=Mapping_Rules!$B$5),"Matched","Review"))</f>
        <v>Unmatched ERP</v>
      </c>
      <c r="L281" s="50" t="str">
        <f ca="1">IF(K281="Matched","None",IF(G281="","Missing from bank",IF(ABS(H281)&gt;Mapping_Rules!$B$4,"Amount variance","Date variance")))</f>
        <v>Missing from bank</v>
      </c>
      <c r="M281" s="50" t="str">
        <f ca="1">IF(K281="Matched","Low",IF(OR(IFERROR(ABS(H281),0)&gt;Mapping_Rules!$B$7,IFERROR(J281,0)&gt;Mapping_Rules!$B$8),"High","Medium"))</f>
        <v>High</v>
      </c>
      <c r="N281" s="50" t="str">
        <f t="shared" ca="1" si="14"/>
        <v>Check bank date or posting</v>
      </c>
      <c r="O281" s="44" t="s">
        <v>131</v>
      </c>
      <c r="P281" s="44" t="s">
        <v>77</v>
      </c>
      <c r="Q281" s="44" t="s">
        <v>1689</v>
      </c>
      <c r="R281" s="51"/>
      <c r="S281" s="52">
        <f ca="1">IF(K281="Matched",0,Mapping_Rules!$B$6-B281)</f>
        <v>30</v>
      </c>
    </row>
    <row r="282" spans="1:19">
      <c r="A282" s="23" t="s">
        <v>729</v>
      </c>
      <c r="B282" s="31">
        <v>46041</v>
      </c>
      <c r="C282" s="23" t="s">
        <v>99</v>
      </c>
      <c r="D282" s="23" t="s">
        <v>182</v>
      </c>
      <c r="E282" s="23" t="s">
        <v>730</v>
      </c>
      <c r="F282" s="32">
        <v>-9739.8700000000008</v>
      </c>
      <c r="G282" s="38" t="str">
        <f ca="1">IFERROR(_xludf.XLOOKUP(E282,Bank_Statement!$D$4:$D$448,Bank_Statement!$G$4:$G$448,""),"")</f>
        <v/>
      </c>
      <c r="H282" s="32" t="str">
        <f t="shared" ca="1" si="12"/>
        <v/>
      </c>
      <c r="I282" s="39" t="str">
        <f ca="1">IFERROR(_xludf.XLOOKUP(E282,Bank_Statement!$D$4:$D$448,Bank_Statement!$B$4:$B$448,""),"")</f>
        <v/>
      </c>
      <c r="J282" s="40" t="str">
        <f t="shared" ca="1" si="13"/>
        <v/>
      </c>
      <c r="K282" s="41" t="str">
        <f ca="1">IF(G282="","Unmatched ERP",IF(AND(ABS(H282)&lt;=Mapping_Rules!$B$4,ABS(J282)&lt;=Mapping_Rules!$B$5),"Matched","Review"))</f>
        <v>Unmatched ERP</v>
      </c>
      <c r="L282" s="41" t="str">
        <f ca="1">IF(K282="Matched","None",IF(G282="","Missing from bank",IF(ABS(H282)&gt;Mapping_Rules!$B$4,"Amount variance","Date variance")))</f>
        <v>Missing from bank</v>
      </c>
      <c r="M282" s="41" t="str">
        <f ca="1">IF(K282="Matched","Low",IF(OR(IFERROR(ABS(H282),0)&gt;Mapping_Rules!$B$7,IFERROR(J282,0)&gt;Mapping_Rules!$B$8),"High","Medium"))</f>
        <v>High</v>
      </c>
      <c r="N282" s="41" t="str">
        <f t="shared" ca="1" si="14"/>
        <v>Check bank date or posting</v>
      </c>
      <c r="O282" s="23" t="s">
        <v>185</v>
      </c>
      <c r="P282" s="23" t="s">
        <v>95</v>
      </c>
      <c r="Q282" s="23" t="s">
        <v>1689</v>
      </c>
      <c r="R282" s="42"/>
      <c r="S282" s="43">
        <f ca="1">IF(K282="Matched",0,Mapping_Rules!$B$6-B282)</f>
        <v>12</v>
      </c>
    </row>
    <row r="283" spans="1:19">
      <c r="A283" s="44" t="s">
        <v>731</v>
      </c>
      <c r="B283" s="45">
        <v>46043</v>
      </c>
      <c r="C283" s="44" t="s">
        <v>90</v>
      </c>
      <c r="D283" s="44" t="s">
        <v>220</v>
      </c>
      <c r="E283" s="44" t="s">
        <v>732</v>
      </c>
      <c r="F283" s="46">
        <v>-882.76</v>
      </c>
      <c r="G283" s="47" t="str">
        <f ca="1">IFERROR(_xludf.XLOOKUP(E283,Bank_Statement!$D$4:$D$448,Bank_Statement!$G$4:$G$448,""),"")</f>
        <v/>
      </c>
      <c r="H283" s="46" t="str">
        <f t="shared" ca="1" si="12"/>
        <v/>
      </c>
      <c r="I283" s="48" t="str">
        <f ca="1">IFERROR(_xludf.XLOOKUP(E283,Bank_Statement!$D$4:$D$448,Bank_Statement!$B$4:$B$448,""),"")</f>
        <v/>
      </c>
      <c r="J283" s="49" t="str">
        <f t="shared" ca="1" si="13"/>
        <v/>
      </c>
      <c r="K283" s="50" t="str">
        <f ca="1">IF(G283="","Unmatched ERP",IF(AND(ABS(H283)&lt;=Mapping_Rules!$B$4,ABS(J283)&lt;=Mapping_Rules!$B$5),"Matched","Review"))</f>
        <v>Unmatched ERP</v>
      </c>
      <c r="L283" s="50" t="str">
        <f ca="1">IF(K283="Matched","None",IF(G283="","Missing from bank",IF(ABS(H283)&gt;Mapping_Rules!$B$4,"Amount variance","Date variance")))</f>
        <v>Missing from bank</v>
      </c>
      <c r="M283" s="50" t="str">
        <f ca="1">IF(K283="Matched","Low",IF(OR(IFERROR(ABS(H283),0)&gt;Mapping_Rules!$B$7,IFERROR(J283,0)&gt;Mapping_Rules!$B$8),"High","Medium"))</f>
        <v>High</v>
      </c>
      <c r="N283" s="50" t="str">
        <f t="shared" ca="1" si="14"/>
        <v>Check bank date or posting</v>
      </c>
      <c r="O283" s="44" t="s">
        <v>131</v>
      </c>
      <c r="P283" s="44" t="s">
        <v>95</v>
      </c>
      <c r="Q283" s="44" t="s">
        <v>1689</v>
      </c>
      <c r="R283" s="51"/>
      <c r="S283" s="52">
        <f ca="1">IF(K283="Matched",0,Mapping_Rules!$B$6-B283)</f>
        <v>10</v>
      </c>
    </row>
    <row r="284" spans="1:19">
      <c r="A284" s="23" t="s">
        <v>733</v>
      </c>
      <c r="B284" s="31">
        <v>46049</v>
      </c>
      <c r="C284" s="23" t="s">
        <v>99</v>
      </c>
      <c r="D284" s="23" t="s">
        <v>182</v>
      </c>
      <c r="E284" s="23" t="s">
        <v>734</v>
      </c>
      <c r="F284" s="32">
        <v>-16205.23</v>
      </c>
      <c r="G284" s="38" t="str">
        <f ca="1">IFERROR(_xludf.XLOOKUP(E284,Bank_Statement!$D$4:$D$448,Bank_Statement!$G$4:$G$448,""),"")</f>
        <v/>
      </c>
      <c r="H284" s="32" t="str">
        <f t="shared" ca="1" si="12"/>
        <v/>
      </c>
      <c r="I284" s="39" t="str">
        <f ca="1">IFERROR(_xludf.XLOOKUP(E284,Bank_Statement!$D$4:$D$448,Bank_Statement!$B$4:$B$448,""),"")</f>
        <v/>
      </c>
      <c r="J284" s="40" t="str">
        <f t="shared" ca="1" si="13"/>
        <v/>
      </c>
      <c r="K284" s="41" t="str">
        <f ca="1">IF(G284="","Unmatched ERP",IF(AND(ABS(H284)&lt;=Mapping_Rules!$B$4,ABS(J284)&lt;=Mapping_Rules!$B$5),"Matched","Review"))</f>
        <v>Unmatched ERP</v>
      </c>
      <c r="L284" s="41" t="str">
        <f ca="1">IF(K284="Matched","None",IF(G284="","Missing from bank",IF(ABS(H284)&gt;Mapping_Rules!$B$4,"Amount variance","Date variance")))</f>
        <v>Missing from bank</v>
      </c>
      <c r="M284" s="41" t="str">
        <f ca="1">IF(K284="Matched","Low",IF(OR(IFERROR(ABS(H284),0)&gt;Mapping_Rules!$B$7,IFERROR(J284,0)&gt;Mapping_Rules!$B$8),"High","Medium"))</f>
        <v>High</v>
      </c>
      <c r="N284" s="41" t="str">
        <f t="shared" ca="1" si="14"/>
        <v>Check bank date or posting</v>
      </c>
      <c r="O284" s="23" t="s">
        <v>185</v>
      </c>
      <c r="P284" s="23" t="s">
        <v>95</v>
      </c>
      <c r="Q284" s="23" t="s">
        <v>1689</v>
      </c>
      <c r="R284" s="42"/>
      <c r="S284" s="43">
        <f ca="1">IF(K284="Matched",0,Mapping_Rules!$B$6-B284)</f>
        <v>4</v>
      </c>
    </row>
    <row r="285" spans="1:19">
      <c r="A285" s="44" t="s">
        <v>735</v>
      </c>
      <c r="B285" s="45">
        <v>46027</v>
      </c>
      <c r="C285" s="44" t="s">
        <v>72</v>
      </c>
      <c r="D285" s="44" t="s">
        <v>204</v>
      </c>
      <c r="E285" s="44" t="s">
        <v>736</v>
      </c>
      <c r="F285" s="46">
        <v>-2870.78</v>
      </c>
      <c r="G285" s="47" t="str">
        <f ca="1">IFERROR(_xludf.XLOOKUP(E285,Bank_Statement!$D$4:$D$448,Bank_Statement!$G$4:$G$448,""),"")</f>
        <v/>
      </c>
      <c r="H285" s="46" t="str">
        <f t="shared" ca="1" si="12"/>
        <v/>
      </c>
      <c r="I285" s="48" t="str">
        <f ca="1">IFERROR(_xludf.XLOOKUP(E285,Bank_Statement!$D$4:$D$448,Bank_Statement!$B$4:$B$448,""),"")</f>
        <v/>
      </c>
      <c r="J285" s="49" t="str">
        <f t="shared" ca="1" si="13"/>
        <v/>
      </c>
      <c r="K285" s="50" t="str">
        <f ca="1">IF(G285="","Unmatched ERP",IF(AND(ABS(H285)&lt;=Mapping_Rules!$B$4,ABS(J285)&lt;=Mapping_Rules!$B$5),"Matched","Review"))</f>
        <v>Unmatched ERP</v>
      </c>
      <c r="L285" s="50" t="str">
        <f ca="1">IF(K285="Matched","None",IF(G285="","Missing from bank",IF(ABS(H285)&gt;Mapping_Rules!$B$4,"Amount variance","Date variance")))</f>
        <v>Missing from bank</v>
      </c>
      <c r="M285" s="50" t="str">
        <f ca="1">IF(K285="Matched","Low",IF(OR(IFERROR(ABS(H285),0)&gt;Mapping_Rules!$B$7,IFERROR(J285,0)&gt;Mapping_Rules!$B$8),"High","Medium"))</f>
        <v>High</v>
      </c>
      <c r="N285" s="50" t="str">
        <f t="shared" ca="1" si="14"/>
        <v>Check bank date or posting</v>
      </c>
      <c r="O285" s="44" t="s">
        <v>131</v>
      </c>
      <c r="P285" s="44" t="s">
        <v>77</v>
      </c>
      <c r="Q285" s="44" t="s">
        <v>1689</v>
      </c>
      <c r="R285" s="51"/>
      <c r="S285" s="52">
        <f ca="1">IF(K285="Matched",0,Mapping_Rules!$B$6-B285)</f>
        <v>26</v>
      </c>
    </row>
    <row r="286" spans="1:19">
      <c r="A286" s="23" t="s">
        <v>737</v>
      </c>
      <c r="B286" s="31">
        <v>46023</v>
      </c>
      <c r="C286" s="23" t="s">
        <v>72</v>
      </c>
      <c r="D286" s="23" t="s">
        <v>204</v>
      </c>
      <c r="E286" s="23" t="s">
        <v>738</v>
      </c>
      <c r="F286" s="32">
        <v>-2597.39</v>
      </c>
      <c r="G286" s="38" t="str">
        <f ca="1">IFERROR(_xludf.XLOOKUP(E286,Bank_Statement!$D$4:$D$448,Bank_Statement!$G$4:$G$448,""),"")</f>
        <v/>
      </c>
      <c r="H286" s="32" t="str">
        <f t="shared" ca="1" si="12"/>
        <v/>
      </c>
      <c r="I286" s="39" t="str">
        <f ca="1">IFERROR(_xludf.XLOOKUP(E286,Bank_Statement!$D$4:$D$448,Bank_Statement!$B$4:$B$448,""),"")</f>
        <v/>
      </c>
      <c r="J286" s="40" t="str">
        <f t="shared" ca="1" si="13"/>
        <v/>
      </c>
      <c r="K286" s="41" t="str">
        <f ca="1">IF(G286="","Unmatched ERP",IF(AND(ABS(H286)&lt;=Mapping_Rules!$B$4,ABS(J286)&lt;=Mapping_Rules!$B$5),"Matched","Review"))</f>
        <v>Unmatched ERP</v>
      </c>
      <c r="L286" s="41" t="str">
        <f ca="1">IF(K286="Matched","None",IF(G286="","Missing from bank",IF(ABS(H286)&gt;Mapping_Rules!$B$4,"Amount variance","Date variance")))</f>
        <v>Missing from bank</v>
      </c>
      <c r="M286" s="41" t="str">
        <f ca="1">IF(K286="Matched","Low",IF(OR(IFERROR(ABS(H286),0)&gt;Mapping_Rules!$B$7,IFERROR(J286,0)&gt;Mapping_Rules!$B$8),"High","Medium"))</f>
        <v>High</v>
      </c>
      <c r="N286" s="41" t="str">
        <f t="shared" ca="1" si="14"/>
        <v>Check bank date or posting</v>
      </c>
      <c r="O286" s="23" t="s">
        <v>131</v>
      </c>
      <c r="P286" s="23" t="s">
        <v>77</v>
      </c>
      <c r="Q286" s="23" t="s">
        <v>1689</v>
      </c>
      <c r="R286" s="42"/>
      <c r="S286" s="43">
        <f ca="1">IF(K286="Matched",0,Mapping_Rules!$B$6-B286)</f>
        <v>30</v>
      </c>
    </row>
    <row r="287" spans="1:19">
      <c r="A287" s="44" t="s">
        <v>739</v>
      </c>
      <c r="B287" s="45">
        <v>46048</v>
      </c>
      <c r="C287" s="44" t="s">
        <v>107</v>
      </c>
      <c r="D287" s="44" t="s">
        <v>191</v>
      </c>
      <c r="E287" s="44" t="s">
        <v>740</v>
      </c>
      <c r="F287" s="46">
        <v>-25.62</v>
      </c>
      <c r="G287" s="47" t="str">
        <f ca="1">IFERROR(_xludf.XLOOKUP(E287,Bank_Statement!$D$4:$D$448,Bank_Statement!$G$4:$G$448,""),"")</f>
        <v/>
      </c>
      <c r="H287" s="46" t="str">
        <f t="shared" ca="1" si="12"/>
        <v/>
      </c>
      <c r="I287" s="48" t="str">
        <f ca="1">IFERROR(_xludf.XLOOKUP(E287,Bank_Statement!$D$4:$D$448,Bank_Statement!$B$4:$B$448,""),"")</f>
        <v/>
      </c>
      <c r="J287" s="49" t="str">
        <f t="shared" ca="1" si="13"/>
        <v/>
      </c>
      <c r="K287" s="50" t="str">
        <f ca="1">IF(G287="","Unmatched ERP",IF(AND(ABS(H287)&lt;=Mapping_Rules!$B$4,ABS(J287)&lt;=Mapping_Rules!$B$5),"Matched","Review"))</f>
        <v>Unmatched ERP</v>
      </c>
      <c r="L287" s="50" t="str">
        <f ca="1">IF(K287="Matched","None",IF(G287="","Missing from bank",IF(ABS(H287)&gt;Mapping_Rules!$B$4,"Amount variance","Date variance")))</f>
        <v>Missing from bank</v>
      </c>
      <c r="M287" s="50" t="str">
        <f ca="1">IF(K287="Matched","Low",IF(OR(IFERROR(ABS(H287),0)&gt;Mapping_Rules!$B$7,IFERROR(J287,0)&gt;Mapping_Rules!$B$8),"High","Medium"))</f>
        <v>High</v>
      </c>
      <c r="N287" s="50" t="str">
        <f t="shared" ca="1" si="14"/>
        <v>Check bank date or posting</v>
      </c>
      <c r="O287" s="44" t="s">
        <v>194</v>
      </c>
      <c r="P287" s="44" t="s">
        <v>95</v>
      </c>
      <c r="Q287" s="44" t="s">
        <v>1689</v>
      </c>
      <c r="R287" s="51"/>
      <c r="S287" s="52">
        <f ca="1">IF(K287="Matched",0,Mapping_Rules!$B$6-B287)</f>
        <v>5</v>
      </c>
    </row>
    <row r="288" spans="1:19">
      <c r="A288" s="23" t="s">
        <v>741</v>
      </c>
      <c r="B288" s="31">
        <v>46031</v>
      </c>
      <c r="C288" s="23" t="s">
        <v>99</v>
      </c>
      <c r="D288" s="23" t="s">
        <v>182</v>
      </c>
      <c r="E288" s="23" t="s">
        <v>742</v>
      </c>
      <c r="F288" s="32">
        <v>-6376.21</v>
      </c>
      <c r="G288" s="38" t="str">
        <f ca="1">IFERROR(_xludf.XLOOKUP(E288,Bank_Statement!$D$4:$D$448,Bank_Statement!$G$4:$G$448,""),"")</f>
        <v/>
      </c>
      <c r="H288" s="32" t="str">
        <f t="shared" ca="1" si="12"/>
        <v/>
      </c>
      <c r="I288" s="39" t="str">
        <f ca="1">IFERROR(_xludf.XLOOKUP(E288,Bank_Statement!$D$4:$D$448,Bank_Statement!$B$4:$B$448,""),"")</f>
        <v/>
      </c>
      <c r="J288" s="40" t="str">
        <f t="shared" ca="1" si="13"/>
        <v/>
      </c>
      <c r="K288" s="41" t="str">
        <f ca="1">IF(G288="","Unmatched ERP",IF(AND(ABS(H288)&lt;=Mapping_Rules!$B$4,ABS(J288)&lt;=Mapping_Rules!$B$5),"Matched","Review"))</f>
        <v>Unmatched ERP</v>
      </c>
      <c r="L288" s="41" t="str">
        <f ca="1">IF(K288="Matched","None",IF(G288="","Missing from bank",IF(ABS(H288)&gt;Mapping_Rules!$B$4,"Amount variance","Date variance")))</f>
        <v>Missing from bank</v>
      </c>
      <c r="M288" s="41" t="str">
        <f ca="1">IF(K288="Matched","Low",IF(OR(IFERROR(ABS(H288),0)&gt;Mapping_Rules!$B$7,IFERROR(J288,0)&gt;Mapping_Rules!$B$8),"High","Medium"))</f>
        <v>High</v>
      </c>
      <c r="N288" s="41" t="str">
        <f t="shared" ca="1" si="14"/>
        <v>Check bank date or posting</v>
      </c>
      <c r="O288" s="23" t="s">
        <v>185</v>
      </c>
      <c r="P288" s="23" t="s">
        <v>95</v>
      </c>
      <c r="Q288" s="23" t="s">
        <v>1689</v>
      </c>
      <c r="R288" s="42"/>
      <c r="S288" s="43">
        <f ca="1">IF(K288="Matched",0,Mapping_Rules!$B$6-B288)</f>
        <v>22</v>
      </c>
    </row>
    <row r="289" spans="1:19">
      <c r="A289" s="44" t="s">
        <v>743</v>
      </c>
      <c r="B289" s="45">
        <v>46030</v>
      </c>
      <c r="C289" s="44" t="s">
        <v>107</v>
      </c>
      <c r="D289" s="44" t="s">
        <v>191</v>
      </c>
      <c r="E289" s="44" t="s">
        <v>744</v>
      </c>
      <c r="F289" s="46">
        <v>-30.97</v>
      </c>
      <c r="G289" s="47" t="str">
        <f ca="1">IFERROR(_xludf.XLOOKUP(E289,Bank_Statement!$D$4:$D$448,Bank_Statement!$G$4:$G$448,""),"")</f>
        <v/>
      </c>
      <c r="H289" s="46" t="str">
        <f t="shared" ca="1" si="12"/>
        <v/>
      </c>
      <c r="I289" s="48" t="str">
        <f ca="1">IFERROR(_xludf.XLOOKUP(E289,Bank_Statement!$D$4:$D$448,Bank_Statement!$B$4:$B$448,""),"")</f>
        <v/>
      </c>
      <c r="J289" s="49" t="str">
        <f t="shared" ca="1" si="13"/>
        <v/>
      </c>
      <c r="K289" s="50" t="str">
        <f ca="1">IF(G289="","Unmatched ERP",IF(AND(ABS(H289)&lt;=Mapping_Rules!$B$4,ABS(J289)&lt;=Mapping_Rules!$B$5),"Matched","Review"))</f>
        <v>Unmatched ERP</v>
      </c>
      <c r="L289" s="50" t="str">
        <f ca="1">IF(K289="Matched","None",IF(G289="","Missing from bank",IF(ABS(H289)&gt;Mapping_Rules!$B$4,"Amount variance","Date variance")))</f>
        <v>Missing from bank</v>
      </c>
      <c r="M289" s="50" t="str">
        <f ca="1">IF(K289="Matched","Low",IF(OR(IFERROR(ABS(H289),0)&gt;Mapping_Rules!$B$7,IFERROR(J289,0)&gt;Mapping_Rules!$B$8),"High","Medium"))</f>
        <v>High</v>
      </c>
      <c r="N289" s="50" t="str">
        <f t="shared" ca="1" si="14"/>
        <v>Check bank date or posting</v>
      </c>
      <c r="O289" s="44" t="s">
        <v>194</v>
      </c>
      <c r="P289" s="44" t="s">
        <v>95</v>
      </c>
      <c r="Q289" s="44" t="s">
        <v>1689</v>
      </c>
      <c r="R289" s="51"/>
      <c r="S289" s="52">
        <f ca="1">IF(K289="Matched",0,Mapping_Rules!$B$6-B289)</f>
        <v>23</v>
      </c>
    </row>
    <row r="290" spans="1:19">
      <c r="A290" s="23" t="s">
        <v>745</v>
      </c>
      <c r="B290" s="31">
        <v>46038</v>
      </c>
      <c r="C290" s="23" t="s">
        <v>72</v>
      </c>
      <c r="D290" s="23" t="s">
        <v>144</v>
      </c>
      <c r="E290" s="23" t="s">
        <v>746</v>
      </c>
      <c r="F290" s="32">
        <v>-4381.41</v>
      </c>
      <c r="G290" s="38" t="str">
        <f ca="1">IFERROR(_xludf.XLOOKUP(E290,Bank_Statement!$D$4:$D$448,Bank_Statement!$G$4:$G$448,""),"")</f>
        <v/>
      </c>
      <c r="H290" s="32" t="str">
        <f t="shared" ca="1" si="12"/>
        <v/>
      </c>
      <c r="I290" s="39" t="str">
        <f ca="1">IFERROR(_xludf.XLOOKUP(E290,Bank_Statement!$D$4:$D$448,Bank_Statement!$B$4:$B$448,""),"")</f>
        <v/>
      </c>
      <c r="J290" s="40" t="str">
        <f t="shared" ca="1" si="13"/>
        <v/>
      </c>
      <c r="K290" s="41" t="str">
        <f ca="1">IF(G290="","Unmatched ERP",IF(AND(ABS(H290)&lt;=Mapping_Rules!$B$4,ABS(J290)&lt;=Mapping_Rules!$B$5),"Matched","Review"))</f>
        <v>Unmatched ERP</v>
      </c>
      <c r="L290" s="41" t="str">
        <f ca="1">IF(K290="Matched","None",IF(G290="","Missing from bank",IF(ABS(H290)&gt;Mapping_Rules!$B$4,"Amount variance","Date variance")))</f>
        <v>Missing from bank</v>
      </c>
      <c r="M290" s="41" t="str">
        <f ca="1">IF(K290="Matched","Low",IF(OR(IFERROR(ABS(H290),0)&gt;Mapping_Rules!$B$7,IFERROR(J290,0)&gt;Mapping_Rules!$B$8),"High","Medium"))</f>
        <v>High</v>
      </c>
      <c r="N290" s="41" t="str">
        <f t="shared" ca="1" si="14"/>
        <v>Check bank date or posting</v>
      </c>
      <c r="O290" s="23" t="s">
        <v>131</v>
      </c>
      <c r="P290" s="23" t="s">
        <v>77</v>
      </c>
      <c r="Q290" s="23" t="s">
        <v>1689</v>
      </c>
      <c r="R290" s="42"/>
      <c r="S290" s="43">
        <f ca="1">IF(K290="Matched",0,Mapping_Rules!$B$6-B290)</f>
        <v>15</v>
      </c>
    </row>
    <row r="291" spans="1:19">
      <c r="A291" s="44" t="s">
        <v>747</v>
      </c>
      <c r="B291" s="45">
        <v>46043</v>
      </c>
      <c r="C291" s="44" t="s">
        <v>90</v>
      </c>
      <c r="D291" s="44" t="s">
        <v>214</v>
      </c>
      <c r="E291" s="44" t="s">
        <v>748</v>
      </c>
      <c r="F291" s="46">
        <v>-4887.78</v>
      </c>
      <c r="G291" s="47" t="str">
        <f ca="1">IFERROR(_xludf.XLOOKUP(E291,Bank_Statement!$D$4:$D$448,Bank_Statement!$G$4:$G$448,""),"")</f>
        <v/>
      </c>
      <c r="H291" s="46" t="str">
        <f t="shared" ca="1" si="12"/>
        <v/>
      </c>
      <c r="I291" s="48" t="str">
        <f ca="1">IFERROR(_xludf.XLOOKUP(E291,Bank_Statement!$D$4:$D$448,Bank_Statement!$B$4:$B$448,""),"")</f>
        <v/>
      </c>
      <c r="J291" s="49" t="str">
        <f t="shared" ca="1" si="13"/>
        <v/>
      </c>
      <c r="K291" s="50" t="str">
        <f ca="1">IF(G291="","Unmatched ERP",IF(AND(ABS(H291)&lt;=Mapping_Rules!$B$4,ABS(J291)&lt;=Mapping_Rules!$B$5),"Matched","Review"))</f>
        <v>Unmatched ERP</v>
      </c>
      <c r="L291" s="50" t="str">
        <f ca="1">IF(K291="Matched","None",IF(G291="","Missing from bank",IF(ABS(H291)&gt;Mapping_Rules!$B$4,"Amount variance","Date variance")))</f>
        <v>Missing from bank</v>
      </c>
      <c r="M291" s="50" t="str">
        <f ca="1">IF(K291="Matched","Low",IF(OR(IFERROR(ABS(H291),0)&gt;Mapping_Rules!$B$7,IFERROR(J291,0)&gt;Mapping_Rules!$B$8),"High","Medium"))</f>
        <v>High</v>
      </c>
      <c r="N291" s="50" t="str">
        <f t="shared" ca="1" si="14"/>
        <v>Check bank date or posting</v>
      </c>
      <c r="O291" s="44" t="s">
        <v>242</v>
      </c>
      <c r="P291" s="44" t="s">
        <v>95</v>
      </c>
      <c r="Q291" s="44" t="s">
        <v>1689</v>
      </c>
      <c r="R291" s="51"/>
      <c r="S291" s="52">
        <f ca="1">IF(K291="Matched",0,Mapping_Rules!$B$6-B291)</f>
        <v>10</v>
      </c>
    </row>
    <row r="292" spans="1:19">
      <c r="A292" s="23" t="s">
        <v>749</v>
      </c>
      <c r="B292" s="31">
        <v>46045</v>
      </c>
      <c r="C292" s="23" t="s">
        <v>99</v>
      </c>
      <c r="D292" s="23" t="s">
        <v>182</v>
      </c>
      <c r="E292" s="23" t="s">
        <v>750</v>
      </c>
      <c r="F292" s="32">
        <v>-9394.75</v>
      </c>
      <c r="G292" s="38" t="str">
        <f ca="1">IFERROR(_xludf.XLOOKUP(E292,Bank_Statement!$D$4:$D$448,Bank_Statement!$G$4:$G$448,""),"")</f>
        <v/>
      </c>
      <c r="H292" s="32" t="str">
        <f t="shared" ca="1" si="12"/>
        <v/>
      </c>
      <c r="I292" s="39" t="str">
        <f ca="1">IFERROR(_xludf.XLOOKUP(E292,Bank_Statement!$D$4:$D$448,Bank_Statement!$B$4:$B$448,""),"")</f>
        <v/>
      </c>
      <c r="J292" s="40" t="str">
        <f t="shared" ca="1" si="13"/>
        <v/>
      </c>
      <c r="K292" s="41" t="str">
        <f ca="1">IF(G292="","Unmatched ERP",IF(AND(ABS(H292)&lt;=Mapping_Rules!$B$4,ABS(J292)&lt;=Mapping_Rules!$B$5),"Matched","Review"))</f>
        <v>Unmatched ERP</v>
      </c>
      <c r="L292" s="41" t="str">
        <f ca="1">IF(K292="Matched","None",IF(G292="","Missing from bank",IF(ABS(H292)&gt;Mapping_Rules!$B$4,"Amount variance","Date variance")))</f>
        <v>Missing from bank</v>
      </c>
      <c r="M292" s="41" t="str">
        <f ca="1">IF(K292="Matched","Low",IF(OR(IFERROR(ABS(H292),0)&gt;Mapping_Rules!$B$7,IFERROR(J292,0)&gt;Mapping_Rules!$B$8),"High","Medium"))</f>
        <v>High</v>
      </c>
      <c r="N292" s="41" t="str">
        <f t="shared" ca="1" si="14"/>
        <v>Check bank date or posting</v>
      </c>
      <c r="O292" s="23" t="s">
        <v>185</v>
      </c>
      <c r="P292" s="23" t="s">
        <v>95</v>
      </c>
      <c r="Q292" s="23" t="s">
        <v>1689</v>
      </c>
      <c r="R292" s="42"/>
      <c r="S292" s="43">
        <f ca="1">IF(K292="Matched",0,Mapping_Rules!$B$6-B292)</f>
        <v>8</v>
      </c>
    </row>
    <row r="293" spans="1:19">
      <c r="A293" s="44" t="s">
        <v>751</v>
      </c>
      <c r="B293" s="45">
        <v>46041</v>
      </c>
      <c r="C293" s="44" t="s">
        <v>81</v>
      </c>
      <c r="D293" s="44" t="s">
        <v>173</v>
      </c>
      <c r="E293" s="44" t="s">
        <v>752</v>
      </c>
      <c r="F293" s="46">
        <v>7905.2</v>
      </c>
      <c r="G293" s="47" t="str">
        <f ca="1">IFERROR(_xludf.XLOOKUP(E293,Bank_Statement!$D$4:$D$448,Bank_Statement!$G$4:$G$448,""),"")</f>
        <v/>
      </c>
      <c r="H293" s="46" t="str">
        <f t="shared" ca="1" si="12"/>
        <v/>
      </c>
      <c r="I293" s="48" t="str">
        <f ca="1">IFERROR(_xludf.XLOOKUP(E293,Bank_Statement!$D$4:$D$448,Bank_Statement!$B$4:$B$448,""),"")</f>
        <v/>
      </c>
      <c r="J293" s="49" t="str">
        <f t="shared" ca="1" si="13"/>
        <v/>
      </c>
      <c r="K293" s="50" t="str">
        <f ca="1">IF(G293="","Unmatched ERP",IF(AND(ABS(H293)&lt;=Mapping_Rules!$B$4,ABS(J293)&lt;=Mapping_Rules!$B$5),"Matched","Review"))</f>
        <v>Unmatched ERP</v>
      </c>
      <c r="L293" s="50" t="str">
        <f ca="1">IF(K293="Matched","None",IF(G293="","Missing from bank",IF(ABS(H293)&gt;Mapping_Rules!$B$4,"Amount variance","Date variance")))</f>
        <v>Missing from bank</v>
      </c>
      <c r="M293" s="50" t="str">
        <f ca="1">IF(K293="Matched","Low",IF(OR(IFERROR(ABS(H293),0)&gt;Mapping_Rules!$B$7,IFERROR(J293,0)&gt;Mapping_Rules!$B$8),"High","Medium"))</f>
        <v>High</v>
      </c>
      <c r="N293" s="50" t="str">
        <f t="shared" ca="1" si="14"/>
        <v>Check bank date or posting</v>
      </c>
      <c r="O293" s="44" t="s">
        <v>158</v>
      </c>
      <c r="P293" s="44" t="s">
        <v>86</v>
      </c>
      <c r="Q293" s="44" t="s">
        <v>1689</v>
      </c>
      <c r="R293" s="51"/>
      <c r="S293" s="52">
        <f ca="1">IF(K293="Matched",0,Mapping_Rules!$B$6-B293)</f>
        <v>12</v>
      </c>
    </row>
    <row r="294" spans="1:19">
      <c r="A294" s="23" t="s">
        <v>753</v>
      </c>
      <c r="B294" s="31">
        <v>46041</v>
      </c>
      <c r="C294" s="23" t="s">
        <v>72</v>
      </c>
      <c r="D294" s="23" t="s">
        <v>139</v>
      </c>
      <c r="E294" s="23" t="s">
        <v>754</v>
      </c>
      <c r="F294" s="32">
        <v>-4441.79</v>
      </c>
      <c r="G294" s="38" t="str">
        <f ca="1">IFERROR(_xludf.XLOOKUP(E294,Bank_Statement!$D$4:$D$448,Bank_Statement!$G$4:$G$448,""),"")</f>
        <v/>
      </c>
      <c r="H294" s="32" t="str">
        <f t="shared" ca="1" si="12"/>
        <v/>
      </c>
      <c r="I294" s="39" t="str">
        <f ca="1">IFERROR(_xludf.XLOOKUP(E294,Bank_Statement!$D$4:$D$448,Bank_Statement!$B$4:$B$448,""),"")</f>
        <v/>
      </c>
      <c r="J294" s="40" t="str">
        <f t="shared" ca="1" si="13"/>
        <v/>
      </c>
      <c r="K294" s="41" t="str">
        <f ca="1">IF(G294="","Unmatched ERP",IF(AND(ABS(H294)&lt;=Mapping_Rules!$B$4,ABS(J294)&lt;=Mapping_Rules!$B$5),"Matched","Review"))</f>
        <v>Unmatched ERP</v>
      </c>
      <c r="L294" s="41" t="str">
        <f ca="1">IF(K294="Matched","None",IF(G294="","Missing from bank",IF(ABS(H294)&gt;Mapping_Rules!$B$4,"Amount variance","Date variance")))</f>
        <v>Missing from bank</v>
      </c>
      <c r="M294" s="41" t="str">
        <f ca="1">IF(K294="Matched","Low",IF(OR(IFERROR(ABS(H294),0)&gt;Mapping_Rules!$B$7,IFERROR(J294,0)&gt;Mapping_Rules!$B$8),"High","Medium"))</f>
        <v>High</v>
      </c>
      <c r="N294" s="41" t="str">
        <f t="shared" ca="1" si="14"/>
        <v>Check bank date or posting</v>
      </c>
      <c r="O294" s="23" t="s">
        <v>131</v>
      </c>
      <c r="P294" s="23" t="s">
        <v>77</v>
      </c>
      <c r="Q294" s="23" t="s">
        <v>1689</v>
      </c>
      <c r="R294" s="42"/>
      <c r="S294" s="43">
        <f ca="1">IF(K294="Matched",0,Mapping_Rules!$B$6-B294)</f>
        <v>12</v>
      </c>
    </row>
    <row r="295" spans="1:19">
      <c r="A295" s="44" t="s">
        <v>755</v>
      </c>
      <c r="B295" s="45">
        <v>46050</v>
      </c>
      <c r="C295" s="44" t="s">
        <v>81</v>
      </c>
      <c r="D295" s="44" t="s">
        <v>167</v>
      </c>
      <c r="E295" s="44" t="s">
        <v>756</v>
      </c>
      <c r="F295" s="46">
        <v>2919.94</v>
      </c>
      <c r="G295" s="47" t="str">
        <f ca="1">IFERROR(_xludf.XLOOKUP(E295,Bank_Statement!$D$4:$D$448,Bank_Statement!$G$4:$G$448,""),"")</f>
        <v/>
      </c>
      <c r="H295" s="46" t="str">
        <f t="shared" ca="1" si="12"/>
        <v/>
      </c>
      <c r="I295" s="48" t="str">
        <f ca="1">IFERROR(_xludf.XLOOKUP(E295,Bank_Statement!$D$4:$D$448,Bank_Statement!$B$4:$B$448,""),"")</f>
        <v/>
      </c>
      <c r="J295" s="49" t="str">
        <f t="shared" ca="1" si="13"/>
        <v/>
      </c>
      <c r="K295" s="50" t="str">
        <f ca="1">IF(G295="","Unmatched ERP",IF(AND(ABS(H295)&lt;=Mapping_Rules!$B$4,ABS(J295)&lt;=Mapping_Rules!$B$5),"Matched","Review"))</f>
        <v>Unmatched ERP</v>
      </c>
      <c r="L295" s="50" t="str">
        <f ca="1">IF(K295="Matched","None",IF(G295="","Missing from bank",IF(ABS(H295)&gt;Mapping_Rules!$B$4,"Amount variance","Date variance")))</f>
        <v>Missing from bank</v>
      </c>
      <c r="M295" s="50" t="str">
        <f ca="1">IF(K295="Matched","Low",IF(OR(IFERROR(ABS(H295),0)&gt;Mapping_Rules!$B$7,IFERROR(J295,0)&gt;Mapping_Rules!$B$8),"High","Medium"))</f>
        <v>High</v>
      </c>
      <c r="N295" s="50" t="str">
        <f t="shared" ca="1" si="14"/>
        <v>Check bank date or posting</v>
      </c>
      <c r="O295" s="44" t="s">
        <v>158</v>
      </c>
      <c r="P295" s="44" t="s">
        <v>86</v>
      </c>
      <c r="Q295" s="44" t="s">
        <v>1689</v>
      </c>
      <c r="R295" s="51"/>
      <c r="S295" s="52">
        <f ca="1">IF(K295="Matched",0,Mapping_Rules!$B$6-B295)</f>
        <v>3</v>
      </c>
    </row>
    <row r="296" spans="1:19">
      <c r="A296" s="23" t="s">
        <v>757</v>
      </c>
      <c r="B296" s="31">
        <v>46030</v>
      </c>
      <c r="C296" s="23" t="s">
        <v>99</v>
      </c>
      <c r="D296" s="23" t="s">
        <v>182</v>
      </c>
      <c r="E296" s="23" t="s">
        <v>758</v>
      </c>
      <c r="F296" s="32">
        <v>-7438.59</v>
      </c>
      <c r="G296" s="38" t="str">
        <f ca="1">IFERROR(_xludf.XLOOKUP(E296,Bank_Statement!$D$4:$D$448,Bank_Statement!$G$4:$G$448,""),"")</f>
        <v/>
      </c>
      <c r="H296" s="32" t="str">
        <f t="shared" ca="1" si="12"/>
        <v/>
      </c>
      <c r="I296" s="39" t="str">
        <f ca="1">IFERROR(_xludf.XLOOKUP(E296,Bank_Statement!$D$4:$D$448,Bank_Statement!$B$4:$B$448,""),"")</f>
        <v/>
      </c>
      <c r="J296" s="40" t="str">
        <f t="shared" ca="1" si="13"/>
        <v/>
      </c>
      <c r="K296" s="41" t="str">
        <f ca="1">IF(G296="","Unmatched ERP",IF(AND(ABS(H296)&lt;=Mapping_Rules!$B$4,ABS(J296)&lt;=Mapping_Rules!$B$5),"Matched","Review"))</f>
        <v>Unmatched ERP</v>
      </c>
      <c r="L296" s="41" t="str">
        <f ca="1">IF(K296="Matched","None",IF(G296="","Missing from bank",IF(ABS(H296)&gt;Mapping_Rules!$B$4,"Amount variance","Date variance")))</f>
        <v>Missing from bank</v>
      </c>
      <c r="M296" s="41" t="str">
        <f ca="1">IF(K296="Matched","Low",IF(OR(IFERROR(ABS(H296),0)&gt;Mapping_Rules!$B$7,IFERROR(J296,0)&gt;Mapping_Rules!$B$8),"High","Medium"))</f>
        <v>High</v>
      </c>
      <c r="N296" s="41" t="str">
        <f t="shared" ca="1" si="14"/>
        <v>Check bank date or posting</v>
      </c>
      <c r="O296" s="23" t="s">
        <v>185</v>
      </c>
      <c r="P296" s="23" t="s">
        <v>95</v>
      </c>
      <c r="Q296" s="23" t="s">
        <v>1689</v>
      </c>
      <c r="R296" s="42"/>
      <c r="S296" s="43">
        <f ca="1">IF(K296="Matched",0,Mapping_Rules!$B$6-B296)</f>
        <v>23</v>
      </c>
    </row>
    <row r="297" spans="1:19">
      <c r="A297" s="44" t="s">
        <v>759</v>
      </c>
      <c r="B297" s="45">
        <v>46048</v>
      </c>
      <c r="C297" s="44" t="s">
        <v>107</v>
      </c>
      <c r="D297" s="44" t="s">
        <v>191</v>
      </c>
      <c r="E297" s="44" t="s">
        <v>760</v>
      </c>
      <c r="F297" s="46">
        <v>-61.42</v>
      </c>
      <c r="G297" s="47" t="str">
        <f ca="1">IFERROR(_xludf.XLOOKUP(E297,Bank_Statement!$D$4:$D$448,Bank_Statement!$G$4:$G$448,""),"")</f>
        <v/>
      </c>
      <c r="H297" s="46" t="str">
        <f t="shared" ca="1" si="12"/>
        <v/>
      </c>
      <c r="I297" s="48" t="str">
        <f ca="1">IFERROR(_xludf.XLOOKUP(E297,Bank_Statement!$D$4:$D$448,Bank_Statement!$B$4:$B$448,""),"")</f>
        <v/>
      </c>
      <c r="J297" s="49" t="str">
        <f t="shared" ca="1" si="13"/>
        <v/>
      </c>
      <c r="K297" s="50" t="str">
        <f ca="1">IF(G297="","Unmatched ERP",IF(AND(ABS(H297)&lt;=Mapping_Rules!$B$4,ABS(J297)&lt;=Mapping_Rules!$B$5),"Matched","Review"))</f>
        <v>Unmatched ERP</v>
      </c>
      <c r="L297" s="50" t="str">
        <f ca="1">IF(K297="Matched","None",IF(G297="","Missing from bank",IF(ABS(H297)&gt;Mapping_Rules!$B$4,"Amount variance","Date variance")))</f>
        <v>Missing from bank</v>
      </c>
      <c r="M297" s="50" t="str">
        <f ca="1">IF(K297="Matched","Low",IF(OR(IFERROR(ABS(H297),0)&gt;Mapping_Rules!$B$7,IFERROR(J297,0)&gt;Mapping_Rules!$B$8),"High","Medium"))</f>
        <v>High</v>
      </c>
      <c r="N297" s="50" t="str">
        <f t="shared" ca="1" si="14"/>
        <v>Check bank date or posting</v>
      </c>
      <c r="O297" s="44" t="s">
        <v>194</v>
      </c>
      <c r="P297" s="44" t="s">
        <v>95</v>
      </c>
      <c r="Q297" s="44" t="s">
        <v>1689</v>
      </c>
      <c r="R297" s="51"/>
      <c r="S297" s="52">
        <f ca="1">IF(K297="Matched",0,Mapping_Rules!$B$6-B297)</f>
        <v>5</v>
      </c>
    </row>
    <row r="298" spans="1:19">
      <c r="A298" s="23" t="s">
        <v>761</v>
      </c>
      <c r="B298" s="31">
        <v>46036</v>
      </c>
      <c r="C298" s="23" t="s">
        <v>72</v>
      </c>
      <c r="D298" s="23" t="s">
        <v>204</v>
      </c>
      <c r="E298" s="23" t="s">
        <v>762</v>
      </c>
      <c r="F298" s="32">
        <v>-4123.3100000000004</v>
      </c>
      <c r="G298" s="38" t="str">
        <f ca="1">IFERROR(_xludf.XLOOKUP(E298,Bank_Statement!$D$4:$D$448,Bank_Statement!$G$4:$G$448,""),"")</f>
        <v/>
      </c>
      <c r="H298" s="32" t="str">
        <f t="shared" ca="1" si="12"/>
        <v/>
      </c>
      <c r="I298" s="39" t="str">
        <f ca="1">IFERROR(_xludf.XLOOKUP(E298,Bank_Statement!$D$4:$D$448,Bank_Statement!$B$4:$B$448,""),"")</f>
        <v/>
      </c>
      <c r="J298" s="40" t="str">
        <f t="shared" ca="1" si="13"/>
        <v/>
      </c>
      <c r="K298" s="41" t="str">
        <f ca="1">IF(G298="","Unmatched ERP",IF(AND(ABS(H298)&lt;=Mapping_Rules!$B$4,ABS(J298)&lt;=Mapping_Rules!$B$5),"Matched","Review"))</f>
        <v>Unmatched ERP</v>
      </c>
      <c r="L298" s="41" t="str">
        <f ca="1">IF(K298="Matched","None",IF(G298="","Missing from bank",IF(ABS(H298)&gt;Mapping_Rules!$B$4,"Amount variance","Date variance")))</f>
        <v>Missing from bank</v>
      </c>
      <c r="M298" s="41" t="str">
        <f ca="1">IF(K298="Matched","Low",IF(OR(IFERROR(ABS(H298),0)&gt;Mapping_Rules!$B$7,IFERROR(J298,0)&gt;Mapping_Rules!$B$8),"High","Medium"))</f>
        <v>High</v>
      </c>
      <c r="N298" s="41" t="str">
        <f t="shared" ca="1" si="14"/>
        <v>Check bank date or posting</v>
      </c>
      <c r="O298" s="23" t="s">
        <v>131</v>
      </c>
      <c r="P298" s="23" t="s">
        <v>77</v>
      </c>
      <c r="Q298" s="23" t="s">
        <v>1689</v>
      </c>
      <c r="R298" s="42"/>
      <c r="S298" s="43">
        <f ca="1">IF(K298="Matched",0,Mapping_Rules!$B$6-B298)</f>
        <v>17</v>
      </c>
    </row>
    <row r="299" spans="1:19">
      <c r="A299" s="44" t="s">
        <v>763</v>
      </c>
      <c r="B299" s="45">
        <v>46025</v>
      </c>
      <c r="C299" s="44" t="s">
        <v>72</v>
      </c>
      <c r="D299" s="44" t="s">
        <v>150</v>
      </c>
      <c r="E299" s="44" t="s">
        <v>764</v>
      </c>
      <c r="F299" s="46">
        <v>-4435.46</v>
      </c>
      <c r="G299" s="47" t="str">
        <f ca="1">IFERROR(_xludf.XLOOKUP(E299,Bank_Statement!$D$4:$D$448,Bank_Statement!$G$4:$G$448,""),"")</f>
        <v/>
      </c>
      <c r="H299" s="46" t="str">
        <f t="shared" ca="1" si="12"/>
        <v/>
      </c>
      <c r="I299" s="48" t="str">
        <f ca="1">IFERROR(_xludf.XLOOKUP(E299,Bank_Statement!$D$4:$D$448,Bank_Statement!$B$4:$B$448,""),"")</f>
        <v/>
      </c>
      <c r="J299" s="49" t="str">
        <f t="shared" ca="1" si="13"/>
        <v/>
      </c>
      <c r="K299" s="50" t="str">
        <f ca="1">IF(G299="","Unmatched ERP",IF(AND(ABS(H299)&lt;=Mapping_Rules!$B$4,ABS(J299)&lt;=Mapping_Rules!$B$5),"Matched","Review"))</f>
        <v>Unmatched ERP</v>
      </c>
      <c r="L299" s="50" t="str">
        <f ca="1">IF(K299="Matched","None",IF(G299="","Missing from bank",IF(ABS(H299)&gt;Mapping_Rules!$B$4,"Amount variance","Date variance")))</f>
        <v>Missing from bank</v>
      </c>
      <c r="M299" s="50" t="str">
        <f ca="1">IF(K299="Matched","Low",IF(OR(IFERROR(ABS(H299),0)&gt;Mapping_Rules!$B$7,IFERROR(J299,0)&gt;Mapping_Rules!$B$8),"High","Medium"))</f>
        <v>High</v>
      </c>
      <c r="N299" s="50" t="str">
        <f t="shared" ca="1" si="14"/>
        <v>Check bank date or posting</v>
      </c>
      <c r="O299" s="44" t="s">
        <v>131</v>
      </c>
      <c r="P299" s="44" t="s">
        <v>77</v>
      </c>
      <c r="Q299" s="44" t="s">
        <v>1689</v>
      </c>
      <c r="R299" s="51"/>
      <c r="S299" s="52">
        <f ca="1">IF(K299="Matched",0,Mapping_Rules!$B$6-B299)</f>
        <v>28</v>
      </c>
    </row>
    <row r="300" spans="1:19">
      <c r="A300" s="23" t="s">
        <v>765</v>
      </c>
      <c r="B300" s="31">
        <v>46053</v>
      </c>
      <c r="C300" s="23" t="s">
        <v>72</v>
      </c>
      <c r="D300" s="23" t="s">
        <v>208</v>
      </c>
      <c r="E300" s="23" t="s">
        <v>766</v>
      </c>
      <c r="F300" s="32">
        <v>-4739.4399999999996</v>
      </c>
      <c r="G300" s="38" t="str">
        <f ca="1">IFERROR(_xludf.XLOOKUP(E300,Bank_Statement!$D$4:$D$448,Bank_Statement!$G$4:$G$448,""),"")</f>
        <v/>
      </c>
      <c r="H300" s="32" t="str">
        <f t="shared" ca="1" si="12"/>
        <v/>
      </c>
      <c r="I300" s="39" t="str">
        <f ca="1">IFERROR(_xludf.XLOOKUP(E300,Bank_Statement!$D$4:$D$448,Bank_Statement!$B$4:$B$448,""),"")</f>
        <v/>
      </c>
      <c r="J300" s="40" t="str">
        <f t="shared" ca="1" si="13"/>
        <v/>
      </c>
      <c r="K300" s="41" t="str">
        <f ca="1">IF(G300="","Unmatched ERP",IF(AND(ABS(H300)&lt;=Mapping_Rules!$B$4,ABS(J300)&lt;=Mapping_Rules!$B$5),"Matched","Review"))</f>
        <v>Unmatched ERP</v>
      </c>
      <c r="L300" s="41" t="str">
        <f ca="1">IF(K300="Matched","None",IF(G300="","Missing from bank",IF(ABS(H300)&gt;Mapping_Rules!$B$4,"Amount variance","Date variance")))</f>
        <v>Missing from bank</v>
      </c>
      <c r="M300" s="41" t="str">
        <f ca="1">IF(K300="Matched","Low",IF(OR(IFERROR(ABS(H300),0)&gt;Mapping_Rules!$B$7,IFERROR(J300,0)&gt;Mapping_Rules!$B$8),"High","Medium"))</f>
        <v>High</v>
      </c>
      <c r="N300" s="41" t="str">
        <f t="shared" ca="1" si="14"/>
        <v>Check bank date or posting</v>
      </c>
      <c r="O300" s="23" t="s">
        <v>131</v>
      </c>
      <c r="P300" s="23" t="s">
        <v>77</v>
      </c>
      <c r="Q300" s="23" t="s">
        <v>1689</v>
      </c>
      <c r="R300" s="42"/>
      <c r="S300" s="43">
        <f ca="1">IF(K300="Matched",0,Mapping_Rules!$B$6-B300)</f>
        <v>0</v>
      </c>
    </row>
    <row r="301" spans="1:19">
      <c r="A301" s="44" t="s">
        <v>767</v>
      </c>
      <c r="B301" s="45">
        <v>46040</v>
      </c>
      <c r="C301" s="44" t="s">
        <v>81</v>
      </c>
      <c r="D301" s="44" t="s">
        <v>220</v>
      </c>
      <c r="E301" s="44" t="s">
        <v>768</v>
      </c>
      <c r="F301" s="46">
        <v>369.29</v>
      </c>
      <c r="G301" s="47" t="str">
        <f ca="1">IFERROR(_xludf.XLOOKUP(E301,Bank_Statement!$D$4:$D$448,Bank_Statement!$G$4:$G$448,""),"")</f>
        <v/>
      </c>
      <c r="H301" s="46" t="str">
        <f t="shared" ca="1" si="12"/>
        <v/>
      </c>
      <c r="I301" s="48" t="str">
        <f ca="1">IFERROR(_xludf.XLOOKUP(E301,Bank_Statement!$D$4:$D$448,Bank_Statement!$B$4:$B$448,""),"")</f>
        <v/>
      </c>
      <c r="J301" s="49" t="str">
        <f t="shared" ca="1" si="13"/>
        <v/>
      </c>
      <c r="K301" s="50" t="str">
        <f ca="1">IF(G301="","Unmatched ERP",IF(AND(ABS(H301)&lt;=Mapping_Rules!$B$4,ABS(J301)&lt;=Mapping_Rules!$B$5),"Matched","Review"))</f>
        <v>Unmatched ERP</v>
      </c>
      <c r="L301" s="50" t="str">
        <f ca="1">IF(K301="Matched","None",IF(G301="","Missing from bank",IF(ABS(H301)&gt;Mapping_Rules!$B$4,"Amount variance","Date variance")))</f>
        <v>Missing from bank</v>
      </c>
      <c r="M301" s="50" t="str">
        <f ca="1">IF(K301="Matched","Low",IF(OR(IFERROR(ABS(H301),0)&gt;Mapping_Rules!$B$7,IFERROR(J301,0)&gt;Mapping_Rules!$B$8),"High","Medium"))</f>
        <v>High</v>
      </c>
      <c r="N301" s="50" t="str">
        <f t="shared" ca="1" si="14"/>
        <v>Check bank date or posting</v>
      </c>
      <c r="O301" s="44" t="s">
        <v>158</v>
      </c>
      <c r="P301" s="44" t="s">
        <v>86</v>
      </c>
      <c r="Q301" s="44" t="s">
        <v>1689</v>
      </c>
      <c r="R301" s="51"/>
      <c r="S301" s="52">
        <f ca="1">IF(K301="Matched",0,Mapping_Rules!$B$6-B301)</f>
        <v>13</v>
      </c>
    </row>
    <row r="302" spans="1:19">
      <c r="A302" s="23" t="s">
        <v>769</v>
      </c>
      <c r="B302" s="31">
        <v>46023</v>
      </c>
      <c r="C302" s="23" t="s">
        <v>72</v>
      </c>
      <c r="D302" s="23" t="s">
        <v>150</v>
      </c>
      <c r="E302" s="23" t="s">
        <v>770</v>
      </c>
      <c r="F302" s="32">
        <v>-4848.51</v>
      </c>
      <c r="G302" s="38" t="str">
        <f ca="1">IFERROR(_xludf.XLOOKUP(E302,Bank_Statement!$D$4:$D$448,Bank_Statement!$G$4:$G$448,""),"")</f>
        <v/>
      </c>
      <c r="H302" s="32" t="str">
        <f t="shared" ca="1" si="12"/>
        <v/>
      </c>
      <c r="I302" s="39" t="str">
        <f ca="1">IFERROR(_xludf.XLOOKUP(E302,Bank_Statement!$D$4:$D$448,Bank_Statement!$B$4:$B$448,""),"")</f>
        <v/>
      </c>
      <c r="J302" s="40" t="str">
        <f t="shared" ca="1" si="13"/>
        <v/>
      </c>
      <c r="K302" s="41" t="str">
        <f ca="1">IF(G302="","Unmatched ERP",IF(AND(ABS(H302)&lt;=Mapping_Rules!$B$4,ABS(J302)&lt;=Mapping_Rules!$B$5),"Matched","Review"))</f>
        <v>Unmatched ERP</v>
      </c>
      <c r="L302" s="41" t="str">
        <f ca="1">IF(K302="Matched","None",IF(G302="","Missing from bank",IF(ABS(H302)&gt;Mapping_Rules!$B$4,"Amount variance","Date variance")))</f>
        <v>Missing from bank</v>
      </c>
      <c r="M302" s="41" t="str">
        <f ca="1">IF(K302="Matched","Low",IF(OR(IFERROR(ABS(H302),0)&gt;Mapping_Rules!$B$7,IFERROR(J302,0)&gt;Mapping_Rules!$B$8),"High","Medium"))</f>
        <v>High</v>
      </c>
      <c r="N302" s="41" t="str">
        <f t="shared" ca="1" si="14"/>
        <v>Check bank date or posting</v>
      </c>
      <c r="O302" s="23" t="s">
        <v>131</v>
      </c>
      <c r="P302" s="23" t="s">
        <v>77</v>
      </c>
      <c r="Q302" s="23" t="s">
        <v>1689</v>
      </c>
      <c r="R302" s="42"/>
      <c r="S302" s="43">
        <f ca="1">IF(K302="Matched",0,Mapping_Rules!$B$6-B302)</f>
        <v>30</v>
      </c>
    </row>
    <row r="303" spans="1:19">
      <c r="A303" s="44" t="s">
        <v>771</v>
      </c>
      <c r="B303" s="45">
        <v>46028</v>
      </c>
      <c r="C303" s="44" t="s">
        <v>72</v>
      </c>
      <c r="D303" s="44" t="s">
        <v>208</v>
      </c>
      <c r="E303" s="44" t="s">
        <v>772</v>
      </c>
      <c r="F303" s="46">
        <v>-1722.65</v>
      </c>
      <c r="G303" s="47" t="str">
        <f ca="1">IFERROR(_xludf.XLOOKUP(E303,Bank_Statement!$D$4:$D$448,Bank_Statement!$G$4:$G$448,""),"")</f>
        <v/>
      </c>
      <c r="H303" s="46" t="str">
        <f t="shared" ca="1" si="12"/>
        <v/>
      </c>
      <c r="I303" s="48" t="str">
        <f ca="1">IFERROR(_xludf.XLOOKUP(E303,Bank_Statement!$D$4:$D$448,Bank_Statement!$B$4:$B$448,""),"")</f>
        <v/>
      </c>
      <c r="J303" s="49" t="str">
        <f t="shared" ca="1" si="13"/>
        <v/>
      </c>
      <c r="K303" s="50" t="str">
        <f ca="1">IF(G303="","Unmatched ERP",IF(AND(ABS(H303)&lt;=Mapping_Rules!$B$4,ABS(J303)&lt;=Mapping_Rules!$B$5),"Matched","Review"))</f>
        <v>Unmatched ERP</v>
      </c>
      <c r="L303" s="50" t="str">
        <f ca="1">IF(K303="Matched","None",IF(G303="","Missing from bank",IF(ABS(H303)&gt;Mapping_Rules!$B$4,"Amount variance","Date variance")))</f>
        <v>Missing from bank</v>
      </c>
      <c r="M303" s="50" t="str">
        <f ca="1">IF(K303="Matched","Low",IF(OR(IFERROR(ABS(H303),0)&gt;Mapping_Rules!$B$7,IFERROR(J303,0)&gt;Mapping_Rules!$B$8),"High","Medium"))</f>
        <v>High</v>
      </c>
      <c r="N303" s="50" t="str">
        <f t="shared" ca="1" si="14"/>
        <v>Check bank date or posting</v>
      </c>
      <c r="O303" s="44" t="s">
        <v>131</v>
      </c>
      <c r="P303" s="44" t="s">
        <v>77</v>
      </c>
      <c r="Q303" s="44" t="s">
        <v>1689</v>
      </c>
      <c r="R303" s="51"/>
      <c r="S303" s="52">
        <f ca="1">IF(K303="Matched",0,Mapping_Rules!$B$6-B303)</f>
        <v>25</v>
      </c>
    </row>
    <row r="304" spans="1:19">
      <c r="A304" s="23" t="s">
        <v>773</v>
      </c>
      <c r="B304" s="31">
        <v>46038</v>
      </c>
      <c r="C304" s="23" t="s">
        <v>90</v>
      </c>
      <c r="D304" s="23" t="s">
        <v>126</v>
      </c>
      <c r="E304" s="23" t="s">
        <v>774</v>
      </c>
      <c r="F304" s="32">
        <v>1295.9100000000001</v>
      </c>
      <c r="G304" s="38" t="str">
        <f ca="1">IFERROR(_xludf.XLOOKUP(E304,Bank_Statement!$D$4:$D$448,Bank_Statement!$G$4:$G$448,""),"")</f>
        <v/>
      </c>
      <c r="H304" s="32" t="str">
        <f t="shared" ca="1" si="12"/>
        <v/>
      </c>
      <c r="I304" s="39" t="str">
        <f ca="1">IFERROR(_xludf.XLOOKUP(E304,Bank_Statement!$D$4:$D$448,Bank_Statement!$B$4:$B$448,""),"")</f>
        <v/>
      </c>
      <c r="J304" s="40" t="str">
        <f t="shared" ca="1" si="13"/>
        <v/>
      </c>
      <c r="K304" s="41" t="str">
        <f ca="1">IF(G304="","Unmatched ERP",IF(AND(ABS(H304)&lt;=Mapping_Rules!$B$4,ABS(J304)&lt;=Mapping_Rules!$B$5),"Matched","Review"))</f>
        <v>Unmatched ERP</v>
      </c>
      <c r="L304" s="41" t="str">
        <f ca="1">IF(K304="Matched","None",IF(G304="","Missing from bank",IF(ABS(H304)&gt;Mapping_Rules!$B$4,"Amount variance","Date variance")))</f>
        <v>Missing from bank</v>
      </c>
      <c r="M304" s="41" t="str">
        <f ca="1">IF(K304="Matched","Low",IF(OR(IFERROR(ABS(H304),0)&gt;Mapping_Rules!$B$7,IFERROR(J304,0)&gt;Mapping_Rules!$B$8),"High","Medium"))</f>
        <v>High</v>
      </c>
      <c r="N304" s="41" t="str">
        <f t="shared" ca="1" si="14"/>
        <v>Check bank date or posting</v>
      </c>
      <c r="O304" s="23" t="s">
        <v>194</v>
      </c>
      <c r="P304" s="23" t="s">
        <v>95</v>
      </c>
      <c r="Q304" s="23" t="s">
        <v>1689</v>
      </c>
      <c r="R304" s="42"/>
      <c r="S304" s="43">
        <f ca="1">IF(K304="Matched",0,Mapping_Rules!$B$6-B304)</f>
        <v>15</v>
      </c>
    </row>
    <row r="305" spans="1:19">
      <c r="A305" s="44" t="s">
        <v>775</v>
      </c>
      <c r="B305" s="45">
        <v>46023</v>
      </c>
      <c r="C305" s="44" t="s">
        <v>107</v>
      </c>
      <c r="D305" s="44" t="s">
        <v>191</v>
      </c>
      <c r="E305" s="44" t="s">
        <v>776</v>
      </c>
      <c r="F305" s="46">
        <v>-43.2</v>
      </c>
      <c r="G305" s="47" t="str">
        <f ca="1">IFERROR(_xludf.XLOOKUP(E305,Bank_Statement!$D$4:$D$448,Bank_Statement!$G$4:$G$448,""),"")</f>
        <v/>
      </c>
      <c r="H305" s="46" t="str">
        <f t="shared" ca="1" si="12"/>
        <v/>
      </c>
      <c r="I305" s="48" t="str">
        <f ca="1">IFERROR(_xludf.XLOOKUP(E305,Bank_Statement!$D$4:$D$448,Bank_Statement!$B$4:$B$448,""),"")</f>
        <v/>
      </c>
      <c r="J305" s="49" t="str">
        <f t="shared" ca="1" si="13"/>
        <v/>
      </c>
      <c r="K305" s="50" t="str">
        <f ca="1">IF(G305="","Unmatched ERP",IF(AND(ABS(H305)&lt;=Mapping_Rules!$B$4,ABS(J305)&lt;=Mapping_Rules!$B$5),"Matched","Review"))</f>
        <v>Unmatched ERP</v>
      </c>
      <c r="L305" s="50" t="str">
        <f ca="1">IF(K305="Matched","None",IF(G305="","Missing from bank",IF(ABS(H305)&gt;Mapping_Rules!$B$4,"Amount variance","Date variance")))</f>
        <v>Missing from bank</v>
      </c>
      <c r="M305" s="50" t="str">
        <f ca="1">IF(K305="Matched","Low",IF(OR(IFERROR(ABS(H305),0)&gt;Mapping_Rules!$B$7,IFERROR(J305,0)&gt;Mapping_Rules!$B$8),"High","Medium"))</f>
        <v>High</v>
      </c>
      <c r="N305" s="50" t="str">
        <f t="shared" ca="1" si="14"/>
        <v>Check bank date or posting</v>
      </c>
      <c r="O305" s="44" t="s">
        <v>194</v>
      </c>
      <c r="P305" s="44" t="s">
        <v>95</v>
      </c>
      <c r="Q305" s="44" t="s">
        <v>1689</v>
      </c>
      <c r="R305" s="51"/>
      <c r="S305" s="52">
        <f ca="1">IF(K305="Matched",0,Mapping_Rules!$B$6-B305)</f>
        <v>30</v>
      </c>
    </row>
    <row r="306" spans="1:19">
      <c r="A306" s="23" t="s">
        <v>777</v>
      </c>
      <c r="B306" s="31">
        <v>46036</v>
      </c>
      <c r="C306" s="23" t="s">
        <v>99</v>
      </c>
      <c r="D306" s="23" t="s">
        <v>182</v>
      </c>
      <c r="E306" s="23" t="s">
        <v>778</v>
      </c>
      <c r="F306" s="32">
        <v>-14962.87</v>
      </c>
      <c r="G306" s="38" t="str">
        <f ca="1">IFERROR(_xludf.XLOOKUP(E306,Bank_Statement!$D$4:$D$448,Bank_Statement!$G$4:$G$448,""),"")</f>
        <v/>
      </c>
      <c r="H306" s="32" t="str">
        <f t="shared" ca="1" si="12"/>
        <v/>
      </c>
      <c r="I306" s="39" t="str">
        <f ca="1">IFERROR(_xludf.XLOOKUP(E306,Bank_Statement!$D$4:$D$448,Bank_Statement!$B$4:$B$448,""),"")</f>
        <v/>
      </c>
      <c r="J306" s="40" t="str">
        <f t="shared" ca="1" si="13"/>
        <v/>
      </c>
      <c r="K306" s="41" t="str">
        <f ca="1">IF(G306="","Unmatched ERP",IF(AND(ABS(H306)&lt;=Mapping_Rules!$B$4,ABS(J306)&lt;=Mapping_Rules!$B$5),"Matched","Review"))</f>
        <v>Unmatched ERP</v>
      </c>
      <c r="L306" s="41" t="str">
        <f ca="1">IF(K306="Matched","None",IF(G306="","Missing from bank",IF(ABS(H306)&gt;Mapping_Rules!$B$4,"Amount variance","Date variance")))</f>
        <v>Missing from bank</v>
      </c>
      <c r="M306" s="41" t="str">
        <f ca="1">IF(K306="Matched","Low",IF(OR(IFERROR(ABS(H306),0)&gt;Mapping_Rules!$B$7,IFERROR(J306,0)&gt;Mapping_Rules!$B$8),"High","Medium"))</f>
        <v>High</v>
      </c>
      <c r="N306" s="41" t="str">
        <f t="shared" ca="1" si="14"/>
        <v>Check bank date or posting</v>
      </c>
      <c r="O306" s="23" t="s">
        <v>185</v>
      </c>
      <c r="P306" s="23" t="s">
        <v>95</v>
      </c>
      <c r="Q306" s="23" t="s">
        <v>1689</v>
      </c>
      <c r="R306" s="42"/>
      <c r="S306" s="43">
        <f ca="1">IF(K306="Matched",0,Mapping_Rules!$B$6-B306)</f>
        <v>17</v>
      </c>
    </row>
    <row r="307" spans="1:19">
      <c r="A307" s="44" t="s">
        <v>779</v>
      </c>
      <c r="B307" s="45">
        <v>46028</v>
      </c>
      <c r="C307" s="44" t="s">
        <v>107</v>
      </c>
      <c r="D307" s="44" t="s">
        <v>191</v>
      </c>
      <c r="E307" s="44" t="s">
        <v>780</v>
      </c>
      <c r="F307" s="46">
        <v>-116.4</v>
      </c>
      <c r="G307" s="47" t="str">
        <f ca="1">IFERROR(_xludf.XLOOKUP(E307,Bank_Statement!$D$4:$D$448,Bank_Statement!$G$4:$G$448,""),"")</f>
        <v/>
      </c>
      <c r="H307" s="46" t="str">
        <f t="shared" ca="1" si="12"/>
        <v/>
      </c>
      <c r="I307" s="48" t="str">
        <f ca="1">IFERROR(_xludf.XLOOKUP(E307,Bank_Statement!$D$4:$D$448,Bank_Statement!$B$4:$B$448,""),"")</f>
        <v/>
      </c>
      <c r="J307" s="49" t="str">
        <f t="shared" ca="1" si="13"/>
        <v/>
      </c>
      <c r="K307" s="50" t="str">
        <f ca="1">IF(G307="","Unmatched ERP",IF(AND(ABS(H307)&lt;=Mapping_Rules!$B$4,ABS(J307)&lt;=Mapping_Rules!$B$5),"Matched","Review"))</f>
        <v>Unmatched ERP</v>
      </c>
      <c r="L307" s="50" t="str">
        <f ca="1">IF(K307="Matched","None",IF(G307="","Missing from bank",IF(ABS(H307)&gt;Mapping_Rules!$B$4,"Amount variance","Date variance")))</f>
        <v>Missing from bank</v>
      </c>
      <c r="M307" s="50" t="str">
        <f ca="1">IF(K307="Matched","Low",IF(OR(IFERROR(ABS(H307),0)&gt;Mapping_Rules!$B$7,IFERROR(J307,0)&gt;Mapping_Rules!$B$8),"High","Medium"))</f>
        <v>High</v>
      </c>
      <c r="N307" s="50" t="str">
        <f t="shared" ca="1" si="14"/>
        <v>Check bank date or posting</v>
      </c>
      <c r="O307" s="44" t="s">
        <v>194</v>
      </c>
      <c r="P307" s="44" t="s">
        <v>95</v>
      </c>
      <c r="Q307" s="44" t="s">
        <v>1689</v>
      </c>
      <c r="R307" s="51"/>
      <c r="S307" s="52">
        <f ca="1">IF(K307="Matched",0,Mapping_Rules!$B$6-B307)</f>
        <v>25</v>
      </c>
    </row>
    <row r="308" spans="1:19">
      <c r="A308" s="23" t="s">
        <v>781</v>
      </c>
      <c r="B308" s="31">
        <v>46048</v>
      </c>
      <c r="C308" s="23" t="s">
        <v>72</v>
      </c>
      <c r="D308" s="23" t="s">
        <v>150</v>
      </c>
      <c r="E308" s="23" t="s">
        <v>782</v>
      </c>
      <c r="F308" s="32">
        <v>-1795.44</v>
      </c>
      <c r="G308" s="38" t="str">
        <f ca="1">IFERROR(_xludf.XLOOKUP(E308,Bank_Statement!$D$4:$D$448,Bank_Statement!$G$4:$G$448,""),"")</f>
        <v/>
      </c>
      <c r="H308" s="32" t="str">
        <f t="shared" ca="1" si="12"/>
        <v/>
      </c>
      <c r="I308" s="39" t="str">
        <f ca="1">IFERROR(_xludf.XLOOKUP(E308,Bank_Statement!$D$4:$D$448,Bank_Statement!$B$4:$B$448,""),"")</f>
        <v/>
      </c>
      <c r="J308" s="40" t="str">
        <f t="shared" ca="1" si="13"/>
        <v/>
      </c>
      <c r="K308" s="41" t="str">
        <f ca="1">IF(G308="","Unmatched ERP",IF(AND(ABS(H308)&lt;=Mapping_Rules!$B$4,ABS(J308)&lt;=Mapping_Rules!$B$5),"Matched","Review"))</f>
        <v>Unmatched ERP</v>
      </c>
      <c r="L308" s="41" t="str">
        <f ca="1">IF(K308="Matched","None",IF(G308="","Missing from bank",IF(ABS(H308)&gt;Mapping_Rules!$B$4,"Amount variance","Date variance")))</f>
        <v>Missing from bank</v>
      </c>
      <c r="M308" s="41" t="str">
        <f ca="1">IF(K308="Matched","Low",IF(OR(IFERROR(ABS(H308),0)&gt;Mapping_Rules!$B$7,IFERROR(J308,0)&gt;Mapping_Rules!$B$8),"High","Medium"))</f>
        <v>High</v>
      </c>
      <c r="N308" s="41" t="str">
        <f t="shared" ca="1" si="14"/>
        <v>Check bank date or posting</v>
      </c>
      <c r="O308" s="23" t="s">
        <v>131</v>
      </c>
      <c r="P308" s="23" t="s">
        <v>77</v>
      </c>
      <c r="Q308" s="23" t="s">
        <v>1689</v>
      </c>
      <c r="R308" s="42"/>
      <c r="S308" s="43">
        <f ca="1">IF(K308="Matched",0,Mapping_Rules!$B$6-B308)</f>
        <v>5</v>
      </c>
    </row>
    <row r="309" spans="1:19">
      <c r="A309" s="44" t="s">
        <v>783</v>
      </c>
      <c r="B309" s="45">
        <v>46040</v>
      </c>
      <c r="C309" s="44" t="s">
        <v>72</v>
      </c>
      <c r="D309" s="44" t="s">
        <v>139</v>
      </c>
      <c r="E309" s="44" t="s">
        <v>784</v>
      </c>
      <c r="F309" s="46">
        <v>-3446.61</v>
      </c>
      <c r="G309" s="47" t="str">
        <f ca="1">IFERROR(_xludf.XLOOKUP(E309,Bank_Statement!$D$4:$D$448,Bank_Statement!$G$4:$G$448,""),"")</f>
        <v/>
      </c>
      <c r="H309" s="46" t="str">
        <f t="shared" ca="1" si="12"/>
        <v/>
      </c>
      <c r="I309" s="48" t="str">
        <f ca="1">IFERROR(_xludf.XLOOKUP(E309,Bank_Statement!$D$4:$D$448,Bank_Statement!$B$4:$B$448,""),"")</f>
        <v/>
      </c>
      <c r="J309" s="49" t="str">
        <f t="shared" ca="1" si="13"/>
        <v/>
      </c>
      <c r="K309" s="50" t="str">
        <f ca="1">IF(G309="","Unmatched ERP",IF(AND(ABS(H309)&lt;=Mapping_Rules!$B$4,ABS(J309)&lt;=Mapping_Rules!$B$5),"Matched","Review"))</f>
        <v>Unmatched ERP</v>
      </c>
      <c r="L309" s="50" t="str">
        <f ca="1">IF(K309="Matched","None",IF(G309="","Missing from bank",IF(ABS(H309)&gt;Mapping_Rules!$B$4,"Amount variance","Date variance")))</f>
        <v>Missing from bank</v>
      </c>
      <c r="M309" s="50" t="str">
        <f ca="1">IF(K309="Matched","Low",IF(OR(IFERROR(ABS(H309),0)&gt;Mapping_Rules!$B$7,IFERROR(J309,0)&gt;Mapping_Rules!$B$8),"High","Medium"))</f>
        <v>High</v>
      </c>
      <c r="N309" s="50" t="str">
        <f t="shared" ca="1" si="14"/>
        <v>Check bank date or posting</v>
      </c>
      <c r="O309" s="44" t="s">
        <v>131</v>
      </c>
      <c r="P309" s="44" t="s">
        <v>77</v>
      </c>
      <c r="Q309" s="44" t="s">
        <v>1689</v>
      </c>
      <c r="R309" s="51"/>
      <c r="S309" s="52">
        <f ca="1">IF(K309="Matched",0,Mapping_Rules!$B$6-B309)</f>
        <v>13</v>
      </c>
    </row>
    <row r="310" spans="1:19">
      <c r="A310" s="23" t="s">
        <v>785</v>
      </c>
      <c r="B310" s="31">
        <v>46025</v>
      </c>
      <c r="C310" s="23" t="s">
        <v>99</v>
      </c>
      <c r="D310" s="23" t="s">
        <v>182</v>
      </c>
      <c r="E310" s="23" t="s">
        <v>786</v>
      </c>
      <c r="F310" s="32">
        <v>-14037.02</v>
      </c>
      <c r="G310" s="38" t="str">
        <f ca="1">IFERROR(_xludf.XLOOKUP(E310,Bank_Statement!$D$4:$D$448,Bank_Statement!$G$4:$G$448,""),"")</f>
        <v/>
      </c>
      <c r="H310" s="32" t="str">
        <f t="shared" ca="1" si="12"/>
        <v/>
      </c>
      <c r="I310" s="39" t="str">
        <f ca="1">IFERROR(_xludf.XLOOKUP(E310,Bank_Statement!$D$4:$D$448,Bank_Statement!$B$4:$B$448,""),"")</f>
        <v/>
      </c>
      <c r="J310" s="40" t="str">
        <f t="shared" ca="1" si="13"/>
        <v/>
      </c>
      <c r="K310" s="41" t="str">
        <f ca="1">IF(G310="","Unmatched ERP",IF(AND(ABS(H310)&lt;=Mapping_Rules!$B$4,ABS(J310)&lt;=Mapping_Rules!$B$5),"Matched","Review"))</f>
        <v>Unmatched ERP</v>
      </c>
      <c r="L310" s="41" t="str">
        <f ca="1">IF(K310="Matched","None",IF(G310="","Missing from bank",IF(ABS(H310)&gt;Mapping_Rules!$B$4,"Amount variance","Date variance")))</f>
        <v>Missing from bank</v>
      </c>
      <c r="M310" s="41" t="str">
        <f ca="1">IF(K310="Matched","Low",IF(OR(IFERROR(ABS(H310),0)&gt;Mapping_Rules!$B$7,IFERROR(J310,0)&gt;Mapping_Rules!$B$8),"High","Medium"))</f>
        <v>High</v>
      </c>
      <c r="N310" s="41" t="str">
        <f t="shared" ca="1" si="14"/>
        <v>Check bank date or posting</v>
      </c>
      <c r="O310" s="23" t="s">
        <v>185</v>
      </c>
      <c r="P310" s="23" t="s">
        <v>95</v>
      </c>
      <c r="Q310" s="23" t="s">
        <v>1689</v>
      </c>
      <c r="R310" s="42"/>
      <c r="S310" s="43">
        <f ca="1">IF(K310="Matched",0,Mapping_Rules!$B$6-B310)</f>
        <v>28</v>
      </c>
    </row>
    <row r="311" spans="1:19">
      <c r="A311" s="44" t="s">
        <v>787</v>
      </c>
      <c r="B311" s="45">
        <v>46044</v>
      </c>
      <c r="C311" s="44" t="s">
        <v>72</v>
      </c>
      <c r="D311" s="44" t="s">
        <v>150</v>
      </c>
      <c r="E311" s="44" t="s">
        <v>788</v>
      </c>
      <c r="F311" s="46">
        <v>-4909.1499999999996</v>
      </c>
      <c r="G311" s="47" t="str">
        <f ca="1">IFERROR(_xludf.XLOOKUP(E311,Bank_Statement!$D$4:$D$448,Bank_Statement!$G$4:$G$448,""),"")</f>
        <v/>
      </c>
      <c r="H311" s="46" t="str">
        <f t="shared" ca="1" si="12"/>
        <v/>
      </c>
      <c r="I311" s="48" t="str">
        <f ca="1">IFERROR(_xludf.XLOOKUP(E311,Bank_Statement!$D$4:$D$448,Bank_Statement!$B$4:$B$448,""),"")</f>
        <v/>
      </c>
      <c r="J311" s="49" t="str">
        <f t="shared" ca="1" si="13"/>
        <v/>
      </c>
      <c r="K311" s="50" t="str">
        <f ca="1">IF(G311="","Unmatched ERP",IF(AND(ABS(H311)&lt;=Mapping_Rules!$B$4,ABS(J311)&lt;=Mapping_Rules!$B$5),"Matched","Review"))</f>
        <v>Unmatched ERP</v>
      </c>
      <c r="L311" s="50" t="str">
        <f ca="1">IF(K311="Matched","None",IF(G311="","Missing from bank",IF(ABS(H311)&gt;Mapping_Rules!$B$4,"Amount variance","Date variance")))</f>
        <v>Missing from bank</v>
      </c>
      <c r="M311" s="50" t="str">
        <f ca="1">IF(K311="Matched","Low",IF(OR(IFERROR(ABS(H311),0)&gt;Mapping_Rules!$B$7,IFERROR(J311,0)&gt;Mapping_Rules!$B$8),"High","Medium"))</f>
        <v>High</v>
      </c>
      <c r="N311" s="50" t="str">
        <f t="shared" ca="1" si="14"/>
        <v>Check bank date or posting</v>
      </c>
      <c r="O311" s="44" t="s">
        <v>131</v>
      </c>
      <c r="P311" s="44" t="s">
        <v>77</v>
      </c>
      <c r="Q311" s="44" t="s">
        <v>1689</v>
      </c>
      <c r="R311" s="51"/>
      <c r="S311" s="52">
        <f ca="1">IF(K311="Matched",0,Mapping_Rules!$B$6-B311)</f>
        <v>9</v>
      </c>
    </row>
    <row r="312" spans="1:19">
      <c r="A312" s="23" t="s">
        <v>789</v>
      </c>
      <c r="B312" s="31">
        <v>46038</v>
      </c>
      <c r="C312" s="23" t="s">
        <v>81</v>
      </c>
      <c r="D312" s="23" t="s">
        <v>167</v>
      </c>
      <c r="E312" s="23" t="s">
        <v>790</v>
      </c>
      <c r="F312" s="32">
        <v>4380.22</v>
      </c>
      <c r="G312" s="38" t="str">
        <f ca="1">IFERROR(_xludf.XLOOKUP(E312,Bank_Statement!$D$4:$D$448,Bank_Statement!$G$4:$G$448,""),"")</f>
        <v/>
      </c>
      <c r="H312" s="32" t="str">
        <f t="shared" ca="1" si="12"/>
        <v/>
      </c>
      <c r="I312" s="39" t="str">
        <f ca="1">IFERROR(_xludf.XLOOKUP(E312,Bank_Statement!$D$4:$D$448,Bank_Statement!$B$4:$B$448,""),"")</f>
        <v/>
      </c>
      <c r="J312" s="40" t="str">
        <f t="shared" ca="1" si="13"/>
        <v/>
      </c>
      <c r="K312" s="41" t="str">
        <f ca="1">IF(G312="","Unmatched ERP",IF(AND(ABS(H312)&lt;=Mapping_Rules!$B$4,ABS(J312)&lt;=Mapping_Rules!$B$5),"Matched","Review"))</f>
        <v>Unmatched ERP</v>
      </c>
      <c r="L312" s="41" t="str">
        <f ca="1">IF(K312="Matched","None",IF(G312="","Missing from bank",IF(ABS(H312)&gt;Mapping_Rules!$B$4,"Amount variance","Date variance")))</f>
        <v>Missing from bank</v>
      </c>
      <c r="M312" s="41" t="str">
        <f ca="1">IF(K312="Matched","Low",IF(OR(IFERROR(ABS(H312),0)&gt;Mapping_Rules!$B$7,IFERROR(J312,0)&gt;Mapping_Rules!$B$8),"High","Medium"))</f>
        <v>High</v>
      </c>
      <c r="N312" s="41" t="str">
        <f t="shared" ca="1" si="14"/>
        <v>Check bank date or posting</v>
      </c>
      <c r="O312" s="23" t="s">
        <v>158</v>
      </c>
      <c r="P312" s="23" t="s">
        <v>86</v>
      </c>
      <c r="Q312" s="23" t="s">
        <v>1689</v>
      </c>
      <c r="R312" s="42"/>
      <c r="S312" s="43">
        <f ca="1">IF(K312="Matched",0,Mapping_Rules!$B$6-B312)</f>
        <v>15</v>
      </c>
    </row>
    <row r="313" spans="1:19">
      <c r="A313" s="44" t="s">
        <v>791</v>
      </c>
      <c r="B313" s="45">
        <v>46048</v>
      </c>
      <c r="C313" s="44" t="s">
        <v>81</v>
      </c>
      <c r="D313" s="44" t="s">
        <v>155</v>
      </c>
      <c r="E313" s="44" t="s">
        <v>792</v>
      </c>
      <c r="F313" s="46">
        <v>7785.25</v>
      </c>
      <c r="G313" s="47" t="str">
        <f ca="1">IFERROR(_xludf.XLOOKUP(E313,Bank_Statement!$D$4:$D$448,Bank_Statement!$G$4:$G$448,""),"")</f>
        <v/>
      </c>
      <c r="H313" s="46" t="str">
        <f t="shared" ca="1" si="12"/>
        <v/>
      </c>
      <c r="I313" s="48" t="str">
        <f ca="1">IFERROR(_xludf.XLOOKUP(E313,Bank_Statement!$D$4:$D$448,Bank_Statement!$B$4:$B$448,""),"")</f>
        <v/>
      </c>
      <c r="J313" s="49" t="str">
        <f t="shared" ca="1" si="13"/>
        <v/>
      </c>
      <c r="K313" s="50" t="str">
        <f ca="1">IF(G313="","Unmatched ERP",IF(AND(ABS(H313)&lt;=Mapping_Rules!$B$4,ABS(J313)&lt;=Mapping_Rules!$B$5),"Matched","Review"))</f>
        <v>Unmatched ERP</v>
      </c>
      <c r="L313" s="50" t="str">
        <f ca="1">IF(K313="Matched","None",IF(G313="","Missing from bank",IF(ABS(H313)&gt;Mapping_Rules!$B$4,"Amount variance","Date variance")))</f>
        <v>Missing from bank</v>
      </c>
      <c r="M313" s="50" t="str">
        <f ca="1">IF(K313="Matched","Low",IF(OR(IFERROR(ABS(H313),0)&gt;Mapping_Rules!$B$7,IFERROR(J313,0)&gt;Mapping_Rules!$B$8),"High","Medium"))</f>
        <v>High</v>
      </c>
      <c r="N313" s="50" t="str">
        <f t="shared" ca="1" si="14"/>
        <v>Check bank date or posting</v>
      </c>
      <c r="O313" s="44" t="s">
        <v>158</v>
      </c>
      <c r="P313" s="44" t="s">
        <v>86</v>
      </c>
      <c r="Q313" s="44" t="s">
        <v>1689</v>
      </c>
      <c r="R313" s="51"/>
      <c r="S313" s="52">
        <f ca="1">IF(K313="Matched",0,Mapping_Rules!$B$6-B313)</f>
        <v>5</v>
      </c>
    </row>
    <row r="314" spans="1:19">
      <c r="A314" s="23" t="s">
        <v>793</v>
      </c>
      <c r="B314" s="31">
        <v>46042</v>
      </c>
      <c r="C314" s="23" t="s">
        <v>72</v>
      </c>
      <c r="D314" s="23" t="s">
        <v>126</v>
      </c>
      <c r="E314" s="23" t="s">
        <v>794</v>
      </c>
      <c r="F314" s="32">
        <v>-4226.13</v>
      </c>
      <c r="G314" s="38" t="str">
        <f ca="1">IFERROR(_xludf.XLOOKUP(E314,Bank_Statement!$D$4:$D$448,Bank_Statement!$G$4:$G$448,""),"")</f>
        <v/>
      </c>
      <c r="H314" s="32" t="str">
        <f t="shared" ca="1" si="12"/>
        <v/>
      </c>
      <c r="I314" s="39" t="str">
        <f ca="1">IFERROR(_xludf.XLOOKUP(E314,Bank_Statement!$D$4:$D$448,Bank_Statement!$B$4:$B$448,""),"")</f>
        <v/>
      </c>
      <c r="J314" s="40" t="str">
        <f t="shared" ca="1" si="13"/>
        <v/>
      </c>
      <c r="K314" s="41" t="str">
        <f ca="1">IF(G314="","Unmatched ERP",IF(AND(ABS(H314)&lt;=Mapping_Rules!$B$4,ABS(J314)&lt;=Mapping_Rules!$B$5),"Matched","Review"))</f>
        <v>Unmatched ERP</v>
      </c>
      <c r="L314" s="41" t="str">
        <f ca="1">IF(K314="Matched","None",IF(G314="","Missing from bank",IF(ABS(H314)&gt;Mapping_Rules!$B$4,"Amount variance","Date variance")))</f>
        <v>Missing from bank</v>
      </c>
      <c r="M314" s="41" t="str">
        <f ca="1">IF(K314="Matched","Low",IF(OR(IFERROR(ABS(H314),0)&gt;Mapping_Rules!$B$7,IFERROR(J314,0)&gt;Mapping_Rules!$B$8),"High","Medium"))</f>
        <v>High</v>
      </c>
      <c r="N314" s="41" t="str">
        <f t="shared" ca="1" si="14"/>
        <v>Check bank date or posting</v>
      </c>
      <c r="O314" s="23" t="s">
        <v>131</v>
      </c>
      <c r="P314" s="23" t="s">
        <v>77</v>
      </c>
      <c r="Q314" s="23" t="s">
        <v>1689</v>
      </c>
      <c r="R314" s="42"/>
      <c r="S314" s="43">
        <f ca="1">IF(K314="Matched",0,Mapping_Rules!$B$6-B314)</f>
        <v>11</v>
      </c>
    </row>
    <row r="315" spans="1:19">
      <c r="A315" s="44" t="s">
        <v>795</v>
      </c>
      <c r="B315" s="45">
        <v>46036</v>
      </c>
      <c r="C315" s="44" t="s">
        <v>72</v>
      </c>
      <c r="D315" s="44" t="s">
        <v>144</v>
      </c>
      <c r="E315" s="44" t="s">
        <v>796</v>
      </c>
      <c r="F315" s="46">
        <v>-1663.48</v>
      </c>
      <c r="G315" s="47" t="str">
        <f ca="1">IFERROR(_xludf.XLOOKUP(E315,Bank_Statement!$D$4:$D$448,Bank_Statement!$G$4:$G$448,""),"")</f>
        <v/>
      </c>
      <c r="H315" s="46" t="str">
        <f t="shared" ca="1" si="12"/>
        <v/>
      </c>
      <c r="I315" s="48" t="str">
        <f ca="1">IFERROR(_xludf.XLOOKUP(E315,Bank_Statement!$D$4:$D$448,Bank_Statement!$B$4:$B$448,""),"")</f>
        <v/>
      </c>
      <c r="J315" s="49" t="str">
        <f t="shared" ca="1" si="13"/>
        <v/>
      </c>
      <c r="K315" s="50" t="str">
        <f ca="1">IF(G315="","Unmatched ERP",IF(AND(ABS(H315)&lt;=Mapping_Rules!$B$4,ABS(J315)&lt;=Mapping_Rules!$B$5),"Matched","Review"))</f>
        <v>Unmatched ERP</v>
      </c>
      <c r="L315" s="50" t="str">
        <f ca="1">IF(K315="Matched","None",IF(G315="","Missing from bank",IF(ABS(H315)&gt;Mapping_Rules!$B$4,"Amount variance","Date variance")))</f>
        <v>Missing from bank</v>
      </c>
      <c r="M315" s="50" t="str">
        <f ca="1">IF(K315="Matched","Low",IF(OR(IFERROR(ABS(H315),0)&gt;Mapping_Rules!$B$7,IFERROR(J315,0)&gt;Mapping_Rules!$B$8),"High","Medium"))</f>
        <v>High</v>
      </c>
      <c r="N315" s="50" t="str">
        <f t="shared" ca="1" si="14"/>
        <v>Check bank date or posting</v>
      </c>
      <c r="O315" s="44" t="s">
        <v>131</v>
      </c>
      <c r="P315" s="44" t="s">
        <v>77</v>
      </c>
      <c r="Q315" s="44" t="s">
        <v>1689</v>
      </c>
      <c r="R315" s="51"/>
      <c r="S315" s="52">
        <f ca="1">IF(K315="Matched",0,Mapping_Rules!$B$6-B315)</f>
        <v>17</v>
      </c>
    </row>
    <row r="316" spans="1:19">
      <c r="A316" s="23" t="s">
        <v>797</v>
      </c>
      <c r="B316" s="31">
        <v>46035</v>
      </c>
      <c r="C316" s="23" t="s">
        <v>81</v>
      </c>
      <c r="D316" s="23" t="s">
        <v>155</v>
      </c>
      <c r="E316" s="23" t="s">
        <v>798</v>
      </c>
      <c r="F316" s="32">
        <v>5064.7299999999996</v>
      </c>
      <c r="G316" s="38" t="str">
        <f ca="1">IFERROR(_xludf.XLOOKUP(E316,Bank_Statement!$D$4:$D$448,Bank_Statement!$G$4:$G$448,""),"")</f>
        <v/>
      </c>
      <c r="H316" s="32" t="str">
        <f t="shared" ca="1" si="12"/>
        <v/>
      </c>
      <c r="I316" s="39" t="str">
        <f ca="1">IFERROR(_xludf.XLOOKUP(E316,Bank_Statement!$D$4:$D$448,Bank_Statement!$B$4:$B$448,""),"")</f>
        <v/>
      </c>
      <c r="J316" s="40" t="str">
        <f t="shared" ca="1" si="13"/>
        <v/>
      </c>
      <c r="K316" s="41" t="str">
        <f ca="1">IF(G316="","Unmatched ERP",IF(AND(ABS(H316)&lt;=Mapping_Rules!$B$4,ABS(J316)&lt;=Mapping_Rules!$B$5),"Matched","Review"))</f>
        <v>Unmatched ERP</v>
      </c>
      <c r="L316" s="41" t="str">
        <f ca="1">IF(K316="Matched","None",IF(G316="","Missing from bank",IF(ABS(H316)&gt;Mapping_Rules!$B$4,"Amount variance","Date variance")))</f>
        <v>Missing from bank</v>
      </c>
      <c r="M316" s="41" t="str">
        <f ca="1">IF(K316="Matched","Low",IF(OR(IFERROR(ABS(H316),0)&gt;Mapping_Rules!$B$7,IFERROR(J316,0)&gt;Mapping_Rules!$B$8),"High","Medium"))</f>
        <v>High</v>
      </c>
      <c r="N316" s="41" t="str">
        <f t="shared" ca="1" si="14"/>
        <v>Check bank date or posting</v>
      </c>
      <c r="O316" s="23" t="s">
        <v>158</v>
      </c>
      <c r="P316" s="23" t="s">
        <v>86</v>
      </c>
      <c r="Q316" s="23" t="s">
        <v>1689</v>
      </c>
      <c r="R316" s="42"/>
      <c r="S316" s="43">
        <f ca="1">IF(K316="Matched",0,Mapping_Rules!$B$6-B316)</f>
        <v>18</v>
      </c>
    </row>
    <row r="317" spans="1:19">
      <c r="A317" s="44" t="s">
        <v>799</v>
      </c>
      <c r="B317" s="45">
        <v>46032</v>
      </c>
      <c r="C317" s="44" t="s">
        <v>81</v>
      </c>
      <c r="D317" s="44" t="s">
        <v>220</v>
      </c>
      <c r="E317" s="44" t="s">
        <v>800</v>
      </c>
      <c r="F317" s="46">
        <v>1119.18</v>
      </c>
      <c r="G317" s="47" t="str">
        <f ca="1">IFERROR(_xludf.XLOOKUP(E317,Bank_Statement!$D$4:$D$448,Bank_Statement!$G$4:$G$448,""),"")</f>
        <v/>
      </c>
      <c r="H317" s="46" t="str">
        <f t="shared" ca="1" si="12"/>
        <v/>
      </c>
      <c r="I317" s="48" t="str">
        <f ca="1">IFERROR(_xludf.XLOOKUP(E317,Bank_Statement!$D$4:$D$448,Bank_Statement!$B$4:$B$448,""),"")</f>
        <v/>
      </c>
      <c r="J317" s="49" t="str">
        <f t="shared" ca="1" si="13"/>
        <v/>
      </c>
      <c r="K317" s="50" t="str">
        <f ca="1">IF(G317="","Unmatched ERP",IF(AND(ABS(H317)&lt;=Mapping_Rules!$B$4,ABS(J317)&lt;=Mapping_Rules!$B$5),"Matched","Review"))</f>
        <v>Unmatched ERP</v>
      </c>
      <c r="L317" s="50" t="str">
        <f ca="1">IF(K317="Matched","None",IF(G317="","Missing from bank",IF(ABS(H317)&gt;Mapping_Rules!$B$4,"Amount variance","Date variance")))</f>
        <v>Missing from bank</v>
      </c>
      <c r="M317" s="50" t="str">
        <f ca="1">IF(K317="Matched","Low",IF(OR(IFERROR(ABS(H317),0)&gt;Mapping_Rules!$B$7,IFERROR(J317,0)&gt;Mapping_Rules!$B$8),"High","Medium"))</f>
        <v>High</v>
      </c>
      <c r="N317" s="50" t="str">
        <f t="shared" ca="1" si="14"/>
        <v>Check bank date or posting</v>
      </c>
      <c r="O317" s="44" t="s">
        <v>158</v>
      </c>
      <c r="P317" s="44" t="s">
        <v>86</v>
      </c>
      <c r="Q317" s="44" t="s">
        <v>1689</v>
      </c>
      <c r="R317" s="51"/>
      <c r="S317" s="52">
        <f ca="1">IF(K317="Matched",0,Mapping_Rules!$B$6-B317)</f>
        <v>21</v>
      </c>
    </row>
    <row r="318" spans="1:19">
      <c r="A318" s="23" t="s">
        <v>801</v>
      </c>
      <c r="B318" s="31">
        <v>46039</v>
      </c>
      <c r="C318" s="23" t="s">
        <v>81</v>
      </c>
      <c r="D318" s="23" t="s">
        <v>163</v>
      </c>
      <c r="E318" s="23" t="s">
        <v>802</v>
      </c>
      <c r="F318" s="32">
        <v>965.15</v>
      </c>
      <c r="G318" s="38" t="str">
        <f ca="1">IFERROR(_xludf.XLOOKUP(E318,Bank_Statement!$D$4:$D$448,Bank_Statement!$G$4:$G$448,""),"")</f>
        <v/>
      </c>
      <c r="H318" s="32" t="str">
        <f t="shared" ca="1" si="12"/>
        <v/>
      </c>
      <c r="I318" s="39" t="str">
        <f ca="1">IFERROR(_xludf.XLOOKUP(E318,Bank_Statement!$D$4:$D$448,Bank_Statement!$B$4:$B$448,""),"")</f>
        <v/>
      </c>
      <c r="J318" s="40" t="str">
        <f t="shared" ca="1" si="13"/>
        <v/>
      </c>
      <c r="K318" s="41" t="str">
        <f ca="1">IF(G318="","Unmatched ERP",IF(AND(ABS(H318)&lt;=Mapping_Rules!$B$4,ABS(J318)&lt;=Mapping_Rules!$B$5),"Matched","Review"))</f>
        <v>Unmatched ERP</v>
      </c>
      <c r="L318" s="41" t="str">
        <f ca="1">IF(K318="Matched","None",IF(G318="","Missing from bank",IF(ABS(H318)&gt;Mapping_Rules!$B$4,"Amount variance","Date variance")))</f>
        <v>Missing from bank</v>
      </c>
      <c r="M318" s="41" t="str">
        <f ca="1">IF(K318="Matched","Low",IF(OR(IFERROR(ABS(H318),0)&gt;Mapping_Rules!$B$7,IFERROR(J318,0)&gt;Mapping_Rules!$B$8),"High","Medium"))</f>
        <v>High</v>
      </c>
      <c r="N318" s="41" t="str">
        <f t="shared" ca="1" si="14"/>
        <v>Check bank date or posting</v>
      </c>
      <c r="O318" s="23" t="s">
        <v>158</v>
      </c>
      <c r="P318" s="23" t="s">
        <v>86</v>
      </c>
      <c r="Q318" s="23" t="s">
        <v>1689</v>
      </c>
      <c r="R318" s="42"/>
      <c r="S318" s="43">
        <f ca="1">IF(K318="Matched",0,Mapping_Rules!$B$6-B318)</f>
        <v>14</v>
      </c>
    </row>
    <row r="319" spans="1:19">
      <c r="A319" s="44" t="s">
        <v>803</v>
      </c>
      <c r="B319" s="45">
        <v>46026</v>
      </c>
      <c r="C319" s="44" t="s">
        <v>72</v>
      </c>
      <c r="D319" s="44" t="s">
        <v>208</v>
      </c>
      <c r="E319" s="44" t="s">
        <v>804</v>
      </c>
      <c r="F319" s="46">
        <v>-4045.58</v>
      </c>
      <c r="G319" s="47" t="str">
        <f ca="1">IFERROR(_xludf.XLOOKUP(E319,Bank_Statement!$D$4:$D$448,Bank_Statement!$G$4:$G$448,""),"")</f>
        <v/>
      </c>
      <c r="H319" s="46" t="str">
        <f t="shared" ca="1" si="12"/>
        <v/>
      </c>
      <c r="I319" s="48" t="str">
        <f ca="1">IFERROR(_xludf.XLOOKUP(E319,Bank_Statement!$D$4:$D$448,Bank_Statement!$B$4:$B$448,""),"")</f>
        <v/>
      </c>
      <c r="J319" s="49" t="str">
        <f t="shared" ca="1" si="13"/>
        <v/>
      </c>
      <c r="K319" s="50" t="str">
        <f ca="1">IF(G319="","Unmatched ERP",IF(AND(ABS(H319)&lt;=Mapping_Rules!$B$4,ABS(J319)&lt;=Mapping_Rules!$B$5),"Matched","Review"))</f>
        <v>Unmatched ERP</v>
      </c>
      <c r="L319" s="50" t="str">
        <f ca="1">IF(K319="Matched","None",IF(G319="","Missing from bank",IF(ABS(H319)&gt;Mapping_Rules!$B$4,"Amount variance","Date variance")))</f>
        <v>Missing from bank</v>
      </c>
      <c r="M319" s="50" t="str">
        <f ca="1">IF(K319="Matched","Low",IF(OR(IFERROR(ABS(H319),0)&gt;Mapping_Rules!$B$7,IFERROR(J319,0)&gt;Mapping_Rules!$B$8),"High","Medium"))</f>
        <v>High</v>
      </c>
      <c r="N319" s="50" t="str">
        <f t="shared" ca="1" si="14"/>
        <v>Check bank date or posting</v>
      </c>
      <c r="O319" s="44" t="s">
        <v>131</v>
      </c>
      <c r="P319" s="44" t="s">
        <v>77</v>
      </c>
      <c r="Q319" s="44" t="s">
        <v>1689</v>
      </c>
      <c r="R319" s="51"/>
      <c r="S319" s="52">
        <f ca="1">IF(K319="Matched",0,Mapping_Rules!$B$6-B319)</f>
        <v>27</v>
      </c>
    </row>
    <row r="320" spans="1:19">
      <c r="A320" s="23" t="s">
        <v>805</v>
      </c>
      <c r="B320" s="31">
        <v>46036</v>
      </c>
      <c r="C320" s="23" t="s">
        <v>107</v>
      </c>
      <c r="D320" s="23" t="s">
        <v>191</v>
      </c>
      <c r="E320" s="23" t="s">
        <v>806</v>
      </c>
      <c r="F320" s="32">
        <v>-31.66</v>
      </c>
      <c r="G320" s="38" t="str">
        <f ca="1">IFERROR(_xludf.XLOOKUP(E320,Bank_Statement!$D$4:$D$448,Bank_Statement!$G$4:$G$448,""),"")</f>
        <v/>
      </c>
      <c r="H320" s="32" t="str">
        <f t="shared" ca="1" si="12"/>
        <v/>
      </c>
      <c r="I320" s="39" t="str">
        <f ca="1">IFERROR(_xludf.XLOOKUP(E320,Bank_Statement!$D$4:$D$448,Bank_Statement!$B$4:$B$448,""),"")</f>
        <v/>
      </c>
      <c r="J320" s="40" t="str">
        <f t="shared" ca="1" si="13"/>
        <v/>
      </c>
      <c r="K320" s="41" t="str">
        <f ca="1">IF(G320="","Unmatched ERP",IF(AND(ABS(H320)&lt;=Mapping_Rules!$B$4,ABS(J320)&lt;=Mapping_Rules!$B$5),"Matched","Review"))</f>
        <v>Unmatched ERP</v>
      </c>
      <c r="L320" s="41" t="str">
        <f ca="1">IF(K320="Matched","None",IF(G320="","Missing from bank",IF(ABS(H320)&gt;Mapping_Rules!$B$4,"Amount variance","Date variance")))</f>
        <v>Missing from bank</v>
      </c>
      <c r="M320" s="41" t="str">
        <f ca="1">IF(K320="Matched","Low",IF(OR(IFERROR(ABS(H320),0)&gt;Mapping_Rules!$B$7,IFERROR(J320,0)&gt;Mapping_Rules!$B$8),"High","Medium"))</f>
        <v>High</v>
      </c>
      <c r="N320" s="41" t="str">
        <f t="shared" ca="1" si="14"/>
        <v>Check bank date or posting</v>
      </c>
      <c r="O320" s="23" t="s">
        <v>194</v>
      </c>
      <c r="P320" s="23" t="s">
        <v>95</v>
      </c>
      <c r="Q320" s="23" t="s">
        <v>1689</v>
      </c>
      <c r="R320" s="42"/>
      <c r="S320" s="43">
        <f ca="1">IF(K320="Matched",0,Mapping_Rules!$B$6-B320)</f>
        <v>17</v>
      </c>
    </row>
    <row r="321" spans="1:19">
      <c r="A321" s="44" t="s">
        <v>807</v>
      </c>
      <c r="B321" s="45">
        <v>46046</v>
      </c>
      <c r="C321" s="44" t="s">
        <v>81</v>
      </c>
      <c r="D321" s="44" t="s">
        <v>173</v>
      </c>
      <c r="E321" s="44" t="s">
        <v>808</v>
      </c>
      <c r="F321" s="46">
        <v>3903.95</v>
      </c>
      <c r="G321" s="47" t="str">
        <f ca="1">IFERROR(_xludf.XLOOKUP(E321,Bank_Statement!$D$4:$D$448,Bank_Statement!$G$4:$G$448,""),"")</f>
        <v/>
      </c>
      <c r="H321" s="46" t="str">
        <f t="shared" ca="1" si="12"/>
        <v/>
      </c>
      <c r="I321" s="48" t="str">
        <f ca="1">IFERROR(_xludf.XLOOKUP(E321,Bank_Statement!$D$4:$D$448,Bank_Statement!$B$4:$B$448,""),"")</f>
        <v/>
      </c>
      <c r="J321" s="49" t="str">
        <f t="shared" ca="1" si="13"/>
        <v/>
      </c>
      <c r="K321" s="50" t="str">
        <f ca="1">IF(G321="","Unmatched ERP",IF(AND(ABS(H321)&lt;=Mapping_Rules!$B$4,ABS(J321)&lt;=Mapping_Rules!$B$5),"Matched","Review"))</f>
        <v>Unmatched ERP</v>
      </c>
      <c r="L321" s="50" t="str">
        <f ca="1">IF(K321="Matched","None",IF(G321="","Missing from bank",IF(ABS(H321)&gt;Mapping_Rules!$B$4,"Amount variance","Date variance")))</f>
        <v>Missing from bank</v>
      </c>
      <c r="M321" s="50" t="str">
        <f ca="1">IF(K321="Matched","Low",IF(OR(IFERROR(ABS(H321),0)&gt;Mapping_Rules!$B$7,IFERROR(J321,0)&gt;Mapping_Rules!$B$8),"High","Medium"))</f>
        <v>High</v>
      </c>
      <c r="N321" s="50" t="str">
        <f t="shared" ca="1" si="14"/>
        <v>Check bank date or posting</v>
      </c>
      <c r="O321" s="44" t="s">
        <v>158</v>
      </c>
      <c r="P321" s="44" t="s">
        <v>86</v>
      </c>
      <c r="Q321" s="44" t="s">
        <v>1689</v>
      </c>
      <c r="R321" s="51"/>
      <c r="S321" s="52">
        <f ca="1">IF(K321="Matched",0,Mapping_Rules!$B$6-B321)</f>
        <v>7</v>
      </c>
    </row>
    <row r="322" spans="1:19">
      <c r="A322" s="23" t="s">
        <v>809</v>
      </c>
      <c r="B322" s="31">
        <v>46047</v>
      </c>
      <c r="C322" s="23" t="s">
        <v>90</v>
      </c>
      <c r="D322" s="23" t="s">
        <v>155</v>
      </c>
      <c r="E322" s="23" t="s">
        <v>810</v>
      </c>
      <c r="F322" s="32">
        <v>359.69</v>
      </c>
      <c r="G322" s="38" t="str">
        <f ca="1">IFERROR(_xludf.XLOOKUP(E322,Bank_Statement!$D$4:$D$448,Bank_Statement!$G$4:$G$448,""),"")</f>
        <v/>
      </c>
      <c r="H322" s="32" t="str">
        <f t="shared" ca="1" si="12"/>
        <v/>
      </c>
      <c r="I322" s="39" t="str">
        <f ca="1">IFERROR(_xludf.XLOOKUP(E322,Bank_Statement!$D$4:$D$448,Bank_Statement!$B$4:$B$448,""),"")</f>
        <v/>
      </c>
      <c r="J322" s="40" t="str">
        <f t="shared" ca="1" si="13"/>
        <v/>
      </c>
      <c r="K322" s="41" t="str">
        <f ca="1">IF(G322="","Unmatched ERP",IF(AND(ABS(H322)&lt;=Mapping_Rules!$B$4,ABS(J322)&lt;=Mapping_Rules!$B$5),"Matched","Review"))</f>
        <v>Unmatched ERP</v>
      </c>
      <c r="L322" s="41" t="str">
        <f ca="1">IF(K322="Matched","None",IF(G322="","Missing from bank",IF(ABS(H322)&gt;Mapping_Rules!$B$4,"Amount variance","Date variance")))</f>
        <v>Missing from bank</v>
      </c>
      <c r="M322" s="41" t="str">
        <f ca="1">IF(K322="Matched","Low",IF(OR(IFERROR(ABS(H322),0)&gt;Mapping_Rules!$B$7,IFERROR(J322,0)&gt;Mapping_Rules!$B$8),"High","Medium"))</f>
        <v>High</v>
      </c>
      <c r="N322" s="41" t="str">
        <f t="shared" ca="1" si="14"/>
        <v>Check bank date or posting</v>
      </c>
      <c r="O322" s="23" t="s">
        <v>131</v>
      </c>
      <c r="P322" s="23" t="s">
        <v>95</v>
      </c>
      <c r="Q322" s="23" t="s">
        <v>1689</v>
      </c>
      <c r="R322" s="42"/>
      <c r="S322" s="43">
        <f ca="1">IF(K322="Matched",0,Mapping_Rules!$B$6-B322)</f>
        <v>6</v>
      </c>
    </row>
    <row r="323" spans="1:19">
      <c r="A323" s="44" t="s">
        <v>811</v>
      </c>
      <c r="B323" s="45">
        <v>46050</v>
      </c>
      <c r="C323" s="44" t="s">
        <v>81</v>
      </c>
      <c r="D323" s="44" t="s">
        <v>155</v>
      </c>
      <c r="E323" s="44" t="s">
        <v>812</v>
      </c>
      <c r="F323" s="46">
        <v>2766.92</v>
      </c>
      <c r="G323" s="47" t="str">
        <f ca="1">IFERROR(_xludf.XLOOKUP(E323,Bank_Statement!$D$4:$D$448,Bank_Statement!$G$4:$G$448,""),"")</f>
        <v/>
      </c>
      <c r="H323" s="46" t="str">
        <f t="shared" ca="1" si="12"/>
        <v/>
      </c>
      <c r="I323" s="48" t="str">
        <f ca="1">IFERROR(_xludf.XLOOKUP(E323,Bank_Statement!$D$4:$D$448,Bank_Statement!$B$4:$B$448,""),"")</f>
        <v/>
      </c>
      <c r="J323" s="49" t="str">
        <f t="shared" ca="1" si="13"/>
        <v/>
      </c>
      <c r="K323" s="50" t="str">
        <f ca="1">IF(G323="","Unmatched ERP",IF(AND(ABS(H323)&lt;=Mapping_Rules!$B$4,ABS(J323)&lt;=Mapping_Rules!$B$5),"Matched","Review"))</f>
        <v>Unmatched ERP</v>
      </c>
      <c r="L323" s="50" t="str">
        <f ca="1">IF(K323="Matched","None",IF(G323="","Missing from bank",IF(ABS(H323)&gt;Mapping_Rules!$B$4,"Amount variance","Date variance")))</f>
        <v>Missing from bank</v>
      </c>
      <c r="M323" s="50" t="str">
        <f ca="1">IF(K323="Matched","Low",IF(OR(IFERROR(ABS(H323),0)&gt;Mapping_Rules!$B$7,IFERROR(J323,0)&gt;Mapping_Rules!$B$8),"High","Medium"))</f>
        <v>High</v>
      </c>
      <c r="N323" s="50" t="str">
        <f t="shared" ca="1" si="14"/>
        <v>Check bank date or posting</v>
      </c>
      <c r="O323" s="44" t="s">
        <v>158</v>
      </c>
      <c r="P323" s="44" t="s">
        <v>86</v>
      </c>
      <c r="Q323" s="44" t="s">
        <v>1689</v>
      </c>
      <c r="R323" s="51"/>
      <c r="S323" s="52">
        <f ca="1">IF(K323="Matched",0,Mapping_Rules!$B$6-B323)</f>
        <v>3</v>
      </c>
    </row>
    <row r="324" spans="1:19">
      <c r="A324" s="23" t="s">
        <v>813</v>
      </c>
      <c r="B324" s="31">
        <v>46050</v>
      </c>
      <c r="C324" s="23" t="s">
        <v>81</v>
      </c>
      <c r="D324" s="23" t="s">
        <v>173</v>
      </c>
      <c r="E324" s="23" t="s">
        <v>814</v>
      </c>
      <c r="F324" s="32">
        <v>6944.71</v>
      </c>
      <c r="G324" s="38" t="str">
        <f ca="1">IFERROR(_xludf.XLOOKUP(E324,Bank_Statement!$D$4:$D$448,Bank_Statement!$G$4:$G$448,""),"")</f>
        <v/>
      </c>
      <c r="H324" s="32" t="str">
        <f t="shared" ref="H324:H387" ca="1" si="15">IF(G324="","",F324-G324)</f>
        <v/>
      </c>
      <c r="I324" s="39" t="str">
        <f ca="1">IFERROR(_xludf.XLOOKUP(E324,Bank_Statement!$D$4:$D$448,Bank_Statement!$B$4:$B$448,""),"")</f>
        <v/>
      </c>
      <c r="J324" s="40" t="str">
        <f t="shared" ref="J324:J387" ca="1" si="16">IF(I324="","",ABS(B324-I324))</f>
        <v/>
      </c>
      <c r="K324" s="41" t="str">
        <f ca="1">IF(G324="","Unmatched ERP",IF(AND(ABS(H324)&lt;=Mapping_Rules!$B$4,ABS(J324)&lt;=Mapping_Rules!$B$5),"Matched","Review"))</f>
        <v>Unmatched ERP</v>
      </c>
      <c r="L324" s="41" t="str">
        <f ca="1">IF(K324="Matched","None",IF(G324="","Missing from bank",IF(ABS(H324)&gt;Mapping_Rules!$B$4,"Amount variance","Date variance")))</f>
        <v>Missing from bank</v>
      </c>
      <c r="M324" s="41" t="str">
        <f ca="1">IF(K324="Matched","Low",IF(OR(IFERROR(ABS(H324),0)&gt;Mapping_Rules!$B$7,IFERROR(J324,0)&gt;Mapping_Rules!$B$8),"High","Medium"))</f>
        <v>High</v>
      </c>
      <c r="N324" s="41" t="str">
        <f t="shared" ref="N324:N387" ca="1" si="17">IF(K324="Matched","No action needed",IF(L324="Missing from bank","Check bank date or posting",IF(L324="Amount variance","Check invoice/payment amount","Check timing difference")))</f>
        <v>Check bank date or posting</v>
      </c>
      <c r="O324" s="23" t="s">
        <v>158</v>
      </c>
      <c r="P324" s="23" t="s">
        <v>86</v>
      </c>
      <c r="Q324" s="23" t="s">
        <v>1689</v>
      </c>
      <c r="R324" s="42"/>
      <c r="S324" s="43">
        <f ca="1">IF(K324="Matched",0,Mapping_Rules!$B$6-B324)</f>
        <v>3</v>
      </c>
    </row>
    <row r="325" spans="1:19">
      <c r="A325" s="44" t="s">
        <v>815</v>
      </c>
      <c r="B325" s="45">
        <v>46030</v>
      </c>
      <c r="C325" s="44" t="s">
        <v>72</v>
      </c>
      <c r="D325" s="44" t="s">
        <v>133</v>
      </c>
      <c r="E325" s="44" t="s">
        <v>816</v>
      </c>
      <c r="F325" s="46">
        <v>-2364.63</v>
      </c>
      <c r="G325" s="47" t="str">
        <f ca="1">IFERROR(_xludf.XLOOKUP(E325,Bank_Statement!$D$4:$D$448,Bank_Statement!$G$4:$G$448,""),"")</f>
        <v/>
      </c>
      <c r="H325" s="46" t="str">
        <f t="shared" ca="1" si="15"/>
        <v/>
      </c>
      <c r="I325" s="48" t="str">
        <f ca="1">IFERROR(_xludf.XLOOKUP(E325,Bank_Statement!$D$4:$D$448,Bank_Statement!$B$4:$B$448,""),"")</f>
        <v/>
      </c>
      <c r="J325" s="49" t="str">
        <f t="shared" ca="1" si="16"/>
        <v/>
      </c>
      <c r="K325" s="50" t="str">
        <f ca="1">IF(G325="","Unmatched ERP",IF(AND(ABS(H325)&lt;=Mapping_Rules!$B$4,ABS(J325)&lt;=Mapping_Rules!$B$5),"Matched","Review"))</f>
        <v>Unmatched ERP</v>
      </c>
      <c r="L325" s="50" t="str">
        <f ca="1">IF(K325="Matched","None",IF(G325="","Missing from bank",IF(ABS(H325)&gt;Mapping_Rules!$B$4,"Amount variance","Date variance")))</f>
        <v>Missing from bank</v>
      </c>
      <c r="M325" s="50" t="str">
        <f ca="1">IF(K325="Matched","Low",IF(OR(IFERROR(ABS(H325),0)&gt;Mapping_Rules!$B$7,IFERROR(J325,0)&gt;Mapping_Rules!$B$8),"High","Medium"))</f>
        <v>High</v>
      </c>
      <c r="N325" s="50" t="str">
        <f t="shared" ca="1" si="17"/>
        <v>Check bank date or posting</v>
      </c>
      <c r="O325" s="44" t="s">
        <v>131</v>
      </c>
      <c r="P325" s="44" t="s">
        <v>77</v>
      </c>
      <c r="Q325" s="44" t="s">
        <v>1689</v>
      </c>
      <c r="R325" s="51"/>
      <c r="S325" s="52">
        <f ca="1">IF(K325="Matched",0,Mapping_Rules!$B$6-B325)</f>
        <v>23</v>
      </c>
    </row>
    <row r="326" spans="1:19">
      <c r="A326" s="23" t="s">
        <v>817</v>
      </c>
      <c r="B326" s="31">
        <v>46036</v>
      </c>
      <c r="C326" s="23" t="s">
        <v>72</v>
      </c>
      <c r="D326" s="23" t="s">
        <v>126</v>
      </c>
      <c r="E326" s="23" t="s">
        <v>818</v>
      </c>
      <c r="F326" s="32">
        <v>-3368.76</v>
      </c>
      <c r="G326" s="38" t="str">
        <f ca="1">IFERROR(_xludf.XLOOKUP(E326,Bank_Statement!$D$4:$D$448,Bank_Statement!$G$4:$G$448,""),"")</f>
        <v/>
      </c>
      <c r="H326" s="32" t="str">
        <f t="shared" ca="1" si="15"/>
        <v/>
      </c>
      <c r="I326" s="39" t="str">
        <f ca="1">IFERROR(_xludf.XLOOKUP(E326,Bank_Statement!$D$4:$D$448,Bank_Statement!$B$4:$B$448,""),"")</f>
        <v/>
      </c>
      <c r="J326" s="40" t="str">
        <f t="shared" ca="1" si="16"/>
        <v/>
      </c>
      <c r="K326" s="41" t="str">
        <f ca="1">IF(G326="","Unmatched ERP",IF(AND(ABS(H326)&lt;=Mapping_Rules!$B$4,ABS(J326)&lt;=Mapping_Rules!$B$5),"Matched","Review"))</f>
        <v>Unmatched ERP</v>
      </c>
      <c r="L326" s="41" t="str">
        <f ca="1">IF(K326="Matched","None",IF(G326="","Missing from bank",IF(ABS(H326)&gt;Mapping_Rules!$B$4,"Amount variance","Date variance")))</f>
        <v>Missing from bank</v>
      </c>
      <c r="M326" s="41" t="str">
        <f ca="1">IF(K326="Matched","Low",IF(OR(IFERROR(ABS(H326),0)&gt;Mapping_Rules!$B$7,IFERROR(J326,0)&gt;Mapping_Rules!$B$8),"High","Medium"))</f>
        <v>High</v>
      </c>
      <c r="N326" s="41" t="str">
        <f t="shared" ca="1" si="17"/>
        <v>Check bank date or posting</v>
      </c>
      <c r="O326" s="23" t="s">
        <v>131</v>
      </c>
      <c r="P326" s="23" t="s">
        <v>77</v>
      </c>
      <c r="Q326" s="23" t="s">
        <v>1689</v>
      </c>
      <c r="R326" s="42"/>
      <c r="S326" s="43">
        <f ca="1">IF(K326="Matched",0,Mapping_Rules!$B$6-B326)</f>
        <v>17</v>
      </c>
    </row>
    <row r="327" spans="1:19">
      <c r="A327" s="44" t="s">
        <v>819</v>
      </c>
      <c r="B327" s="45">
        <v>46033</v>
      </c>
      <c r="C327" s="44" t="s">
        <v>99</v>
      </c>
      <c r="D327" s="44" t="s">
        <v>182</v>
      </c>
      <c r="E327" s="44" t="s">
        <v>820</v>
      </c>
      <c r="F327" s="46">
        <v>-11481.44</v>
      </c>
      <c r="G327" s="47" t="str">
        <f ca="1">IFERROR(_xludf.XLOOKUP(E327,Bank_Statement!$D$4:$D$448,Bank_Statement!$G$4:$G$448,""),"")</f>
        <v/>
      </c>
      <c r="H327" s="46" t="str">
        <f t="shared" ca="1" si="15"/>
        <v/>
      </c>
      <c r="I327" s="48" t="str">
        <f ca="1">IFERROR(_xludf.XLOOKUP(E327,Bank_Statement!$D$4:$D$448,Bank_Statement!$B$4:$B$448,""),"")</f>
        <v/>
      </c>
      <c r="J327" s="49" t="str">
        <f t="shared" ca="1" si="16"/>
        <v/>
      </c>
      <c r="K327" s="50" t="str">
        <f ca="1">IF(G327="","Unmatched ERP",IF(AND(ABS(H327)&lt;=Mapping_Rules!$B$4,ABS(J327)&lt;=Mapping_Rules!$B$5),"Matched","Review"))</f>
        <v>Unmatched ERP</v>
      </c>
      <c r="L327" s="50" t="str">
        <f ca="1">IF(K327="Matched","None",IF(G327="","Missing from bank",IF(ABS(H327)&gt;Mapping_Rules!$B$4,"Amount variance","Date variance")))</f>
        <v>Missing from bank</v>
      </c>
      <c r="M327" s="50" t="str">
        <f ca="1">IF(K327="Matched","Low",IF(OR(IFERROR(ABS(H327),0)&gt;Mapping_Rules!$B$7,IFERROR(J327,0)&gt;Mapping_Rules!$B$8),"High","Medium"))</f>
        <v>High</v>
      </c>
      <c r="N327" s="50" t="str">
        <f t="shared" ca="1" si="17"/>
        <v>Check bank date or posting</v>
      </c>
      <c r="O327" s="44" t="s">
        <v>185</v>
      </c>
      <c r="P327" s="44" t="s">
        <v>95</v>
      </c>
      <c r="Q327" s="44" t="s">
        <v>1689</v>
      </c>
      <c r="R327" s="51"/>
      <c r="S327" s="52">
        <f ca="1">IF(K327="Matched",0,Mapping_Rules!$B$6-B327)</f>
        <v>20</v>
      </c>
    </row>
    <row r="328" spans="1:19">
      <c r="A328" s="23" t="s">
        <v>821</v>
      </c>
      <c r="B328" s="31">
        <v>46053</v>
      </c>
      <c r="C328" s="23" t="s">
        <v>81</v>
      </c>
      <c r="D328" s="23" t="s">
        <v>155</v>
      </c>
      <c r="E328" s="23" t="s">
        <v>822</v>
      </c>
      <c r="F328" s="32">
        <v>4283</v>
      </c>
      <c r="G328" s="38" t="str">
        <f ca="1">IFERROR(_xludf.XLOOKUP(E328,Bank_Statement!$D$4:$D$448,Bank_Statement!$G$4:$G$448,""),"")</f>
        <v/>
      </c>
      <c r="H328" s="32" t="str">
        <f t="shared" ca="1" si="15"/>
        <v/>
      </c>
      <c r="I328" s="39" t="str">
        <f ca="1">IFERROR(_xludf.XLOOKUP(E328,Bank_Statement!$D$4:$D$448,Bank_Statement!$B$4:$B$448,""),"")</f>
        <v/>
      </c>
      <c r="J328" s="40" t="str">
        <f t="shared" ca="1" si="16"/>
        <v/>
      </c>
      <c r="K328" s="41" t="str">
        <f ca="1">IF(G328="","Unmatched ERP",IF(AND(ABS(H328)&lt;=Mapping_Rules!$B$4,ABS(J328)&lt;=Mapping_Rules!$B$5),"Matched","Review"))</f>
        <v>Unmatched ERP</v>
      </c>
      <c r="L328" s="41" t="str">
        <f ca="1">IF(K328="Matched","None",IF(G328="","Missing from bank",IF(ABS(H328)&gt;Mapping_Rules!$B$4,"Amount variance","Date variance")))</f>
        <v>Missing from bank</v>
      </c>
      <c r="M328" s="41" t="str">
        <f ca="1">IF(K328="Matched","Low",IF(OR(IFERROR(ABS(H328),0)&gt;Mapping_Rules!$B$7,IFERROR(J328,0)&gt;Mapping_Rules!$B$8),"High","Medium"))</f>
        <v>High</v>
      </c>
      <c r="N328" s="41" t="str">
        <f t="shared" ca="1" si="17"/>
        <v>Check bank date or posting</v>
      </c>
      <c r="O328" s="23" t="s">
        <v>158</v>
      </c>
      <c r="P328" s="23" t="s">
        <v>86</v>
      </c>
      <c r="Q328" s="23" t="s">
        <v>1689</v>
      </c>
      <c r="R328" s="42"/>
      <c r="S328" s="43">
        <f ca="1">IF(K328="Matched",0,Mapping_Rules!$B$6-B328)</f>
        <v>0</v>
      </c>
    </row>
    <row r="329" spans="1:19">
      <c r="A329" s="44" t="s">
        <v>823</v>
      </c>
      <c r="B329" s="45">
        <v>46025</v>
      </c>
      <c r="C329" s="44" t="s">
        <v>81</v>
      </c>
      <c r="D329" s="44" t="s">
        <v>173</v>
      </c>
      <c r="E329" s="44" t="s">
        <v>824</v>
      </c>
      <c r="F329" s="46">
        <v>2588.9499999999998</v>
      </c>
      <c r="G329" s="47" t="str">
        <f ca="1">IFERROR(_xludf.XLOOKUP(E329,Bank_Statement!$D$4:$D$448,Bank_Statement!$G$4:$G$448,""),"")</f>
        <v/>
      </c>
      <c r="H329" s="46" t="str">
        <f t="shared" ca="1" si="15"/>
        <v/>
      </c>
      <c r="I329" s="48" t="str">
        <f ca="1">IFERROR(_xludf.XLOOKUP(E329,Bank_Statement!$D$4:$D$448,Bank_Statement!$B$4:$B$448,""),"")</f>
        <v/>
      </c>
      <c r="J329" s="49" t="str">
        <f t="shared" ca="1" si="16"/>
        <v/>
      </c>
      <c r="K329" s="50" t="str">
        <f ca="1">IF(G329="","Unmatched ERP",IF(AND(ABS(H329)&lt;=Mapping_Rules!$B$4,ABS(J329)&lt;=Mapping_Rules!$B$5),"Matched","Review"))</f>
        <v>Unmatched ERP</v>
      </c>
      <c r="L329" s="50" t="str">
        <f ca="1">IF(K329="Matched","None",IF(G329="","Missing from bank",IF(ABS(H329)&gt;Mapping_Rules!$B$4,"Amount variance","Date variance")))</f>
        <v>Missing from bank</v>
      </c>
      <c r="M329" s="50" t="str">
        <f ca="1">IF(K329="Matched","Low",IF(OR(IFERROR(ABS(H329),0)&gt;Mapping_Rules!$B$7,IFERROR(J329,0)&gt;Mapping_Rules!$B$8),"High","Medium"))</f>
        <v>High</v>
      </c>
      <c r="N329" s="50" t="str">
        <f t="shared" ca="1" si="17"/>
        <v>Check bank date or posting</v>
      </c>
      <c r="O329" s="44" t="s">
        <v>158</v>
      </c>
      <c r="P329" s="44" t="s">
        <v>86</v>
      </c>
      <c r="Q329" s="44" t="s">
        <v>1689</v>
      </c>
      <c r="R329" s="51"/>
      <c r="S329" s="52">
        <f ca="1">IF(K329="Matched",0,Mapping_Rules!$B$6-B329)</f>
        <v>28</v>
      </c>
    </row>
    <row r="330" spans="1:19">
      <c r="A330" s="23" t="s">
        <v>825</v>
      </c>
      <c r="B330" s="31">
        <v>46041</v>
      </c>
      <c r="C330" s="23" t="s">
        <v>90</v>
      </c>
      <c r="D330" s="23" t="s">
        <v>155</v>
      </c>
      <c r="E330" s="23" t="s">
        <v>826</v>
      </c>
      <c r="F330" s="32">
        <v>-2501.8000000000002</v>
      </c>
      <c r="G330" s="38" t="str">
        <f ca="1">IFERROR(_xludf.XLOOKUP(E330,Bank_Statement!$D$4:$D$448,Bank_Statement!$G$4:$G$448,""),"")</f>
        <v/>
      </c>
      <c r="H330" s="32" t="str">
        <f t="shared" ca="1" si="15"/>
        <v/>
      </c>
      <c r="I330" s="39" t="str">
        <f ca="1">IFERROR(_xludf.XLOOKUP(E330,Bank_Statement!$D$4:$D$448,Bank_Statement!$B$4:$B$448,""),"")</f>
        <v/>
      </c>
      <c r="J330" s="40" t="str">
        <f t="shared" ca="1" si="16"/>
        <v/>
      </c>
      <c r="K330" s="41" t="str">
        <f ca="1">IF(G330="","Unmatched ERP",IF(AND(ABS(H330)&lt;=Mapping_Rules!$B$4,ABS(J330)&lt;=Mapping_Rules!$B$5),"Matched","Review"))</f>
        <v>Unmatched ERP</v>
      </c>
      <c r="L330" s="41" t="str">
        <f ca="1">IF(K330="Matched","None",IF(G330="","Missing from bank",IF(ABS(H330)&gt;Mapping_Rules!$B$4,"Amount variance","Date variance")))</f>
        <v>Missing from bank</v>
      </c>
      <c r="M330" s="41" t="str">
        <f ca="1">IF(K330="Matched","Low",IF(OR(IFERROR(ABS(H330),0)&gt;Mapping_Rules!$B$7,IFERROR(J330,0)&gt;Mapping_Rules!$B$8),"High","Medium"))</f>
        <v>High</v>
      </c>
      <c r="N330" s="41" t="str">
        <f t="shared" ca="1" si="17"/>
        <v>Check bank date or posting</v>
      </c>
      <c r="O330" s="23" t="s">
        <v>158</v>
      </c>
      <c r="P330" s="23" t="s">
        <v>95</v>
      </c>
      <c r="Q330" s="23" t="s">
        <v>1689</v>
      </c>
      <c r="R330" s="42"/>
      <c r="S330" s="43">
        <f ca="1">IF(K330="Matched",0,Mapping_Rules!$B$6-B330)</f>
        <v>12</v>
      </c>
    </row>
    <row r="331" spans="1:19">
      <c r="A331" s="44" t="s">
        <v>827</v>
      </c>
      <c r="B331" s="45">
        <v>46034</v>
      </c>
      <c r="C331" s="44" t="s">
        <v>81</v>
      </c>
      <c r="D331" s="44" t="s">
        <v>220</v>
      </c>
      <c r="E331" s="44" t="s">
        <v>828</v>
      </c>
      <c r="F331" s="46">
        <v>6496.03</v>
      </c>
      <c r="G331" s="47" t="str">
        <f ca="1">IFERROR(_xludf.XLOOKUP(E331,Bank_Statement!$D$4:$D$448,Bank_Statement!$G$4:$G$448,""),"")</f>
        <v/>
      </c>
      <c r="H331" s="46" t="str">
        <f t="shared" ca="1" si="15"/>
        <v/>
      </c>
      <c r="I331" s="48" t="str">
        <f ca="1">IFERROR(_xludf.XLOOKUP(E331,Bank_Statement!$D$4:$D$448,Bank_Statement!$B$4:$B$448,""),"")</f>
        <v/>
      </c>
      <c r="J331" s="49" t="str">
        <f t="shared" ca="1" si="16"/>
        <v/>
      </c>
      <c r="K331" s="50" t="str">
        <f ca="1">IF(G331="","Unmatched ERP",IF(AND(ABS(H331)&lt;=Mapping_Rules!$B$4,ABS(J331)&lt;=Mapping_Rules!$B$5),"Matched","Review"))</f>
        <v>Unmatched ERP</v>
      </c>
      <c r="L331" s="50" t="str">
        <f ca="1">IF(K331="Matched","None",IF(G331="","Missing from bank",IF(ABS(H331)&gt;Mapping_Rules!$B$4,"Amount variance","Date variance")))</f>
        <v>Missing from bank</v>
      </c>
      <c r="M331" s="50" t="str">
        <f ca="1">IF(K331="Matched","Low",IF(OR(IFERROR(ABS(H331),0)&gt;Mapping_Rules!$B$7,IFERROR(J331,0)&gt;Mapping_Rules!$B$8),"High","Medium"))</f>
        <v>High</v>
      </c>
      <c r="N331" s="50" t="str">
        <f t="shared" ca="1" si="17"/>
        <v>Check bank date or posting</v>
      </c>
      <c r="O331" s="44" t="s">
        <v>158</v>
      </c>
      <c r="P331" s="44" t="s">
        <v>86</v>
      </c>
      <c r="Q331" s="44" t="s">
        <v>1689</v>
      </c>
      <c r="R331" s="51"/>
      <c r="S331" s="52">
        <f ca="1">IF(K331="Matched",0,Mapping_Rules!$B$6-B331)</f>
        <v>19</v>
      </c>
    </row>
    <row r="332" spans="1:19">
      <c r="A332" s="23" t="s">
        <v>829</v>
      </c>
      <c r="B332" s="31">
        <v>46049</v>
      </c>
      <c r="C332" s="23" t="s">
        <v>81</v>
      </c>
      <c r="D332" s="23" t="s">
        <v>173</v>
      </c>
      <c r="E332" s="23" t="s">
        <v>830</v>
      </c>
      <c r="F332" s="32">
        <v>2635.87</v>
      </c>
      <c r="G332" s="38" t="str">
        <f ca="1">IFERROR(_xludf.XLOOKUP(E332,Bank_Statement!$D$4:$D$448,Bank_Statement!$G$4:$G$448,""),"")</f>
        <v/>
      </c>
      <c r="H332" s="32" t="str">
        <f t="shared" ca="1" si="15"/>
        <v/>
      </c>
      <c r="I332" s="39" t="str">
        <f ca="1">IFERROR(_xludf.XLOOKUP(E332,Bank_Statement!$D$4:$D$448,Bank_Statement!$B$4:$B$448,""),"")</f>
        <v/>
      </c>
      <c r="J332" s="40" t="str">
        <f t="shared" ca="1" si="16"/>
        <v/>
      </c>
      <c r="K332" s="41" t="str">
        <f ca="1">IF(G332="","Unmatched ERP",IF(AND(ABS(H332)&lt;=Mapping_Rules!$B$4,ABS(J332)&lt;=Mapping_Rules!$B$5),"Matched","Review"))</f>
        <v>Unmatched ERP</v>
      </c>
      <c r="L332" s="41" t="str">
        <f ca="1">IF(K332="Matched","None",IF(G332="","Missing from bank",IF(ABS(H332)&gt;Mapping_Rules!$B$4,"Amount variance","Date variance")))</f>
        <v>Missing from bank</v>
      </c>
      <c r="M332" s="41" t="str">
        <f ca="1">IF(K332="Matched","Low",IF(OR(IFERROR(ABS(H332),0)&gt;Mapping_Rules!$B$7,IFERROR(J332,0)&gt;Mapping_Rules!$B$8),"High","Medium"))</f>
        <v>High</v>
      </c>
      <c r="N332" s="41" t="str">
        <f t="shared" ca="1" si="17"/>
        <v>Check bank date or posting</v>
      </c>
      <c r="O332" s="23" t="s">
        <v>158</v>
      </c>
      <c r="P332" s="23" t="s">
        <v>86</v>
      </c>
      <c r="Q332" s="23" t="s">
        <v>1689</v>
      </c>
      <c r="R332" s="42"/>
      <c r="S332" s="43">
        <f ca="1">IF(K332="Matched",0,Mapping_Rules!$B$6-B332)</f>
        <v>4</v>
      </c>
    </row>
    <row r="333" spans="1:19">
      <c r="A333" s="44" t="s">
        <v>831</v>
      </c>
      <c r="B333" s="45">
        <v>46026</v>
      </c>
      <c r="C333" s="44" t="s">
        <v>90</v>
      </c>
      <c r="D333" s="44" t="s">
        <v>150</v>
      </c>
      <c r="E333" s="44" t="s">
        <v>832</v>
      </c>
      <c r="F333" s="46">
        <v>-1088.9000000000001</v>
      </c>
      <c r="G333" s="47" t="str">
        <f ca="1">IFERROR(_xludf.XLOOKUP(E333,Bank_Statement!$D$4:$D$448,Bank_Statement!$G$4:$G$448,""),"")</f>
        <v/>
      </c>
      <c r="H333" s="46" t="str">
        <f t="shared" ca="1" si="15"/>
        <v/>
      </c>
      <c r="I333" s="48" t="str">
        <f ca="1">IFERROR(_xludf.XLOOKUP(E333,Bank_Statement!$D$4:$D$448,Bank_Statement!$B$4:$B$448,""),"")</f>
        <v/>
      </c>
      <c r="J333" s="49" t="str">
        <f t="shared" ca="1" si="16"/>
        <v/>
      </c>
      <c r="K333" s="50" t="str">
        <f ca="1">IF(G333="","Unmatched ERP",IF(AND(ABS(H333)&lt;=Mapping_Rules!$B$4,ABS(J333)&lt;=Mapping_Rules!$B$5),"Matched","Review"))</f>
        <v>Unmatched ERP</v>
      </c>
      <c r="L333" s="50" t="str">
        <f ca="1">IF(K333="Matched","None",IF(G333="","Missing from bank",IF(ABS(H333)&gt;Mapping_Rules!$B$4,"Amount variance","Date variance")))</f>
        <v>Missing from bank</v>
      </c>
      <c r="M333" s="50" t="str">
        <f ca="1">IF(K333="Matched","Low",IF(OR(IFERROR(ABS(H333),0)&gt;Mapping_Rules!$B$7,IFERROR(J333,0)&gt;Mapping_Rules!$B$8),"High","Medium"))</f>
        <v>High</v>
      </c>
      <c r="N333" s="50" t="str">
        <f t="shared" ca="1" si="17"/>
        <v>Check bank date or posting</v>
      </c>
      <c r="O333" s="44" t="s">
        <v>426</v>
      </c>
      <c r="P333" s="44" t="s">
        <v>95</v>
      </c>
      <c r="Q333" s="44" t="s">
        <v>1689</v>
      </c>
      <c r="R333" s="51"/>
      <c r="S333" s="52">
        <f ca="1">IF(K333="Matched",0,Mapping_Rules!$B$6-B333)</f>
        <v>27</v>
      </c>
    </row>
    <row r="334" spans="1:19">
      <c r="A334" s="23" t="s">
        <v>833</v>
      </c>
      <c r="B334" s="31">
        <v>46049</v>
      </c>
      <c r="C334" s="23" t="s">
        <v>72</v>
      </c>
      <c r="D334" s="23" t="s">
        <v>144</v>
      </c>
      <c r="E334" s="23" t="s">
        <v>834</v>
      </c>
      <c r="F334" s="32">
        <v>-3568.85</v>
      </c>
      <c r="G334" s="38" t="str">
        <f ca="1">IFERROR(_xludf.XLOOKUP(E334,Bank_Statement!$D$4:$D$448,Bank_Statement!$G$4:$G$448,""),"")</f>
        <v/>
      </c>
      <c r="H334" s="32" t="str">
        <f t="shared" ca="1" si="15"/>
        <v/>
      </c>
      <c r="I334" s="39" t="str">
        <f ca="1">IFERROR(_xludf.XLOOKUP(E334,Bank_Statement!$D$4:$D$448,Bank_Statement!$B$4:$B$448,""),"")</f>
        <v/>
      </c>
      <c r="J334" s="40" t="str">
        <f t="shared" ca="1" si="16"/>
        <v/>
      </c>
      <c r="K334" s="41" t="str">
        <f ca="1">IF(G334="","Unmatched ERP",IF(AND(ABS(H334)&lt;=Mapping_Rules!$B$4,ABS(J334)&lt;=Mapping_Rules!$B$5),"Matched","Review"))</f>
        <v>Unmatched ERP</v>
      </c>
      <c r="L334" s="41" t="str">
        <f ca="1">IF(K334="Matched","None",IF(G334="","Missing from bank",IF(ABS(H334)&gt;Mapping_Rules!$B$4,"Amount variance","Date variance")))</f>
        <v>Missing from bank</v>
      </c>
      <c r="M334" s="41" t="str">
        <f ca="1">IF(K334="Matched","Low",IF(OR(IFERROR(ABS(H334),0)&gt;Mapping_Rules!$B$7,IFERROR(J334,0)&gt;Mapping_Rules!$B$8),"High","Medium"))</f>
        <v>High</v>
      </c>
      <c r="N334" s="41" t="str">
        <f t="shared" ca="1" si="17"/>
        <v>Check bank date or posting</v>
      </c>
      <c r="O334" s="23" t="s">
        <v>131</v>
      </c>
      <c r="P334" s="23" t="s">
        <v>77</v>
      </c>
      <c r="Q334" s="23" t="s">
        <v>1689</v>
      </c>
      <c r="R334" s="42"/>
      <c r="S334" s="43">
        <f ca="1">IF(K334="Matched",0,Mapping_Rules!$B$6-B334)</f>
        <v>4</v>
      </c>
    </row>
    <row r="335" spans="1:19">
      <c r="A335" s="44" t="s">
        <v>835</v>
      </c>
      <c r="B335" s="45">
        <v>46045</v>
      </c>
      <c r="C335" s="44" t="s">
        <v>72</v>
      </c>
      <c r="D335" s="44" t="s">
        <v>204</v>
      </c>
      <c r="E335" s="44" t="s">
        <v>836</v>
      </c>
      <c r="F335" s="46">
        <v>-1716.14</v>
      </c>
      <c r="G335" s="47" t="str">
        <f ca="1">IFERROR(_xludf.XLOOKUP(E335,Bank_Statement!$D$4:$D$448,Bank_Statement!$G$4:$G$448,""),"")</f>
        <v/>
      </c>
      <c r="H335" s="46" t="str">
        <f t="shared" ca="1" si="15"/>
        <v/>
      </c>
      <c r="I335" s="48" t="str">
        <f ca="1">IFERROR(_xludf.XLOOKUP(E335,Bank_Statement!$D$4:$D$448,Bank_Statement!$B$4:$B$448,""),"")</f>
        <v/>
      </c>
      <c r="J335" s="49" t="str">
        <f t="shared" ca="1" si="16"/>
        <v/>
      </c>
      <c r="K335" s="50" t="str">
        <f ca="1">IF(G335="","Unmatched ERP",IF(AND(ABS(H335)&lt;=Mapping_Rules!$B$4,ABS(J335)&lt;=Mapping_Rules!$B$5),"Matched","Review"))</f>
        <v>Unmatched ERP</v>
      </c>
      <c r="L335" s="50" t="str">
        <f ca="1">IF(K335="Matched","None",IF(G335="","Missing from bank",IF(ABS(H335)&gt;Mapping_Rules!$B$4,"Amount variance","Date variance")))</f>
        <v>Missing from bank</v>
      </c>
      <c r="M335" s="50" t="str">
        <f ca="1">IF(K335="Matched","Low",IF(OR(IFERROR(ABS(H335),0)&gt;Mapping_Rules!$B$7,IFERROR(J335,0)&gt;Mapping_Rules!$B$8),"High","Medium"))</f>
        <v>High</v>
      </c>
      <c r="N335" s="50" t="str">
        <f t="shared" ca="1" si="17"/>
        <v>Check bank date or posting</v>
      </c>
      <c r="O335" s="44" t="s">
        <v>131</v>
      </c>
      <c r="P335" s="44" t="s">
        <v>77</v>
      </c>
      <c r="Q335" s="44" t="s">
        <v>1689</v>
      </c>
      <c r="R335" s="51"/>
      <c r="S335" s="52">
        <f ca="1">IF(K335="Matched",0,Mapping_Rules!$B$6-B335)</f>
        <v>8</v>
      </c>
    </row>
    <row r="336" spans="1:19">
      <c r="A336" s="23" t="s">
        <v>837</v>
      </c>
      <c r="B336" s="31">
        <v>46031</v>
      </c>
      <c r="C336" s="23" t="s">
        <v>99</v>
      </c>
      <c r="D336" s="23" t="s">
        <v>182</v>
      </c>
      <c r="E336" s="23" t="s">
        <v>838</v>
      </c>
      <c r="F336" s="32">
        <v>-4339.88</v>
      </c>
      <c r="G336" s="38" t="str">
        <f ca="1">IFERROR(_xludf.XLOOKUP(E336,Bank_Statement!$D$4:$D$448,Bank_Statement!$G$4:$G$448,""),"")</f>
        <v/>
      </c>
      <c r="H336" s="32" t="str">
        <f t="shared" ca="1" si="15"/>
        <v/>
      </c>
      <c r="I336" s="39" t="str">
        <f ca="1">IFERROR(_xludf.XLOOKUP(E336,Bank_Statement!$D$4:$D$448,Bank_Statement!$B$4:$B$448,""),"")</f>
        <v/>
      </c>
      <c r="J336" s="40" t="str">
        <f t="shared" ca="1" si="16"/>
        <v/>
      </c>
      <c r="K336" s="41" t="str">
        <f ca="1">IF(G336="","Unmatched ERP",IF(AND(ABS(H336)&lt;=Mapping_Rules!$B$4,ABS(J336)&lt;=Mapping_Rules!$B$5),"Matched","Review"))</f>
        <v>Unmatched ERP</v>
      </c>
      <c r="L336" s="41" t="str">
        <f ca="1">IF(K336="Matched","None",IF(G336="","Missing from bank",IF(ABS(H336)&gt;Mapping_Rules!$B$4,"Amount variance","Date variance")))</f>
        <v>Missing from bank</v>
      </c>
      <c r="M336" s="41" t="str">
        <f ca="1">IF(K336="Matched","Low",IF(OR(IFERROR(ABS(H336),0)&gt;Mapping_Rules!$B$7,IFERROR(J336,0)&gt;Mapping_Rules!$B$8),"High","Medium"))</f>
        <v>High</v>
      </c>
      <c r="N336" s="41" t="str">
        <f t="shared" ca="1" si="17"/>
        <v>Check bank date or posting</v>
      </c>
      <c r="O336" s="23" t="s">
        <v>185</v>
      </c>
      <c r="P336" s="23" t="s">
        <v>95</v>
      </c>
      <c r="Q336" s="23" t="s">
        <v>1689</v>
      </c>
      <c r="R336" s="42"/>
      <c r="S336" s="43">
        <f ca="1">IF(K336="Matched",0,Mapping_Rules!$B$6-B336)</f>
        <v>22</v>
      </c>
    </row>
    <row r="337" spans="1:19">
      <c r="A337" s="44" t="s">
        <v>839</v>
      </c>
      <c r="B337" s="45">
        <v>46047</v>
      </c>
      <c r="C337" s="44" t="s">
        <v>99</v>
      </c>
      <c r="D337" s="44" t="s">
        <v>182</v>
      </c>
      <c r="E337" s="44" t="s">
        <v>840</v>
      </c>
      <c r="F337" s="46">
        <v>-8194.16</v>
      </c>
      <c r="G337" s="47" t="str">
        <f ca="1">IFERROR(_xludf.XLOOKUP(E337,Bank_Statement!$D$4:$D$448,Bank_Statement!$G$4:$G$448,""),"")</f>
        <v/>
      </c>
      <c r="H337" s="46" t="str">
        <f t="shared" ca="1" si="15"/>
        <v/>
      </c>
      <c r="I337" s="48" t="str">
        <f ca="1">IFERROR(_xludf.XLOOKUP(E337,Bank_Statement!$D$4:$D$448,Bank_Statement!$B$4:$B$448,""),"")</f>
        <v/>
      </c>
      <c r="J337" s="49" t="str">
        <f t="shared" ca="1" si="16"/>
        <v/>
      </c>
      <c r="K337" s="50" t="str">
        <f ca="1">IF(G337="","Unmatched ERP",IF(AND(ABS(H337)&lt;=Mapping_Rules!$B$4,ABS(J337)&lt;=Mapping_Rules!$B$5),"Matched","Review"))</f>
        <v>Unmatched ERP</v>
      </c>
      <c r="L337" s="50" t="str">
        <f ca="1">IF(K337="Matched","None",IF(G337="","Missing from bank",IF(ABS(H337)&gt;Mapping_Rules!$B$4,"Amount variance","Date variance")))</f>
        <v>Missing from bank</v>
      </c>
      <c r="M337" s="50" t="str">
        <f ca="1">IF(K337="Matched","Low",IF(OR(IFERROR(ABS(H337),0)&gt;Mapping_Rules!$B$7,IFERROR(J337,0)&gt;Mapping_Rules!$B$8),"High","Medium"))</f>
        <v>High</v>
      </c>
      <c r="N337" s="50" t="str">
        <f t="shared" ca="1" si="17"/>
        <v>Check bank date or posting</v>
      </c>
      <c r="O337" s="44" t="s">
        <v>185</v>
      </c>
      <c r="P337" s="44" t="s">
        <v>95</v>
      </c>
      <c r="Q337" s="44" t="s">
        <v>1689</v>
      </c>
      <c r="R337" s="51"/>
      <c r="S337" s="52">
        <f ca="1">IF(K337="Matched",0,Mapping_Rules!$B$6-B337)</f>
        <v>6</v>
      </c>
    </row>
    <row r="338" spans="1:19">
      <c r="A338" s="23" t="s">
        <v>841</v>
      </c>
      <c r="B338" s="31">
        <v>46025</v>
      </c>
      <c r="C338" s="23" t="s">
        <v>81</v>
      </c>
      <c r="D338" s="23" t="s">
        <v>220</v>
      </c>
      <c r="E338" s="23" t="s">
        <v>842</v>
      </c>
      <c r="F338" s="32">
        <v>3513.8</v>
      </c>
      <c r="G338" s="38" t="str">
        <f ca="1">IFERROR(_xludf.XLOOKUP(E338,Bank_Statement!$D$4:$D$448,Bank_Statement!$G$4:$G$448,""),"")</f>
        <v/>
      </c>
      <c r="H338" s="32" t="str">
        <f t="shared" ca="1" si="15"/>
        <v/>
      </c>
      <c r="I338" s="39" t="str">
        <f ca="1">IFERROR(_xludf.XLOOKUP(E338,Bank_Statement!$D$4:$D$448,Bank_Statement!$B$4:$B$448,""),"")</f>
        <v/>
      </c>
      <c r="J338" s="40" t="str">
        <f t="shared" ca="1" si="16"/>
        <v/>
      </c>
      <c r="K338" s="41" t="str">
        <f ca="1">IF(G338="","Unmatched ERP",IF(AND(ABS(H338)&lt;=Mapping_Rules!$B$4,ABS(J338)&lt;=Mapping_Rules!$B$5),"Matched","Review"))</f>
        <v>Unmatched ERP</v>
      </c>
      <c r="L338" s="41" t="str">
        <f ca="1">IF(K338="Matched","None",IF(G338="","Missing from bank",IF(ABS(H338)&gt;Mapping_Rules!$B$4,"Amount variance","Date variance")))</f>
        <v>Missing from bank</v>
      </c>
      <c r="M338" s="41" t="str">
        <f ca="1">IF(K338="Matched","Low",IF(OR(IFERROR(ABS(H338),0)&gt;Mapping_Rules!$B$7,IFERROR(J338,0)&gt;Mapping_Rules!$B$8),"High","Medium"))</f>
        <v>High</v>
      </c>
      <c r="N338" s="41" t="str">
        <f t="shared" ca="1" si="17"/>
        <v>Check bank date or posting</v>
      </c>
      <c r="O338" s="23" t="s">
        <v>158</v>
      </c>
      <c r="P338" s="23" t="s">
        <v>86</v>
      </c>
      <c r="Q338" s="23" t="s">
        <v>1689</v>
      </c>
      <c r="R338" s="42"/>
      <c r="S338" s="43">
        <f ca="1">IF(K338="Matched",0,Mapping_Rules!$B$6-B338)</f>
        <v>28</v>
      </c>
    </row>
    <row r="339" spans="1:19">
      <c r="A339" s="44" t="s">
        <v>843</v>
      </c>
      <c r="B339" s="45">
        <v>46023</v>
      </c>
      <c r="C339" s="44" t="s">
        <v>99</v>
      </c>
      <c r="D339" s="44" t="s">
        <v>182</v>
      </c>
      <c r="E339" s="44" t="s">
        <v>844</v>
      </c>
      <c r="F339" s="46">
        <v>-14783.93</v>
      </c>
      <c r="G339" s="47" t="str">
        <f ca="1">IFERROR(_xludf.XLOOKUP(E339,Bank_Statement!$D$4:$D$448,Bank_Statement!$G$4:$G$448,""),"")</f>
        <v/>
      </c>
      <c r="H339" s="46" t="str">
        <f t="shared" ca="1" si="15"/>
        <v/>
      </c>
      <c r="I339" s="48" t="str">
        <f ca="1">IFERROR(_xludf.XLOOKUP(E339,Bank_Statement!$D$4:$D$448,Bank_Statement!$B$4:$B$448,""),"")</f>
        <v/>
      </c>
      <c r="J339" s="49" t="str">
        <f t="shared" ca="1" si="16"/>
        <v/>
      </c>
      <c r="K339" s="50" t="str">
        <f ca="1">IF(G339="","Unmatched ERP",IF(AND(ABS(H339)&lt;=Mapping_Rules!$B$4,ABS(J339)&lt;=Mapping_Rules!$B$5),"Matched","Review"))</f>
        <v>Unmatched ERP</v>
      </c>
      <c r="L339" s="50" t="str">
        <f ca="1">IF(K339="Matched","None",IF(G339="","Missing from bank",IF(ABS(H339)&gt;Mapping_Rules!$B$4,"Amount variance","Date variance")))</f>
        <v>Missing from bank</v>
      </c>
      <c r="M339" s="50" t="str">
        <f ca="1">IF(K339="Matched","Low",IF(OR(IFERROR(ABS(H339),0)&gt;Mapping_Rules!$B$7,IFERROR(J339,0)&gt;Mapping_Rules!$B$8),"High","Medium"))</f>
        <v>High</v>
      </c>
      <c r="N339" s="50" t="str">
        <f t="shared" ca="1" si="17"/>
        <v>Check bank date or posting</v>
      </c>
      <c r="O339" s="44" t="s">
        <v>185</v>
      </c>
      <c r="P339" s="44" t="s">
        <v>95</v>
      </c>
      <c r="Q339" s="44" t="s">
        <v>1689</v>
      </c>
      <c r="R339" s="51"/>
      <c r="S339" s="52">
        <f ca="1">IF(K339="Matched",0,Mapping_Rules!$B$6-B339)</f>
        <v>30</v>
      </c>
    </row>
    <row r="340" spans="1:19">
      <c r="A340" s="23" t="s">
        <v>845</v>
      </c>
      <c r="B340" s="31">
        <v>46048</v>
      </c>
      <c r="C340" s="23" t="s">
        <v>81</v>
      </c>
      <c r="D340" s="23" t="s">
        <v>173</v>
      </c>
      <c r="E340" s="23" t="s">
        <v>846</v>
      </c>
      <c r="F340" s="32">
        <v>8233.8700000000008</v>
      </c>
      <c r="G340" s="38" t="str">
        <f ca="1">IFERROR(_xludf.XLOOKUP(E340,Bank_Statement!$D$4:$D$448,Bank_Statement!$G$4:$G$448,""),"")</f>
        <v/>
      </c>
      <c r="H340" s="32" t="str">
        <f t="shared" ca="1" si="15"/>
        <v/>
      </c>
      <c r="I340" s="39" t="str">
        <f ca="1">IFERROR(_xludf.XLOOKUP(E340,Bank_Statement!$D$4:$D$448,Bank_Statement!$B$4:$B$448,""),"")</f>
        <v/>
      </c>
      <c r="J340" s="40" t="str">
        <f t="shared" ca="1" si="16"/>
        <v/>
      </c>
      <c r="K340" s="41" t="str">
        <f ca="1">IF(G340="","Unmatched ERP",IF(AND(ABS(H340)&lt;=Mapping_Rules!$B$4,ABS(J340)&lt;=Mapping_Rules!$B$5),"Matched","Review"))</f>
        <v>Unmatched ERP</v>
      </c>
      <c r="L340" s="41" t="str">
        <f ca="1">IF(K340="Matched","None",IF(G340="","Missing from bank",IF(ABS(H340)&gt;Mapping_Rules!$B$4,"Amount variance","Date variance")))</f>
        <v>Missing from bank</v>
      </c>
      <c r="M340" s="41" t="str">
        <f ca="1">IF(K340="Matched","Low",IF(OR(IFERROR(ABS(H340),0)&gt;Mapping_Rules!$B$7,IFERROR(J340,0)&gt;Mapping_Rules!$B$8),"High","Medium"))</f>
        <v>High</v>
      </c>
      <c r="N340" s="41" t="str">
        <f t="shared" ca="1" si="17"/>
        <v>Check bank date or posting</v>
      </c>
      <c r="O340" s="23" t="s">
        <v>158</v>
      </c>
      <c r="P340" s="23" t="s">
        <v>86</v>
      </c>
      <c r="Q340" s="23" t="s">
        <v>1689</v>
      </c>
      <c r="R340" s="42"/>
      <c r="S340" s="43">
        <f ca="1">IF(K340="Matched",0,Mapping_Rules!$B$6-B340)</f>
        <v>5</v>
      </c>
    </row>
    <row r="341" spans="1:19">
      <c r="A341" s="44" t="s">
        <v>847</v>
      </c>
      <c r="B341" s="45">
        <v>46041</v>
      </c>
      <c r="C341" s="44" t="s">
        <v>72</v>
      </c>
      <c r="D341" s="44" t="s">
        <v>139</v>
      </c>
      <c r="E341" s="44" t="s">
        <v>848</v>
      </c>
      <c r="F341" s="46">
        <v>-3050.27</v>
      </c>
      <c r="G341" s="47" t="str">
        <f ca="1">IFERROR(_xludf.XLOOKUP(E341,Bank_Statement!$D$4:$D$448,Bank_Statement!$G$4:$G$448,""),"")</f>
        <v/>
      </c>
      <c r="H341" s="46" t="str">
        <f t="shared" ca="1" si="15"/>
        <v/>
      </c>
      <c r="I341" s="48" t="str">
        <f ca="1">IFERROR(_xludf.XLOOKUP(E341,Bank_Statement!$D$4:$D$448,Bank_Statement!$B$4:$B$448,""),"")</f>
        <v/>
      </c>
      <c r="J341" s="49" t="str">
        <f t="shared" ca="1" si="16"/>
        <v/>
      </c>
      <c r="K341" s="50" t="str">
        <f ca="1">IF(G341="","Unmatched ERP",IF(AND(ABS(H341)&lt;=Mapping_Rules!$B$4,ABS(J341)&lt;=Mapping_Rules!$B$5),"Matched","Review"))</f>
        <v>Unmatched ERP</v>
      </c>
      <c r="L341" s="50" t="str">
        <f ca="1">IF(K341="Matched","None",IF(G341="","Missing from bank",IF(ABS(H341)&gt;Mapping_Rules!$B$4,"Amount variance","Date variance")))</f>
        <v>Missing from bank</v>
      </c>
      <c r="M341" s="50" t="str">
        <f ca="1">IF(K341="Matched","Low",IF(OR(IFERROR(ABS(H341),0)&gt;Mapping_Rules!$B$7,IFERROR(J341,0)&gt;Mapping_Rules!$B$8),"High","Medium"))</f>
        <v>High</v>
      </c>
      <c r="N341" s="50" t="str">
        <f t="shared" ca="1" si="17"/>
        <v>Check bank date or posting</v>
      </c>
      <c r="O341" s="44" t="s">
        <v>131</v>
      </c>
      <c r="P341" s="44" t="s">
        <v>77</v>
      </c>
      <c r="Q341" s="44" t="s">
        <v>1689</v>
      </c>
      <c r="R341" s="51"/>
      <c r="S341" s="52">
        <f ca="1">IF(K341="Matched",0,Mapping_Rules!$B$6-B341)</f>
        <v>12</v>
      </c>
    </row>
    <row r="342" spans="1:19">
      <c r="A342" s="23" t="s">
        <v>849</v>
      </c>
      <c r="B342" s="31">
        <v>46037</v>
      </c>
      <c r="C342" s="23" t="s">
        <v>81</v>
      </c>
      <c r="D342" s="23" t="s">
        <v>163</v>
      </c>
      <c r="E342" s="23" t="s">
        <v>850</v>
      </c>
      <c r="F342" s="32">
        <v>1839.36</v>
      </c>
      <c r="G342" s="38" t="str">
        <f ca="1">IFERROR(_xludf.XLOOKUP(E342,Bank_Statement!$D$4:$D$448,Bank_Statement!$G$4:$G$448,""),"")</f>
        <v/>
      </c>
      <c r="H342" s="32" t="str">
        <f t="shared" ca="1" si="15"/>
        <v/>
      </c>
      <c r="I342" s="39" t="str">
        <f ca="1">IFERROR(_xludf.XLOOKUP(E342,Bank_Statement!$D$4:$D$448,Bank_Statement!$B$4:$B$448,""),"")</f>
        <v/>
      </c>
      <c r="J342" s="40" t="str">
        <f t="shared" ca="1" si="16"/>
        <v/>
      </c>
      <c r="K342" s="41" t="str">
        <f ca="1">IF(G342="","Unmatched ERP",IF(AND(ABS(H342)&lt;=Mapping_Rules!$B$4,ABS(J342)&lt;=Mapping_Rules!$B$5),"Matched","Review"))</f>
        <v>Unmatched ERP</v>
      </c>
      <c r="L342" s="41" t="str">
        <f ca="1">IF(K342="Matched","None",IF(G342="","Missing from bank",IF(ABS(H342)&gt;Mapping_Rules!$B$4,"Amount variance","Date variance")))</f>
        <v>Missing from bank</v>
      </c>
      <c r="M342" s="41" t="str">
        <f ca="1">IF(K342="Matched","Low",IF(OR(IFERROR(ABS(H342),0)&gt;Mapping_Rules!$B$7,IFERROR(J342,0)&gt;Mapping_Rules!$B$8),"High","Medium"))</f>
        <v>High</v>
      </c>
      <c r="N342" s="41" t="str">
        <f t="shared" ca="1" si="17"/>
        <v>Check bank date or posting</v>
      </c>
      <c r="O342" s="23" t="s">
        <v>158</v>
      </c>
      <c r="P342" s="23" t="s">
        <v>86</v>
      </c>
      <c r="Q342" s="23" t="s">
        <v>1689</v>
      </c>
      <c r="R342" s="42"/>
      <c r="S342" s="43">
        <f ca="1">IF(K342="Matched",0,Mapping_Rules!$B$6-B342)</f>
        <v>16</v>
      </c>
    </row>
    <row r="343" spans="1:19">
      <c r="A343" s="44" t="s">
        <v>851</v>
      </c>
      <c r="B343" s="45">
        <v>46034</v>
      </c>
      <c r="C343" s="44" t="s">
        <v>72</v>
      </c>
      <c r="D343" s="44" t="s">
        <v>208</v>
      </c>
      <c r="E343" s="44" t="s">
        <v>852</v>
      </c>
      <c r="F343" s="46">
        <v>-4146.79</v>
      </c>
      <c r="G343" s="47" t="str">
        <f ca="1">IFERROR(_xludf.XLOOKUP(E343,Bank_Statement!$D$4:$D$448,Bank_Statement!$G$4:$G$448,""),"")</f>
        <v/>
      </c>
      <c r="H343" s="46" t="str">
        <f t="shared" ca="1" si="15"/>
        <v/>
      </c>
      <c r="I343" s="48" t="str">
        <f ca="1">IFERROR(_xludf.XLOOKUP(E343,Bank_Statement!$D$4:$D$448,Bank_Statement!$B$4:$B$448,""),"")</f>
        <v/>
      </c>
      <c r="J343" s="49" t="str">
        <f t="shared" ca="1" si="16"/>
        <v/>
      </c>
      <c r="K343" s="50" t="str">
        <f ca="1">IF(G343="","Unmatched ERP",IF(AND(ABS(H343)&lt;=Mapping_Rules!$B$4,ABS(J343)&lt;=Mapping_Rules!$B$5),"Matched","Review"))</f>
        <v>Unmatched ERP</v>
      </c>
      <c r="L343" s="50" t="str">
        <f ca="1">IF(K343="Matched","None",IF(G343="","Missing from bank",IF(ABS(H343)&gt;Mapping_Rules!$B$4,"Amount variance","Date variance")))</f>
        <v>Missing from bank</v>
      </c>
      <c r="M343" s="50" t="str">
        <f ca="1">IF(K343="Matched","Low",IF(OR(IFERROR(ABS(H343),0)&gt;Mapping_Rules!$B$7,IFERROR(J343,0)&gt;Mapping_Rules!$B$8),"High","Medium"))</f>
        <v>High</v>
      </c>
      <c r="N343" s="50" t="str">
        <f t="shared" ca="1" si="17"/>
        <v>Check bank date or posting</v>
      </c>
      <c r="O343" s="44" t="s">
        <v>131</v>
      </c>
      <c r="P343" s="44" t="s">
        <v>77</v>
      </c>
      <c r="Q343" s="44" t="s">
        <v>1689</v>
      </c>
      <c r="R343" s="51"/>
      <c r="S343" s="52">
        <f ca="1">IF(K343="Matched",0,Mapping_Rules!$B$6-B343)</f>
        <v>19</v>
      </c>
    </row>
    <row r="344" spans="1:19">
      <c r="A344" s="23" t="s">
        <v>853</v>
      </c>
      <c r="B344" s="31">
        <v>46047</v>
      </c>
      <c r="C344" s="23" t="s">
        <v>72</v>
      </c>
      <c r="D344" s="23" t="s">
        <v>126</v>
      </c>
      <c r="E344" s="23" t="s">
        <v>854</v>
      </c>
      <c r="F344" s="32">
        <v>-638.14</v>
      </c>
      <c r="G344" s="38" t="str">
        <f ca="1">IFERROR(_xludf.XLOOKUP(E344,Bank_Statement!$D$4:$D$448,Bank_Statement!$G$4:$G$448,""),"")</f>
        <v/>
      </c>
      <c r="H344" s="32" t="str">
        <f t="shared" ca="1" si="15"/>
        <v/>
      </c>
      <c r="I344" s="39" t="str">
        <f ca="1">IFERROR(_xludf.XLOOKUP(E344,Bank_Statement!$D$4:$D$448,Bank_Statement!$B$4:$B$448,""),"")</f>
        <v/>
      </c>
      <c r="J344" s="40" t="str">
        <f t="shared" ca="1" si="16"/>
        <v/>
      </c>
      <c r="K344" s="41" t="str">
        <f ca="1">IF(G344="","Unmatched ERP",IF(AND(ABS(H344)&lt;=Mapping_Rules!$B$4,ABS(J344)&lt;=Mapping_Rules!$B$5),"Matched","Review"))</f>
        <v>Unmatched ERP</v>
      </c>
      <c r="L344" s="41" t="str">
        <f ca="1">IF(K344="Matched","None",IF(G344="","Missing from bank",IF(ABS(H344)&gt;Mapping_Rules!$B$4,"Amount variance","Date variance")))</f>
        <v>Missing from bank</v>
      </c>
      <c r="M344" s="41" t="str">
        <f ca="1">IF(K344="Matched","Low",IF(OR(IFERROR(ABS(H344),0)&gt;Mapping_Rules!$B$7,IFERROR(J344,0)&gt;Mapping_Rules!$B$8),"High","Medium"))</f>
        <v>High</v>
      </c>
      <c r="N344" s="41" t="str">
        <f t="shared" ca="1" si="17"/>
        <v>Check bank date or posting</v>
      </c>
      <c r="O344" s="23" t="s">
        <v>131</v>
      </c>
      <c r="P344" s="23" t="s">
        <v>77</v>
      </c>
      <c r="Q344" s="23" t="s">
        <v>1689</v>
      </c>
      <c r="R344" s="42"/>
      <c r="S344" s="43">
        <f ca="1">IF(K344="Matched",0,Mapping_Rules!$B$6-B344)</f>
        <v>6</v>
      </c>
    </row>
    <row r="345" spans="1:19">
      <c r="A345" s="44" t="s">
        <v>855</v>
      </c>
      <c r="B345" s="45">
        <v>46030</v>
      </c>
      <c r="C345" s="44" t="s">
        <v>81</v>
      </c>
      <c r="D345" s="44" t="s">
        <v>163</v>
      </c>
      <c r="E345" s="44" t="s">
        <v>856</v>
      </c>
      <c r="F345" s="46">
        <v>227.55</v>
      </c>
      <c r="G345" s="47" t="str">
        <f ca="1">IFERROR(_xludf.XLOOKUP(E345,Bank_Statement!$D$4:$D$448,Bank_Statement!$G$4:$G$448,""),"")</f>
        <v/>
      </c>
      <c r="H345" s="46" t="str">
        <f t="shared" ca="1" si="15"/>
        <v/>
      </c>
      <c r="I345" s="48" t="str">
        <f ca="1">IFERROR(_xludf.XLOOKUP(E345,Bank_Statement!$D$4:$D$448,Bank_Statement!$B$4:$B$448,""),"")</f>
        <v/>
      </c>
      <c r="J345" s="49" t="str">
        <f t="shared" ca="1" si="16"/>
        <v/>
      </c>
      <c r="K345" s="50" t="str">
        <f ca="1">IF(G345="","Unmatched ERP",IF(AND(ABS(H345)&lt;=Mapping_Rules!$B$4,ABS(J345)&lt;=Mapping_Rules!$B$5),"Matched","Review"))</f>
        <v>Unmatched ERP</v>
      </c>
      <c r="L345" s="50" t="str">
        <f ca="1">IF(K345="Matched","None",IF(G345="","Missing from bank",IF(ABS(H345)&gt;Mapping_Rules!$B$4,"Amount variance","Date variance")))</f>
        <v>Missing from bank</v>
      </c>
      <c r="M345" s="50" t="str">
        <f ca="1">IF(K345="Matched","Low",IF(OR(IFERROR(ABS(H345),0)&gt;Mapping_Rules!$B$7,IFERROR(J345,0)&gt;Mapping_Rules!$B$8),"High","Medium"))</f>
        <v>High</v>
      </c>
      <c r="N345" s="50" t="str">
        <f t="shared" ca="1" si="17"/>
        <v>Check bank date or posting</v>
      </c>
      <c r="O345" s="44" t="s">
        <v>158</v>
      </c>
      <c r="P345" s="44" t="s">
        <v>86</v>
      </c>
      <c r="Q345" s="44" t="s">
        <v>1689</v>
      </c>
      <c r="R345" s="51"/>
      <c r="S345" s="52">
        <f ca="1">IF(K345="Matched",0,Mapping_Rules!$B$6-B345)</f>
        <v>23</v>
      </c>
    </row>
    <row r="346" spans="1:19">
      <c r="A346" s="23" t="s">
        <v>857</v>
      </c>
      <c r="B346" s="31">
        <v>46036</v>
      </c>
      <c r="C346" s="23" t="s">
        <v>90</v>
      </c>
      <c r="D346" s="23" t="s">
        <v>220</v>
      </c>
      <c r="E346" s="23" t="s">
        <v>858</v>
      </c>
      <c r="F346" s="32">
        <v>400.6</v>
      </c>
      <c r="G346" s="38" t="str">
        <f ca="1">IFERROR(_xludf.XLOOKUP(E346,Bank_Statement!$D$4:$D$448,Bank_Statement!$G$4:$G$448,""),"")</f>
        <v/>
      </c>
      <c r="H346" s="32" t="str">
        <f t="shared" ca="1" si="15"/>
        <v/>
      </c>
      <c r="I346" s="39" t="str">
        <f ca="1">IFERROR(_xludf.XLOOKUP(E346,Bank_Statement!$D$4:$D$448,Bank_Statement!$B$4:$B$448,""),"")</f>
        <v/>
      </c>
      <c r="J346" s="40" t="str">
        <f t="shared" ca="1" si="16"/>
        <v/>
      </c>
      <c r="K346" s="41" t="str">
        <f ca="1">IF(G346="","Unmatched ERP",IF(AND(ABS(H346)&lt;=Mapping_Rules!$B$4,ABS(J346)&lt;=Mapping_Rules!$B$5),"Matched","Review"))</f>
        <v>Unmatched ERP</v>
      </c>
      <c r="L346" s="41" t="str">
        <f ca="1">IF(K346="Matched","None",IF(G346="","Missing from bank",IF(ABS(H346)&gt;Mapping_Rules!$B$4,"Amount variance","Date variance")))</f>
        <v>Missing from bank</v>
      </c>
      <c r="M346" s="41" t="str">
        <f ca="1">IF(K346="Matched","Low",IF(OR(IFERROR(ABS(H346),0)&gt;Mapping_Rules!$B$7,IFERROR(J346,0)&gt;Mapping_Rules!$B$8),"High","Medium"))</f>
        <v>High</v>
      </c>
      <c r="N346" s="41" t="str">
        <f t="shared" ca="1" si="17"/>
        <v>Check bank date or posting</v>
      </c>
      <c r="O346" s="23" t="s">
        <v>158</v>
      </c>
      <c r="P346" s="23" t="s">
        <v>95</v>
      </c>
      <c r="Q346" s="23" t="s">
        <v>1689</v>
      </c>
      <c r="R346" s="42"/>
      <c r="S346" s="43">
        <f ca="1">IF(K346="Matched",0,Mapping_Rules!$B$6-B346)</f>
        <v>17</v>
      </c>
    </row>
    <row r="347" spans="1:19">
      <c r="A347" s="44" t="s">
        <v>859</v>
      </c>
      <c r="B347" s="45">
        <v>46047</v>
      </c>
      <c r="C347" s="44" t="s">
        <v>99</v>
      </c>
      <c r="D347" s="44" t="s">
        <v>182</v>
      </c>
      <c r="E347" s="44" t="s">
        <v>860</v>
      </c>
      <c r="F347" s="46">
        <v>-15180.21</v>
      </c>
      <c r="G347" s="47" t="str">
        <f ca="1">IFERROR(_xludf.XLOOKUP(E347,Bank_Statement!$D$4:$D$448,Bank_Statement!$G$4:$G$448,""),"")</f>
        <v/>
      </c>
      <c r="H347" s="46" t="str">
        <f t="shared" ca="1" si="15"/>
        <v/>
      </c>
      <c r="I347" s="48" t="str">
        <f ca="1">IFERROR(_xludf.XLOOKUP(E347,Bank_Statement!$D$4:$D$448,Bank_Statement!$B$4:$B$448,""),"")</f>
        <v/>
      </c>
      <c r="J347" s="49" t="str">
        <f t="shared" ca="1" si="16"/>
        <v/>
      </c>
      <c r="K347" s="50" t="str">
        <f ca="1">IF(G347="","Unmatched ERP",IF(AND(ABS(H347)&lt;=Mapping_Rules!$B$4,ABS(J347)&lt;=Mapping_Rules!$B$5),"Matched","Review"))</f>
        <v>Unmatched ERP</v>
      </c>
      <c r="L347" s="50" t="str">
        <f ca="1">IF(K347="Matched","None",IF(G347="","Missing from bank",IF(ABS(H347)&gt;Mapping_Rules!$B$4,"Amount variance","Date variance")))</f>
        <v>Missing from bank</v>
      </c>
      <c r="M347" s="50" t="str">
        <f ca="1">IF(K347="Matched","Low",IF(OR(IFERROR(ABS(H347),0)&gt;Mapping_Rules!$B$7,IFERROR(J347,0)&gt;Mapping_Rules!$B$8),"High","Medium"))</f>
        <v>High</v>
      </c>
      <c r="N347" s="50" t="str">
        <f t="shared" ca="1" si="17"/>
        <v>Check bank date or posting</v>
      </c>
      <c r="O347" s="44" t="s">
        <v>185</v>
      </c>
      <c r="P347" s="44" t="s">
        <v>95</v>
      </c>
      <c r="Q347" s="44" t="s">
        <v>1689</v>
      </c>
      <c r="R347" s="51"/>
      <c r="S347" s="52">
        <f ca="1">IF(K347="Matched",0,Mapping_Rules!$B$6-B347)</f>
        <v>6</v>
      </c>
    </row>
    <row r="348" spans="1:19">
      <c r="A348" s="23" t="s">
        <v>861</v>
      </c>
      <c r="B348" s="31">
        <v>46028</v>
      </c>
      <c r="C348" s="23" t="s">
        <v>81</v>
      </c>
      <c r="D348" s="23" t="s">
        <v>155</v>
      </c>
      <c r="E348" s="23" t="s">
        <v>862</v>
      </c>
      <c r="F348" s="32">
        <v>1929.01</v>
      </c>
      <c r="G348" s="38" t="str">
        <f ca="1">IFERROR(_xludf.XLOOKUP(E348,Bank_Statement!$D$4:$D$448,Bank_Statement!$G$4:$G$448,""),"")</f>
        <v/>
      </c>
      <c r="H348" s="32" t="str">
        <f t="shared" ca="1" si="15"/>
        <v/>
      </c>
      <c r="I348" s="39" t="str">
        <f ca="1">IFERROR(_xludf.XLOOKUP(E348,Bank_Statement!$D$4:$D$448,Bank_Statement!$B$4:$B$448,""),"")</f>
        <v/>
      </c>
      <c r="J348" s="40" t="str">
        <f t="shared" ca="1" si="16"/>
        <v/>
      </c>
      <c r="K348" s="41" t="str">
        <f ca="1">IF(G348="","Unmatched ERP",IF(AND(ABS(H348)&lt;=Mapping_Rules!$B$4,ABS(J348)&lt;=Mapping_Rules!$B$5),"Matched","Review"))</f>
        <v>Unmatched ERP</v>
      </c>
      <c r="L348" s="41" t="str">
        <f ca="1">IF(K348="Matched","None",IF(G348="","Missing from bank",IF(ABS(H348)&gt;Mapping_Rules!$B$4,"Amount variance","Date variance")))</f>
        <v>Missing from bank</v>
      </c>
      <c r="M348" s="41" t="str">
        <f ca="1">IF(K348="Matched","Low",IF(OR(IFERROR(ABS(H348),0)&gt;Mapping_Rules!$B$7,IFERROR(J348,0)&gt;Mapping_Rules!$B$8),"High","Medium"))</f>
        <v>High</v>
      </c>
      <c r="N348" s="41" t="str">
        <f t="shared" ca="1" si="17"/>
        <v>Check bank date or posting</v>
      </c>
      <c r="O348" s="23" t="s">
        <v>158</v>
      </c>
      <c r="P348" s="23" t="s">
        <v>86</v>
      </c>
      <c r="Q348" s="23" t="s">
        <v>1689</v>
      </c>
      <c r="R348" s="42"/>
      <c r="S348" s="43">
        <f ca="1">IF(K348="Matched",0,Mapping_Rules!$B$6-B348)</f>
        <v>25</v>
      </c>
    </row>
    <row r="349" spans="1:19">
      <c r="A349" s="44" t="s">
        <v>863</v>
      </c>
      <c r="B349" s="45">
        <v>46025</v>
      </c>
      <c r="C349" s="44" t="s">
        <v>99</v>
      </c>
      <c r="D349" s="44" t="s">
        <v>182</v>
      </c>
      <c r="E349" s="44" t="s">
        <v>864</v>
      </c>
      <c r="F349" s="46">
        <v>-4530.1899999999996</v>
      </c>
      <c r="G349" s="47" t="str">
        <f ca="1">IFERROR(_xludf.XLOOKUP(E349,Bank_Statement!$D$4:$D$448,Bank_Statement!$G$4:$G$448,""),"")</f>
        <v/>
      </c>
      <c r="H349" s="46" t="str">
        <f t="shared" ca="1" si="15"/>
        <v/>
      </c>
      <c r="I349" s="48" t="str">
        <f ca="1">IFERROR(_xludf.XLOOKUP(E349,Bank_Statement!$D$4:$D$448,Bank_Statement!$B$4:$B$448,""),"")</f>
        <v/>
      </c>
      <c r="J349" s="49" t="str">
        <f t="shared" ca="1" si="16"/>
        <v/>
      </c>
      <c r="K349" s="50" t="str">
        <f ca="1">IF(G349="","Unmatched ERP",IF(AND(ABS(H349)&lt;=Mapping_Rules!$B$4,ABS(J349)&lt;=Mapping_Rules!$B$5),"Matched","Review"))</f>
        <v>Unmatched ERP</v>
      </c>
      <c r="L349" s="50" t="str">
        <f ca="1">IF(K349="Matched","None",IF(G349="","Missing from bank",IF(ABS(H349)&gt;Mapping_Rules!$B$4,"Amount variance","Date variance")))</f>
        <v>Missing from bank</v>
      </c>
      <c r="M349" s="50" t="str">
        <f ca="1">IF(K349="Matched","Low",IF(OR(IFERROR(ABS(H349),0)&gt;Mapping_Rules!$B$7,IFERROR(J349,0)&gt;Mapping_Rules!$B$8),"High","Medium"))</f>
        <v>High</v>
      </c>
      <c r="N349" s="50" t="str">
        <f t="shared" ca="1" si="17"/>
        <v>Check bank date or posting</v>
      </c>
      <c r="O349" s="44" t="s">
        <v>185</v>
      </c>
      <c r="P349" s="44" t="s">
        <v>95</v>
      </c>
      <c r="Q349" s="44" t="s">
        <v>1689</v>
      </c>
      <c r="R349" s="51"/>
      <c r="S349" s="52">
        <f ca="1">IF(K349="Matched",0,Mapping_Rules!$B$6-B349)</f>
        <v>28</v>
      </c>
    </row>
    <row r="350" spans="1:19">
      <c r="A350" s="23" t="s">
        <v>865</v>
      </c>
      <c r="B350" s="31">
        <v>46033</v>
      </c>
      <c r="C350" s="23" t="s">
        <v>90</v>
      </c>
      <c r="D350" s="23" t="s">
        <v>150</v>
      </c>
      <c r="E350" s="23" t="s">
        <v>866</v>
      </c>
      <c r="F350" s="32">
        <v>1420.99</v>
      </c>
      <c r="G350" s="38" t="str">
        <f ca="1">IFERROR(_xludf.XLOOKUP(E350,Bank_Statement!$D$4:$D$448,Bank_Statement!$G$4:$G$448,""),"")</f>
        <v/>
      </c>
      <c r="H350" s="32" t="str">
        <f t="shared" ca="1" si="15"/>
        <v/>
      </c>
      <c r="I350" s="39" t="str">
        <f ca="1">IFERROR(_xludf.XLOOKUP(E350,Bank_Statement!$D$4:$D$448,Bank_Statement!$B$4:$B$448,""),"")</f>
        <v/>
      </c>
      <c r="J350" s="40" t="str">
        <f t="shared" ca="1" si="16"/>
        <v/>
      </c>
      <c r="K350" s="41" t="str">
        <f ca="1">IF(G350="","Unmatched ERP",IF(AND(ABS(H350)&lt;=Mapping_Rules!$B$4,ABS(J350)&lt;=Mapping_Rules!$B$5),"Matched","Review"))</f>
        <v>Unmatched ERP</v>
      </c>
      <c r="L350" s="41" t="str">
        <f ca="1">IF(K350="Matched","None",IF(G350="","Missing from bank",IF(ABS(H350)&gt;Mapping_Rules!$B$4,"Amount variance","Date variance")))</f>
        <v>Missing from bank</v>
      </c>
      <c r="M350" s="41" t="str">
        <f ca="1">IF(K350="Matched","Low",IF(OR(IFERROR(ABS(H350),0)&gt;Mapping_Rules!$B$7,IFERROR(J350,0)&gt;Mapping_Rules!$B$8),"High","Medium"))</f>
        <v>High</v>
      </c>
      <c r="N350" s="41" t="str">
        <f t="shared" ca="1" si="17"/>
        <v>Check bank date or posting</v>
      </c>
      <c r="O350" s="23" t="s">
        <v>867</v>
      </c>
      <c r="P350" s="23" t="s">
        <v>95</v>
      </c>
      <c r="Q350" s="23" t="s">
        <v>1689</v>
      </c>
      <c r="R350" s="42"/>
      <c r="S350" s="43">
        <f ca="1">IF(K350="Matched",0,Mapping_Rules!$B$6-B350)</f>
        <v>20</v>
      </c>
    </row>
    <row r="351" spans="1:19">
      <c r="A351" s="44" t="s">
        <v>868</v>
      </c>
      <c r="B351" s="45">
        <v>46032</v>
      </c>
      <c r="C351" s="44" t="s">
        <v>81</v>
      </c>
      <c r="D351" s="44" t="s">
        <v>173</v>
      </c>
      <c r="E351" s="44" t="s">
        <v>869</v>
      </c>
      <c r="F351" s="46">
        <v>4282.3100000000004</v>
      </c>
      <c r="G351" s="47" t="str">
        <f ca="1">IFERROR(_xludf.XLOOKUP(E351,Bank_Statement!$D$4:$D$448,Bank_Statement!$G$4:$G$448,""),"")</f>
        <v/>
      </c>
      <c r="H351" s="46" t="str">
        <f t="shared" ca="1" si="15"/>
        <v/>
      </c>
      <c r="I351" s="48" t="str">
        <f ca="1">IFERROR(_xludf.XLOOKUP(E351,Bank_Statement!$D$4:$D$448,Bank_Statement!$B$4:$B$448,""),"")</f>
        <v/>
      </c>
      <c r="J351" s="49" t="str">
        <f t="shared" ca="1" si="16"/>
        <v/>
      </c>
      <c r="K351" s="50" t="str">
        <f ca="1">IF(G351="","Unmatched ERP",IF(AND(ABS(H351)&lt;=Mapping_Rules!$B$4,ABS(J351)&lt;=Mapping_Rules!$B$5),"Matched","Review"))</f>
        <v>Unmatched ERP</v>
      </c>
      <c r="L351" s="50" t="str">
        <f ca="1">IF(K351="Matched","None",IF(G351="","Missing from bank",IF(ABS(H351)&gt;Mapping_Rules!$B$4,"Amount variance","Date variance")))</f>
        <v>Missing from bank</v>
      </c>
      <c r="M351" s="50" t="str">
        <f ca="1">IF(K351="Matched","Low",IF(OR(IFERROR(ABS(H351),0)&gt;Mapping_Rules!$B$7,IFERROR(J351,0)&gt;Mapping_Rules!$B$8),"High","Medium"))</f>
        <v>High</v>
      </c>
      <c r="N351" s="50" t="str">
        <f t="shared" ca="1" si="17"/>
        <v>Check bank date or posting</v>
      </c>
      <c r="O351" s="44" t="s">
        <v>158</v>
      </c>
      <c r="P351" s="44" t="s">
        <v>86</v>
      </c>
      <c r="Q351" s="44" t="s">
        <v>1689</v>
      </c>
      <c r="R351" s="51"/>
      <c r="S351" s="52">
        <f ca="1">IF(K351="Matched",0,Mapping_Rules!$B$6-B351)</f>
        <v>21</v>
      </c>
    </row>
    <row r="352" spans="1:19">
      <c r="A352" s="23" t="s">
        <v>870</v>
      </c>
      <c r="B352" s="31">
        <v>46023</v>
      </c>
      <c r="C352" s="23" t="s">
        <v>107</v>
      </c>
      <c r="D352" s="23" t="s">
        <v>191</v>
      </c>
      <c r="E352" s="23" t="s">
        <v>871</v>
      </c>
      <c r="F352" s="32">
        <v>-112.4</v>
      </c>
      <c r="G352" s="38" t="str">
        <f ca="1">IFERROR(_xludf.XLOOKUP(E352,Bank_Statement!$D$4:$D$448,Bank_Statement!$G$4:$G$448,""),"")</f>
        <v/>
      </c>
      <c r="H352" s="32" t="str">
        <f t="shared" ca="1" si="15"/>
        <v/>
      </c>
      <c r="I352" s="39" t="str">
        <f ca="1">IFERROR(_xludf.XLOOKUP(E352,Bank_Statement!$D$4:$D$448,Bank_Statement!$B$4:$B$448,""),"")</f>
        <v/>
      </c>
      <c r="J352" s="40" t="str">
        <f t="shared" ca="1" si="16"/>
        <v/>
      </c>
      <c r="K352" s="41" t="str">
        <f ca="1">IF(G352="","Unmatched ERP",IF(AND(ABS(H352)&lt;=Mapping_Rules!$B$4,ABS(J352)&lt;=Mapping_Rules!$B$5),"Matched","Review"))</f>
        <v>Unmatched ERP</v>
      </c>
      <c r="L352" s="41" t="str">
        <f ca="1">IF(K352="Matched","None",IF(G352="","Missing from bank",IF(ABS(H352)&gt;Mapping_Rules!$B$4,"Amount variance","Date variance")))</f>
        <v>Missing from bank</v>
      </c>
      <c r="M352" s="41" t="str">
        <f ca="1">IF(K352="Matched","Low",IF(OR(IFERROR(ABS(H352),0)&gt;Mapping_Rules!$B$7,IFERROR(J352,0)&gt;Mapping_Rules!$B$8),"High","Medium"))</f>
        <v>High</v>
      </c>
      <c r="N352" s="41" t="str">
        <f t="shared" ca="1" si="17"/>
        <v>Check bank date or posting</v>
      </c>
      <c r="O352" s="23" t="s">
        <v>194</v>
      </c>
      <c r="P352" s="23" t="s">
        <v>95</v>
      </c>
      <c r="Q352" s="23" t="s">
        <v>1689</v>
      </c>
      <c r="R352" s="42"/>
      <c r="S352" s="43">
        <f ca="1">IF(K352="Matched",0,Mapping_Rules!$B$6-B352)</f>
        <v>30</v>
      </c>
    </row>
    <row r="353" spans="1:19">
      <c r="A353" s="44" t="s">
        <v>872</v>
      </c>
      <c r="B353" s="45">
        <v>46041</v>
      </c>
      <c r="C353" s="44" t="s">
        <v>81</v>
      </c>
      <c r="D353" s="44" t="s">
        <v>167</v>
      </c>
      <c r="E353" s="44" t="s">
        <v>873</v>
      </c>
      <c r="F353" s="46">
        <v>5852.57</v>
      </c>
      <c r="G353" s="47" t="str">
        <f ca="1">IFERROR(_xludf.XLOOKUP(E353,Bank_Statement!$D$4:$D$448,Bank_Statement!$G$4:$G$448,""),"")</f>
        <v/>
      </c>
      <c r="H353" s="46" t="str">
        <f t="shared" ca="1" si="15"/>
        <v/>
      </c>
      <c r="I353" s="48" t="str">
        <f ca="1">IFERROR(_xludf.XLOOKUP(E353,Bank_Statement!$D$4:$D$448,Bank_Statement!$B$4:$B$448,""),"")</f>
        <v/>
      </c>
      <c r="J353" s="49" t="str">
        <f t="shared" ca="1" si="16"/>
        <v/>
      </c>
      <c r="K353" s="50" t="str">
        <f ca="1">IF(G353="","Unmatched ERP",IF(AND(ABS(H353)&lt;=Mapping_Rules!$B$4,ABS(J353)&lt;=Mapping_Rules!$B$5),"Matched","Review"))</f>
        <v>Unmatched ERP</v>
      </c>
      <c r="L353" s="50" t="str">
        <f ca="1">IF(K353="Matched","None",IF(G353="","Missing from bank",IF(ABS(H353)&gt;Mapping_Rules!$B$4,"Amount variance","Date variance")))</f>
        <v>Missing from bank</v>
      </c>
      <c r="M353" s="50" t="str">
        <f ca="1">IF(K353="Matched","Low",IF(OR(IFERROR(ABS(H353),0)&gt;Mapping_Rules!$B$7,IFERROR(J353,0)&gt;Mapping_Rules!$B$8),"High","Medium"))</f>
        <v>High</v>
      </c>
      <c r="N353" s="50" t="str">
        <f t="shared" ca="1" si="17"/>
        <v>Check bank date or posting</v>
      </c>
      <c r="O353" s="44" t="s">
        <v>158</v>
      </c>
      <c r="P353" s="44" t="s">
        <v>86</v>
      </c>
      <c r="Q353" s="44" t="s">
        <v>1689</v>
      </c>
      <c r="R353" s="51"/>
      <c r="S353" s="52">
        <f ca="1">IF(K353="Matched",0,Mapping_Rules!$B$6-B353)</f>
        <v>12</v>
      </c>
    </row>
    <row r="354" spans="1:19">
      <c r="A354" s="23" t="s">
        <v>874</v>
      </c>
      <c r="B354" s="31">
        <v>46024</v>
      </c>
      <c r="C354" s="23" t="s">
        <v>107</v>
      </c>
      <c r="D354" s="23" t="s">
        <v>191</v>
      </c>
      <c r="E354" s="23" t="s">
        <v>875</v>
      </c>
      <c r="F354" s="32">
        <v>-114.1</v>
      </c>
      <c r="G354" s="38" t="str">
        <f ca="1">IFERROR(_xludf.XLOOKUP(E354,Bank_Statement!$D$4:$D$448,Bank_Statement!$G$4:$G$448,""),"")</f>
        <v/>
      </c>
      <c r="H354" s="32" t="str">
        <f t="shared" ca="1" si="15"/>
        <v/>
      </c>
      <c r="I354" s="39" t="str">
        <f ca="1">IFERROR(_xludf.XLOOKUP(E354,Bank_Statement!$D$4:$D$448,Bank_Statement!$B$4:$B$448,""),"")</f>
        <v/>
      </c>
      <c r="J354" s="40" t="str">
        <f t="shared" ca="1" si="16"/>
        <v/>
      </c>
      <c r="K354" s="41" t="str">
        <f ca="1">IF(G354="","Unmatched ERP",IF(AND(ABS(H354)&lt;=Mapping_Rules!$B$4,ABS(J354)&lt;=Mapping_Rules!$B$5),"Matched","Review"))</f>
        <v>Unmatched ERP</v>
      </c>
      <c r="L354" s="41" t="str">
        <f ca="1">IF(K354="Matched","None",IF(G354="","Missing from bank",IF(ABS(H354)&gt;Mapping_Rules!$B$4,"Amount variance","Date variance")))</f>
        <v>Missing from bank</v>
      </c>
      <c r="M354" s="41" t="str">
        <f ca="1">IF(K354="Matched","Low",IF(OR(IFERROR(ABS(H354),0)&gt;Mapping_Rules!$B$7,IFERROR(J354,0)&gt;Mapping_Rules!$B$8),"High","Medium"))</f>
        <v>High</v>
      </c>
      <c r="N354" s="41" t="str">
        <f t="shared" ca="1" si="17"/>
        <v>Check bank date or posting</v>
      </c>
      <c r="O354" s="23" t="s">
        <v>194</v>
      </c>
      <c r="P354" s="23" t="s">
        <v>95</v>
      </c>
      <c r="Q354" s="23" t="s">
        <v>1689</v>
      </c>
      <c r="R354" s="42"/>
      <c r="S354" s="43">
        <f ca="1">IF(K354="Matched",0,Mapping_Rules!$B$6-B354)</f>
        <v>29</v>
      </c>
    </row>
    <row r="355" spans="1:19">
      <c r="A355" s="44" t="s">
        <v>876</v>
      </c>
      <c r="B355" s="45">
        <v>46035</v>
      </c>
      <c r="C355" s="44" t="s">
        <v>72</v>
      </c>
      <c r="D355" s="44" t="s">
        <v>204</v>
      </c>
      <c r="E355" s="44" t="s">
        <v>877</v>
      </c>
      <c r="F355" s="46">
        <v>-3370.45</v>
      </c>
      <c r="G355" s="47" t="str">
        <f ca="1">IFERROR(_xludf.XLOOKUP(E355,Bank_Statement!$D$4:$D$448,Bank_Statement!$G$4:$G$448,""),"")</f>
        <v/>
      </c>
      <c r="H355" s="46" t="str">
        <f t="shared" ca="1" si="15"/>
        <v/>
      </c>
      <c r="I355" s="48" t="str">
        <f ca="1">IFERROR(_xludf.XLOOKUP(E355,Bank_Statement!$D$4:$D$448,Bank_Statement!$B$4:$B$448,""),"")</f>
        <v/>
      </c>
      <c r="J355" s="49" t="str">
        <f t="shared" ca="1" si="16"/>
        <v/>
      </c>
      <c r="K355" s="50" t="str">
        <f ca="1">IF(G355="","Unmatched ERP",IF(AND(ABS(H355)&lt;=Mapping_Rules!$B$4,ABS(J355)&lt;=Mapping_Rules!$B$5),"Matched","Review"))</f>
        <v>Unmatched ERP</v>
      </c>
      <c r="L355" s="50" t="str">
        <f ca="1">IF(K355="Matched","None",IF(G355="","Missing from bank",IF(ABS(H355)&gt;Mapping_Rules!$B$4,"Amount variance","Date variance")))</f>
        <v>Missing from bank</v>
      </c>
      <c r="M355" s="50" t="str">
        <f ca="1">IF(K355="Matched","Low",IF(OR(IFERROR(ABS(H355),0)&gt;Mapping_Rules!$B$7,IFERROR(J355,0)&gt;Mapping_Rules!$B$8),"High","Medium"))</f>
        <v>High</v>
      </c>
      <c r="N355" s="50" t="str">
        <f t="shared" ca="1" si="17"/>
        <v>Check bank date or posting</v>
      </c>
      <c r="O355" s="44" t="s">
        <v>131</v>
      </c>
      <c r="P355" s="44" t="s">
        <v>77</v>
      </c>
      <c r="Q355" s="44" t="s">
        <v>1689</v>
      </c>
      <c r="R355" s="51"/>
      <c r="S355" s="52">
        <f ca="1">IF(K355="Matched",0,Mapping_Rules!$B$6-B355)</f>
        <v>18</v>
      </c>
    </row>
    <row r="356" spans="1:19">
      <c r="A356" s="23" t="s">
        <v>878</v>
      </c>
      <c r="B356" s="31">
        <v>46029</v>
      </c>
      <c r="C356" s="23" t="s">
        <v>107</v>
      </c>
      <c r="D356" s="23" t="s">
        <v>191</v>
      </c>
      <c r="E356" s="23" t="s">
        <v>879</v>
      </c>
      <c r="F356" s="32">
        <v>-22.87</v>
      </c>
      <c r="G356" s="38" t="str">
        <f ca="1">IFERROR(_xludf.XLOOKUP(E356,Bank_Statement!$D$4:$D$448,Bank_Statement!$G$4:$G$448,""),"")</f>
        <v/>
      </c>
      <c r="H356" s="32" t="str">
        <f t="shared" ca="1" si="15"/>
        <v/>
      </c>
      <c r="I356" s="39" t="str">
        <f ca="1">IFERROR(_xludf.XLOOKUP(E356,Bank_Statement!$D$4:$D$448,Bank_Statement!$B$4:$B$448,""),"")</f>
        <v/>
      </c>
      <c r="J356" s="40" t="str">
        <f t="shared" ca="1" si="16"/>
        <v/>
      </c>
      <c r="K356" s="41" t="str">
        <f ca="1">IF(G356="","Unmatched ERP",IF(AND(ABS(H356)&lt;=Mapping_Rules!$B$4,ABS(J356)&lt;=Mapping_Rules!$B$5),"Matched","Review"))</f>
        <v>Unmatched ERP</v>
      </c>
      <c r="L356" s="41" t="str">
        <f ca="1">IF(K356="Matched","None",IF(G356="","Missing from bank",IF(ABS(H356)&gt;Mapping_Rules!$B$4,"Amount variance","Date variance")))</f>
        <v>Missing from bank</v>
      </c>
      <c r="M356" s="41" t="str">
        <f ca="1">IF(K356="Matched","Low",IF(OR(IFERROR(ABS(H356),0)&gt;Mapping_Rules!$B$7,IFERROR(J356,0)&gt;Mapping_Rules!$B$8),"High","Medium"))</f>
        <v>High</v>
      </c>
      <c r="N356" s="41" t="str">
        <f t="shared" ca="1" si="17"/>
        <v>Check bank date or posting</v>
      </c>
      <c r="O356" s="23" t="s">
        <v>194</v>
      </c>
      <c r="P356" s="23" t="s">
        <v>95</v>
      </c>
      <c r="Q356" s="23" t="s">
        <v>1689</v>
      </c>
      <c r="R356" s="42"/>
      <c r="S356" s="43">
        <f ca="1">IF(K356="Matched",0,Mapping_Rules!$B$6-B356)</f>
        <v>24</v>
      </c>
    </row>
    <row r="357" spans="1:19">
      <c r="A357" s="44" t="s">
        <v>880</v>
      </c>
      <c r="B357" s="45">
        <v>46036</v>
      </c>
      <c r="C357" s="44" t="s">
        <v>90</v>
      </c>
      <c r="D357" s="44" t="s">
        <v>150</v>
      </c>
      <c r="E357" s="44" t="s">
        <v>881</v>
      </c>
      <c r="F357" s="46">
        <v>336.63</v>
      </c>
      <c r="G357" s="47" t="str">
        <f ca="1">IFERROR(_xludf.XLOOKUP(E357,Bank_Statement!$D$4:$D$448,Bank_Statement!$G$4:$G$448,""),"")</f>
        <v/>
      </c>
      <c r="H357" s="46" t="str">
        <f t="shared" ca="1" si="15"/>
        <v/>
      </c>
      <c r="I357" s="48" t="str">
        <f ca="1">IFERROR(_xludf.XLOOKUP(E357,Bank_Statement!$D$4:$D$448,Bank_Statement!$B$4:$B$448,""),"")</f>
        <v/>
      </c>
      <c r="J357" s="49" t="str">
        <f t="shared" ca="1" si="16"/>
        <v/>
      </c>
      <c r="K357" s="50" t="str">
        <f ca="1">IF(G357="","Unmatched ERP",IF(AND(ABS(H357)&lt;=Mapping_Rules!$B$4,ABS(J357)&lt;=Mapping_Rules!$B$5),"Matched","Review"))</f>
        <v>Unmatched ERP</v>
      </c>
      <c r="L357" s="50" t="str">
        <f ca="1">IF(K357="Matched","None",IF(G357="","Missing from bank",IF(ABS(H357)&gt;Mapping_Rules!$B$4,"Amount variance","Date variance")))</f>
        <v>Missing from bank</v>
      </c>
      <c r="M357" s="50" t="str">
        <f ca="1">IF(K357="Matched","Low",IF(OR(IFERROR(ABS(H357),0)&gt;Mapping_Rules!$B$7,IFERROR(J357,0)&gt;Mapping_Rules!$B$8),"High","Medium"))</f>
        <v>High</v>
      </c>
      <c r="N357" s="50" t="str">
        <f t="shared" ca="1" si="17"/>
        <v>Check bank date or posting</v>
      </c>
      <c r="O357" s="44" t="s">
        <v>185</v>
      </c>
      <c r="P357" s="44" t="s">
        <v>95</v>
      </c>
      <c r="Q357" s="44" t="s">
        <v>1689</v>
      </c>
      <c r="R357" s="51"/>
      <c r="S357" s="52">
        <f ca="1">IF(K357="Matched",0,Mapping_Rules!$B$6-B357)</f>
        <v>17</v>
      </c>
    </row>
    <row r="358" spans="1:19">
      <c r="A358" s="23" t="s">
        <v>882</v>
      </c>
      <c r="B358" s="31">
        <v>46046</v>
      </c>
      <c r="C358" s="23" t="s">
        <v>81</v>
      </c>
      <c r="D358" s="23" t="s">
        <v>173</v>
      </c>
      <c r="E358" s="23" t="s">
        <v>883</v>
      </c>
      <c r="F358" s="32">
        <v>1147.3499999999999</v>
      </c>
      <c r="G358" s="38" t="str">
        <f ca="1">IFERROR(_xludf.XLOOKUP(E358,Bank_Statement!$D$4:$D$448,Bank_Statement!$G$4:$G$448,""),"")</f>
        <v/>
      </c>
      <c r="H358" s="32" t="str">
        <f t="shared" ca="1" si="15"/>
        <v/>
      </c>
      <c r="I358" s="39" t="str">
        <f ca="1">IFERROR(_xludf.XLOOKUP(E358,Bank_Statement!$D$4:$D$448,Bank_Statement!$B$4:$B$448,""),"")</f>
        <v/>
      </c>
      <c r="J358" s="40" t="str">
        <f t="shared" ca="1" si="16"/>
        <v/>
      </c>
      <c r="K358" s="41" t="str">
        <f ca="1">IF(G358="","Unmatched ERP",IF(AND(ABS(H358)&lt;=Mapping_Rules!$B$4,ABS(J358)&lt;=Mapping_Rules!$B$5),"Matched","Review"))</f>
        <v>Unmatched ERP</v>
      </c>
      <c r="L358" s="41" t="str">
        <f ca="1">IF(K358="Matched","None",IF(G358="","Missing from bank",IF(ABS(H358)&gt;Mapping_Rules!$B$4,"Amount variance","Date variance")))</f>
        <v>Missing from bank</v>
      </c>
      <c r="M358" s="41" t="str">
        <f ca="1">IF(K358="Matched","Low",IF(OR(IFERROR(ABS(H358),0)&gt;Mapping_Rules!$B$7,IFERROR(J358,0)&gt;Mapping_Rules!$B$8),"High","Medium"))</f>
        <v>High</v>
      </c>
      <c r="N358" s="41" t="str">
        <f t="shared" ca="1" si="17"/>
        <v>Check bank date or posting</v>
      </c>
      <c r="O358" s="23" t="s">
        <v>158</v>
      </c>
      <c r="P358" s="23" t="s">
        <v>86</v>
      </c>
      <c r="Q358" s="23" t="s">
        <v>1689</v>
      </c>
      <c r="R358" s="42"/>
      <c r="S358" s="43">
        <f ca="1">IF(K358="Matched",0,Mapping_Rules!$B$6-B358)</f>
        <v>7</v>
      </c>
    </row>
    <row r="359" spans="1:19">
      <c r="A359" s="44" t="s">
        <v>884</v>
      </c>
      <c r="B359" s="45">
        <v>46048</v>
      </c>
      <c r="C359" s="44" t="s">
        <v>99</v>
      </c>
      <c r="D359" s="44" t="s">
        <v>182</v>
      </c>
      <c r="E359" s="44" t="s">
        <v>885</v>
      </c>
      <c r="F359" s="46">
        <v>-6259.08</v>
      </c>
      <c r="G359" s="47" t="str">
        <f ca="1">IFERROR(_xludf.XLOOKUP(E359,Bank_Statement!$D$4:$D$448,Bank_Statement!$G$4:$G$448,""),"")</f>
        <v/>
      </c>
      <c r="H359" s="46" t="str">
        <f t="shared" ca="1" si="15"/>
        <v/>
      </c>
      <c r="I359" s="48" t="str">
        <f ca="1">IFERROR(_xludf.XLOOKUP(E359,Bank_Statement!$D$4:$D$448,Bank_Statement!$B$4:$B$448,""),"")</f>
        <v/>
      </c>
      <c r="J359" s="49" t="str">
        <f t="shared" ca="1" si="16"/>
        <v/>
      </c>
      <c r="K359" s="50" t="str">
        <f ca="1">IF(G359="","Unmatched ERP",IF(AND(ABS(H359)&lt;=Mapping_Rules!$B$4,ABS(J359)&lt;=Mapping_Rules!$B$5),"Matched","Review"))</f>
        <v>Unmatched ERP</v>
      </c>
      <c r="L359" s="50" t="str">
        <f ca="1">IF(K359="Matched","None",IF(G359="","Missing from bank",IF(ABS(H359)&gt;Mapping_Rules!$B$4,"Amount variance","Date variance")))</f>
        <v>Missing from bank</v>
      </c>
      <c r="M359" s="50" t="str">
        <f ca="1">IF(K359="Matched","Low",IF(OR(IFERROR(ABS(H359),0)&gt;Mapping_Rules!$B$7,IFERROR(J359,0)&gt;Mapping_Rules!$B$8),"High","Medium"))</f>
        <v>High</v>
      </c>
      <c r="N359" s="50" t="str">
        <f t="shared" ca="1" si="17"/>
        <v>Check bank date or posting</v>
      </c>
      <c r="O359" s="44" t="s">
        <v>185</v>
      </c>
      <c r="P359" s="44" t="s">
        <v>95</v>
      </c>
      <c r="Q359" s="44" t="s">
        <v>1689</v>
      </c>
      <c r="R359" s="51"/>
      <c r="S359" s="52">
        <f ca="1">IF(K359="Matched",0,Mapping_Rules!$B$6-B359)</f>
        <v>5</v>
      </c>
    </row>
    <row r="360" spans="1:19">
      <c r="A360" s="23" t="s">
        <v>886</v>
      </c>
      <c r="B360" s="31">
        <v>46026</v>
      </c>
      <c r="C360" s="23" t="s">
        <v>90</v>
      </c>
      <c r="D360" s="23" t="s">
        <v>144</v>
      </c>
      <c r="E360" s="23" t="s">
        <v>887</v>
      </c>
      <c r="F360" s="32">
        <v>1708.3</v>
      </c>
      <c r="G360" s="38" t="str">
        <f ca="1">IFERROR(_xludf.XLOOKUP(E360,Bank_Statement!$D$4:$D$448,Bank_Statement!$G$4:$G$448,""),"")</f>
        <v/>
      </c>
      <c r="H360" s="32" t="str">
        <f t="shared" ca="1" si="15"/>
        <v/>
      </c>
      <c r="I360" s="39" t="str">
        <f ca="1">IFERROR(_xludf.XLOOKUP(E360,Bank_Statement!$D$4:$D$448,Bank_Statement!$B$4:$B$448,""),"")</f>
        <v/>
      </c>
      <c r="J360" s="40" t="str">
        <f t="shared" ca="1" si="16"/>
        <v/>
      </c>
      <c r="K360" s="41" t="str">
        <f ca="1">IF(G360="","Unmatched ERP",IF(AND(ABS(H360)&lt;=Mapping_Rules!$B$4,ABS(J360)&lt;=Mapping_Rules!$B$5),"Matched","Review"))</f>
        <v>Unmatched ERP</v>
      </c>
      <c r="L360" s="41" t="str">
        <f ca="1">IF(K360="Matched","None",IF(G360="","Missing from bank",IF(ABS(H360)&gt;Mapping_Rules!$B$4,"Amount variance","Date variance")))</f>
        <v>Missing from bank</v>
      </c>
      <c r="M360" s="41" t="str">
        <f ca="1">IF(K360="Matched","Low",IF(OR(IFERROR(ABS(H360),0)&gt;Mapping_Rules!$B$7,IFERROR(J360,0)&gt;Mapping_Rules!$B$8),"High","Medium"))</f>
        <v>High</v>
      </c>
      <c r="N360" s="41" t="str">
        <f t="shared" ca="1" si="17"/>
        <v>Check bank date or posting</v>
      </c>
      <c r="O360" s="23" t="s">
        <v>158</v>
      </c>
      <c r="P360" s="23" t="s">
        <v>95</v>
      </c>
      <c r="Q360" s="23" t="s">
        <v>1689</v>
      </c>
      <c r="R360" s="42"/>
      <c r="S360" s="43">
        <f ca="1">IF(K360="Matched",0,Mapping_Rules!$B$6-B360)</f>
        <v>27</v>
      </c>
    </row>
    <row r="361" spans="1:19">
      <c r="A361" s="44" t="s">
        <v>888</v>
      </c>
      <c r="B361" s="45">
        <v>46034</v>
      </c>
      <c r="C361" s="44" t="s">
        <v>72</v>
      </c>
      <c r="D361" s="44" t="s">
        <v>139</v>
      </c>
      <c r="E361" s="44" t="s">
        <v>889</v>
      </c>
      <c r="F361" s="46">
        <v>-3549.34</v>
      </c>
      <c r="G361" s="47" t="str">
        <f ca="1">IFERROR(_xludf.XLOOKUP(E361,Bank_Statement!$D$4:$D$448,Bank_Statement!$G$4:$G$448,""),"")</f>
        <v/>
      </c>
      <c r="H361" s="46" t="str">
        <f t="shared" ca="1" si="15"/>
        <v/>
      </c>
      <c r="I361" s="48" t="str">
        <f ca="1">IFERROR(_xludf.XLOOKUP(E361,Bank_Statement!$D$4:$D$448,Bank_Statement!$B$4:$B$448,""),"")</f>
        <v/>
      </c>
      <c r="J361" s="49" t="str">
        <f t="shared" ca="1" si="16"/>
        <v/>
      </c>
      <c r="K361" s="50" t="str">
        <f ca="1">IF(G361="","Unmatched ERP",IF(AND(ABS(H361)&lt;=Mapping_Rules!$B$4,ABS(J361)&lt;=Mapping_Rules!$B$5),"Matched","Review"))</f>
        <v>Unmatched ERP</v>
      </c>
      <c r="L361" s="50" t="str">
        <f ca="1">IF(K361="Matched","None",IF(G361="","Missing from bank",IF(ABS(H361)&gt;Mapping_Rules!$B$4,"Amount variance","Date variance")))</f>
        <v>Missing from bank</v>
      </c>
      <c r="M361" s="50" t="str">
        <f ca="1">IF(K361="Matched","Low",IF(OR(IFERROR(ABS(H361),0)&gt;Mapping_Rules!$B$7,IFERROR(J361,0)&gt;Mapping_Rules!$B$8),"High","Medium"))</f>
        <v>High</v>
      </c>
      <c r="N361" s="50" t="str">
        <f t="shared" ca="1" si="17"/>
        <v>Check bank date or posting</v>
      </c>
      <c r="O361" s="44" t="s">
        <v>131</v>
      </c>
      <c r="P361" s="44" t="s">
        <v>77</v>
      </c>
      <c r="Q361" s="44" t="s">
        <v>1689</v>
      </c>
      <c r="R361" s="51"/>
      <c r="S361" s="52">
        <f ca="1">IF(K361="Matched",0,Mapping_Rules!$B$6-B361)</f>
        <v>19</v>
      </c>
    </row>
    <row r="362" spans="1:19">
      <c r="A362" s="23" t="s">
        <v>890</v>
      </c>
      <c r="B362" s="31">
        <v>46044</v>
      </c>
      <c r="C362" s="23" t="s">
        <v>90</v>
      </c>
      <c r="D362" s="23" t="s">
        <v>150</v>
      </c>
      <c r="E362" s="23" t="s">
        <v>891</v>
      </c>
      <c r="F362" s="32">
        <v>3716.86</v>
      </c>
      <c r="G362" s="38" t="str">
        <f ca="1">IFERROR(_xludf.XLOOKUP(E362,Bank_Statement!$D$4:$D$448,Bank_Statement!$G$4:$G$448,""),"")</f>
        <v/>
      </c>
      <c r="H362" s="32" t="str">
        <f t="shared" ca="1" si="15"/>
        <v/>
      </c>
      <c r="I362" s="39" t="str">
        <f ca="1">IFERROR(_xludf.XLOOKUP(E362,Bank_Statement!$D$4:$D$448,Bank_Statement!$B$4:$B$448,""),"")</f>
        <v/>
      </c>
      <c r="J362" s="40" t="str">
        <f t="shared" ca="1" si="16"/>
        <v/>
      </c>
      <c r="K362" s="41" t="str">
        <f ca="1">IF(G362="","Unmatched ERP",IF(AND(ABS(H362)&lt;=Mapping_Rules!$B$4,ABS(J362)&lt;=Mapping_Rules!$B$5),"Matched","Review"))</f>
        <v>Unmatched ERP</v>
      </c>
      <c r="L362" s="41" t="str">
        <f ca="1">IF(K362="Matched","None",IF(G362="","Missing from bank",IF(ABS(H362)&gt;Mapping_Rules!$B$4,"Amount variance","Date variance")))</f>
        <v>Missing from bank</v>
      </c>
      <c r="M362" s="41" t="str">
        <f ca="1">IF(K362="Matched","Low",IF(OR(IFERROR(ABS(H362),0)&gt;Mapping_Rules!$B$7,IFERROR(J362,0)&gt;Mapping_Rules!$B$8),"High","Medium"))</f>
        <v>High</v>
      </c>
      <c r="N362" s="41" t="str">
        <f t="shared" ca="1" si="17"/>
        <v>Check bank date or posting</v>
      </c>
      <c r="O362" s="23" t="s">
        <v>242</v>
      </c>
      <c r="P362" s="23" t="s">
        <v>95</v>
      </c>
      <c r="Q362" s="23" t="s">
        <v>1689</v>
      </c>
      <c r="R362" s="42"/>
      <c r="S362" s="43">
        <f ca="1">IF(K362="Matched",0,Mapping_Rules!$B$6-B362)</f>
        <v>9</v>
      </c>
    </row>
    <row r="363" spans="1:19">
      <c r="A363" s="44" t="s">
        <v>892</v>
      </c>
      <c r="B363" s="45">
        <v>46028</v>
      </c>
      <c r="C363" s="44" t="s">
        <v>107</v>
      </c>
      <c r="D363" s="44" t="s">
        <v>191</v>
      </c>
      <c r="E363" s="44" t="s">
        <v>893</v>
      </c>
      <c r="F363" s="46">
        <v>-103.61</v>
      </c>
      <c r="G363" s="47" t="str">
        <f ca="1">IFERROR(_xludf.XLOOKUP(E363,Bank_Statement!$D$4:$D$448,Bank_Statement!$G$4:$G$448,""),"")</f>
        <v/>
      </c>
      <c r="H363" s="46" t="str">
        <f t="shared" ca="1" si="15"/>
        <v/>
      </c>
      <c r="I363" s="48" t="str">
        <f ca="1">IFERROR(_xludf.XLOOKUP(E363,Bank_Statement!$D$4:$D$448,Bank_Statement!$B$4:$B$448,""),"")</f>
        <v/>
      </c>
      <c r="J363" s="49" t="str">
        <f t="shared" ca="1" si="16"/>
        <v/>
      </c>
      <c r="K363" s="50" t="str">
        <f ca="1">IF(G363="","Unmatched ERP",IF(AND(ABS(H363)&lt;=Mapping_Rules!$B$4,ABS(J363)&lt;=Mapping_Rules!$B$5),"Matched","Review"))</f>
        <v>Unmatched ERP</v>
      </c>
      <c r="L363" s="50" t="str">
        <f ca="1">IF(K363="Matched","None",IF(G363="","Missing from bank",IF(ABS(H363)&gt;Mapping_Rules!$B$4,"Amount variance","Date variance")))</f>
        <v>Missing from bank</v>
      </c>
      <c r="M363" s="50" t="str">
        <f ca="1">IF(K363="Matched","Low",IF(OR(IFERROR(ABS(H363),0)&gt;Mapping_Rules!$B$7,IFERROR(J363,0)&gt;Mapping_Rules!$B$8),"High","Medium"))</f>
        <v>High</v>
      </c>
      <c r="N363" s="50" t="str">
        <f t="shared" ca="1" si="17"/>
        <v>Check bank date or posting</v>
      </c>
      <c r="O363" s="44" t="s">
        <v>194</v>
      </c>
      <c r="P363" s="44" t="s">
        <v>95</v>
      </c>
      <c r="Q363" s="44" t="s">
        <v>1689</v>
      </c>
      <c r="R363" s="51"/>
      <c r="S363" s="52">
        <f ca="1">IF(K363="Matched",0,Mapping_Rules!$B$6-B363)</f>
        <v>25</v>
      </c>
    </row>
    <row r="364" spans="1:19">
      <c r="A364" s="23" t="s">
        <v>894</v>
      </c>
      <c r="B364" s="31">
        <v>46046</v>
      </c>
      <c r="C364" s="23" t="s">
        <v>72</v>
      </c>
      <c r="D364" s="23" t="s">
        <v>139</v>
      </c>
      <c r="E364" s="23" t="s">
        <v>895</v>
      </c>
      <c r="F364" s="32">
        <v>-556.66999999999996</v>
      </c>
      <c r="G364" s="38" t="str">
        <f ca="1">IFERROR(_xludf.XLOOKUP(E364,Bank_Statement!$D$4:$D$448,Bank_Statement!$G$4:$G$448,""),"")</f>
        <v/>
      </c>
      <c r="H364" s="32" t="str">
        <f t="shared" ca="1" si="15"/>
        <v/>
      </c>
      <c r="I364" s="39" t="str">
        <f ca="1">IFERROR(_xludf.XLOOKUP(E364,Bank_Statement!$D$4:$D$448,Bank_Statement!$B$4:$B$448,""),"")</f>
        <v/>
      </c>
      <c r="J364" s="40" t="str">
        <f t="shared" ca="1" si="16"/>
        <v/>
      </c>
      <c r="K364" s="41" t="str">
        <f ca="1">IF(G364="","Unmatched ERP",IF(AND(ABS(H364)&lt;=Mapping_Rules!$B$4,ABS(J364)&lt;=Mapping_Rules!$B$5),"Matched","Review"))</f>
        <v>Unmatched ERP</v>
      </c>
      <c r="L364" s="41" t="str">
        <f ca="1">IF(K364="Matched","None",IF(G364="","Missing from bank",IF(ABS(H364)&gt;Mapping_Rules!$B$4,"Amount variance","Date variance")))</f>
        <v>Missing from bank</v>
      </c>
      <c r="M364" s="41" t="str">
        <f ca="1">IF(K364="Matched","Low",IF(OR(IFERROR(ABS(H364),0)&gt;Mapping_Rules!$B$7,IFERROR(J364,0)&gt;Mapping_Rules!$B$8),"High","Medium"))</f>
        <v>High</v>
      </c>
      <c r="N364" s="41" t="str">
        <f t="shared" ca="1" si="17"/>
        <v>Check bank date or posting</v>
      </c>
      <c r="O364" s="23" t="s">
        <v>131</v>
      </c>
      <c r="P364" s="23" t="s">
        <v>77</v>
      </c>
      <c r="Q364" s="23" t="s">
        <v>1689</v>
      </c>
      <c r="R364" s="42"/>
      <c r="S364" s="43">
        <f ca="1">IF(K364="Matched",0,Mapping_Rules!$B$6-B364)</f>
        <v>7</v>
      </c>
    </row>
    <row r="365" spans="1:19">
      <c r="A365" s="44" t="s">
        <v>896</v>
      </c>
      <c r="B365" s="45">
        <v>46048</v>
      </c>
      <c r="C365" s="44" t="s">
        <v>81</v>
      </c>
      <c r="D365" s="44" t="s">
        <v>220</v>
      </c>
      <c r="E365" s="44" t="s">
        <v>897</v>
      </c>
      <c r="F365" s="46">
        <v>8116.56</v>
      </c>
      <c r="G365" s="47" t="str">
        <f ca="1">IFERROR(_xludf.XLOOKUP(E365,Bank_Statement!$D$4:$D$448,Bank_Statement!$G$4:$G$448,""),"")</f>
        <v/>
      </c>
      <c r="H365" s="46" t="str">
        <f t="shared" ca="1" si="15"/>
        <v/>
      </c>
      <c r="I365" s="48" t="str">
        <f ca="1">IFERROR(_xludf.XLOOKUP(E365,Bank_Statement!$D$4:$D$448,Bank_Statement!$B$4:$B$448,""),"")</f>
        <v/>
      </c>
      <c r="J365" s="49" t="str">
        <f t="shared" ca="1" si="16"/>
        <v/>
      </c>
      <c r="K365" s="50" t="str">
        <f ca="1">IF(G365="","Unmatched ERP",IF(AND(ABS(H365)&lt;=Mapping_Rules!$B$4,ABS(J365)&lt;=Mapping_Rules!$B$5),"Matched","Review"))</f>
        <v>Unmatched ERP</v>
      </c>
      <c r="L365" s="50" t="str">
        <f ca="1">IF(K365="Matched","None",IF(G365="","Missing from bank",IF(ABS(H365)&gt;Mapping_Rules!$B$4,"Amount variance","Date variance")))</f>
        <v>Missing from bank</v>
      </c>
      <c r="M365" s="50" t="str">
        <f ca="1">IF(K365="Matched","Low",IF(OR(IFERROR(ABS(H365),0)&gt;Mapping_Rules!$B$7,IFERROR(J365,0)&gt;Mapping_Rules!$B$8),"High","Medium"))</f>
        <v>High</v>
      </c>
      <c r="N365" s="50" t="str">
        <f t="shared" ca="1" si="17"/>
        <v>Check bank date or posting</v>
      </c>
      <c r="O365" s="44" t="s">
        <v>158</v>
      </c>
      <c r="P365" s="44" t="s">
        <v>86</v>
      </c>
      <c r="Q365" s="44" t="s">
        <v>1689</v>
      </c>
      <c r="R365" s="51"/>
      <c r="S365" s="52">
        <f ca="1">IF(K365="Matched",0,Mapping_Rules!$B$6-B365)</f>
        <v>5</v>
      </c>
    </row>
    <row r="366" spans="1:19">
      <c r="A366" s="23" t="s">
        <v>898</v>
      </c>
      <c r="B366" s="31">
        <v>46047</v>
      </c>
      <c r="C366" s="23" t="s">
        <v>99</v>
      </c>
      <c r="D366" s="23" t="s">
        <v>182</v>
      </c>
      <c r="E366" s="23" t="s">
        <v>899</v>
      </c>
      <c r="F366" s="32">
        <v>-7245.86</v>
      </c>
      <c r="G366" s="38" t="str">
        <f ca="1">IFERROR(_xludf.XLOOKUP(E366,Bank_Statement!$D$4:$D$448,Bank_Statement!$G$4:$G$448,""),"")</f>
        <v/>
      </c>
      <c r="H366" s="32" t="str">
        <f t="shared" ca="1" si="15"/>
        <v/>
      </c>
      <c r="I366" s="39" t="str">
        <f ca="1">IFERROR(_xludf.XLOOKUP(E366,Bank_Statement!$D$4:$D$448,Bank_Statement!$B$4:$B$448,""),"")</f>
        <v/>
      </c>
      <c r="J366" s="40" t="str">
        <f t="shared" ca="1" si="16"/>
        <v/>
      </c>
      <c r="K366" s="41" t="str">
        <f ca="1">IF(G366="","Unmatched ERP",IF(AND(ABS(H366)&lt;=Mapping_Rules!$B$4,ABS(J366)&lt;=Mapping_Rules!$B$5),"Matched","Review"))</f>
        <v>Unmatched ERP</v>
      </c>
      <c r="L366" s="41" t="str">
        <f ca="1">IF(K366="Matched","None",IF(G366="","Missing from bank",IF(ABS(H366)&gt;Mapping_Rules!$B$4,"Amount variance","Date variance")))</f>
        <v>Missing from bank</v>
      </c>
      <c r="M366" s="41" t="str">
        <f ca="1">IF(K366="Matched","Low",IF(OR(IFERROR(ABS(H366),0)&gt;Mapping_Rules!$B$7,IFERROR(J366,0)&gt;Mapping_Rules!$B$8),"High","Medium"))</f>
        <v>High</v>
      </c>
      <c r="N366" s="41" t="str">
        <f t="shared" ca="1" si="17"/>
        <v>Check bank date or posting</v>
      </c>
      <c r="O366" s="23" t="s">
        <v>185</v>
      </c>
      <c r="P366" s="23" t="s">
        <v>95</v>
      </c>
      <c r="Q366" s="23" t="s">
        <v>1689</v>
      </c>
      <c r="R366" s="42"/>
      <c r="S366" s="43">
        <f ca="1">IF(K366="Matched",0,Mapping_Rules!$B$6-B366)</f>
        <v>6</v>
      </c>
    </row>
    <row r="367" spans="1:19">
      <c r="A367" s="44" t="s">
        <v>900</v>
      </c>
      <c r="B367" s="45">
        <v>46048</v>
      </c>
      <c r="C367" s="44" t="s">
        <v>72</v>
      </c>
      <c r="D367" s="44" t="s">
        <v>204</v>
      </c>
      <c r="E367" s="44" t="s">
        <v>901</v>
      </c>
      <c r="F367" s="46">
        <v>-1564.61</v>
      </c>
      <c r="G367" s="47" t="str">
        <f ca="1">IFERROR(_xludf.XLOOKUP(E367,Bank_Statement!$D$4:$D$448,Bank_Statement!$G$4:$G$448,""),"")</f>
        <v/>
      </c>
      <c r="H367" s="46" t="str">
        <f t="shared" ca="1" si="15"/>
        <v/>
      </c>
      <c r="I367" s="48" t="str">
        <f ca="1">IFERROR(_xludf.XLOOKUP(E367,Bank_Statement!$D$4:$D$448,Bank_Statement!$B$4:$B$448,""),"")</f>
        <v/>
      </c>
      <c r="J367" s="49" t="str">
        <f t="shared" ca="1" si="16"/>
        <v/>
      </c>
      <c r="K367" s="50" t="str">
        <f ca="1">IF(G367="","Unmatched ERP",IF(AND(ABS(H367)&lt;=Mapping_Rules!$B$4,ABS(J367)&lt;=Mapping_Rules!$B$5),"Matched","Review"))</f>
        <v>Unmatched ERP</v>
      </c>
      <c r="L367" s="50" t="str">
        <f ca="1">IF(K367="Matched","None",IF(G367="","Missing from bank",IF(ABS(H367)&gt;Mapping_Rules!$B$4,"Amount variance","Date variance")))</f>
        <v>Missing from bank</v>
      </c>
      <c r="M367" s="50" t="str">
        <f ca="1">IF(K367="Matched","Low",IF(OR(IFERROR(ABS(H367),0)&gt;Mapping_Rules!$B$7,IFERROR(J367,0)&gt;Mapping_Rules!$B$8),"High","Medium"))</f>
        <v>High</v>
      </c>
      <c r="N367" s="50" t="str">
        <f t="shared" ca="1" si="17"/>
        <v>Check bank date or posting</v>
      </c>
      <c r="O367" s="44" t="s">
        <v>131</v>
      </c>
      <c r="P367" s="44" t="s">
        <v>77</v>
      </c>
      <c r="Q367" s="44" t="s">
        <v>1689</v>
      </c>
      <c r="R367" s="51"/>
      <c r="S367" s="52">
        <f ca="1">IF(K367="Matched",0,Mapping_Rules!$B$6-B367)</f>
        <v>5</v>
      </c>
    </row>
    <row r="368" spans="1:19">
      <c r="A368" s="23" t="s">
        <v>902</v>
      </c>
      <c r="B368" s="31">
        <v>46047</v>
      </c>
      <c r="C368" s="23" t="s">
        <v>90</v>
      </c>
      <c r="D368" s="23" t="s">
        <v>167</v>
      </c>
      <c r="E368" s="23" t="s">
        <v>903</v>
      </c>
      <c r="F368" s="32">
        <v>-4507.1899999999996</v>
      </c>
      <c r="G368" s="38" t="str">
        <f ca="1">IFERROR(_xludf.XLOOKUP(E368,Bank_Statement!$D$4:$D$448,Bank_Statement!$G$4:$G$448,""),"")</f>
        <v/>
      </c>
      <c r="H368" s="32" t="str">
        <f t="shared" ca="1" si="15"/>
        <v/>
      </c>
      <c r="I368" s="39" t="str">
        <f ca="1">IFERROR(_xludf.XLOOKUP(E368,Bank_Statement!$D$4:$D$448,Bank_Statement!$B$4:$B$448,""),"")</f>
        <v/>
      </c>
      <c r="J368" s="40" t="str">
        <f t="shared" ca="1" si="16"/>
        <v/>
      </c>
      <c r="K368" s="41" t="str">
        <f ca="1">IF(G368="","Unmatched ERP",IF(AND(ABS(H368)&lt;=Mapping_Rules!$B$4,ABS(J368)&lt;=Mapping_Rules!$B$5),"Matched","Review"))</f>
        <v>Unmatched ERP</v>
      </c>
      <c r="L368" s="41" t="str">
        <f ca="1">IF(K368="Matched","None",IF(G368="","Missing from bank",IF(ABS(H368)&gt;Mapping_Rules!$B$4,"Amount variance","Date variance")))</f>
        <v>Missing from bank</v>
      </c>
      <c r="M368" s="41" t="str">
        <f ca="1">IF(K368="Matched","Low",IF(OR(IFERROR(ABS(H368),0)&gt;Mapping_Rules!$B$7,IFERROR(J368,0)&gt;Mapping_Rules!$B$8),"High","Medium"))</f>
        <v>High</v>
      </c>
      <c r="N368" s="41" t="str">
        <f t="shared" ca="1" si="17"/>
        <v>Check bank date or posting</v>
      </c>
      <c r="O368" s="23" t="s">
        <v>225</v>
      </c>
      <c r="P368" s="23" t="s">
        <v>95</v>
      </c>
      <c r="Q368" s="23" t="s">
        <v>1689</v>
      </c>
      <c r="R368" s="42"/>
      <c r="S368" s="43">
        <f ca="1">IF(K368="Matched",0,Mapping_Rules!$B$6-B368)</f>
        <v>6</v>
      </c>
    </row>
    <row r="369" spans="1:19">
      <c r="A369" s="44" t="s">
        <v>904</v>
      </c>
      <c r="B369" s="45">
        <v>46023</v>
      </c>
      <c r="C369" s="44" t="s">
        <v>72</v>
      </c>
      <c r="D369" s="44" t="s">
        <v>208</v>
      </c>
      <c r="E369" s="44" t="s">
        <v>905</v>
      </c>
      <c r="F369" s="46">
        <v>-3971.96</v>
      </c>
      <c r="G369" s="47" t="str">
        <f ca="1">IFERROR(_xludf.XLOOKUP(E369,Bank_Statement!$D$4:$D$448,Bank_Statement!$G$4:$G$448,""),"")</f>
        <v/>
      </c>
      <c r="H369" s="46" t="str">
        <f t="shared" ca="1" si="15"/>
        <v/>
      </c>
      <c r="I369" s="48" t="str">
        <f ca="1">IFERROR(_xludf.XLOOKUP(E369,Bank_Statement!$D$4:$D$448,Bank_Statement!$B$4:$B$448,""),"")</f>
        <v/>
      </c>
      <c r="J369" s="49" t="str">
        <f t="shared" ca="1" si="16"/>
        <v/>
      </c>
      <c r="K369" s="50" t="str">
        <f ca="1">IF(G369="","Unmatched ERP",IF(AND(ABS(H369)&lt;=Mapping_Rules!$B$4,ABS(J369)&lt;=Mapping_Rules!$B$5),"Matched","Review"))</f>
        <v>Unmatched ERP</v>
      </c>
      <c r="L369" s="50" t="str">
        <f ca="1">IF(K369="Matched","None",IF(G369="","Missing from bank",IF(ABS(H369)&gt;Mapping_Rules!$B$4,"Amount variance","Date variance")))</f>
        <v>Missing from bank</v>
      </c>
      <c r="M369" s="50" t="str">
        <f ca="1">IF(K369="Matched","Low",IF(OR(IFERROR(ABS(H369),0)&gt;Mapping_Rules!$B$7,IFERROR(J369,0)&gt;Mapping_Rules!$B$8),"High","Medium"))</f>
        <v>High</v>
      </c>
      <c r="N369" s="50" t="str">
        <f t="shared" ca="1" si="17"/>
        <v>Check bank date or posting</v>
      </c>
      <c r="O369" s="44" t="s">
        <v>131</v>
      </c>
      <c r="P369" s="44" t="s">
        <v>77</v>
      </c>
      <c r="Q369" s="44" t="s">
        <v>1689</v>
      </c>
      <c r="R369" s="51"/>
      <c r="S369" s="52">
        <f ca="1">IF(K369="Matched",0,Mapping_Rules!$B$6-B369)</f>
        <v>30</v>
      </c>
    </row>
    <row r="370" spans="1:19">
      <c r="A370" s="23" t="s">
        <v>906</v>
      </c>
      <c r="B370" s="31">
        <v>46046</v>
      </c>
      <c r="C370" s="23" t="s">
        <v>72</v>
      </c>
      <c r="D370" s="23" t="s">
        <v>133</v>
      </c>
      <c r="E370" s="23" t="s">
        <v>907</v>
      </c>
      <c r="F370" s="32">
        <v>-3322.46</v>
      </c>
      <c r="G370" s="38" t="str">
        <f ca="1">IFERROR(_xludf.XLOOKUP(E370,Bank_Statement!$D$4:$D$448,Bank_Statement!$G$4:$G$448,""),"")</f>
        <v/>
      </c>
      <c r="H370" s="32" t="str">
        <f t="shared" ca="1" si="15"/>
        <v/>
      </c>
      <c r="I370" s="39" t="str">
        <f ca="1">IFERROR(_xludf.XLOOKUP(E370,Bank_Statement!$D$4:$D$448,Bank_Statement!$B$4:$B$448,""),"")</f>
        <v/>
      </c>
      <c r="J370" s="40" t="str">
        <f t="shared" ca="1" si="16"/>
        <v/>
      </c>
      <c r="K370" s="41" t="str">
        <f ca="1">IF(G370="","Unmatched ERP",IF(AND(ABS(H370)&lt;=Mapping_Rules!$B$4,ABS(J370)&lt;=Mapping_Rules!$B$5),"Matched","Review"))</f>
        <v>Unmatched ERP</v>
      </c>
      <c r="L370" s="41" t="str">
        <f ca="1">IF(K370="Matched","None",IF(G370="","Missing from bank",IF(ABS(H370)&gt;Mapping_Rules!$B$4,"Amount variance","Date variance")))</f>
        <v>Missing from bank</v>
      </c>
      <c r="M370" s="41" t="str">
        <f ca="1">IF(K370="Matched","Low",IF(OR(IFERROR(ABS(H370),0)&gt;Mapping_Rules!$B$7,IFERROR(J370,0)&gt;Mapping_Rules!$B$8),"High","Medium"))</f>
        <v>High</v>
      </c>
      <c r="N370" s="41" t="str">
        <f t="shared" ca="1" si="17"/>
        <v>Check bank date or posting</v>
      </c>
      <c r="O370" s="23" t="s">
        <v>131</v>
      </c>
      <c r="P370" s="23" t="s">
        <v>77</v>
      </c>
      <c r="Q370" s="23" t="s">
        <v>1689</v>
      </c>
      <c r="R370" s="42"/>
      <c r="S370" s="43">
        <f ca="1">IF(K370="Matched",0,Mapping_Rules!$B$6-B370)</f>
        <v>7</v>
      </c>
    </row>
    <row r="371" spans="1:19">
      <c r="A371" s="44" t="s">
        <v>908</v>
      </c>
      <c r="B371" s="45">
        <v>46027</v>
      </c>
      <c r="C371" s="44" t="s">
        <v>90</v>
      </c>
      <c r="D371" s="44" t="s">
        <v>133</v>
      </c>
      <c r="E371" s="44" t="s">
        <v>909</v>
      </c>
      <c r="F371" s="46">
        <v>267.31</v>
      </c>
      <c r="G371" s="47" t="str">
        <f ca="1">IFERROR(_xludf.XLOOKUP(E371,Bank_Statement!$D$4:$D$448,Bank_Statement!$G$4:$G$448,""),"")</f>
        <v/>
      </c>
      <c r="H371" s="46" t="str">
        <f t="shared" ca="1" si="15"/>
        <v/>
      </c>
      <c r="I371" s="48" t="str">
        <f ca="1">IFERROR(_xludf.XLOOKUP(E371,Bank_Statement!$D$4:$D$448,Bank_Statement!$B$4:$B$448,""),"")</f>
        <v/>
      </c>
      <c r="J371" s="49" t="str">
        <f t="shared" ca="1" si="16"/>
        <v/>
      </c>
      <c r="K371" s="50" t="str">
        <f ca="1">IF(G371="","Unmatched ERP",IF(AND(ABS(H371)&lt;=Mapping_Rules!$B$4,ABS(J371)&lt;=Mapping_Rules!$B$5),"Matched","Review"))</f>
        <v>Unmatched ERP</v>
      </c>
      <c r="L371" s="50" t="str">
        <f ca="1">IF(K371="Matched","None",IF(G371="","Missing from bank",IF(ABS(H371)&gt;Mapping_Rules!$B$4,"Amount variance","Date variance")))</f>
        <v>Missing from bank</v>
      </c>
      <c r="M371" s="50" t="str">
        <f ca="1">IF(K371="Matched","Low",IF(OR(IFERROR(ABS(H371),0)&gt;Mapping_Rules!$B$7,IFERROR(J371,0)&gt;Mapping_Rules!$B$8),"High","Medium"))</f>
        <v>High</v>
      </c>
      <c r="N371" s="50" t="str">
        <f t="shared" ca="1" si="17"/>
        <v>Check bank date or posting</v>
      </c>
      <c r="O371" s="44" t="s">
        <v>185</v>
      </c>
      <c r="P371" s="44" t="s">
        <v>95</v>
      </c>
      <c r="Q371" s="44" t="s">
        <v>1689</v>
      </c>
      <c r="R371" s="51"/>
      <c r="S371" s="52">
        <f ca="1">IF(K371="Matched",0,Mapping_Rules!$B$6-B371)</f>
        <v>26</v>
      </c>
    </row>
    <row r="372" spans="1:19">
      <c r="A372" s="23" t="s">
        <v>910</v>
      </c>
      <c r="B372" s="31">
        <v>46025</v>
      </c>
      <c r="C372" s="23" t="s">
        <v>81</v>
      </c>
      <c r="D372" s="23" t="s">
        <v>167</v>
      </c>
      <c r="E372" s="23" t="s">
        <v>911</v>
      </c>
      <c r="F372" s="32">
        <v>1264.8399999999999</v>
      </c>
      <c r="G372" s="38" t="str">
        <f ca="1">IFERROR(_xludf.XLOOKUP(E372,Bank_Statement!$D$4:$D$448,Bank_Statement!$G$4:$G$448,""),"")</f>
        <v/>
      </c>
      <c r="H372" s="32" t="str">
        <f t="shared" ca="1" si="15"/>
        <v/>
      </c>
      <c r="I372" s="39" t="str">
        <f ca="1">IFERROR(_xludf.XLOOKUP(E372,Bank_Statement!$D$4:$D$448,Bank_Statement!$B$4:$B$448,""),"")</f>
        <v/>
      </c>
      <c r="J372" s="40" t="str">
        <f t="shared" ca="1" si="16"/>
        <v/>
      </c>
      <c r="K372" s="41" t="str">
        <f ca="1">IF(G372="","Unmatched ERP",IF(AND(ABS(H372)&lt;=Mapping_Rules!$B$4,ABS(J372)&lt;=Mapping_Rules!$B$5),"Matched","Review"))</f>
        <v>Unmatched ERP</v>
      </c>
      <c r="L372" s="41" t="str">
        <f ca="1">IF(K372="Matched","None",IF(G372="","Missing from bank",IF(ABS(H372)&gt;Mapping_Rules!$B$4,"Amount variance","Date variance")))</f>
        <v>Missing from bank</v>
      </c>
      <c r="M372" s="41" t="str">
        <f ca="1">IF(K372="Matched","Low",IF(OR(IFERROR(ABS(H372),0)&gt;Mapping_Rules!$B$7,IFERROR(J372,0)&gt;Mapping_Rules!$B$8),"High","Medium"))</f>
        <v>High</v>
      </c>
      <c r="N372" s="41" t="str">
        <f t="shared" ca="1" si="17"/>
        <v>Check bank date or posting</v>
      </c>
      <c r="O372" s="23" t="s">
        <v>158</v>
      </c>
      <c r="P372" s="23" t="s">
        <v>86</v>
      </c>
      <c r="Q372" s="23" t="s">
        <v>1689</v>
      </c>
      <c r="R372" s="42"/>
      <c r="S372" s="43">
        <f ca="1">IF(K372="Matched",0,Mapping_Rules!$B$6-B372)</f>
        <v>28</v>
      </c>
    </row>
    <row r="373" spans="1:19">
      <c r="A373" s="44" t="s">
        <v>912</v>
      </c>
      <c r="B373" s="45">
        <v>46053</v>
      </c>
      <c r="C373" s="44" t="s">
        <v>72</v>
      </c>
      <c r="D373" s="44" t="s">
        <v>208</v>
      </c>
      <c r="E373" s="44" t="s">
        <v>913</v>
      </c>
      <c r="F373" s="46">
        <v>-1677.26</v>
      </c>
      <c r="G373" s="47" t="str">
        <f ca="1">IFERROR(_xludf.XLOOKUP(E373,Bank_Statement!$D$4:$D$448,Bank_Statement!$G$4:$G$448,""),"")</f>
        <v/>
      </c>
      <c r="H373" s="46" t="str">
        <f t="shared" ca="1" si="15"/>
        <v/>
      </c>
      <c r="I373" s="48" t="str">
        <f ca="1">IFERROR(_xludf.XLOOKUP(E373,Bank_Statement!$D$4:$D$448,Bank_Statement!$B$4:$B$448,""),"")</f>
        <v/>
      </c>
      <c r="J373" s="49" t="str">
        <f t="shared" ca="1" si="16"/>
        <v/>
      </c>
      <c r="K373" s="50" t="str">
        <f ca="1">IF(G373="","Unmatched ERP",IF(AND(ABS(H373)&lt;=Mapping_Rules!$B$4,ABS(J373)&lt;=Mapping_Rules!$B$5),"Matched","Review"))</f>
        <v>Unmatched ERP</v>
      </c>
      <c r="L373" s="50" t="str">
        <f ca="1">IF(K373="Matched","None",IF(G373="","Missing from bank",IF(ABS(H373)&gt;Mapping_Rules!$B$4,"Amount variance","Date variance")))</f>
        <v>Missing from bank</v>
      </c>
      <c r="M373" s="50" t="str">
        <f ca="1">IF(K373="Matched","Low",IF(OR(IFERROR(ABS(H373),0)&gt;Mapping_Rules!$B$7,IFERROR(J373,0)&gt;Mapping_Rules!$B$8),"High","Medium"))</f>
        <v>High</v>
      </c>
      <c r="N373" s="50" t="str">
        <f t="shared" ca="1" si="17"/>
        <v>Check bank date or posting</v>
      </c>
      <c r="O373" s="44" t="s">
        <v>131</v>
      </c>
      <c r="P373" s="44" t="s">
        <v>77</v>
      </c>
      <c r="Q373" s="44" t="s">
        <v>1689</v>
      </c>
      <c r="R373" s="51"/>
      <c r="S373" s="52">
        <f ca="1">IF(K373="Matched",0,Mapping_Rules!$B$6-B373)</f>
        <v>0</v>
      </c>
    </row>
    <row r="374" spans="1:19">
      <c r="A374" s="23" t="s">
        <v>914</v>
      </c>
      <c r="B374" s="31">
        <v>46031</v>
      </c>
      <c r="C374" s="23" t="s">
        <v>72</v>
      </c>
      <c r="D374" s="23" t="s">
        <v>133</v>
      </c>
      <c r="E374" s="23" t="s">
        <v>915</v>
      </c>
      <c r="F374" s="32">
        <v>-913</v>
      </c>
      <c r="G374" s="38" t="str">
        <f ca="1">IFERROR(_xludf.XLOOKUP(E374,Bank_Statement!$D$4:$D$448,Bank_Statement!$G$4:$G$448,""),"")</f>
        <v/>
      </c>
      <c r="H374" s="32" t="str">
        <f t="shared" ca="1" si="15"/>
        <v/>
      </c>
      <c r="I374" s="39" t="str">
        <f ca="1">IFERROR(_xludf.XLOOKUP(E374,Bank_Statement!$D$4:$D$448,Bank_Statement!$B$4:$B$448,""),"")</f>
        <v/>
      </c>
      <c r="J374" s="40" t="str">
        <f t="shared" ca="1" si="16"/>
        <v/>
      </c>
      <c r="K374" s="41" t="str">
        <f ca="1">IF(G374="","Unmatched ERP",IF(AND(ABS(H374)&lt;=Mapping_Rules!$B$4,ABS(J374)&lt;=Mapping_Rules!$B$5),"Matched","Review"))</f>
        <v>Unmatched ERP</v>
      </c>
      <c r="L374" s="41" t="str">
        <f ca="1">IF(K374="Matched","None",IF(G374="","Missing from bank",IF(ABS(H374)&gt;Mapping_Rules!$B$4,"Amount variance","Date variance")))</f>
        <v>Missing from bank</v>
      </c>
      <c r="M374" s="41" t="str">
        <f ca="1">IF(K374="Matched","Low",IF(OR(IFERROR(ABS(H374),0)&gt;Mapping_Rules!$B$7,IFERROR(J374,0)&gt;Mapping_Rules!$B$8),"High","Medium"))</f>
        <v>High</v>
      </c>
      <c r="N374" s="41" t="str">
        <f t="shared" ca="1" si="17"/>
        <v>Check bank date or posting</v>
      </c>
      <c r="O374" s="23" t="s">
        <v>131</v>
      </c>
      <c r="P374" s="23" t="s">
        <v>77</v>
      </c>
      <c r="Q374" s="23" t="s">
        <v>1689</v>
      </c>
      <c r="R374" s="42"/>
      <c r="S374" s="43">
        <f ca="1">IF(K374="Matched",0,Mapping_Rules!$B$6-B374)</f>
        <v>22</v>
      </c>
    </row>
    <row r="375" spans="1:19">
      <c r="A375" s="44" t="s">
        <v>916</v>
      </c>
      <c r="B375" s="45">
        <v>46033</v>
      </c>
      <c r="C375" s="44" t="s">
        <v>81</v>
      </c>
      <c r="D375" s="44" t="s">
        <v>167</v>
      </c>
      <c r="E375" s="44" t="s">
        <v>917</v>
      </c>
      <c r="F375" s="46">
        <v>3141.7</v>
      </c>
      <c r="G375" s="47" t="str">
        <f ca="1">IFERROR(_xludf.XLOOKUP(E375,Bank_Statement!$D$4:$D$448,Bank_Statement!$G$4:$G$448,""),"")</f>
        <v/>
      </c>
      <c r="H375" s="46" t="str">
        <f t="shared" ca="1" si="15"/>
        <v/>
      </c>
      <c r="I375" s="48" t="str">
        <f ca="1">IFERROR(_xludf.XLOOKUP(E375,Bank_Statement!$D$4:$D$448,Bank_Statement!$B$4:$B$448,""),"")</f>
        <v/>
      </c>
      <c r="J375" s="49" t="str">
        <f t="shared" ca="1" si="16"/>
        <v/>
      </c>
      <c r="K375" s="50" t="str">
        <f ca="1">IF(G375="","Unmatched ERP",IF(AND(ABS(H375)&lt;=Mapping_Rules!$B$4,ABS(J375)&lt;=Mapping_Rules!$B$5),"Matched","Review"))</f>
        <v>Unmatched ERP</v>
      </c>
      <c r="L375" s="50" t="str">
        <f ca="1">IF(K375="Matched","None",IF(G375="","Missing from bank",IF(ABS(H375)&gt;Mapping_Rules!$B$4,"Amount variance","Date variance")))</f>
        <v>Missing from bank</v>
      </c>
      <c r="M375" s="50" t="str">
        <f ca="1">IF(K375="Matched","Low",IF(OR(IFERROR(ABS(H375),0)&gt;Mapping_Rules!$B$7,IFERROR(J375,0)&gt;Mapping_Rules!$B$8),"High","Medium"))</f>
        <v>High</v>
      </c>
      <c r="N375" s="50" t="str">
        <f t="shared" ca="1" si="17"/>
        <v>Check bank date or posting</v>
      </c>
      <c r="O375" s="44" t="s">
        <v>158</v>
      </c>
      <c r="P375" s="44" t="s">
        <v>86</v>
      </c>
      <c r="Q375" s="44" t="s">
        <v>1689</v>
      </c>
      <c r="R375" s="51"/>
      <c r="S375" s="52">
        <f ca="1">IF(K375="Matched",0,Mapping_Rules!$B$6-B375)</f>
        <v>20</v>
      </c>
    </row>
    <row r="376" spans="1:19">
      <c r="A376" s="23" t="s">
        <v>918</v>
      </c>
      <c r="B376" s="31">
        <v>46025</v>
      </c>
      <c r="C376" s="23" t="s">
        <v>72</v>
      </c>
      <c r="D376" s="23" t="s">
        <v>126</v>
      </c>
      <c r="E376" s="23" t="s">
        <v>919</v>
      </c>
      <c r="F376" s="32">
        <v>-1941.8</v>
      </c>
      <c r="G376" s="38" t="str">
        <f ca="1">IFERROR(_xludf.XLOOKUP(E376,Bank_Statement!$D$4:$D$448,Bank_Statement!$G$4:$G$448,""),"")</f>
        <v/>
      </c>
      <c r="H376" s="32" t="str">
        <f t="shared" ca="1" si="15"/>
        <v/>
      </c>
      <c r="I376" s="39" t="str">
        <f ca="1">IFERROR(_xludf.XLOOKUP(E376,Bank_Statement!$D$4:$D$448,Bank_Statement!$B$4:$B$448,""),"")</f>
        <v/>
      </c>
      <c r="J376" s="40" t="str">
        <f t="shared" ca="1" si="16"/>
        <v/>
      </c>
      <c r="K376" s="41" t="str">
        <f ca="1">IF(G376="","Unmatched ERP",IF(AND(ABS(H376)&lt;=Mapping_Rules!$B$4,ABS(J376)&lt;=Mapping_Rules!$B$5),"Matched","Review"))</f>
        <v>Unmatched ERP</v>
      </c>
      <c r="L376" s="41" t="str">
        <f ca="1">IF(K376="Matched","None",IF(G376="","Missing from bank",IF(ABS(H376)&gt;Mapping_Rules!$B$4,"Amount variance","Date variance")))</f>
        <v>Missing from bank</v>
      </c>
      <c r="M376" s="41" t="str">
        <f ca="1">IF(K376="Matched","Low",IF(OR(IFERROR(ABS(H376),0)&gt;Mapping_Rules!$B$7,IFERROR(J376,0)&gt;Mapping_Rules!$B$8),"High","Medium"))</f>
        <v>High</v>
      </c>
      <c r="N376" s="41" t="str">
        <f t="shared" ca="1" si="17"/>
        <v>Check bank date or posting</v>
      </c>
      <c r="O376" s="23" t="s">
        <v>131</v>
      </c>
      <c r="P376" s="23" t="s">
        <v>77</v>
      </c>
      <c r="Q376" s="23" t="s">
        <v>1689</v>
      </c>
      <c r="R376" s="42"/>
      <c r="S376" s="43">
        <f ca="1">IF(K376="Matched",0,Mapping_Rules!$B$6-B376)</f>
        <v>28</v>
      </c>
    </row>
    <row r="377" spans="1:19">
      <c r="A377" s="44" t="s">
        <v>920</v>
      </c>
      <c r="B377" s="45">
        <v>46045</v>
      </c>
      <c r="C377" s="44" t="s">
        <v>72</v>
      </c>
      <c r="D377" s="44" t="s">
        <v>208</v>
      </c>
      <c r="E377" s="44" t="s">
        <v>921</v>
      </c>
      <c r="F377" s="46">
        <v>-2505.02</v>
      </c>
      <c r="G377" s="47" t="str">
        <f ca="1">IFERROR(_xludf.XLOOKUP(E377,Bank_Statement!$D$4:$D$448,Bank_Statement!$G$4:$G$448,""),"")</f>
        <v/>
      </c>
      <c r="H377" s="46" t="str">
        <f t="shared" ca="1" si="15"/>
        <v/>
      </c>
      <c r="I377" s="48" t="str">
        <f ca="1">IFERROR(_xludf.XLOOKUP(E377,Bank_Statement!$D$4:$D$448,Bank_Statement!$B$4:$B$448,""),"")</f>
        <v/>
      </c>
      <c r="J377" s="49" t="str">
        <f t="shared" ca="1" si="16"/>
        <v/>
      </c>
      <c r="K377" s="50" t="str">
        <f ca="1">IF(G377="","Unmatched ERP",IF(AND(ABS(H377)&lt;=Mapping_Rules!$B$4,ABS(J377)&lt;=Mapping_Rules!$B$5),"Matched","Review"))</f>
        <v>Unmatched ERP</v>
      </c>
      <c r="L377" s="50" t="str">
        <f ca="1">IF(K377="Matched","None",IF(G377="","Missing from bank",IF(ABS(H377)&gt;Mapping_Rules!$B$4,"Amount variance","Date variance")))</f>
        <v>Missing from bank</v>
      </c>
      <c r="M377" s="50" t="str">
        <f ca="1">IF(K377="Matched","Low",IF(OR(IFERROR(ABS(H377),0)&gt;Mapping_Rules!$B$7,IFERROR(J377,0)&gt;Mapping_Rules!$B$8),"High","Medium"))</f>
        <v>High</v>
      </c>
      <c r="N377" s="50" t="str">
        <f t="shared" ca="1" si="17"/>
        <v>Check bank date or posting</v>
      </c>
      <c r="O377" s="44" t="s">
        <v>131</v>
      </c>
      <c r="P377" s="44" t="s">
        <v>77</v>
      </c>
      <c r="Q377" s="44" t="s">
        <v>1689</v>
      </c>
      <c r="R377" s="51"/>
      <c r="S377" s="52">
        <f ca="1">IF(K377="Matched",0,Mapping_Rules!$B$6-B377)</f>
        <v>8</v>
      </c>
    </row>
    <row r="378" spans="1:19">
      <c r="A378" s="23" t="s">
        <v>922</v>
      </c>
      <c r="B378" s="31">
        <v>46050</v>
      </c>
      <c r="C378" s="23" t="s">
        <v>81</v>
      </c>
      <c r="D378" s="23" t="s">
        <v>155</v>
      </c>
      <c r="E378" s="23" t="s">
        <v>923</v>
      </c>
      <c r="F378" s="32">
        <v>4743.51</v>
      </c>
      <c r="G378" s="38" t="str">
        <f ca="1">IFERROR(_xludf.XLOOKUP(E378,Bank_Statement!$D$4:$D$448,Bank_Statement!$G$4:$G$448,""),"")</f>
        <v/>
      </c>
      <c r="H378" s="32" t="str">
        <f t="shared" ca="1" si="15"/>
        <v/>
      </c>
      <c r="I378" s="39" t="str">
        <f ca="1">IFERROR(_xludf.XLOOKUP(E378,Bank_Statement!$D$4:$D$448,Bank_Statement!$B$4:$B$448,""),"")</f>
        <v/>
      </c>
      <c r="J378" s="40" t="str">
        <f t="shared" ca="1" si="16"/>
        <v/>
      </c>
      <c r="K378" s="41" t="str">
        <f ca="1">IF(G378="","Unmatched ERP",IF(AND(ABS(H378)&lt;=Mapping_Rules!$B$4,ABS(J378)&lt;=Mapping_Rules!$B$5),"Matched","Review"))</f>
        <v>Unmatched ERP</v>
      </c>
      <c r="L378" s="41" t="str">
        <f ca="1">IF(K378="Matched","None",IF(G378="","Missing from bank",IF(ABS(H378)&gt;Mapping_Rules!$B$4,"Amount variance","Date variance")))</f>
        <v>Missing from bank</v>
      </c>
      <c r="M378" s="41" t="str">
        <f ca="1">IF(K378="Matched","Low",IF(OR(IFERROR(ABS(H378),0)&gt;Mapping_Rules!$B$7,IFERROR(J378,0)&gt;Mapping_Rules!$B$8),"High","Medium"))</f>
        <v>High</v>
      </c>
      <c r="N378" s="41" t="str">
        <f t="shared" ca="1" si="17"/>
        <v>Check bank date or posting</v>
      </c>
      <c r="O378" s="23" t="s">
        <v>158</v>
      </c>
      <c r="P378" s="23" t="s">
        <v>86</v>
      </c>
      <c r="Q378" s="23" t="s">
        <v>1689</v>
      </c>
      <c r="R378" s="42"/>
      <c r="S378" s="43">
        <f ca="1">IF(K378="Matched",0,Mapping_Rules!$B$6-B378)</f>
        <v>3</v>
      </c>
    </row>
    <row r="379" spans="1:19">
      <c r="A379" s="44" t="s">
        <v>924</v>
      </c>
      <c r="B379" s="45">
        <v>46024</v>
      </c>
      <c r="C379" s="44" t="s">
        <v>99</v>
      </c>
      <c r="D379" s="44" t="s">
        <v>182</v>
      </c>
      <c r="E379" s="44" t="s">
        <v>925</v>
      </c>
      <c r="F379" s="46">
        <v>-16747.22</v>
      </c>
      <c r="G379" s="47" t="str">
        <f ca="1">IFERROR(_xludf.XLOOKUP(E379,Bank_Statement!$D$4:$D$448,Bank_Statement!$G$4:$G$448,""),"")</f>
        <v/>
      </c>
      <c r="H379" s="46" t="str">
        <f t="shared" ca="1" si="15"/>
        <v/>
      </c>
      <c r="I379" s="48" t="str">
        <f ca="1">IFERROR(_xludf.XLOOKUP(E379,Bank_Statement!$D$4:$D$448,Bank_Statement!$B$4:$B$448,""),"")</f>
        <v/>
      </c>
      <c r="J379" s="49" t="str">
        <f t="shared" ca="1" si="16"/>
        <v/>
      </c>
      <c r="K379" s="50" t="str">
        <f ca="1">IF(G379="","Unmatched ERP",IF(AND(ABS(H379)&lt;=Mapping_Rules!$B$4,ABS(J379)&lt;=Mapping_Rules!$B$5),"Matched","Review"))</f>
        <v>Unmatched ERP</v>
      </c>
      <c r="L379" s="50" t="str">
        <f ca="1">IF(K379="Matched","None",IF(G379="","Missing from bank",IF(ABS(H379)&gt;Mapping_Rules!$B$4,"Amount variance","Date variance")))</f>
        <v>Missing from bank</v>
      </c>
      <c r="M379" s="50" t="str">
        <f ca="1">IF(K379="Matched","Low",IF(OR(IFERROR(ABS(H379),0)&gt;Mapping_Rules!$B$7,IFERROR(J379,0)&gt;Mapping_Rules!$B$8),"High","Medium"))</f>
        <v>High</v>
      </c>
      <c r="N379" s="50" t="str">
        <f t="shared" ca="1" si="17"/>
        <v>Check bank date or posting</v>
      </c>
      <c r="O379" s="44" t="s">
        <v>185</v>
      </c>
      <c r="P379" s="44" t="s">
        <v>95</v>
      </c>
      <c r="Q379" s="44" t="s">
        <v>1689</v>
      </c>
      <c r="R379" s="51"/>
      <c r="S379" s="52">
        <f ca="1">IF(K379="Matched",0,Mapping_Rules!$B$6-B379)</f>
        <v>29</v>
      </c>
    </row>
    <row r="380" spans="1:19">
      <c r="A380" s="23" t="s">
        <v>926</v>
      </c>
      <c r="B380" s="31">
        <v>46034</v>
      </c>
      <c r="C380" s="23" t="s">
        <v>90</v>
      </c>
      <c r="D380" s="23" t="s">
        <v>163</v>
      </c>
      <c r="E380" s="23" t="s">
        <v>927</v>
      </c>
      <c r="F380" s="32">
        <v>-466</v>
      </c>
      <c r="G380" s="38" t="str">
        <f ca="1">IFERROR(_xludf.XLOOKUP(E380,Bank_Statement!$D$4:$D$448,Bank_Statement!$G$4:$G$448,""),"")</f>
        <v/>
      </c>
      <c r="H380" s="32" t="str">
        <f t="shared" ca="1" si="15"/>
        <v/>
      </c>
      <c r="I380" s="39" t="str">
        <f ca="1">IFERROR(_xludf.XLOOKUP(E380,Bank_Statement!$D$4:$D$448,Bank_Statement!$B$4:$B$448,""),"")</f>
        <v/>
      </c>
      <c r="J380" s="40" t="str">
        <f t="shared" ca="1" si="16"/>
        <v/>
      </c>
      <c r="K380" s="41" t="str">
        <f ca="1">IF(G380="","Unmatched ERP",IF(AND(ABS(H380)&lt;=Mapping_Rules!$B$4,ABS(J380)&lt;=Mapping_Rules!$B$5),"Matched","Review"))</f>
        <v>Unmatched ERP</v>
      </c>
      <c r="L380" s="41" t="str">
        <f ca="1">IF(K380="Matched","None",IF(G380="","Missing from bank",IF(ABS(H380)&gt;Mapping_Rules!$B$4,"Amount variance","Date variance")))</f>
        <v>Missing from bank</v>
      </c>
      <c r="M380" s="41" t="str">
        <f ca="1">IF(K380="Matched","Low",IF(OR(IFERROR(ABS(H380),0)&gt;Mapping_Rules!$B$7,IFERROR(J380,0)&gt;Mapping_Rules!$B$8),"High","Medium"))</f>
        <v>High</v>
      </c>
      <c r="N380" s="41" t="str">
        <f t="shared" ca="1" si="17"/>
        <v>Check bank date or posting</v>
      </c>
      <c r="O380" s="23" t="s">
        <v>158</v>
      </c>
      <c r="P380" s="23" t="s">
        <v>95</v>
      </c>
      <c r="Q380" s="23" t="s">
        <v>1689</v>
      </c>
      <c r="R380" s="42"/>
      <c r="S380" s="43">
        <f ca="1">IF(K380="Matched",0,Mapping_Rules!$B$6-B380)</f>
        <v>19</v>
      </c>
    </row>
    <row r="381" spans="1:19">
      <c r="A381" s="44" t="s">
        <v>928</v>
      </c>
      <c r="B381" s="45">
        <v>46025</v>
      </c>
      <c r="C381" s="44" t="s">
        <v>99</v>
      </c>
      <c r="D381" s="44" t="s">
        <v>182</v>
      </c>
      <c r="E381" s="44" t="s">
        <v>929</v>
      </c>
      <c r="F381" s="46">
        <v>-14525.66</v>
      </c>
      <c r="G381" s="47" t="str">
        <f ca="1">IFERROR(_xludf.XLOOKUP(E381,Bank_Statement!$D$4:$D$448,Bank_Statement!$G$4:$G$448,""),"")</f>
        <v/>
      </c>
      <c r="H381" s="46" t="str">
        <f t="shared" ca="1" si="15"/>
        <v/>
      </c>
      <c r="I381" s="48" t="str">
        <f ca="1">IFERROR(_xludf.XLOOKUP(E381,Bank_Statement!$D$4:$D$448,Bank_Statement!$B$4:$B$448,""),"")</f>
        <v/>
      </c>
      <c r="J381" s="49" t="str">
        <f t="shared" ca="1" si="16"/>
        <v/>
      </c>
      <c r="K381" s="50" t="str">
        <f ca="1">IF(G381="","Unmatched ERP",IF(AND(ABS(H381)&lt;=Mapping_Rules!$B$4,ABS(J381)&lt;=Mapping_Rules!$B$5),"Matched","Review"))</f>
        <v>Unmatched ERP</v>
      </c>
      <c r="L381" s="50" t="str">
        <f ca="1">IF(K381="Matched","None",IF(G381="","Missing from bank",IF(ABS(H381)&gt;Mapping_Rules!$B$4,"Amount variance","Date variance")))</f>
        <v>Missing from bank</v>
      </c>
      <c r="M381" s="50" t="str">
        <f ca="1">IF(K381="Matched","Low",IF(OR(IFERROR(ABS(H381),0)&gt;Mapping_Rules!$B$7,IFERROR(J381,0)&gt;Mapping_Rules!$B$8),"High","Medium"))</f>
        <v>High</v>
      </c>
      <c r="N381" s="50" t="str">
        <f t="shared" ca="1" si="17"/>
        <v>Check bank date or posting</v>
      </c>
      <c r="O381" s="44" t="s">
        <v>185</v>
      </c>
      <c r="P381" s="44" t="s">
        <v>95</v>
      </c>
      <c r="Q381" s="44" t="s">
        <v>1689</v>
      </c>
      <c r="R381" s="51"/>
      <c r="S381" s="52">
        <f ca="1">IF(K381="Matched",0,Mapping_Rules!$B$6-B381)</f>
        <v>28</v>
      </c>
    </row>
    <row r="382" spans="1:19">
      <c r="A382" s="23" t="s">
        <v>930</v>
      </c>
      <c r="B382" s="31">
        <v>46036</v>
      </c>
      <c r="C382" s="23" t="s">
        <v>99</v>
      </c>
      <c r="D382" s="23" t="s">
        <v>182</v>
      </c>
      <c r="E382" s="23" t="s">
        <v>931</v>
      </c>
      <c r="F382" s="32">
        <v>-8227.48</v>
      </c>
      <c r="G382" s="38" t="str">
        <f ca="1">IFERROR(_xludf.XLOOKUP(E382,Bank_Statement!$D$4:$D$448,Bank_Statement!$G$4:$G$448,""),"")</f>
        <v/>
      </c>
      <c r="H382" s="32" t="str">
        <f t="shared" ca="1" si="15"/>
        <v/>
      </c>
      <c r="I382" s="39" t="str">
        <f ca="1">IFERROR(_xludf.XLOOKUP(E382,Bank_Statement!$D$4:$D$448,Bank_Statement!$B$4:$B$448,""),"")</f>
        <v/>
      </c>
      <c r="J382" s="40" t="str">
        <f t="shared" ca="1" si="16"/>
        <v/>
      </c>
      <c r="K382" s="41" t="str">
        <f ca="1">IF(G382="","Unmatched ERP",IF(AND(ABS(H382)&lt;=Mapping_Rules!$B$4,ABS(J382)&lt;=Mapping_Rules!$B$5),"Matched","Review"))</f>
        <v>Unmatched ERP</v>
      </c>
      <c r="L382" s="41" t="str">
        <f ca="1">IF(K382="Matched","None",IF(G382="","Missing from bank",IF(ABS(H382)&gt;Mapping_Rules!$B$4,"Amount variance","Date variance")))</f>
        <v>Missing from bank</v>
      </c>
      <c r="M382" s="41" t="str">
        <f ca="1">IF(K382="Matched","Low",IF(OR(IFERROR(ABS(H382),0)&gt;Mapping_Rules!$B$7,IFERROR(J382,0)&gt;Mapping_Rules!$B$8),"High","Medium"))</f>
        <v>High</v>
      </c>
      <c r="N382" s="41" t="str">
        <f t="shared" ca="1" si="17"/>
        <v>Check bank date or posting</v>
      </c>
      <c r="O382" s="23" t="s">
        <v>185</v>
      </c>
      <c r="P382" s="23" t="s">
        <v>95</v>
      </c>
      <c r="Q382" s="23" t="s">
        <v>1689</v>
      </c>
      <c r="R382" s="42"/>
      <c r="S382" s="43">
        <f ca="1">IF(K382="Matched",0,Mapping_Rules!$B$6-B382)</f>
        <v>17</v>
      </c>
    </row>
    <row r="383" spans="1:19">
      <c r="A383" s="44" t="s">
        <v>932</v>
      </c>
      <c r="B383" s="45">
        <v>46052</v>
      </c>
      <c r="C383" s="44" t="s">
        <v>72</v>
      </c>
      <c r="D383" s="44" t="s">
        <v>208</v>
      </c>
      <c r="E383" s="44" t="s">
        <v>933</v>
      </c>
      <c r="F383" s="46">
        <v>-2809.59</v>
      </c>
      <c r="G383" s="47" t="str">
        <f ca="1">IFERROR(_xludf.XLOOKUP(E383,Bank_Statement!$D$4:$D$448,Bank_Statement!$G$4:$G$448,""),"")</f>
        <v/>
      </c>
      <c r="H383" s="46" t="str">
        <f t="shared" ca="1" si="15"/>
        <v/>
      </c>
      <c r="I383" s="48" t="str">
        <f ca="1">IFERROR(_xludf.XLOOKUP(E383,Bank_Statement!$D$4:$D$448,Bank_Statement!$B$4:$B$448,""),"")</f>
        <v/>
      </c>
      <c r="J383" s="49" t="str">
        <f t="shared" ca="1" si="16"/>
        <v/>
      </c>
      <c r="K383" s="50" t="str">
        <f ca="1">IF(G383="","Unmatched ERP",IF(AND(ABS(H383)&lt;=Mapping_Rules!$B$4,ABS(J383)&lt;=Mapping_Rules!$B$5),"Matched","Review"))</f>
        <v>Unmatched ERP</v>
      </c>
      <c r="L383" s="50" t="str">
        <f ca="1">IF(K383="Matched","None",IF(G383="","Missing from bank",IF(ABS(H383)&gt;Mapping_Rules!$B$4,"Amount variance","Date variance")))</f>
        <v>Missing from bank</v>
      </c>
      <c r="M383" s="50" t="str">
        <f ca="1">IF(K383="Matched","Low",IF(OR(IFERROR(ABS(H383),0)&gt;Mapping_Rules!$B$7,IFERROR(J383,0)&gt;Mapping_Rules!$B$8),"High","Medium"))</f>
        <v>High</v>
      </c>
      <c r="N383" s="50" t="str">
        <f t="shared" ca="1" si="17"/>
        <v>Check bank date or posting</v>
      </c>
      <c r="O383" s="44" t="s">
        <v>131</v>
      </c>
      <c r="P383" s="44" t="s">
        <v>77</v>
      </c>
      <c r="Q383" s="44" t="s">
        <v>1689</v>
      </c>
      <c r="R383" s="51"/>
      <c r="S383" s="52">
        <f ca="1">IF(K383="Matched",0,Mapping_Rules!$B$6-B383)</f>
        <v>1</v>
      </c>
    </row>
    <row r="384" spans="1:19">
      <c r="A384" s="23" t="s">
        <v>934</v>
      </c>
      <c r="B384" s="31">
        <v>46038</v>
      </c>
      <c r="C384" s="23" t="s">
        <v>81</v>
      </c>
      <c r="D384" s="23" t="s">
        <v>167</v>
      </c>
      <c r="E384" s="23" t="s">
        <v>935</v>
      </c>
      <c r="F384" s="32">
        <v>4149.91</v>
      </c>
      <c r="G384" s="38" t="str">
        <f ca="1">IFERROR(_xludf.XLOOKUP(E384,Bank_Statement!$D$4:$D$448,Bank_Statement!$G$4:$G$448,""),"")</f>
        <v/>
      </c>
      <c r="H384" s="32" t="str">
        <f t="shared" ca="1" si="15"/>
        <v/>
      </c>
      <c r="I384" s="39" t="str">
        <f ca="1">IFERROR(_xludf.XLOOKUP(E384,Bank_Statement!$D$4:$D$448,Bank_Statement!$B$4:$B$448,""),"")</f>
        <v/>
      </c>
      <c r="J384" s="40" t="str">
        <f t="shared" ca="1" si="16"/>
        <v/>
      </c>
      <c r="K384" s="41" t="str">
        <f ca="1">IF(G384="","Unmatched ERP",IF(AND(ABS(H384)&lt;=Mapping_Rules!$B$4,ABS(J384)&lt;=Mapping_Rules!$B$5),"Matched","Review"))</f>
        <v>Unmatched ERP</v>
      </c>
      <c r="L384" s="41" t="str">
        <f ca="1">IF(K384="Matched","None",IF(G384="","Missing from bank",IF(ABS(H384)&gt;Mapping_Rules!$B$4,"Amount variance","Date variance")))</f>
        <v>Missing from bank</v>
      </c>
      <c r="M384" s="41" t="str">
        <f ca="1">IF(K384="Matched","Low",IF(OR(IFERROR(ABS(H384),0)&gt;Mapping_Rules!$B$7,IFERROR(J384,0)&gt;Mapping_Rules!$B$8),"High","Medium"))</f>
        <v>High</v>
      </c>
      <c r="N384" s="41" t="str">
        <f t="shared" ca="1" si="17"/>
        <v>Check bank date or posting</v>
      </c>
      <c r="O384" s="23" t="s">
        <v>158</v>
      </c>
      <c r="P384" s="23" t="s">
        <v>86</v>
      </c>
      <c r="Q384" s="23" t="s">
        <v>1689</v>
      </c>
      <c r="R384" s="42"/>
      <c r="S384" s="43">
        <f ca="1">IF(K384="Matched",0,Mapping_Rules!$B$6-B384)</f>
        <v>15</v>
      </c>
    </row>
    <row r="385" spans="1:19">
      <c r="A385" s="44" t="s">
        <v>936</v>
      </c>
      <c r="B385" s="45">
        <v>46051</v>
      </c>
      <c r="C385" s="44" t="s">
        <v>90</v>
      </c>
      <c r="D385" s="44" t="s">
        <v>150</v>
      </c>
      <c r="E385" s="44" t="s">
        <v>937</v>
      </c>
      <c r="F385" s="46">
        <v>-3172.23</v>
      </c>
      <c r="G385" s="47" t="str">
        <f ca="1">IFERROR(_xludf.XLOOKUP(E385,Bank_Statement!$D$4:$D$448,Bank_Statement!$G$4:$G$448,""),"")</f>
        <v/>
      </c>
      <c r="H385" s="46" t="str">
        <f t="shared" ca="1" si="15"/>
        <v/>
      </c>
      <c r="I385" s="48" t="str">
        <f ca="1">IFERROR(_xludf.XLOOKUP(E385,Bank_Statement!$D$4:$D$448,Bank_Statement!$B$4:$B$448,""),"")</f>
        <v/>
      </c>
      <c r="J385" s="49" t="str">
        <f t="shared" ca="1" si="16"/>
        <v/>
      </c>
      <c r="K385" s="50" t="str">
        <f ca="1">IF(G385="","Unmatched ERP",IF(AND(ABS(H385)&lt;=Mapping_Rules!$B$4,ABS(J385)&lt;=Mapping_Rules!$B$5),"Matched","Review"))</f>
        <v>Unmatched ERP</v>
      </c>
      <c r="L385" s="50" t="str">
        <f ca="1">IF(K385="Matched","None",IF(G385="","Missing from bank",IF(ABS(H385)&gt;Mapping_Rules!$B$4,"Amount variance","Date variance")))</f>
        <v>Missing from bank</v>
      </c>
      <c r="M385" s="50" t="str">
        <f ca="1">IF(K385="Matched","Low",IF(OR(IFERROR(ABS(H385),0)&gt;Mapping_Rules!$B$7,IFERROR(J385,0)&gt;Mapping_Rules!$B$8),"High","Medium"))</f>
        <v>High</v>
      </c>
      <c r="N385" s="50" t="str">
        <f t="shared" ca="1" si="17"/>
        <v>Check bank date or posting</v>
      </c>
      <c r="O385" s="44" t="s">
        <v>242</v>
      </c>
      <c r="P385" s="44" t="s">
        <v>95</v>
      </c>
      <c r="Q385" s="44" t="s">
        <v>1689</v>
      </c>
      <c r="R385" s="51"/>
      <c r="S385" s="52">
        <f ca="1">IF(K385="Matched",0,Mapping_Rules!$B$6-B385)</f>
        <v>2</v>
      </c>
    </row>
    <row r="386" spans="1:19">
      <c r="A386" s="23" t="s">
        <v>938</v>
      </c>
      <c r="B386" s="31">
        <v>46041</v>
      </c>
      <c r="C386" s="23" t="s">
        <v>81</v>
      </c>
      <c r="D386" s="23" t="s">
        <v>163</v>
      </c>
      <c r="E386" s="23" t="s">
        <v>939</v>
      </c>
      <c r="F386" s="32">
        <v>2408.14</v>
      </c>
      <c r="G386" s="38" t="str">
        <f ca="1">IFERROR(_xludf.XLOOKUP(E386,Bank_Statement!$D$4:$D$448,Bank_Statement!$G$4:$G$448,""),"")</f>
        <v/>
      </c>
      <c r="H386" s="32" t="str">
        <f t="shared" ca="1" si="15"/>
        <v/>
      </c>
      <c r="I386" s="39" t="str">
        <f ca="1">IFERROR(_xludf.XLOOKUP(E386,Bank_Statement!$D$4:$D$448,Bank_Statement!$B$4:$B$448,""),"")</f>
        <v/>
      </c>
      <c r="J386" s="40" t="str">
        <f t="shared" ca="1" si="16"/>
        <v/>
      </c>
      <c r="K386" s="41" t="str">
        <f ca="1">IF(G386="","Unmatched ERP",IF(AND(ABS(H386)&lt;=Mapping_Rules!$B$4,ABS(J386)&lt;=Mapping_Rules!$B$5),"Matched","Review"))</f>
        <v>Unmatched ERP</v>
      </c>
      <c r="L386" s="41" t="str">
        <f ca="1">IF(K386="Matched","None",IF(G386="","Missing from bank",IF(ABS(H386)&gt;Mapping_Rules!$B$4,"Amount variance","Date variance")))</f>
        <v>Missing from bank</v>
      </c>
      <c r="M386" s="41" t="str">
        <f ca="1">IF(K386="Matched","Low",IF(OR(IFERROR(ABS(H386),0)&gt;Mapping_Rules!$B$7,IFERROR(J386,0)&gt;Mapping_Rules!$B$8),"High","Medium"))</f>
        <v>High</v>
      </c>
      <c r="N386" s="41" t="str">
        <f t="shared" ca="1" si="17"/>
        <v>Check bank date or posting</v>
      </c>
      <c r="O386" s="23" t="s">
        <v>158</v>
      </c>
      <c r="P386" s="23" t="s">
        <v>86</v>
      </c>
      <c r="Q386" s="23" t="s">
        <v>1689</v>
      </c>
      <c r="R386" s="42"/>
      <c r="S386" s="43">
        <f ca="1">IF(K386="Matched",0,Mapping_Rules!$B$6-B386)</f>
        <v>12</v>
      </c>
    </row>
    <row r="387" spans="1:19">
      <c r="A387" s="44" t="s">
        <v>940</v>
      </c>
      <c r="B387" s="45">
        <v>46047</v>
      </c>
      <c r="C387" s="44" t="s">
        <v>72</v>
      </c>
      <c r="D387" s="44" t="s">
        <v>139</v>
      </c>
      <c r="E387" s="44" t="s">
        <v>941</v>
      </c>
      <c r="F387" s="46">
        <v>-6148.17</v>
      </c>
      <c r="G387" s="47" t="str">
        <f ca="1">IFERROR(_xludf.XLOOKUP(E387,Bank_Statement!$D$4:$D$448,Bank_Statement!$G$4:$G$448,""),"")</f>
        <v/>
      </c>
      <c r="H387" s="46" t="str">
        <f t="shared" ca="1" si="15"/>
        <v/>
      </c>
      <c r="I387" s="48" t="str">
        <f ca="1">IFERROR(_xludf.XLOOKUP(E387,Bank_Statement!$D$4:$D$448,Bank_Statement!$B$4:$B$448,""),"")</f>
        <v/>
      </c>
      <c r="J387" s="49" t="str">
        <f t="shared" ca="1" si="16"/>
        <v/>
      </c>
      <c r="K387" s="50" t="str">
        <f ca="1">IF(G387="","Unmatched ERP",IF(AND(ABS(H387)&lt;=Mapping_Rules!$B$4,ABS(J387)&lt;=Mapping_Rules!$B$5),"Matched","Review"))</f>
        <v>Unmatched ERP</v>
      </c>
      <c r="L387" s="50" t="str">
        <f ca="1">IF(K387="Matched","None",IF(G387="","Missing from bank",IF(ABS(H387)&gt;Mapping_Rules!$B$4,"Amount variance","Date variance")))</f>
        <v>Missing from bank</v>
      </c>
      <c r="M387" s="50" t="str">
        <f ca="1">IF(K387="Matched","Low",IF(OR(IFERROR(ABS(H387),0)&gt;Mapping_Rules!$B$7,IFERROR(J387,0)&gt;Mapping_Rules!$B$8),"High","Medium"))</f>
        <v>High</v>
      </c>
      <c r="N387" s="50" t="str">
        <f t="shared" ca="1" si="17"/>
        <v>Check bank date or posting</v>
      </c>
      <c r="O387" s="44" t="s">
        <v>131</v>
      </c>
      <c r="P387" s="44" t="s">
        <v>77</v>
      </c>
      <c r="Q387" s="44" t="s">
        <v>1689</v>
      </c>
      <c r="R387" s="51"/>
      <c r="S387" s="52">
        <f ca="1">IF(K387="Matched",0,Mapping_Rules!$B$6-B387)</f>
        <v>6</v>
      </c>
    </row>
    <row r="388" spans="1:19">
      <c r="A388" s="23" t="s">
        <v>942</v>
      </c>
      <c r="B388" s="31">
        <v>46026</v>
      </c>
      <c r="C388" s="23" t="s">
        <v>72</v>
      </c>
      <c r="D388" s="23" t="s">
        <v>133</v>
      </c>
      <c r="E388" s="23" t="s">
        <v>943</v>
      </c>
      <c r="F388" s="32">
        <v>-1711.15</v>
      </c>
      <c r="G388" s="38" t="str">
        <f ca="1">IFERROR(_xludf.XLOOKUP(E388,Bank_Statement!$D$4:$D$448,Bank_Statement!$G$4:$G$448,""),"")</f>
        <v/>
      </c>
      <c r="H388" s="32" t="str">
        <f t="shared" ref="H388:H451" ca="1" si="18">IF(G388="","",F388-G388)</f>
        <v/>
      </c>
      <c r="I388" s="39" t="str">
        <f ca="1">IFERROR(_xludf.XLOOKUP(E388,Bank_Statement!$D$4:$D$448,Bank_Statement!$B$4:$B$448,""),"")</f>
        <v/>
      </c>
      <c r="J388" s="40" t="str">
        <f t="shared" ref="J388:J451" ca="1" si="19">IF(I388="","",ABS(B388-I388))</f>
        <v/>
      </c>
      <c r="K388" s="41" t="str">
        <f ca="1">IF(G388="","Unmatched ERP",IF(AND(ABS(H388)&lt;=Mapping_Rules!$B$4,ABS(J388)&lt;=Mapping_Rules!$B$5),"Matched","Review"))</f>
        <v>Unmatched ERP</v>
      </c>
      <c r="L388" s="41" t="str">
        <f ca="1">IF(K388="Matched","None",IF(G388="","Missing from bank",IF(ABS(H388)&gt;Mapping_Rules!$B$4,"Amount variance","Date variance")))</f>
        <v>Missing from bank</v>
      </c>
      <c r="M388" s="41" t="str">
        <f ca="1">IF(K388="Matched","Low",IF(OR(IFERROR(ABS(H388),0)&gt;Mapping_Rules!$B$7,IFERROR(J388,0)&gt;Mapping_Rules!$B$8),"High","Medium"))</f>
        <v>High</v>
      </c>
      <c r="N388" s="41" t="str">
        <f t="shared" ref="N388:N451" ca="1" si="20">IF(K388="Matched","No action needed",IF(L388="Missing from bank","Check bank date or posting",IF(L388="Amount variance","Check invoice/payment amount","Check timing difference")))</f>
        <v>Check bank date or posting</v>
      </c>
      <c r="O388" s="23" t="s">
        <v>131</v>
      </c>
      <c r="P388" s="23" t="s">
        <v>77</v>
      </c>
      <c r="Q388" s="23" t="s">
        <v>1689</v>
      </c>
      <c r="R388" s="42"/>
      <c r="S388" s="43">
        <f ca="1">IF(K388="Matched",0,Mapping_Rules!$B$6-B388)</f>
        <v>27</v>
      </c>
    </row>
    <row r="389" spans="1:19">
      <c r="A389" s="44" t="s">
        <v>944</v>
      </c>
      <c r="B389" s="45">
        <v>46049</v>
      </c>
      <c r="C389" s="44" t="s">
        <v>107</v>
      </c>
      <c r="D389" s="44" t="s">
        <v>191</v>
      </c>
      <c r="E389" s="44" t="s">
        <v>945</v>
      </c>
      <c r="F389" s="46">
        <v>-24.98</v>
      </c>
      <c r="G389" s="47" t="str">
        <f ca="1">IFERROR(_xludf.XLOOKUP(E389,Bank_Statement!$D$4:$D$448,Bank_Statement!$G$4:$G$448,""),"")</f>
        <v/>
      </c>
      <c r="H389" s="46" t="str">
        <f t="shared" ca="1" si="18"/>
        <v/>
      </c>
      <c r="I389" s="48" t="str">
        <f ca="1">IFERROR(_xludf.XLOOKUP(E389,Bank_Statement!$D$4:$D$448,Bank_Statement!$B$4:$B$448,""),"")</f>
        <v/>
      </c>
      <c r="J389" s="49" t="str">
        <f t="shared" ca="1" si="19"/>
        <v/>
      </c>
      <c r="K389" s="50" t="str">
        <f ca="1">IF(G389="","Unmatched ERP",IF(AND(ABS(H389)&lt;=Mapping_Rules!$B$4,ABS(J389)&lt;=Mapping_Rules!$B$5),"Matched","Review"))</f>
        <v>Unmatched ERP</v>
      </c>
      <c r="L389" s="50" t="str">
        <f ca="1">IF(K389="Matched","None",IF(G389="","Missing from bank",IF(ABS(H389)&gt;Mapping_Rules!$B$4,"Amount variance","Date variance")))</f>
        <v>Missing from bank</v>
      </c>
      <c r="M389" s="50" t="str">
        <f ca="1">IF(K389="Matched","Low",IF(OR(IFERROR(ABS(H389),0)&gt;Mapping_Rules!$B$7,IFERROR(J389,0)&gt;Mapping_Rules!$B$8),"High","Medium"))</f>
        <v>High</v>
      </c>
      <c r="N389" s="50" t="str">
        <f t="shared" ca="1" si="20"/>
        <v>Check bank date or posting</v>
      </c>
      <c r="O389" s="44" t="s">
        <v>194</v>
      </c>
      <c r="P389" s="44" t="s">
        <v>95</v>
      </c>
      <c r="Q389" s="44" t="s">
        <v>1689</v>
      </c>
      <c r="R389" s="51"/>
      <c r="S389" s="52">
        <f ca="1">IF(K389="Matched",0,Mapping_Rules!$B$6-B389)</f>
        <v>4</v>
      </c>
    </row>
    <row r="390" spans="1:19">
      <c r="A390" s="23" t="s">
        <v>946</v>
      </c>
      <c r="B390" s="31">
        <v>46023</v>
      </c>
      <c r="C390" s="23" t="s">
        <v>90</v>
      </c>
      <c r="D390" s="23" t="s">
        <v>126</v>
      </c>
      <c r="E390" s="23" t="s">
        <v>947</v>
      </c>
      <c r="F390" s="32">
        <v>-4740.42</v>
      </c>
      <c r="G390" s="38" t="str">
        <f ca="1">IFERROR(_xludf.XLOOKUP(E390,Bank_Statement!$D$4:$D$448,Bank_Statement!$G$4:$G$448,""),"")</f>
        <v/>
      </c>
      <c r="H390" s="32" t="str">
        <f t="shared" ca="1" si="18"/>
        <v/>
      </c>
      <c r="I390" s="39" t="str">
        <f ca="1">IFERROR(_xludf.XLOOKUP(E390,Bank_Statement!$D$4:$D$448,Bank_Statement!$B$4:$B$448,""),"")</f>
        <v/>
      </c>
      <c r="J390" s="40" t="str">
        <f t="shared" ca="1" si="19"/>
        <v/>
      </c>
      <c r="K390" s="41" t="str">
        <f ca="1">IF(G390="","Unmatched ERP",IF(AND(ABS(H390)&lt;=Mapping_Rules!$B$4,ABS(J390)&lt;=Mapping_Rules!$B$5),"Matched","Review"))</f>
        <v>Unmatched ERP</v>
      </c>
      <c r="L390" s="41" t="str">
        <f ca="1">IF(K390="Matched","None",IF(G390="","Missing from bank",IF(ABS(H390)&gt;Mapping_Rules!$B$4,"Amount variance","Date variance")))</f>
        <v>Missing from bank</v>
      </c>
      <c r="M390" s="41" t="str">
        <f ca="1">IF(K390="Matched","Low",IF(OR(IFERROR(ABS(H390),0)&gt;Mapping_Rules!$B$7,IFERROR(J390,0)&gt;Mapping_Rules!$B$8),"High","Medium"))</f>
        <v>High</v>
      </c>
      <c r="N390" s="41" t="str">
        <f t="shared" ca="1" si="20"/>
        <v>Check bank date or posting</v>
      </c>
      <c r="O390" s="23" t="s">
        <v>225</v>
      </c>
      <c r="P390" s="23" t="s">
        <v>95</v>
      </c>
      <c r="Q390" s="23" t="s">
        <v>1689</v>
      </c>
      <c r="R390" s="42"/>
      <c r="S390" s="43">
        <f ca="1">IF(K390="Matched",0,Mapping_Rules!$B$6-B390)</f>
        <v>30</v>
      </c>
    </row>
    <row r="391" spans="1:19">
      <c r="A391" s="44" t="s">
        <v>948</v>
      </c>
      <c r="B391" s="45">
        <v>46030</v>
      </c>
      <c r="C391" s="44" t="s">
        <v>81</v>
      </c>
      <c r="D391" s="44" t="s">
        <v>220</v>
      </c>
      <c r="E391" s="44" t="s">
        <v>949</v>
      </c>
      <c r="F391" s="46">
        <v>4545.8500000000004</v>
      </c>
      <c r="G391" s="47" t="str">
        <f ca="1">IFERROR(_xludf.XLOOKUP(E391,Bank_Statement!$D$4:$D$448,Bank_Statement!$G$4:$G$448,""),"")</f>
        <v/>
      </c>
      <c r="H391" s="46" t="str">
        <f t="shared" ca="1" si="18"/>
        <v/>
      </c>
      <c r="I391" s="48" t="str">
        <f ca="1">IFERROR(_xludf.XLOOKUP(E391,Bank_Statement!$D$4:$D$448,Bank_Statement!$B$4:$B$448,""),"")</f>
        <v/>
      </c>
      <c r="J391" s="49" t="str">
        <f t="shared" ca="1" si="19"/>
        <v/>
      </c>
      <c r="K391" s="50" t="str">
        <f ca="1">IF(G391="","Unmatched ERP",IF(AND(ABS(H391)&lt;=Mapping_Rules!$B$4,ABS(J391)&lt;=Mapping_Rules!$B$5),"Matched","Review"))</f>
        <v>Unmatched ERP</v>
      </c>
      <c r="L391" s="50" t="str">
        <f ca="1">IF(K391="Matched","None",IF(G391="","Missing from bank",IF(ABS(H391)&gt;Mapping_Rules!$B$4,"Amount variance","Date variance")))</f>
        <v>Missing from bank</v>
      </c>
      <c r="M391" s="50" t="str">
        <f ca="1">IF(K391="Matched","Low",IF(OR(IFERROR(ABS(H391),0)&gt;Mapping_Rules!$B$7,IFERROR(J391,0)&gt;Mapping_Rules!$B$8),"High","Medium"))</f>
        <v>High</v>
      </c>
      <c r="N391" s="50" t="str">
        <f t="shared" ca="1" si="20"/>
        <v>Check bank date or posting</v>
      </c>
      <c r="O391" s="44" t="s">
        <v>158</v>
      </c>
      <c r="P391" s="44" t="s">
        <v>86</v>
      </c>
      <c r="Q391" s="44" t="s">
        <v>1689</v>
      </c>
      <c r="R391" s="51"/>
      <c r="S391" s="52">
        <f ca="1">IF(K391="Matched",0,Mapping_Rules!$B$6-B391)</f>
        <v>23</v>
      </c>
    </row>
    <row r="392" spans="1:19">
      <c r="A392" s="23" t="s">
        <v>950</v>
      </c>
      <c r="B392" s="31">
        <v>46029</v>
      </c>
      <c r="C392" s="23" t="s">
        <v>99</v>
      </c>
      <c r="D392" s="23" t="s">
        <v>182</v>
      </c>
      <c r="E392" s="23" t="s">
        <v>951</v>
      </c>
      <c r="F392" s="32">
        <v>-7441.01</v>
      </c>
      <c r="G392" s="38" t="str">
        <f ca="1">IFERROR(_xludf.XLOOKUP(E392,Bank_Statement!$D$4:$D$448,Bank_Statement!$G$4:$G$448,""),"")</f>
        <v/>
      </c>
      <c r="H392" s="32" t="str">
        <f t="shared" ca="1" si="18"/>
        <v/>
      </c>
      <c r="I392" s="39" t="str">
        <f ca="1">IFERROR(_xludf.XLOOKUP(E392,Bank_Statement!$D$4:$D$448,Bank_Statement!$B$4:$B$448,""),"")</f>
        <v/>
      </c>
      <c r="J392" s="40" t="str">
        <f t="shared" ca="1" si="19"/>
        <v/>
      </c>
      <c r="K392" s="41" t="str">
        <f ca="1">IF(G392="","Unmatched ERP",IF(AND(ABS(H392)&lt;=Mapping_Rules!$B$4,ABS(J392)&lt;=Mapping_Rules!$B$5),"Matched","Review"))</f>
        <v>Unmatched ERP</v>
      </c>
      <c r="L392" s="41" t="str">
        <f ca="1">IF(K392="Matched","None",IF(G392="","Missing from bank",IF(ABS(H392)&gt;Mapping_Rules!$B$4,"Amount variance","Date variance")))</f>
        <v>Missing from bank</v>
      </c>
      <c r="M392" s="41" t="str">
        <f ca="1">IF(K392="Matched","Low",IF(OR(IFERROR(ABS(H392),0)&gt;Mapping_Rules!$B$7,IFERROR(J392,0)&gt;Mapping_Rules!$B$8),"High","Medium"))</f>
        <v>High</v>
      </c>
      <c r="N392" s="41" t="str">
        <f t="shared" ca="1" si="20"/>
        <v>Check bank date or posting</v>
      </c>
      <c r="O392" s="23" t="s">
        <v>185</v>
      </c>
      <c r="P392" s="23" t="s">
        <v>95</v>
      </c>
      <c r="Q392" s="23" t="s">
        <v>1689</v>
      </c>
      <c r="R392" s="42"/>
      <c r="S392" s="43">
        <f ca="1">IF(K392="Matched",0,Mapping_Rules!$B$6-B392)</f>
        <v>24</v>
      </c>
    </row>
    <row r="393" spans="1:19">
      <c r="A393" s="44" t="s">
        <v>952</v>
      </c>
      <c r="B393" s="45">
        <v>46052</v>
      </c>
      <c r="C393" s="44" t="s">
        <v>72</v>
      </c>
      <c r="D393" s="44" t="s">
        <v>144</v>
      </c>
      <c r="E393" s="44" t="s">
        <v>953</v>
      </c>
      <c r="F393" s="46">
        <v>-5260.46</v>
      </c>
      <c r="G393" s="47" t="str">
        <f ca="1">IFERROR(_xludf.XLOOKUP(E393,Bank_Statement!$D$4:$D$448,Bank_Statement!$G$4:$G$448,""),"")</f>
        <v/>
      </c>
      <c r="H393" s="46" t="str">
        <f t="shared" ca="1" si="18"/>
        <v/>
      </c>
      <c r="I393" s="48" t="str">
        <f ca="1">IFERROR(_xludf.XLOOKUP(E393,Bank_Statement!$D$4:$D$448,Bank_Statement!$B$4:$B$448,""),"")</f>
        <v/>
      </c>
      <c r="J393" s="49" t="str">
        <f t="shared" ca="1" si="19"/>
        <v/>
      </c>
      <c r="K393" s="50" t="str">
        <f ca="1">IF(G393="","Unmatched ERP",IF(AND(ABS(H393)&lt;=Mapping_Rules!$B$4,ABS(J393)&lt;=Mapping_Rules!$B$5),"Matched","Review"))</f>
        <v>Unmatched ERP</v>
      </c>
      <c r="L393" s="50" t="str">
        <f ca="1">IF(K393="Matched","None",IF(G393="","Missing from bank",IF(ABS(H393)&gt;Mapping_Rules!$B$4,"Amount variance","Date variance")))</f>
        <v>Missing from bank</v>
      </c>
      <c r="M393" s="50" t="str">
        <f ca="1">IF(K393="Matched","Low",IF(OR(IFERROR(ABS(H393),0)&gt;Mapping_Rules!$B$7,IFERROR(J393,0)&gt;Mapping_Rules!$B$8),"High","Medium"))</f>
        <v>High</v>
      </c>
      <c r="N393" s="50" t="str">
        <f t="shared" ca="1" si="20"/>
        <v>Check bank date or posting</v>
      </c>
      <c r="O393" s="44" t="s">
        <v>131</v>
      </c>
      <c r="P393" s="44" t="s">
        <v>77</v>
      </c>
      <c r="Q393" s="44" t="s">
        <v>1689</v>
      </c>
      <c r="R393" s="51"/>
      <c r="S393" s="52">
        <f ca="1">IF(K393="Matched",0,Mapping_Rules!$B$6-B393)</f>
        <v>1</v>
      </c>
    </row>
    <row r="394" spans="1:19">
      <c r="A394" s="23" t="s">
        <v>954</v>
      </c>
      <c r="B394" s="31">
        <v>46033</v>
      </c>
      <c r="C394" s="23" t="s">
        <v>72</v>
      </c>
      <c r="D394" s="23" t="s">
        <v>133</v>
      </c>
      <c r="E394" s="23" t="s">
        <v>955</v>
      </c>
      <c r="F394" s="32">
        <v>-6052.27</v>
      </c>
      <c r="G394" s="38" t="str">
        <f ca="1">IFERROR(_xludf.XLOOKUP(E394,Bank_Statement!$D$4:$D$448,Bank_Statement!$G$4:$G$448,""),"")</f>
        <v/>
      </c>
      <c r="H394" s="32" t="str">
        <f t="shared" ca="1" si="18"/>
        <v/>
      </c>
      <c r="I394" s="39" t="str">
        <f ca="1">IFERROR(_xludf.XLOOKUP(E394,Bank_Statement!$D$4:$D$448,Bank_Statement!$B$4:$B$448,""),"")</f>
        <v/>
      </c>
      <c r="J394" s="40" t="str">
        <f t="shared" ca="1" si="19"/>
        <v/>
      </c>
      <c r="K394" s="41" t="str">
        <f ca="1">IF(G394="","Unmatched ERP",IF(AND(ABS(H394)&lt;=Mapping_Rules!$B$4,ABS(J394)&lt;=Mapping_Rules!$B$5),"Matched","Review"))</f>
        <v>Unmatched ERP</v>
      </c>
      <c r="L394" s="41" t="str">
        <f ca="1">IF(K394="Matched","None",IF(G394="","Missing from bank",IF(ABS(H394)&gt;Mapping_Rules!$B$4,"Amount variance","Date variance")))</f>
        <v>Missing from bank</v>
      </c>
      <c r="M394" s="41" t="str">
        <f ca="1">IF(K394="Matched","Low",IF(OR(IFERROR(ABS(H394),0)&gt;Mapping_Rules!$B$7,IFERROR(J394,0)&gt;Mapping_Rules!$B$8),"High","Medium"))</f>
        <v>High</v>
      </c>
      <c r="N394" s="41" t="str">
        <f t="shared" ca="1" si="20"/>
        <v>Check bank date or posting</v>
      </c>
      <c r="O394" s="23" t="s">
        <v>131</v>
      </c>
      <c r="P394" s="23" t="s">
        <v>77</v>
      </c>
      <c r="Q394" s="23" t="s">
        <v>1689</v>
      </c>
      <c r="R394" s="42"/>
      <c r="S394" s="43">
        <f ca="1">IF(K394="Matched",0,Mapping_Rules!$B$6-B394)</f>
        <v>20</v>
      </c>
    </row>
    <row r="395" spans="1:19">
      <c r="A395" s="44" t="s">
        <v>956</v>
      </c>
      <c r="B395" s="45">
        <v>46040</v>
      </c>
      <c r="C395" s="44" t="s">
        <v>90</v>
      </c>
      <c r="D395" s="44" t="s">
        <v>214</v>
      </c>
      <c r="E395" s="44" t="s">
        <v>957</v>
      </c>
      <c r="F395" s="46">
        <v>3945.61</v>
      </c>
      <c r="G395" s="47" t="str">
        <f ca="1">IFERROR(_xludf.XLOOKUP(E395,Bank_Statement!$D$4:$D$448,Bank_Statement!$G$4:$G$448,""),"")</f>
        <v/>
      </c>
      <c r="H395" s="46" t="str">
        <f t="shared" ca="1" si="18"/>
        <v/>
      </c>
      <c r="I395" s="48" t="str">
        <f ca="1">IFERROR(_xludf.XLOOKUP(E395,Bank_Statement!$D$4:$D$448,Bank_Statement!$B$4:$B$448,""),"")</f>
        <v/>
      </c>
      <c r="J395" s="49" t="str">
        <f t="shared" ca="1" si="19"/>
        <v/>
      </c>
      <c r="K395" s="50" t="str">
        <f ca="1">IF(G395="","Unmatched ERP",IF(AND(ABS(H395)&lt;=Mapping_Rules!$B$4,ABS(J395)&lt;=Mapping_Rules!$B$5),"Matched","Review"))</f>
        <v>Unmatched ERP</v>
      </c>
      <c r="L395" s="50" t="str">
        <f ca="1">IF(K395="Matched","None",IF(G395="","Missing from bank",IF(ABS(H395)&gt;Mapping_Rules!$B$4,"Amount variance","Date variance")))</f>
        <v>Missing from bank</v>
      </c>
      <c r="M395" s="50" t="str">
        <f ca="1">IF(K395="Matched","Low",IF(OR(IFERROR(ABS(H395),0)&gt;Mapping_Rules!$B$7,IFERROR(J395,0)&gt;Mapping_Rules!$B$8),"High","Medium"))</f>
        <v>High</v>
      </c>
      <c r="N395" s="50" t="str">
        <f t="shared" ca="1" si="20"/>
        <v>Check bank date or posting</v>
      </c>
      <c r="O395" s="44" t="s">
        <v>131</v>
      </c>
      <c r="P395" s="44" t="s">
        <v>95</v>
      </c>
      <c r="Q395" s="44" t="s">
        <v>1689</v>
      </c>
      <c r="R395" s="51"/>
      <c r="S395" s="52">
        <f ca="1">IF(K395="Matched",0,Mapping_Rules!$B$6-B395)</f>
        <v>13</v>
      </c>
    </row>
    <row r="396" spans="1:19">
      <c r="A396" s="23" t="s">
        <v>958</v>
      </c>
      <c r="B396" s="31">
        <v>46046</v>
      </c>
      <c r="C396" s="23" t="s">
        <v>72</v>
      </c>
      <c r="D396" s="23" t="s">
        <v>126</v>
      </c>
      <c r="E396" s="23" t="s">
        <v>959</v>
      </c>
      <c r="F396" s="32">
        <v>-5886.03</v>
      </c>
      <c r="G396" s="38" t="str">
        <f ca="1">IFERROR(_xludf.XLOOKUP(E396,Bank_Statement!$D$4:$D$448,Bank_Statement!$G$4:$G$448,""),"")</f>
        <v/>
      </c>
      <c r="H396" s="32" t="str">
        <f t="shared" ca="1" si="18"/>
        <v/>
      </c>
      <c r="I396" s="39" t="str">
        <f ca="1">IFERROR(_xludf.XLOOKUP(E396,Bank_Statement!$D$4:$D$448,Bank_Statement!$B$4:$B$448,""),"")</f>
        <v/>
      </c>
      <c r="J396" s="40" t="str">
        <f t="shared" ca="1" si="19"/>
        <v/>
      </c>
      <c r="K396" s="41" t="str">
        <f ca="1">IF(G396="","Unmatched ERP",IF(AND(ABS(H396)&lt;=Mapping_Rules!$B$4,ABS(J396)&lt;=Mapping_Rules!$B$5),"Matched","Review"))</f>
        <v>Unmatched ERP</v>
      </c>
      <c r="L396" s="41" t="str">
        <f ca="1">IF(K396="Matched","None",IF(G396="","Missing from bank",IF(ABS(H396)&gt;Mapping_Rules!$B$4,"Amount variance","Date variance")))</f>
        <v>Missing from bank</v>
      </c>
      <c r="M396" s="41" t="str">
        <f ca="1">IF(K396="Matched","Low",IF(OR(IFERROR(ABS(H396),0)&gt;Mapping_Rules!$B$7,IFERROR(J396,0)&gt;Mapping_Rules!$B$8),"High","Medium"))</f>
        <v>High</v>
      </c>
      <c r="N396" s="41" t="str">
        <f t="shared" ca="1" si="20"/>
        <v>Check bank date or posting</v>
      </c>
      <c r="O396" s="23" t="s">
        <v>131</v>
      </c>
      <c r="P396" s="23" t="s">
        <v>77</v>
      </c>
      <c r="Q396" s="23" t="s">
        <v>1689</v>
      </c>
      <c r="R396" s="42"/>
      <c r="S396" s="43">
        <f ca="1">IF(K396="Matched",0,Mapping_Rules!$B$6-B396)</f>
        <v>7</v>
      </c>
    </row>
    <row r="397" spans="1:19">
      <c r="A397" s="44" t="s">
        <v>960</v>
      </c>
      <c r="B397" s="45">
        <v>46053</v>
      </c>
      <c r="C397" s="44" t="s">
        <v>81</v>
      </c>
      <c r="D397" s="44" t="s">
        <v>155</v>
      </c>
      <c r="E397" s="44" t="s">
        <v>961</v>
      </c>
      <c r="F397" s="46">
        <v>4872.34</v>
      </c>
      <c r="G397" s="47" t="str">
        <f ca="1">IFERROR(_xludf.XLOOKUP(E397,Bank_Statement!$D$4:$D$448,Bank_Statement!$G$4:$G$448,""),"")</f>
        <v/>
      </c>
      <c r="H397" s="46" t="str">
        <f t="shared" ca="1" si="18"/>
        <v/>
      </c>
      <c r="I397" s="48" t="str">
        <f ca="1">IFERROR(_xludf.XLOOKUP(E397,Bank_Statement!$D$4:$D$448,Bank_Statement!$B$4:$B$448,""),"")</f>
        <v/>
      </c>
      <c r="J397" s="49" t="str">
        <f t="shared" ca="1" si="19"/>
        <v/>
      </c>
      <c r="K397" s="50" t="str">
        <f ca="1">IF(G397="","Unmatched ERP",IF(AND(ABS(H397)&lt;=Mapping_Rules!$B$4,ABS(J397)&lt;=Mapping_Rules!$B$5),"Matched","Review"))</f>
        <v>Unmatched ERP</v>
      </c>
      <c r="L397" s="50" t="str">
        <f ca="1">IF(K397="Matched","None",IF(G397="","Missing from bank",IF(ABS(H397)&gt;Mapping_Rules!$B$4,"Amount variance","Date variance")))</f>
        <v>Missing from bank</v>
      </c>
      <c r="M397" s="50" t="str">
        <f ca="1">IF(K397="Matched","Low",IF(OR(IFERROR(ABS(H397),0)&gt;Mapping_Rules!$B$7,IFERROR(J397,0)&gt;Mapping_Rules!$B$8),"High","Medium"))</f>
        <v>High</v>
      </c>
      <c r="N397" s="50" t="str">
        <f t="shared" ca="1" si="20"/>
        <v>Check bank date or posting</v>
      </c>
      <c r="O397" s="44" t="s">
        <v>158</v>
      </c>
      <c r="P397" s="44" t="s">
        <v>86</v>
      </c>
      <c r="Q397" s="44" t="s">
        <v>1689</v>
      </c>
      <c r="R397" s="51"/>
      <c r="S397" s="52">
        <f ca="1">IF(K397="Matched",0,Mapping_Rules!$B$6-B397)</f>
        <v>0</v>
      </c>
    </row>
    <row r="398" spans="1:19">
      <c r="A398" s="23" t="s">
        <v>962</v>
      </c>
      <c r="B398" s="31">
        <v>46033</v>
      </c>
      <c r="C398" s="23" t="s">
        <v>72</v>
      </c>
      <c r="D398" s="23" t="s">
        <v>144</v>
      </c>
      <c r="E398" s="23" t="s">
        <v>963</v>
      </c>
      <c r="F398" s="32">
        <v>-5108.57</v>
      </c>
      <c r="G398" s="38" t="str">
        <f ca="1">IFERROR(_xludf.XLOOKUP(E398,Bank_Statement!$D$4:$D$448,Bank_Statement!$G$4:$G$448,""),"")</f>
        <v/>
      </c>
      <c r="H398" s="32" t="str">
        <f t="shared" ca="1" si="18"/>
        <v/>
      </c>
      <c r="I398" s="39" t="str">
        <f ca="1">IFERROR(_xludf.XLOOKUP(E398,Bank_Statement!$D$4:$D$448,Bank_Statement!$B$4:$B$448,""),"")</f>
        <v/>
      </c>
      <c r="J398" s="40" t="str">
        <f t="shared" ca="1" si="19"/>
        <v/>
      </c>
      <c r="K398" s="41" t="str">
        <f ca="1">IF(G398="","Unmatched ERP",IF(AND(ABS(H398)&lt;=Mapping_Rules!$B$4,ABS(J398)&lt;=Mapping_Rules!$B$5),"Matched","Review"))</f>
        <v>Unmatched ERP</v>
      </c>
      <c r="L398" s="41" t="str">
        <f ca="1">IF(K398="Matched","None",IF(G398="","Missing from bank",IF(ABS(H398)&gt;Mapping_Rules!$B$4,"Amount variance","Date variance")))</f>
        <v>Missing from bank</v>
      </c>
      <c r="M398" s="41" t="str">
        <f ca="1">IF(K398="Matched","Low",IF(OR(IFERROR(ABS(H398),0)&gt;Mapping_Rules!$B$7,IFERROR(J398,0)&gt;Mapping_Rules!$B$8),"High","Medium"))</f>
        <v>High</v>
      </c>
      <c r="N398" s="41" t="str">
        <f t="shared" ca="1" si="20"/>
        <v>Check bank date or posting</v>
      </c>
      <c r="O398" s="23" t="s">
        <v>131</v>
      </c>
      <c r="P398" s="23" t="s">
        <v>77</v>
      </c>
      <c r="Q398" s="23" t="s">
        <v>1689</v>
      </c>
      <c r="R398" s="42"/>
      <c r="S398" s="43">
        <f ca="1">IF(K398="Matched",0,Mapping_Rules!$B$6-B398)</f>
        <v>20</v>
      </c>
    </row>
    <row r="399" spans="1:19">
      <c r="A399" s="44" t="s">
        <v>964</v>
      </c>
      <c r="B399" s="45">
        <v>46025</v>
      </c>
      <c r="C399" s="44" t="s">
        <v>81</v>
      </c>
      <c r="D399" s="44" t="s">
        <v>220</v>
      </c>
      <c r="E399" s="44" t="s">
        <v>965</v>
      </c>
      <c r="F399" s="46">
        <v>6165.45</v>
      </c>
      <c r="G399" s="47" t="str">
        <f ca="1">IFERROR(_xludf.XLOOKUP(E399,Bank_Statement!$D$4:$D$448,Bank_Statement!$G$4:$G$448,""),"")</f>
        <v/>
      </c>
      <c r="H399" s="46" t="str">
        <f t="shared" ca="1" si="18"/>
        <v/>
      </c>
      <c r="I399" s="48" t="str">
        <f ca="1">IFERROR(_xludf.XLOOKUP(E399,Bank_Statement!$D$4:$D$448,Bank_Statement!$B$4:$B$448,""),"")</f>
        <v/>
      </c>
      <c r="J399" s="49" t="str">
        <f t="shared" ca="1" si="19"/>
        <v/>
      </c>
      <c r="K399" s="50" t="str">
        <f ca="1">IF(G399="","Unmatched ERP",IF(AND(ABS(H399)&lt;=Mapping_Rules!$B$4,ABS(J399)&lt;=Mapping_Rules!$B$5),"Matched","Review"))</f>
        <v>Unmatched ERP</v>
      </c>
      <c r="L399" s="50" t="str">
        <f ca="1">IF(K399="Matched","None",IF(G399="","Missing from bank",IF(ABS(H399)&gt;Mapping_Rules!$B$4,"Amount variance","Date variance")))</f>
        <v>Missing from bank</v>
      </c>
      <c r="M399" s="50" t="str">
        <f ca="1">IF(K399="Matched","Low",IF(OR(IFERROR(ABS(H399),0)&gt;Mapping_Rules!$B$7,IFERROR(J399,0)&gt;Mapping_Rules!$B$8),"High","Medium"))</f>
        <v>High</v>
      </c>
      <c r="N399" s="50" t="str">
        <f t="shared" ca="1" si="20"/>
        <v>Check bank date or posting</v>
      </c>
      <c r="O399" s="44" t="s">
        <v>158</v>
      </c>
      <c r="P399" s="44" t="s">
        <v>86</v>
      </c>
      <c r="Q399" s="44" t="s">
        <v>1689</v>
      </c>
      <c r="R399" s="51"/>
      <c r="S399" s="52">
        <f ca="1">IF(K399="Matched",0,Mapping_Rules!$B$6-B399)</f>
        <v>28</v>
      </c>
    </row>
    <row r="400" spans="1:19">
      <c r="A400" s="23" t="s">
        <v>966</v>
      </c>
      <c r="B400" s="31">
        <v>46051</v>
      </c>
      <c r="C400" s="23" t="s">
        <v>81</v>
      </c>
      <c r="D400" s="23" t="s">
        <v>163</v>
      </c>
      <c r="E400" s="23" t="s">
        <v>967</v>
      </c>
      <c r="F400" s="32">
        <v>3082.78</v>
      </c>
      <c r="G400" s="38" t="str">
        <f ca="1">IFERROR(_xludf.XLOOKUP(E400,Bank_Statement!$D$4:$D$448,Bank_Statement!$G$4:$G$448,""),"")</f>
        <v/>
      </c>
      <c r="H400" s="32" t="str">
        <f t="shared" ca="1" si="18"/>
        <v/>
      </c>
      <c r="I400" s="39" t="str">
        <f ca="1">IFERROR(_xludf.XLOOKUP(E400,Bank_Statement!$D$4:$D$448,Bank_Statement!$B$4:$B$448,""),"")</f>
        <v/>
      </c>
      <c r="J400" s="40" t="str">
        <f t="shared" ca="1" si="19"/>
        <v/>
      </c>
      <c r="K400" s="41" t="str">
        <f ca="1">IF(G400="","Unmatched ERP",IF(AND(ABS(H400)&lt;=Mapping_Rules!$B$4,ABS(J400)&lt;=Mapping_Rules!$B$5),"Matched","Review"))</f>
        <v>Unmatched ERP</v>
      </c>
      <c r="L400" s="41" t="str">
        <f ca="1">IF(K400="Matched","None",IF(G400="","Missing from bank",IF(ABS(H400)&gt;Mapping_Rules!$B$4,"Amount variance","Date variance")))</f>
        <v>Missing from bank</v>
      </c>
      <c r="M400" s="41" t="str">
        <f ca="1">IF(K400="Matched","Low",IF(OR(IFERROR(ABS(H400),0)&gt;Mapping_Rules!$B$7,IFERROR(J400,0)&gt;Mapping_Rules!$B$8),"High","Medium"))</f>
        <v>High</v>
      </c>
      <c r="N400" s="41" t="str">
        <f t="shared" ca="1" si="20"/>
        <v>Check bank date or posting</v>
      </c>
      <c r="O400" s="23" t="s">
        <v>158</v>
      </c>
      <c r="P400" s="23" t="s">
        <v>86</v>
      </c>
      <c r="Q400" s="23" t="s">
        <v>1689</v>
      </c>
      <c r="R400" s="42"/>
      <c r="S400" s="43">
        <f ca="1">IF(K400="Matched",0,Mapping_Rules!$B$6-B400)</f>
        <v>2</v>
      </c>
    </row>
    <row r="401" spans="1:19">
      <c r="A401" s="44" t="s">
        <v>968</v>
      </c>
      <c r="B401" s="45">
        <v>46048</v>
      </c>
      <c r="C401" s="44" t="s">
        <v>99</v>
      </c>
      <c r="D401" s="44" t="s">
        <v>182</v>
      </c>
      <c r="E401" s="44" t="s">
        <v>969</v>
      </c>
      <c r="F401" s="46">
        <v>-11939.06</v>
      </c>
      <c r="G401" s="47" t="str">
        <f ca="1">IFERROR(_xludf.XLOOKUP(E401,Bank_Statement!$D$4:$D$448,Bank_Statement!$G$4:$G$448,""),"")</f>
        <v/>
      </c>
      <c r="H401" s="46" t="str">
        <f t="shared" ca="1" si="18"/>
        <v/>
      </c>
      <c r="I401" s="48" t="str">
        <f ca="1">IFERROR(_xludf.XLOOKUP(E401,Bank_Statement!$D$4:$D$448,Bank_Statement!$B$4:$B$448,""),"")</f>
        <v/>
      </c>
      <c r="J401" s="49" t="str">
        <f t="shared" ca="1" si="19"/>
        <v/>
      </c>
      <c r="K401" s="50" t="str">
        <f ca="1">IF(G401="","Unmatched ERP",IF(AND(ABS(H401)&lt;=Mapping_Rules!$B$4,ABS(J401)&lt;=Mapping_Rules!$B$5),"Matched","Review"))</f>
        <v>Unmatched ERP</v>
      </c>
      <c r="L401" s="50" t="str">
        <f ca="1">IF(K401="Matched","None",IF(G401="","Missing from bank",IF(ABS(H401)&gt;Mapping_Rules!$B$4,"Amount variance","Date variance")))</f>
        <v>Missing from bank</v>
      </c>
      <c r="M401" s="50" t="str">
        <f ca="1">IF(K401="Matched","Low",IF(OR(IFERROR(ABS(H401),0)&gt;Mapping_Rules!$B$7,IFERROR(J401,0)&gt;Mapping_Rules!$B$8),"High","Medium"))</f>
        <v>High</v>
      </c>
      <c r="N401" s="50" t="str">
        <f t="shared" ca="1" si="20"/>
        <v>Check bank date or posting</v>
      </c>
      <c r="O401" s="44" t="s">
        <v>185</v>
      </c>
      <c r="P401" s="44" t="s">
        <v>95</v>
      </c>
      <c r="Q401" s="44" t="s">
        <v>1689</v>
      </c>
      <c r="R401" s="51"/>
      <c r="S401" s="52">
        <f ca="1">IF(K401="Matched",0,Mapping_Rules!$B$6-B401)</f>
        <v>5</v>
      </c>
    </row>
    <row r="402" spans="1:19">
      <c r="A402" s="23" t="s">
        <v>970</v>
      </c>
      <c r="B402" s="31">
        <v>46033</v>
      </c>
      <c r="C402" s="23" t="s">
        <v>72</v>
      </c>
      <c r="D402" s="23" t="s">
        <v>144</v>
      </c>
      <c r="E402" s="23" t="s">
        <v>971</v>
      </c>
      <c r="F402" s="32">
        <v>-534.11</v>
      </c>
      <c r="G402" s="38" t="str">
        <f ca="1">IFERROR(_xludf.XLOOKUP(E402,Bank_Statement!$D$4:$D$448,Bank_Statement!$G$4:$G$448,""),"")</f>
        <v/>
      </c>
      <c r="H402" s="32" t="str">
        <f t="shared" ca="1" si="18"/>
        <v/>
      </c>
      <c r="I402" s="39" t="str">
        <f ca="1">IFERROR(_xludf.XLOOKUP(E402,Bank_Statement!$D$4:$D$448,Bank_Statement!$B$4:$B$448,""),"")</f>
        <v/>
      </c>
      <c r="J402" s="40" t="str">
        <f t="shared" ca="1" si="19"/>
        <v/>
      </c>
      <c r="K402" s="41" t="str">
        <f ca="1">IF(G402="","Unmatched ERP",IF(AND(ABS(H402)&lt;=Mapping_Rules!$B$4,ABS(J402)&lt;=Mapping_Rules!$B$5),"Matched","Review"))</f>
        <v>Unmatched ERP</v>
      </c>
      <c r="L402" s="41" t="str">
        <f ca="1">IF(K402="Matched","None",IF(G402="","Missing from bank",IF(ABS(H402)&gt;Mapping_Rules!$B$4,"Amount variance","Date variance")))</f>
        <v>Missing from bank</v>
      </c>
      <c r="M402" s="41" t="str">
        <f ca="1">IF(K402="Matched","Low",IF(OR(IFERROR(ABS(H402),0)&gt;Mapping_Rules!$B$7,IFERROR(J402,0)&gt;Mapping_Rules!$B$8),"High","Medium"))</f>
        <v>High</v>
      </c>
      <c r="N402" s="41" t="str">
        <f t="shared" ca="1" si="20"/>
        <v>Check bank date or posting</v>
      </c>
      <c r="O402" s="23" t="s">
        <v>131</v>
      </c>
      <c r="P402" s="23" t="s">
        <v>77</v>
      </c>
      <c r="Q402" s="23" t="s">
        <v>1689</v>
      </c>
      <c r="R402" s="42"/>
      <c r="S402" s="43">
        <f ca="1">IF(K402="Matched",0,Mapping_Rules!$B$6-B402)</f>
        <v>20</v>
      </c>
    </row>
    <row r="403" spans="1:19">
      <c r="A403" s="44" t="s">
        <v>972</v>
      </c>
      <c r="B403" s="45">
        <v>46051</v>
      </c>
      <c r="C403" s="44" t="s">
        <v>107</v>
      </c>
      <c r="D403" s="44" t="s">
        <v>191</v>
      </c>
      <c r="E403" s="44" t="s">
        <v>973</v>
      </c>
      <c r="F403" s="46">
        <v>-43.86</v>
      </c>
      <c r="G403" s="47" t="str">
        <f ca="1">IFERROR(_xludf.XLOOKUP(E403,Bank_Statement!$D$4:$D$448,Bank_Statement!$G$4:$G$448,""),"")</f>
        <v/>
      </c>
      <c r="H403" s="46" t="str">
        <f t="shared" ca="1" si="18"/>
        <v/>
      </c>
      <c r="I403" s="48" t="str">
        <f ca="1">IFERROR(_xludf.XLOOKUP(E403,Bank_Statement!$D$4:$D$448,Bank_Statement!$B$4:$B$448,""),"")</f>
        <v/>
      </c>
      <c r="J403" s="49" t="str">
        <f t="shared" ca="1" si="19"/>
        <v/>
      </c>
      <c r="K403" s="50" t="str">
        <f ca="1">IF(G403="","Unmatched ERP",IF(AND(ABS(H403)&lt;=Mapping_Rules!$B$4,ABS(J403)&lt;=Mapping_Rules!$B$5),"Matched","Review"))</f>
        <v>Unmatched ERP</v>
      </c>
      <c r="L403" s="50" t="str">
        <f ca="1">IF(K403="Matched","None",IF(G403="","Missing from bank",IF(ABS(H403)&gt;Mapping_Rules!$B$4,"Amount variance","Date variance")))</f>
        <v>Missing from bank</v>
      </c>
      <c r="M403" s="50" t="str">
        <f ca="1">IF(K403="Matched","Low",IF(OR(IFERROR(ABS(H403),0)&gt;Mapping_Rules!$B$7,IFERROR(J403,0)&gt;Mapping_Rules!$B$8),"High","Medium"))</f>
        <v>High</v>
      </c>
      <c r="N403" s="50" t="str">
        <f t="shared" ca="1" si="20"/>
        <v>Check bank date or posting</v>
      </c>
      <c r="O403" s="44" t="s">
        <v>194</v>
      </c>
      <c r="P403" s="44" t="s">
        <v>95</v>
      </c>
      <c r="Q403" s="44" t="s">
        <v>1689</v>
      </c>
      <c r="R403" s="51"/>
      <c r="S403" s="52">
        <f ca="1">IF(K403="Matched",0,Mapping_Rules!$B$6-B403)</f>
        <v>2</v>
      </c>
    </row>
    <row r="404" spans="1:19">
      <c r="A404" s="23" t="s">
        <v>974</v>
      </c>
      <c r="B404" s="31">
        <v>46028</v>
      </c>
      <c r="C404" s="23" t="s">
        <v>81</v>
      </c>
      <c r="D404" s="23" t="s">
        <v>163</v>
      </c>
      <c r="E404" s="23" t="s">
        <v>975</v>
      </c>
      <c r="F404" s="32">
        <v>1461.82</v>
      </c>
      <c r="G404" s="38" t="str">
        <f ca="1">IFERROR(_xludf.XLOOKUP(E404,Bank_Statement!$D$4:$D$448,Bank_Statement!$G$4:$G$448,""),"")</f>
        <v/>
      </c>
      <c r="H404" s="32" t="str">
        <f t="shared" ca="1" si="18"/>
        <v/>
      </c>
      <c r="I404" s="39" t="str">
        <f ca="1">IFERROR(_xludf.XLOOKUP(E404,Bank_Statement!$D$4:$D$448,Bank_Statement!$B$4:$B$448,""),"")</f>
        <v/>
      </c>
      <c r="J404" s="40" t="str">
        <f t="shared" ca="1" si="19"/>
        <v/>
      </c>
      <c r="K404" s="41" t="str">
        <f ca="1">IF(G404="","Unmatched ERP",IF(AND(ABS(H404)&lt;=Mapping_Rules!$B$4,ABS(J404)&lt;=Mapping_Rules!$B$5),"Matched","Review"))</f>
        <v>Unmatched ERP</v>
      </c>
      <c r="L404" s="41" t="str">
        <f ca="1">IF(K404="Matched","None",IF(G404="","Missing from bank",IF(ABS(H404)&gt;Mapping_Rules!$B$4,"Amount variance","Date variance")))</f>
        <v>Missing from bank</v>
      </c>
      <c r="M404" s="41" t="str">
        <f ca="1">IF(K404="Matched","Low",IF(OR(IFERROR(ABS(H404),0)&gt;Mapping_Rules!$B$7,IFERROR(J404,0)&gt;Mapping_Rules!$B$8),"High","Medium"))</f>
        <v>High</v>
      </c>
      <c r="N404" s="41" t="str">
        <f t="shared" ca="1" si="20"/>
        <v>Check bank date or posting</v>
      </c>
      <c r="O404" s="23" t="s">
        <v>158</v>
      </c>
      <c r="P404" s="23" t="s">
        <v>86</v>
      </c>
      <c r="Q404" s="23" t="s">
        <v>1689</v>
      </c>
      <c r="R404" s="42"/>
      <c r="S404" s="43">
        <f ca="1">IF(K404="Matched",0,Mapping_Rules!$B$6-B404)</f>
        <v>25</v>
      </c>
    </row>
    <row r="405" spans="1:19">
      <c r="A405" s="44" t="s">
        <v>976</v>
      </c>
      <c r="B405" s="45">
        <v>46040</v>
      </c>
      <c r="C405" s="44" t="s">
        <v>90</v>
      </c>
      <c r="D405" s="44" t="s">
        <v>167</v>
      </c>
      <c r="E405" s="44" t="s">
        <v>977</v>
      </c>
      <c r="F405" s="46">
        <v>-2723.62</v>
      </c>
      <c r="G405" s="47" t="str">
        <f ca="1">IFERROR(_xludf.XLOOKUP(E405,Bank_Statement!$D$4:$D$448,Bank_Statement!$G$4:$G$448,""),"")</f>
        <v/>
      </c>
      <c r="H405" s="46" t="str">
        <f t="shared" ca="1" si="18"/>
        <v/>
      </c>
      <c r="I405" s="48" t="str">
        <f ca="1">IFERROR(_xludf.XLOOKUP(E405,Bank_Statement!$D$4:$D$448,Bank_Statement!$B$4:$B$448,""),"")</f>
        <v/>
      </c>
      <c r="J405" s="49" t="str">
        <f t="shared" ca="1" si="19"/>
        <v/>
      </c>
      <c r="K405" s="50" t="str">
        <f ca="1">IF(G405="","Unmatched ERP",IF(AND(ABS(H405)&lt;=Mapping_Rules!$B$4,ABS(J405)&lt;=Mapping_Rules!$B$5),"Matched","Review"))</f>
        <v>Unmatched ERP</v>
      </c>
      <c r="L405" s="50" t="str">
        <f ca="1">IF(K405="Matched","None",IF(G405="","Missing from bank",IF(ABS(H405)&gt;Mapping_Rules!$B$4,"Amount variance","Date variance")))</f>
        <v>Missing from bank</v>
      </c>
      <c r="M405" s="50" t="str">
        <f ca="1">IF(K405="Matched","Low",IF(OR(IFERROR(ABS(H405),0)&gt;Mapping_Rules!$B$7,IFERROR(J405,0)&gt;Mapping_Rules!$B$8),"High","Medium"))</f>
        <v>High</v>
      </c>
      <c r="N405" s="50" t="str">
        <f t="shared" ca="1" si="20"/>
        <v>Check bank date or posting</v>
      </c>
      <c r="O405" s="44" t="s">
        <v>867</v>
      </c>
      <c r="P405" s="44" t="s">
        <v>95</v>
      </c>
      <c r="Q405" s="44" t="s">
        <v>1689</v>
      </c>
      <c r="R405" s="51"/>
      <c r="S405" s="52">
        <f ca="1">IF(K405="Matched",0,Mapping_Rules!$B$6-B405)</f>
        <v>13</v>
      </c>
    </row>
    <row r="406" spans="1:19">
      <c r="A406" s="23" t="s">
        <v>978</v>
      </c>
      <c r="B406" s="31">
        <v>46034</v>
      </c>
      <c r="C406" s="23" t="s">
        <v>72</v>
      </c>
      <c r="D406" s="23" t="s">
        <v>144</v>
      </c>
      <c r="E406" s="23" t="s">
        <v>979</v>
      </c>
      <c r="F406" s="32">
        <v>-1882.64</v>
      </c>
      <c r="G406" s="38" t="str">
        <f ca="1">IFERROR(_xludf.XLOOKUP(E406,Bank_Statement!$D$4:$D$448,Bank_Statement!$G$4:$G$448,""),"")</f>
        <v/>
      </c>
      <c r="H406" s="32" t="str">
        <f t="shared" ca="1" si="18"/>
        <v/>
      </c>
      <c r="I406" s="39" t="str">
        <f ca="1">IFERROR(_xludf.XLOOKUP(E406,Bank_Statement!$D$4:$D$448,Bank_Statement!$B$4:$B$448,""),"")</f>
        <v/>
      </c>
      <c r="J406" s="40" t="str">
        <f t="shared" ca="1" si="19"/>
        <v/>
      </c>
      <c r="K406" s="41" t="str">
        <f ca="1">IF(G406="","Unmatched ERP",IF(AND(ABS(H406)&lt;=Mapping_Rules!$B$4,ABS(J406)&lt;=Mapping_Rules!$B$5),"Matched","Review"))</f>
        <v>Unmatched ERP</v>
      </c>
      <c r="L406" s="41" t="str">
        <f ca="1">IF(K406="Matched","None",IF(G406="","Missing from bank",IF(ABS(H406)&gt;Mapping_Rules!$B$4,"Amount variance","Date variance")))</f>
        <v>Missing from bank</v>
      </c>
      <c r="M406" s="41" t="str">
        <f ca="1">IF(K406="Matched","Low",IF(OR(IFERROR(ABS(H406),0)&gt;Mapping_Rules!$B$7,IFERROR(J406,0)&gt;Mapping_Rules!$B$8),"High","Medium"))</f>
        <v>High</v>
      </c>
      <c r="N406" s="41" t="str">
        <f t="shared" ca="1" si="20"/>
        <v>Check bank date or posting</v>
      </c>
      <c r="O406" s="23" t="s">
        <v>131</v>
      </c>
      <c r="P406" s="23" t="s">
        <v>77</v>
      </c>
      <c r="Q406" s="23" t="s">
        <v>1689</v>
      </c>
      <c r="R406" s="42"/>
      <c r="S406" s="43">
        <f ca="1">IF(K406="Matched",0,Mapping_Rules!$B$6-B406)</f>
        <v>19</v>
      </c>
    </row>
    <row r="407" spans="1:19">
      <c r="A407" s="44" t="s">
        <v>980</v>
      </c>
      <c r="B407" s="45">
        <v>46043</v>
      </c>
      <c r="C407" s="44" t="s">
        <v>72</v>
      </c>
      <c r="D407" s="44" t="s">
        <v>144</v>
      </c>
      <c r="E407" s="44" t="s">
        <v>981</v>
      </c>
      <c r="F407" s="46">
        <v>-2978.25</v>
      </c>
      <c r="G407" s="47" t="str">
        <f ca="1">IFERROR(_xludf.XLOOKUP(E407,Bank_Statement!$D$4:$D$448,Bank_Statement!$G$4:$G$448,""),"")</f>
        <v/>
      </c>
      <c r="H407" s="46" t="str">
        <f t="shared" ca="1" si="18"/>
        <v/>
      </c>
      <c r="I407" s="48" t="str">
        <f ca="1">IFERROR(_xludf.XLOOKUP(E407,Bank_Statement!$D$4:$D$448,Bank_Statement!$B$4:$B$448,""),"")</f>
        <v/>
      </c>
      <c r="J407" s="49" t="str">
        <f t="shared" ca="1" si="19"/>
        <v/>
      </c>
      <c r="K407" s="50" t="str">
        <f ca="1">IF(G407="","Unmatched ERP",IF(AND(ABS(H407)&lt;=Mapping_Rules!$B$4,ABS(J407)&lt;=Mapping_Rules!$B$5),"Matched","Review"))</f>
        <v>Unmatched ERP</v>
      </c>
      <c r="L407" s="50" t="str">
        <f ca="1">IF(K407="Matched","None",IF(G407="","Missing from bank",IF(ABS(H407)&gt;Mapping_Rules!$B$4,"Amount variance","Date variance")))</f>
        <v>Missing from bank</v>
      </c>
      <c r="M407" s="50" t="str">
        <f ca="1">IF(K407="Matched","Low",IF(OR(IFERROR(ABS(H407),0)&gt;Mapping_Rules!$B$7,IFERROR(J407,0)&gt;Mapping_Rules!$B$8),"High","Medium"))</f>
        <v>High</v>
      </c>
      <c r="N407" s="50" t="str">
        <f t="shared" ca="1" si="20"/>
        <v>Check bank date or posting</v>
      </c>
      <c r="O407" s="44" t="s">
        <v>131</v>
      </c>
      <c r="P407" s="44" t="s">
        <v>77</v>
      </c>
      <c r="Q407" s="44" t="s">
        <v>1689</v>
      </c>
      <c r="R407" s="51"/>
      <c r="S407" s="52">
        <f ca="1">IF(K407="Matched",0,Mapping_Rules!$B$6-B407)</f>
        <v>10</v>
      </c>
    </row>
    <row r="408" spans="1:19">
      <c r="A408" s="23" t="s">
        <v>982</v>
      </c>
      <c r="B408" s="31">
        <v>46044</v>
      </c>
      <c r="C408" s="23" t="s">
        <v>72</v>
      </c>
      <c r="D408" s="23" t="s">
        <v>126</v>
      </c>
      <c r="E408" s="23" t="s">
        <v>983</v>
      </c>
      <c r="F408" s="32">
        <v>-3410.05</v>
      </c>
      <c r="G408" s="38" t="str">
        <f ca="1">IFERROR(_xludf.XLOOKUP(E408,Bank_Statement!$D$4:$D$448,Bank_Statement!$G$4:$G$448,""),"")</f>
        <v/>
      </c>
      <c r="H408" s="32" t="str">
        <f t="shared" ca="1" si="18"/>
        <v/>
      </c>
      <c r="I408" s="39" t="str">
        <f ca="1">IFERROR(_xludf.XLOOKUP(E408,Bank_Statement!$D$4:$D$448,Bank_Statement!$B$4:$B$448,""),"")</f>
        <v/>
      </c>
      <c r="J408" s="40" t="str">
        <f t="shared" ca="1" si="19"/>
        <v/>
      </c>
      <c r="K408" s="41" t="str">
        <f ca="1">IF(G408="","Unmatched ERP",IF(AND(ABS(H408)&lt;=Mapping_Rules!$B$4,ABS(J408)&lt;=Mapping_Rules!$B$5),"Matched","Review"))</f>
        <v>Unmatched ERP</v>
      </c>
      <c r="L408" s="41" t="str">
        <f ca="1">IF(K408="Matched","None",IF(G408="","Missing from bank",IF(ABS(H408)&gt;Mapping_Rules!$B$4,"Amount variance","Date variance")))</f>
        <v>Missing from bank</v>
      </c>
      <c r="M408" s="41" t="str">
        <f ca="1">IF(K408="Matched","Low",IF(OR(IFERROR(ABS(H408),0)&gt;Mapping_Rules!$B$7,IFERROR(J408,0)&gt;Mapping_Rules!$B$8),"High","Medium"))</f>
        <v>High</v>
      </c>
      <c r="N408" s="41" t="str">
        <f t="shared" ca="1" si="20"/>
        <v>Check bank date or posting</v>
      </c>
      <c r="O408" s="23" t="s">
        <v>131</v>
      </c>
      <c r="P408" s="23" t="s">
        <v>77</v>
      </c>
      <c r="Q408" s="23" t="s">
        <v>1689</v>
      </c>
      <c r="R408" s="42"/>
      <c r="S408" s="43">
        <f ca="1">IF(K408="Matched",0,Mapping_Rules!$B$6-B408)</f>
        <v>9</v>
      </c>
    </row>
    <row r="409" spans="1:19">
      <c r="A409" s="44" t="s">
        <v>984</v>
      </c>
      <c r="B409" s="45">
        <v>46034</v>
      </c>
      <c r="C409" s="44" t="s">
        <v>72</v>
      </c>
      <c r="D409" s="44" t="s">
        <v>144</v>
      </c>
      <c r="E409" s="44" t="s">
        <v>985</v>
      </c>
      <c r="F409" s="46">
        <v>-1691.37</v>
      </c>
      <c r="G409" s="47" t="str">
        <f ca="1">IFERROR(_xludf.XLOOKUP(E409,Bank_Statement!$D$4:$D$448,Bank_Statement!$G$4:$G$448,""),"")</f>
        <v/>
      </c>
      <c r="H409" s="46" t="str">
        <f t="shared" ca="1" si="18"/>
        <v/>
      </c>
      <c r="I409" s="48" t="str">
        <f ca="1">IFERROR(_xludf.XLOOKUP(E409,Bank_Statement!$D$4:$D$448,Bank_Statement!$B$4:$B$448,""),"")</f>
        <v/>
      </c>
      <c r="J409" s="49" t="str">
        <f t="shared" ca="1" si="19"/>
        <v/>
      </c>
      <c r="K409" s="50" t="str">
        <f ca="1">IF(G409="","Unmatched ERP",IF(AND(ABS(H409)&lt;=Mapping_Rules!$B$4,ABS(J409)&lt;=Mapping_Rules!$B$5),"Matched","Review"))</f>
        <v>Unmatched ERP</v>
      </c>
      <c r="L409" s="50" t="str">
        <f ca="1">IF(K409="Matched","None",IF(G409="","Missing from bank",IF(ABS(H409)&gt;Mapping_Rules!$B$4,"Amount variance","Date variance")))</f>
        <v>Missing from bank</v>
      </c>
      <c r="M409" s="50" t="str">
        <f ca="1">IF(K409="Matched","Low",IF(OR(IFERROR(ABS(H409),0)&gt;Mapping_Rules!$B$7,IFERROR(J409,0)&gt;Mapping_Rules!$B$8),"High","Medium"))</f>
        <v>High</v>
      </c>
      <c r="N409" s="50" t="str">
        <f t="shared" ca="1" si="20"/>
        <v>Check bank date or posting</v>
      </c>
      <c r="O409" s="44" t="s">
        <v>131</v>
      </c>
      <c r="P409" s="44" t="s">
        <v>77</v>
      </c>
      <c r="Q409" s="44" t="s">
        <v>1689</v>
      </c>
      <c r="R409" s="51"/>
      <c r="S409" s="52">
        <f ca="1">IF(K409="Matched",0,Mapping_Rules!$B$6-B409)</f>
        <v>19</v>
      </c>
    </row>
    <row r="410" spans="1:19">
      <c r="A410" s="23" t="s">
        <v>986</v>
      </c>
      <c r="B410" s="31">
        <v>46027</v>
      </c>
      <c r="C410" s="23" t="s">
        <v>90</v>
      </c>
      <c r="D410" s="23" t="s">
        <v>163</v>
      </c>
      <c r="E410" s="23" t="s">
        <v>987</v>
      </c>
      <c r="F410" s="32">
        <v>-528.67999999999995</v>
      </c>
      <c r="G410" s="38" t="str">
        <f ca="1">IFERROR(_xludf.XLOOKUP(E410,Bank_Statement!$D$4:$D$448,Bank_Statement!$G$4:$G$448,""),"")</f>
        <v/>
      </c>
      <c r="H410" s="32" t="str">
        <f t="shared" ca="1" si="18"/>
        <v/>
      </c>
      <c r="I410" s="39" t="str">
        <f ca="1">IFERROR(_xludf.XLOOKUP(E410,Bank_Statement!$D$4:$D$448,Bank_Statement!$B$4:$B$448,""),"")</f>
        <v/>
      </c>
      <c r="J410" s="40" t="str">
        <f t="shared" ca="1" si="19"/>
        <v/>
      </c>
      <c r="K410" s="41" t="str">
        <f ca="1">IF(G410="","Unmatched ERP",IF(AND(ABS(H410)&lt;=Mapping_Rules!$B$4,ABS(J410)&lt;=Mapping_Rules!$B$5),"Matched","Review"))</f>
        <v>Unmatched ERP</v>
      </c>
      <c r="L410" s="41" t="str">
        <f ca="1">IF(K410="Matched","None",IF(G410="","Missing from bank",IF(ABS(H410)&gt;Mapping_Rules!$B$4,"Amount variance","Date variance")))</f>
        <v>Missing from bank</v>
      </c>
      <c r="M410" s="41" t="str">
        <f ca="1">IF(K410="Matched","Low",IF(OR(IFERROR(ABS(H410),0)&gt;Mapping_Rules!$B$7,IFERROR(J410,0)&gt;Mapping_Rules!$B$8),"High","Medium"))</f>
        <v>High</v>
      </c>
      <c r="N410" s="41" t="str">
        <f t="shared" ca="1" si="20"/>
        <v>Check bank date or posting</v>
      </c>
      <c r="O410" s="23" t="s">
        <v>185</v>
      </c>
      <c r="P410" s="23" t="s">
        <v>95</v>
      </c>
      <c r="Q410" s="23" t="s">
        <v>1689</v>
      </c>
      <c r="R410" s="42"/>
      <c r="S410" s="43">
        <f ca="1">IF(K410="Matched",0,Mapping_Rules!$B$6-B410)</f>
        <v>26</v>
      </c>
    </row>
    <row r="411" spans="1:19">
      <c r="A411" s="44" t="s">
        <v>988</v>
      </c>
      <c r="B411" s="45">
        <v>46036</v>
      </c>
      <c r="C411" s="44" t="s">
        <v>107</v>
      </c>
      <c r="D411" s="44" t="s">
        <v>191</v>
      </c>
      <c r="E411" s="44" t="s">
        <v>989</v>
      </c>
      <c r="F411" s="46">
        <v>-84.01</v>
      </c>
      <c r="G411" s="47" t="str">
        <f ca="1">IFERROR(_xludf.XLOOKUP(E411,Bank_Statement!$D$4:$D$448,Bank_Statement!$G$4:$G$448,""),"")</f>
        <v/>
      </c>
      <c r="H411" s="46" t="str">
        <f t="shared" ca="1" si="18"/>
        <v/>
      </c>
      <c r="I411" s="48" t="str">
        <f ca="1">IFERROR(_xludf.XLOOKUP(E411,Bank_Statement!$D$4:$D$448,Bank_Statement!$B$4:$B$448,""),"")</f>
        <v/>
      </c>
      <c r="J411" s="49" t="str">
        <f t="shared" ca="1" si="19"/>
        <v/>
      </c>
      <c r="K411" s="50" t="str">
        <f ca="1">IF(G411="","Unmatched ERP",IF(AND(ABS(H411)&lt;=Mapping_Rules!$B$4,ABS(J411)&lt;=Mapping_Rules!$B$5),"Matched","Review"))</f>
        <v>Unmatched ERP</v>
      </c>
      <c r="L411" s="50" t="str">
        <f ca="1">IF(K411="Matched","None",IF(G411="","Missing from bank",IF(ABS(H411)&gt;Mapping_Rules!$B$4,"Amount variance","Date variance")))</f>
        <v>Missing from bank</v>
      </c>
      <c r="M411" s="50" t="str">
        <f ca="1">IF(K411="Matched","Low",IF(OR(IFERROR(ABS(H411),0)&gt;Mapping_Rules!$B$7,IFERROR(J411,0)&gt;Mapping_Rules!$B$8),"High","Medium"))</f>
        <v>High</v>
      </c>
      <c r="N411" s="50" t="str">
        <f t="shared" ca="1" si="20"/>
        <v>Check bank date or posting</v>
      </c>
      <c r="O411" s="44" t="s">
        <v>194</v>
      </c>
      <c r="P411" s="44" t="s">
        <v>95</v>
      </c>
      <c r="Q411" s="44" t="s">
        <v>1689</v>
      </c>
      <c r="R411" s="51"/>
      <c r="S411" s="52">
        <f ca="1">IF(K411="Matched",0,Mapping_Rules!$B$6-B411)</f>
        <v>17</v>
      </c>
    </row>
    <row r="412" spans="1:19">
      <c r="A412" s="23" t="s">
        <v>990</v>
      </c>
      <c r="B412" s="31">
        <v>46038</v>
      </c>
      <c r="C412" s="23" t="s">
        <v>72</v>
      </c>
      <c r="D412" s="23" t="s">
        <v>150</v>
      </c>
      <c r="E412" s="23" t="s">
        <v>991</v>
      </c>
      <c r="F412" s="32">
        <v>-5605</v>
      </c>
      <c r="G412" s="38" t="str">
        <f ca="1">IFERROR(_xludf.XLOOKUP(E412,Bank_Statement!$D$4:$D$448,Bank_Statement!$G$4:$G$448,""),"")</f>
        <v/>
      </c>
      <c r="H412" s="32" t="str">
        <f t="shared" ca="1" si="18"/>
        <v/>
      </c>
      <c r="I412" s="39" t="str">
        <f ca="1">IFERROR(_xludf.XLOOKUP(E412,Bank_Statement!$D$4:$D$448,Bank_Statement!$B$4:$B$448,""),"")</f>
        <v/>
      </c>
      <c r="J412" s="40" t="str">
        <f t="shared" ca="1" si="19"/>
        <v/>
      </c>
      <c r="K412" s="41" t="str">
        <f ca="1">IF(G412="","Unmatched ERP",IF(AND(ABS(H412)&lt;=Mapping_Rules!$B$4,ABS(J412)&lt;=Mapping_Rules!$B$5),"Matched","Review"))</f>
        <v>Unmatched ERP</v>
      </c>
      <c r="L412" s="41" t="str">
        <f ca="1">IF(K412="Matched","None",IF(G412="","Missing from bank",IF(ABS(H412)&gt;Mapping_Rules!$B$4,"Amount variance","Date variance")))</f>
        <v>Missing from bank</v>
      </c>
      <c r="M412" s="41" t="str">
        <f ca="1">IF(K412="Matched","Low",IF(OR(IFERROR(ABS(H412),0)&gt;Mapping_Rules!$B$7,IFERROR(J412,0)&gt;Mapping_Rules!$B$8),"High","Medium"))</f>
        <v>High</v>
      </c>
      <c r="N412" s="41" t="str">
        <f t="shared" ca="1" si="20"/>
        <v>Check bank date or posting</v>
      </c>
      <c r="O412" s="23" t="s">
        <v>131</v>
      </c>
      <c r="P412" s="23" t="s">
        <v>77</v>
      </c>
      <c r="Q412" s="23" t="s">
        <v>1689</v>
      </c>
      <c r="R412" s="42"/>
      <c r="S412" s="43">
        <f ca="1">IF(K412="Matched",0,Mapping_Rules!$B$6-B412)</f>
        <v>15</v>
      </c>
    </row>
    <row r="413" spans="1:19">
      <c r="A413" s="44" t="s">
        <v>992</v>
      </c>
      <c r="B413" s="45">
        <v>46047</v>
      </c>
      <c r="C413" s="44" t="s">
        <v>81</v>
      </c>
      <c r="D413" s="44" t="s">
        <v>173</v>
      </c>
      <c r="E413" s="44" t="s">
        <v>993</v>
      </c>
      <c r="F413" s="46">
        <v>8267.58</v>
      </c>
      <c r="G413" s="47" t="str">
        <f ca="1">IFERROR(_xludf.XLOOKUP(E413,Bank_Statement!$D$4:$D$448,Bank_Statement!$G$4:$G$448,""),"")</f>
        <v/>
      </c>
      <c r="H413" s="46" t="str">
        <f t="shared" ca="1" si="18"/>
        <v/>
      </c>
      <c r="I413" s="48" t="str">
        <f ca="1">IFERROR(_xludf.XLOOKUP(E413,Bank_Statement!$D$4:$D$448,Bank_Statement!$B$4:$B$448,""),"")</f>
        <v/>
      </c>
      <c r="J413" s="49" t="str">
        <f t="shared" ca="1" si="19"/>
        <v/>
      </c>
      <c r="K413" s="50" t="str">
        <f ca="1">IF(G413="","Unmatched ERP",IF(AND(ABS(H413)&lt;=Mapping_Rules!$B$4,ABS(J413)&lt;=Mapping_Rules!$B$5),"Matched","Review"))</f>
        <v>Unmatched ERP</v>
      </c>
      <c r="L413" s="50" t="str">
        <f ca="1">IF(K413="Matched","None",IF(G413="","Missing from bank",IF(ABS(H413)&gt;Mapping_Rules!$B$4,"Amount variance","Date variance")))</f>
        <v>Missing from bank</v>
      </c>
      <c r="M413" s="50" t="str">
        <f ca="1">IF(K413="Matched","Low",IF(OR(IFERROR(ABS(H413),0)&gt;Mapping_Rules!$B$7,IFERROR(J413,0)&gt;Mapping_Rules!$B$8),"High","Medium"))</f>
        <v>High</v>
      </c>
      <c r="N413" s="50" t="str">
        <f t="shared" ca="1" si="20"/>
        <v>Check bank date or posting</v>
      </c>
      <c r="O413" s="44" t="s">
        <v>158</v>
      </c>
      <c r="P413" s="44" t="s">
        <v>86</v>
      </c>
      <c r="Q413" s="44" t="s">
        <v>1689</v>
      </c>
      <c r="R413" s="51"/>
      <c r="S413" s="52">
        <f ca="1">IF(K413="Matched",0,Mapping_Rules!$B$6-B413)</f>
        <v>6</v>
      </c>
    </row>
    <row r="414" spans="1:19">
      <c r="A414" s="23" t="s">
        <v>994</v>
      </c>
      <c r="B414" s="31">
        <v>46036</v>
      </c>
      <c r="C414" s="23" t="s">
        <v>72</v>
      </c>
      <c r="D414" s="23" t="s">
        <v>139</v>
      </c>
      <c r="E414" s="23" t="s">
        <v>995</v>
      </c>
      <c r="F414" s="32">
        <v>-3918.62</v>
      </c>
      <c r="G414" s="38" t="str">
        <f ca="1">IFERROR(_xludf.XLOOKUP(E414,Bank_Statement!$D$4:$D$448,Bank_Statement!$G$4:$G$448,""),"")</f>
        <v/>
      </c>
      <c r="H414" s="32" t="str">
        <f t="shared" ca="1" si="18"/>
        <v/>
      </c>
      <c r="I414" s="39" t="str">
        <f ca="1">IFERROR(_xludf.XLOOKUP(E414,Bank_Statement!$D$4:$D$448,Bank_Statement!$B$4:$B$448,""),"")</f>
        <v/>
      </c>
      <c r="J414" s="40" t="str">
        <f t="shared" ca="1" si="19"/>
        <v/>
      </c>
      <c r="K414" s="41" t="str">
        <f ca="1">IF(G414="","Unmatched ERP",IF(AND(ABS(H414)&lt;=Mapping_Rules!$B$4,ABS(J414)&lt;=Mapping_Rules!$B$5),"Matched","Review"))</f>
        <v>Unmatched ERP</v>
      </c>
      <c r="L414" s="41" t="str">
        <f ca="1">IF(K414="Matched","None",IF(G414="","Missing from bank",IF(ABS(H414)&gt;Mapping_Rules!$B$4,"Amount variance","Date variance")))</f>
        <v>Missing from bank</v>
      </c>
      <c r="M414" s="41" t="str">
        <f ca="1">IF(K414="Matched","Low",IF(OR(IFERROR(ABS(H414),0)&gt;Mapping_Rules!$B$7,IFERROR(J414,0)&gt;Mapping_Rules!$B$8),"High","Medium"))</f>
        <v>High</v>
      </c>
      <c r="N414" s="41" t="str">
        <f t="shared" ca="1" si="20"/>
        <v>Check bank date or posting</v>
      </c>
      <c r="O414" s="23" t="s">
        <v>131</v>
      </c>
      <c r="P414" s="23" t="s">
        <v>77</v>
      </c>
      <c r="Q414" s="23" t="s">
        <v>1689</v>
      </c>
      <c r="R414" s="42"/>
      <c r="S414" s="43">
        <f ca="1">IF(K414="Matched",0,Mapping_Rules!$B$6-B414)</f>
        <v>17</v>
      </c>
    </row>
    <row r="415" spans="1:19">
      <c r="A415" s="44" t="s">
        <v>996</v>
      </c>
      <c r="B415" s="45">
        <v>46040</v>
      </c>
      <c r="C415" s="44" t="s">
        <v>81</v>
      </c>
      <c r="D415" s="44" t="s">
        <v>214</v>
      </c>
      <c r="E415" s="44" t="s">
        <v>997</v>
      </c>
      <c r="F415" s="46">
        <v>7302.81</v>
      </c>
      <c r="G415" s="47" t="str">
        <f ca="1">IFERROR(_xludf.XLOOKUP(E415,Bank_Statement!$D$4:$D$448,Bank_Statement!$G$4:$G$448,""),"")</f>
        <v/>
      </c>
      <c r="H415" s="46" t="str">
        <f t="shared" ca="1" si="18"/>
        <v/>
      </c>
      <c r="I415" s="48" t="str">
        <f ca="1">IFERROR(_xludf.XLOOKUP(E415,Bank_Statement!$D$4:$D$448,Bank_Statement!$B$4:$B$448,""),"")</f>
        <v/>
      </c>
      <c r="J415" s="49" t="str">
        <f t="shared" ca="1" si="19"/>
        <v/>
      </c>
      <c r="K415" s="50" t="str">
        <f ca="1">IF(G415="","Unmatched ERP",IF(AND(ABS(H415)&lt;=Mapping_Rules!$B$4,ABS(J415)&lt;=Mapping_Rules!$B$5),"Matched","Review"))</f>
        <v>Unmatched ERP</v>
      </c>
      <c r="L415" s="50" t="str">
        <f ca="1">IF(K415="Matched","None",IF(G415="","Missing from bank",IF(ABS(H415)&gt;Mapping_Rules!$B$4,"Amount variance","Date variance")))</f>
        <v>Missing from bank</v>
      </c>
      <c r="M415" s="50" t="str">
        <f ca="1">IF(K415="Matched","Low",IF(OR(IFERROR(ABS(H415),0)&gt;Mapping_Rules!$B$7,IFERROR(J415,0)&gt;Mapping_Rules!$B$8),"High","Medium"))</f>
        <v>High</v>
      </c>
      <c r="N415" s="50" t="str">
        <f t="shared" ca="1" si="20"/>
        <v>Check bank date or posting</v>
      </c>
      <c r="O415" s="44" t="s">
        <v>158</v>
      </c>
      <c r="P415" s="44" t="s">
        <v>86</v>
      </c>
      <c r="Q415" s="44" t="s">
        <v>1689</v>
      </c>
      <c r="R415" s="51"/>
      <c r="S415" s="52">
        <f ca="1">IF(K415="Matched",0,Mapping_Rules!$B$6-B415)</f>
        <v>13</v>
      </c>
    </row>
    <row r="416" spans="1:19">
      <c r="A416" s="23" t="s">
        <v>998</v>
      </c>
      <c r="B416" s="31">
        <v>46023</v>
      </c>
      <c r="C416" s="23" t="s">
        <v>90</v>
      </c>
      <c r="D416" s="23" t="s">
        <v>214</v>
      </c>
      <c r="E416" s="23" t="s">
        <v>999</v>
      </c>
      <c r="F416" s="32">
        <v>-2958.5</v>
      </c>
      <c r="G416" s="38" t="str">
        <f ca="1">IFERROR(_xludf.XLOOKUP(E416,Bank_Statement!$D$4:$D$448,Bank_Statement!$G$4:$G$448,""),"")</f>
        <v/>
      </c>
      <c r="H416" s="32" t="str">
        <f t="shared" ca="1" si="18"/>
        <v/>
      </c>
      <c r="I416" s="39" t="str">
        <f ca="1">IFERROR(_xludf.XLOOKUP(E416,Bank_Statement!$D$4:$D$448,Bank_Statement!$B$4:$B$448,""),"")</f>
        <v/>
      </c>
      <c r="J416" s="40" t="str">
        <f t="shared" ca="1" si="19"/>
        <v/>
      </c>
      <c r="K416" s="41" t="str">
        <f ca="1">IF(G416="","Unmatched ERP",IF(AND(ABS(H416)&lt;=Mapping_Rules!$B$4,ABS(J416)&lt;=Mapping_Rules!$B$5),"Matched","Review"))</f>
        <v>Unmatched ERP</v>
      </c>
      <c r="L416" s="41" t="str">
        <f ca="1">IF(K416="Matched","None",IF(G416="","Missing from bank",IF(ABS(H416)&gt;Mapping_Rules!$B$4,"Amount variance","Date variance")))</f>
        <v>Missing from bank</v>
      </c>
      <c r="M416" s="41" t="str">
        <f ca="1">IF(K416="Matched","Low",IF(OR(IFERROR(ABS(H416),0)&gt;Mapping_Rules!$B$7,IFERROR(J416,0)&gt;Mapping_Rules!$B$8),"High","Medium"))</f>
        <v>High</v>
      </c>
      <c r="N416" s="41" t="str">
        <f t="shared" ca="1" si="20"/>
        <v>Check bank date or posting</v>
      </c>
      <c r="O416" s="23" t="s">
        <v>158</v>
      </c>
      <c r="P416" s="23" t="s">
        <v>95</v>
      </c>
      <c r="Q416" s="23" t="s">
        <v>1689</v>
      </c>
      <c r="R416" s="42"/>
      <c r="S416" s="43">
        <f ca="1">IF(K416="Matched",0,Mapping_Rules!$B$6-B416)</f>
        <v>30</v>
      </c>
    </row>
    <row r="417" spans="1:19">
      <c r="A417" s="44" t="s">
        <v>1000</v>
      </c>
      <c r="B417" s="45">
        <v>46041</v>
      </c>
      <c r="C417" s="44" t="s">
        <v>90</v>
      </c>
      <c r="D417" s="44" t="s">
        <v>155</v>
      </c>
      <c r="E417" s="44" t="s">
        <v>1001</v>
      </c>
      <c r="F417" s="46">
        <v>-1466.16</v>
      </c>
      <c r="G417" s="47" t="str">
        <f ca="1">IFERROR(_xludf.XLOOKUP(E417,Bank_Statement!$D$4:$D$448,Bank_Statement!$G$4:$G$448,""),"")</f>
        <v/>
      </c>
      <c r="H417" s="46" t="str">
        <f t="shared" ca="1" si="18"/>
        <v/>
      </c>
      <c r="I417" s="48" t="str">
        <f ca="1">IFERROR(_xludf.XLOOKUP(E417,Bank_Statement!$D$4:$D$448,Bank_Statement!$B$4:$B$448,""),"")</f>
        <v/>
      </c>
      <c r="J417" s="49" t="str">
        <f t="shared" ca="1" si="19"/>
        <v/>
      </c>
      <c r="K417" s="50" t="str">
        <f ca="1">IF(G417="","Unmatched ERP",IF(AND(ABS(H417)&lt;=Mapping_Rules!$B$4,ABS(J417)&lt;=Mapping_Rules!$B$5),"Matched","Review"))</f>
        <v>Unmatched ERP</v>
      </c>
      <c r="L417" s="50" t="str">
        <f ca="1">IF(K417="Matched","None",IF(G417="","Missing from bank",IF(ABS(H417)&gt;Mapping_Rules!$B$4,"Amount variance","Date variance")))</f>
        <v>Missing from bank</v>
      </c>
      <c r="M417" s="50" t="str">
        <f ca="1">IF(K417="Matched","Low",IF(OR(IFERROR(ABS(H417),0)&gt;Mapping_Rules!$B$7,IFERROR(J417,0)&gt;Mapping_Rules!$B$8),"High","Medium"))</f>
        <v>High</v>
      </c>
      <c r="N417" s="50" t="str">
        <f t="shared" ca="1" si="20"/>
        <v>Check bank date or posting</v>
      </c>
      <c r="O417" s="44" t="s">
        <v>426</v>
      </c>
      <c r="P417" s="44" t="s">
        <v>95</v>
      </c>
      <c r="Q417" s="44" t="s">
        <v>1689</v>
      </c>
      <c r="R417" s="51"/>
      <c r="S417" s="52">
        <f ca="1">IF(K417="Matched",0,Mapping_Rules!$B$6-B417)</f>
        <v>12</v>
      </c>
    </row>
    <row r="418" spans="1:19">
      <c r="A418" s="23" t="s">
        <v>1002</v>
      </c>
      <c r="B418" s="31">
        <v>46038</v>
      </c>
      <c r="C418" s="23" t="s">
        <v>72</v>
      </c>
      <c r="D418" s="23" t="s">
        <v>208</v>
      </c>
      <c r="E418" s="23" t="s">
        <v>1003</v>
      </c>
      <c r="F418" s="32">
        <v>-2546.1999999999998</v>
      </c>
      <c r="G418" s="38" t="str">
        <f ca="1">IFERROR(_xludf.XLOOKUP(E418,Bank_Statement!$D$4:$D$448,Bank_Statement!$G$4:$G$448,""),"")</f>
        <v/>
      </c>
      <c r="H418" s="32" t="str">
        <f t="shared" ca="1" si="18"/>
        <v/>
      </c>
      <c r="I418" s="39" t="str">
        <f ca="1">IFERROR(_xludf.XLOOKUP(E418,Bank_Statement!$D$4:$D$448,Bank_Statement!$B$4:$B$448,""),"")</f>
        <v/>
      </c>
      <c r="J418" s="40" t="str">
        <f t="shared" ca="1" si="19"/>
        <v/>
      </c>
      <c r="K418" s="41" t="str">
        <f ca="1">IF(G418="","Unmatched ERP",IF(AND(ABS(H418)&lt;=Mapping_Rules!$B$4,ABS(J418)&lt;=Mapping_Rules!$B$5),"Matched","Review"))</f>
        <v>Unmatched ERP</v>
      </c>
      <c r="L418" s="41" t="str">
        <f ca="1">IF(K418="Matched","None",IF(G418="","Missing from bank",IF(ABS(H418)&gt;Mapping_Rules!$B$4,"Amount variance","Date variance")))</f>
        <v>Missing from bank</v>
      </c>
      <c r="M418" s="41" t="str">
        <f ca="1">IF(K418="Matched","Low",IF(OR(IFERROR(ABS(H418),0)&gt;Mapping_Rules!$B$7,IFERROR(J418,0)&gt;Mapping_Rules!$B$8),"High","Medium"))</f>
        <v>High</v>
      </c>
      <c r="N418" s="41" t="str">
        <f t="shared" ca="1" si="20"/>
        <v>Check bank date or posting</v>
      </c>
      <c r="O418" s="23" t="s">
        <v>131</v>
      </c>
      <c r="P418" s="23" t="s">
        <v>77</v>
      </c>
      <c r="Q418" s="23" t="s">
        <v>1689</v>
      </c>
      <c r="R418" s="42"/>
      <c r="S418" s="43">
        <f ca="1">IF(K418="Matched",0,Mapping_Rules!$B$6-B418)</f>
        <v>15</v>
      </c>
    </row>
    <row r="419" spans="1:19">
      <c r="A419" s="44" t="s">
        <v>1004</v>
      </c>
      <c r="B419" s="45">
        <v>46045</v>
      </c>
      <c r="C419" s="44" t="s">
        <v>72</v>
      </c>
      <c r="D419" s="44" t="s">
        <v>126</v>
      </c>
      <c r="E419" s="44" t="s">
        <v>1005</v>
      </c>
      <c r="F419" s="46">
        <v>-2988.34</v>
      </c>
      <c r="G419" s="47" t="str">
        <f ca="1">IFERROR(_xludf.XLOOKUP(E419,Bank_Statement!$D$4:$D$448,Bank_Statement!$G$4:$G$448,""),"")</f>
        <v/>
      </c>
      <c r="H419" s="46" t="str">
        <f t="shared" ca="1" si="18"/>
        <v/>
      </c>
      <c r="I419" s="48" t="str">
        <f ca="1">IFERROR(_xludf.XLOOKUP(E419,Bank_Statement!$D$4:$D$448,Bank_Statement!$B$4:$B$448,""),"")</f>
        <v/>
      </c>
      <c r="J419" s="49" t="str">
        <f t="shared" ca="1" si="19"/>
        <v/>
      </c>
      <c r="K419" s="50" t="str">
        <f ca="1">IF(G419="","Unmatched ERP",IF(AND(ABS(H419)&lt;=Mapping_Rules!$B$4,ABS(J419)&lt;=Mapping_Rules!$B$5),"Matched","Review"))</f>
        <v>Unmatched ERP</v>
      </c>
      <c r="L419" s="50" t="str">
        <f ca="1">IF(K419="Matched","None",IF(G419="","Missing from bank",IF(ABS(H419)&gt;Mapping_Rules!$B$4,"Amount variance","Date variance")))</f>
        <v>Missing from bank</v>
      </c>
      <c r="M419" s="50" t="str">
        <f ca="1">IF(K419="Matched","Low",IF(OR(IFERROR(ABS(H419),0)&gt;Mapping_Rules!$B$7,IFERROR(J419,0)&gt;Mapping_Rules!$B$8),"High","Medium"))</f>
        <v>High</v>
      </c>
      <c r="N419" s="50" t="str">
        <f t="shared" ca="1" si="20"/>
        <v>Check bank date or posting</v>
      </c>
      <c r="O419" s="44" t="s">
        <v>131</v>
      </c>
      <c r="P419" s="44" t="s">
        <v>77</v>
      </c>
      <c r="Q419" s="44" t="s">
        <v>1689</v>
      </c>
      <c r="R419" s="51"/>
      <c r="S419" s="52">
        <f ca="1">IF(K419="Matched",0,Mapping_Rules!$B$6-B419)</f>
        <v>8</v>
      </c>
    </row>
    <row r="420" spans="1:19">
      <c r="A420" s="23" t="s">
        <v>1006</v>
      </c>
      <c r="B420" s="31">
        <v>46049</v>
      </c>
      <c r="C420" s="23" t="s">
        <v>81</v>
      </c>
      <c r="D420" s="23" t="s">
        <v>155</v>
      </c>
      <c r="E420" s="23" t="s">
        <v>1007</v>
      </c>
      <c r="F420" s="32">
        <v>5868.51</v>
      </c>
      <c r="G420" s="38" t="str">
        <f ca="1">IFERROR(_xludf.XLOOKUP(E420,Bank_Statement!$D$4:$D$448,Bank_Statement!$G$4:$G$448,""),"")</f>
        <v/>
      </c>
      <c r="H420" s="32" t="str">
        <f t="shared" ca="1" si="18"/>
        <v/>
      </c>
      <c r="I420" s="39" t="str">
        <f ca="1">IFERROR(_xludf.XLOOKUP(E420,Bank_Statement!$D$4:$D$448,Bank_Statement!$B$4:$B$448,""),"")</f>
        <v/>
      </c>
      <c r="J420" s="40" t="str">
        <f t="shared" ca="1" si="19"/>
        <v/>
      </c>
      <c r="K420" s="41" t="str">
        <f ca="1">IF(G420="","Unmatched ERP",IF(AND(ABS(H420)&lt;=Mapping_Rules!$B$4,ABS(J420)&lt;=Mapping_Rules!$B$5),"Matched","Review"))</f>
        <v>Unmatched ERP</v>
      </c>
      <c r="L420" s="41" t="str">
        <f ca="1">IF(K420="Matched","None",IF(G420="","Missing from bank",IF(ABS(H420)&gt;Mapping_Rules!$B$4,"Amount variance","Date variance")))</f>
        <v>Missing from bank</v>
      </c>
      <c r="M420" s="41" t="str">
        <f ca="1">IF(K420="Matched","Low",IF(OR(IFERROR(ABS(H420),0)&gt;Mapping_Rules!$B$7,IFERROR(J420,0)&gt;Mapping_Rules!$B$8),"High","Medium"))</f>
        <v>High</v>
      </c>
      <c r="N420" s="41" t="str">
        <f t="shared" ca="1" si="20"/>
        <v>Check bank date or posting</v>
      </c>
      <c r="O420" s="23" t="s">
        <v>158</v>
      </c>
      <c r="P420" s="23" t="s">
        <v>86</v>
      </c>
      <c r="Q420" s="23" t="s">
        <v>1689</v>
      </c>
      <c r="R420" s="42"/>
      <c r="S420" s="43">
        <f ca="1">IF(K420="Matched",0,Mapping_Rules!$B$6-B420)</f>
        <v>4</v>
      </c>
    </row>
    <row r="421" spans="1:19">
      <c r="A421" s="44" t="s">
        <v>1008</v>
      </c>
      <c r="B421" s="45">
        <v>46033</v>
      </c>
      <c r="C421" s="44" t="s">
        <v>72</v>
      </c>
      <c r="D421" s="44" t="s">
        <v>150</v>
      </c>
      <c r="E421" s="44" t="s">
        <v>1009</v>
      </c>
      <c r="F421" s="46">
        <v>-3782.47</v>
      </c>
      <c r="G421" s="47" t="str">
        <f ca="1">IFERROR(_xludf.XLOOKUP(E421,Bank_Statement!$D$4:$D$448,Bank_Statement!$G$4:$G$448,""),"")</f>
        <v/>
      </c>
      <c r="H421" s="46" t="str">
        <f t="shared" ca="1" si="18"/>
        <v/>
      </c>
      <c r="I421" s="48" t="str">
        <f ca="1">IFERROR(_xludf.XLOOKUP(E421,Bank_Statement!$D$4:$D$448,Bank_Statement!$B$4:$B$448,""),"")</f>
        <v/>
      </c>
      <c r="J421" s="49" t="str">
        <f t="shared" ca="1" si="19"/>
        <v/>
      </c>
      <c r="K421" s="50" t="str">
        <f ca="1">IF(G421="","Unmatched ERP",IF(AND(ABS(H421)&lt;=Mapping_Rules!$B$4,ABS(J421)&lt;=Mapping_Rules!$B$5),"Matched","Review"))</f>
        <v>Unmatched ERP</v>
      </c>
      <c r="L421" s="50" t="str">
        <f ca="1">IF(K421="Matched","None",IF(G421="","Missing from bank",IF(ABS(H421)&gt;Mapping_Rules!$B$4,"Amount variance","Date variance")))</f>
        <v>Missing from bank</v>
      </c>
      <c r="M421" s="50" t="str">
        <f ca="1">IF(K421="Matched","Low",IF(OR(IFERROR(ABS(H421),0)&gt;Mapping_Rules!$B$7,IFERROR(J421,0)&gt;Mapping_Rules!$B$8),"High","Medium"))</f>
        <v>High</v>
      </c>
      <c r="N421" s="50" t="str">
        <f t="shared" ca="1" si="20"/>
        <v>Check bank date or posting</v>
      </c>
      <c r="O421" s="44" t="s">
        <v>131</v>
      </c>
      <c r="P421" s="44" t="s">
        <v>77</v>
      </c>
      <c r="Q421" s="44" t="s">
        <v>1689</v>
      </c>
      <c r="R421" s="51"/>
      <c r="S421" s="52">
        <f ca="1">IF(K421="Matched",0,Mapping_Rules!$B$6-B421)</f>
        <v>20</v>
      </c>
    </row>
    <row r="422" spans="1:19">
      <c r="A422" s="23" t="s">
        <v>1010</v>
      </c>
      <c r="B422" s="31">
        <v>46047</v>
      </c>
      <c r="C422" s="23" t="s">
        <v>81</v>
      </c>
      <c r="D422" s="23" t="s">
        <v>214</v>
      </c>
      <c r="E422" s="23" t="s">
        <v>1011</v>
      </c>
      <c r="F422" s="32">
        <v>7005.5</v>
      </c>
      <c r="G422" s="38" t="str">
        <f ca="1">IFERROR(_xludf.XLOOKUP(E422,Bank_Statement!$D$4:$D$448,Bank_Statement!$G$4:$G$448,""),"")</f>
        <v/>
      </c>
      <c r="H422" s="32" t="str">
        <f t="shared" ca="1" si="18"/>
        <v/>
      </c>
      <c r="I422" s="39" t="str">
        <f ca="1">IFERROR(_xludf.XLOOKUP(E422,Bank_Statement!$D$4:$D$448,Bank_Statement!$B$4:$B$448,""),"")</f>
        <v/>
      </c>
      <c r="J422" s="40" t="str">
        <f t="shared" ca="1" si="19"/>
        <v/>
      </c>
      <c r="K422" s="41" t="str">
        <f ca="1">IF(G422="","Unmatched ERP",IF(AND(ABS(H422)&lt;=Mapping_Rules!$B$4,ABS(J422)&lt;=Mapping_Rules!$B$5),"Matched","Review"))</f>
        <v>Unmatched ERP</v>
      </c>
      <c r="L422" s="41" t="str">
        <f ca="1">IF(K422="Matched","None",IF(G422="","Missing from bank",IF(ABS(H422)&gt;Mapping_Rules!$B$4,"Amount variance","Date variance")))</f>
        <v>Missing from bank</v>
      </c>
      <c r="M422" s="41" t="str">
        <f ca="1">IF(K422="Matched","Low",IF(OR(IFERROR(ABS(H422),0)&gt;Mapping_Rules!$B$7,IFERROR(J422,0)&gt;Mapping_Rules!$B$8),"High","Medium"))</f>
        <v>High</v>
      </c>
      <c r="N422" s="41" t="str">
        <f t="shared" ca="1" si="20"/>
        <v>Check bank date or posting</v>
      </c>
      <c r="O422" s="23" t="s">
        <v>158</v>
      </c>
      <c r="P422" s="23" t="s">
        <v>86</v>
      </c>
      <c r="Q422" s="23" t="s">
        <v>1689</v>
      </c>
      <c r="R422" s="42"/>
      <c r="S422" s="43">
        <f ca="1">IF(K422="Matched",0,Mapping_Rules!$B$6-B422)</f>
        <v>6</v>
      </c>
    </row>
    <row r="423" spans="1:19">
      <c r="A423" s="44" t="s">
        <v>1012</v>
      </c>
      <c r="B423" s="45">
        <v>46050</v>
      </c>
      <c r="C423" s="44" t="s">
        <v>81</v>
      </c>
      <c r="D423" s="44" t="s">
        <v>167</v>
      </c>
      <c r="E423" s="44" t="s">
        <v>1013</v>
      </c>
      <c r="F423" s="46">
        <v>391.72</v>
      </c>
      <c r="G423" s="47" t="str">
        <f ca="1">IFERROR(_xludf.XLOOKUP(E423,Bank_Statement!$D$4:$D$448,Bank_Statement!$G$4:$G$448,""),"")</f>
        <v/>
      </c>
      <c r="H423" s="46" t="str">
        <f t="shared" ca="1" si="18"/>
        <v/>
      </c>
      <c r="I423" s="48" t="str">
        <f ca="1">IFERROR(_xludf.XLOOKUP(E423,Bank_Statement!$D$4:$D$448,Bank_Statement!$B$4:$B$448,""),"")</f>
        <v/>
      </c>
      <c r="J423" s="49" t="str">
        <f t="shared" ca="1" si="19"/>
        <v/>
      </c>
      <c r="K423" s="50" t="str">
        <f ca="1">IF(G423="","Unmatched ERP",IF(AND(ABS(H423)&lt;=Mapping_Rules!$B$4,ABS(J423)&lt;=Mapping_Rules!$B$5),"Matched","Review"))</f>
        <v>Unmatched ERP</v>
      </c>
      <c r="L423" s="50" t="str">
        <f ca="1">IF(K423="Matched","None",IF(G423="","Missing from bank",IF(ABS(H423)&gt;Mapping_Rules!$B$4,"Amount variance","Date variance")))</f>
        <v>Missing from bank</v>
      </c>
      <c r="M423" s="50" t="str">
        <f ca="1">IF(K423="Matched","Low",IF(OR(IFERROR(ABS(H423),0)&gt;Mapping_Rules!$B$7,IFERROR(J423,0)&gt;Mapping_Rules!$B$8),"High","Medium"))</f>
        <v>High</v>
      </c>
      <c r="N423" s="50" t="str">
        <f t="shared" ca="1" si="20"/>
        <v>Check bank date or posting</v>
      </c>
      <c r="O423" s="44" t="s">
        <v>158</v>
      </c>
      <c r="P423" s="44" t="s">
        <v>86</v>
      </c>
      <c r="Q423" s="44" t="s">
        <v>1689</v>
      </c>
      <c r="R423" s="51"/>
      <c r="S423" s="52">
        <f ca="1">IF(K423="Matched",0,Mapping_Rules!$B$6-B423)</f>
        <v>3</v>
      </c>
    </row>
    <row r="424" spans="1:19">
      <c r="A424" s="23" t="s">
        <v>1014</v>
      </c>
      <c r="B424" s="31">
        <v>46030</v>
      </c>
      <c r="C424" s="23" t="s">
        <v>72</v>
      </c>
      <c r="D424" s="23" t="s">
        <v>144</v>
      </c>
      <c r="E424" s="23" t="s">
        <v>1015</v>
      </c>
      <c r="F424" s="32">
        <v>-5698.35</v>
      </c>
      <c r="G424" s="38" t="str">
        <f ca="1">IFERROR(_xludf.XLOOKUP(E424,Bank_Statement!$D$4:$D$448,Bank_Statement!$G$4:$G$448,""),"")</f>
        <v/>
      </c>
      <c r="H424" s="32" t="str">
        <f t="shared" ca="1" si="18"/>
        <v/>
      </c>
      <c r="I424" s="39" t="str">
        <f ca="1">IFERROR(_xludf.XLOOKUP(E424,Bank_Statement!$D$4:$D$448,Bank_Statement!$B$4:$B$448,""),"")</f>
        <v/>
      </c>
      <c r="J424" s="40" t="str">
        <f t="shared" ca="1" si="19"/>
        <v/>
      </c>
      <c r="K424" s="41" t="str">
        <f ca="1">IF(G424="","Unmatched ERP",IF(AND(ABS(H424)&lt;=Mapping_Rules!$B$4,ABS(J424)&lt;=Mapping_Rules!$B$5),"Matched","Review"))</f>
        <v>Unmatched ERP</v>
      </c>
      <c r="L424" s="41" t="str">
        <f ca="1">IF(K424="Matched","None",IF(G424="","Missing from bank",IF(ABS(H424)&gt;Mapping_Rules!$B$4,"Amount variance","Date variance")))</f>
        <v>Missing from bank</v>
      </c>
      <c r="M424" s="41" t="str">
        <f ca="1">IF(K424="Matched","Low",IF(OR(IFERROR(ABS(H424),0)&gt;Mapping_Rules!$B$7,IFERROR(J424,0)&gt;Mapping_Rules!$B$8),"High","Medium"))</f>
        <v>High</v>
      </c>
      <c r="N424" s="41" t="str">
        <f t="shared" ca="1" si="20"/>
        <v>Check bank date or posting</v>
      </c>
      <c r="O424" s="23" t="s">
        <v>131</v>
      </c>
      <c r="P424" s="23" t="s">
        <v>77</v>
      </c>
      <c r="Q424" s="23" t="s">
        <v>1689</v>
      </c>
      <c r="R424" s="42"/>
      <c r="S424" s="43">
        <f ca="1">IF(K424="Matched",0,Mapping_Rules!$B$6-B424)</f>
        <v>23</v>
      </c>
    </row>
    <row r="425" spans="1:19">
      <c r="A425" s="44" t="s">
        <v>1016</v>
      </c>
      <c r="B425" s="45">
        <v>46043</v>
      </c>
      <c r="C425" s="44" t="s">
        <v>107</v>
      </c>
      <c r="D425" s="44" t="s">
        <v>191</v>
      </c>
      <c r="E425" s="44" t="s">
        <v>1017</v>
      </c>
      <c r="F425" s="46">
        <v>-83.34</v>
      </c>
      <c r="G425" s="47" t="str">
        <f ca="1">IFERROR(_xludf.XLOOKUP(E425,Bank_Statement!$D$4:$D$448,Bank_Statement!$G$4:$G$448,""),"")</f>
        <v/>
      </c>
      <c r="H425" s="46" t="str">
        <f t="shared" ca="1" si="18"/>
        <v/>
      </c>
      <c r="I425" s="48" t="str">
        <f ca="1">IFERROR(_xludf.XLOOKUP(E425,Bank_Statement!$D$4:$D$448,Bank_Statement!$B$4:$B$448,""),"")</f>
        <v/>
      </c>
      <c r="J425" s="49" t="str">
        <f t="shared" ca="1" si="19"/>
        <v/>
      </c>
      <c r="K425" s="50" t="str">
        <f ca="1">IF(G425="","Unmatched ERP",IF(AND(ABS(H425)&lt;=Mapping_Rules!$B$4,ABS(J425)&lt;=Mapping_Rules!$B$5),"Matched","Review"))</f>
        <v>Unmatched ERP</v>
      </c>
      <c r="L425" s="50" t="str">
        <f ca="1">IF(K425="Matched","None",IF(G425="","Missing from bank",IF(ABS(H425)&gt;Mapping_Rules!$B$4,"Amount variance","Date variance")))</f>
        <v>Missing from bank</v>
      </c>
      <c r="M425" s="50" t="str">
        <f ca="1">IF(K425="Matched","Low",IF(OR(IFERROR(ABS(H425),0)&gt;Mapping_Rules!$B$7,IFERROR(J425,0)&gt;Mapping_Rules!$B$8),"High","Medium"))</f>
        <v>High</v>
      </c>
      <c r="N425" s="50" t="str">
        <f t="shared" ca="1" si="20"/>
        <v>Check bank date or posting</v>
      </c>
      <c r="O425" s="44" t="s">
        <v>194</v>
      </c>
      <c r="P425" s="44" t="s">
        <v>95</v>
      </c>
      <c r="Q425" s="44" t="s">
        <v>1689</v>
      </c>
      <c r="R425" s="51"/>
      <c r="S425" s="52">
        <f ca="1">IF(K425="Matched",0,Mapping_Rules!$B$6-B425)</f>
        <v>10</v>
      </c>
    </row>
    <row r="426" spans="1:19">
      <c r="A426" s="23" t="s">
        <v>1018</v>
      </c>
      <c r="B426" s="31">
        <v>46050</v>
      </c>
      <c r="C426" s="23" t="s">
        <v>81</v>
      </c>
      <c r="D426" s="23" t="s">
        <v>167</v>
      </c>
      <c r="E426" s="23" t="s">
        <v>1019</v>
      </c>
      <c r="F426" s="32">
        <v>3070.5</v>
      </c>
      <c r="G426" s="38" t="str">
        <f ca="1">IFERROR(_xludf.XLOOKUP(E426,Bank_Statement!$D$4:$D$448,Bank_Statement!$G$4:$G$448,""),"")</f>
        <v/>
      </c>
      <c r="H426" s="32" t="str">
        <f t="shared" ca="1" si="18"/>
        <v/>
      </c>
      <c r="I426" s="39" t="str">
        <f ca="1">IFERROR(_xludf.XLOOKUP(E426,Bank_Statement!$D$4:$D$448,Bank_Statement!$B$4:$B$448,""),"")</f>
        <v/>
      </c>
      <c r="J426" s="40" t="str">
        <f t="shared" ca="1" si="19"/>
        <v/>
      </c>
      <c r="K426" s="41" t="str">
        <f ca="1">IF(G426="","Unmatched ERP",IF(AND(ABS(H426)&lt;=Mapping_Rules!$B$4,ABS(J426)&lt;=Mapping_Rules!$B$5),"Matched","Review"))</f>
        <v>Unmatched ERP</v>
      </c>
      <c r="L426" s="41" t="str">
        <f ca="1">IF(K426="Matched","None",IF(G426="","Missing from bank",IF(ABS(H426)&gt;Mapping_Rules!$B$4,"Amount variance","Date variance")))</f>
        <v>Missing from bank</v>
      </c>
      <c r="M426" s="41" t="str">
        <f ca="1">IF(K426="Matched","Low",IF(OR(IFERROR(ABS(H426),0)&gt;Mapping_Rules!$B$7,IFERROR(J426,0)&gt;Mapping_Rules!$B$8),"High","Medium"))</f>
        <v>High</v>
      </c>
      <c r="N426" s="41" t="str">
        <f t="shared" ca="1" si="20"/>
        <v>Check bank date or posting</v>
      </c>
      <c r="O426" s="23" t="s">
        <v>158</v>
      </c>
      <c r="P426" s="23" t="s">
        <v>86</v>
      </c>
      <c r="Q426" s="23" t="s">
        <v>1689</v>
      </c>
      <c r="R426" s="42"/>
      <c r="S426" s="43">
        <f ca="1">IF(K426="Matched",0,Mapping_Rules!$B$6-B426)</f>
        <v>3</v>
      </c>
    </row>
    <row r="427" spans="1:19">
      <c r="A427" s="44" t="s">
        <v>1020</v>
      </c>
      <c r="B427" s="45">
        <v>46035</v>
      </c>
      <c r="C427" s="44" t="s">
        <v>72</v>
      </c>
      <c r="D427" s="44" t="s">
        <v>139</v>
      </c>
      <c r="E427" s="44" t="s">
        <v>1021</v>
      </c>
      <c r="F427" s="46">
        <v>-3582.22</v>
      </c>
      <c r="G427" s="47" t="str">
        <f ca="1">IFERROR(_xludf.XLOOKUP(E427,Bank_Statement!$D$4:$D$448,Bank_Statement!$G$4:$G$448,""),"")</f>
        <v/>
      </c>
      <c r="H427" s="46" t="str">
        <f t="shared" ca="1" si="18"/>
        <v/>
      </c>
      <c r="I427" s="48" t="str">
        <f ca="1">IFERROR(_xludf.XLOOKUP(E427,Bank_Statement!$D$4:$D$448,Bank_Statement!$B$4:$B$448,""),"")</f>
        <v/>
      </c>
      <c r="J427" s="49" t="str">
        <f t="shared" ca="1" si="19"/>
        <v/>
      </c>
      <c r="K427" s="50" t="str">
        <f ca="1">IF(G427="","Unmatched ERP",IF(AND(ABS(H427)&lt;=Mapping_Rules!$B$4,ABS(J427)&lt;=Mapping_Rules!$B$5),"Matched","Review"))</f>
        <v>Unmatched ERP</v>
      </c>
      <c r="L427" s="50" t="str">
        <f ca="1">IF(K427="Matched","None",IF(G427="","Missing from bank",IF(ABS(H427)&gt;Mapping_Rules!$B$4,"Amount variance","Date variance")))</f>
        <v>Missing from bank</v>
      </c>
      <c r="M427" s="50" t="str">
        <f ca="1">IF(K427="Matched","Low",IF(OR(IFERROR(ABS(H427),0)&gt;Mapping_Rules!$B$7,IFERROR(J427,0)&gt;Mapping_Rules!$B$8),"High","Medium"))</f>
        <v>High</v>
      </c>
      <c r="N427" s="50" t="str">
        <f t="shared" ca="1" si="20"/>
        <v>Check bank date or posting</v>
      </c>
      <c r="O427" s="44" t="s">
        <v>131</v>
      </c>
      <c r="P427" s="44" t="s">
        <v>77</v>
      </c>
      <c r="Q427" s="44" t="s">
        <v>1689</v>
      </c>
      <c r="R427" s="51"/>
      <c r="S427" s="52">
        <f ca="1">IF(K427="Matched",0,Mapping_Rules!$B$6-B427)</f>
        <v>18</v>
      </c>
    </row>
    <row r="428" spans="1:19">
      <c r="A428" s="23" t="s">
        <v>1022</v>
      </c>
      <c r="B428" s="31">
        <v>46036</v>
      </c>
      <c r="C428" s="23" t="s">
        <v>81</v>
      </c>
      <c r="D428" s="23" t="s">
        <v>155</v>
      </c>
      <c r="E428" s="23" t="s">
        <v>1023</v>
      </c>
      <c r="F428" s="32">
        <v>224.3</v>
      </c>
      <c r="G428" s="38" t="str">
        <f ca="1">IFERROR(_xludf.XLOOKUP(E428,Bank_Statement!$D$4:$D$448,Bank_Statement!$G$4:$G$448,""),"")</f>
        <v/>
      </c>
      <c r="H428" s="32" t="str">
        <f t="shared" ca="1" si="18"/>
        <v/>
      </c>
      <c r="I428" s="39" t="str">
        <f ca="1">IFERROR(_xludf.XLOOKUP(E428,Bank_Statement!$D$4:$D$448,Bank_Statement!$B$4:$B$448,""),"")</f>
        <v/>
      </c>
      <c r="J428" s="40" t="str">
        <f t="shared" ca="1" si="19"/>
        <v/>
      </c>
      <c r="K428" s="41" t="str">
        <f ca="1">IF(G428="","Unmatched ERP",IF(AND(ABS(H428)&lt;=Mapping_Rules!$B$4,ABS(J428)&lt;=Mapping_Rules!$B$5),"Matched","Review"))</f>
        <v>Unmatched ERP</v>
      </c>
      <c r="L428" s="41" t="str">
        <f ca="1">IF(K428="Matched","None",IF(G428="","Missing from bank",IF(ABS(H428)&gt;Mapping_Rules!$B$4,"Amount variance","Date variance")))</f>
        <v>Missing from bank</v>
      </c>
      <c r="M428" s="41" t="str">
        <f ca="1">IF(K428="Matched","Low",IF(OR(IFERROR(ABS(H428),0)&gt;Mapping_Rules!$B$7,IFERROR(J428,0)&gt;Mapping_Rules!$B$8),"High","Medium"))</f>
        <v>High</v>
      </c>
      <c r="N428" s="41" t="str">
        <f t="shared" ca="1" si="20"/>
        <v>Check bank date or posting</v>
      </c>
      <c r="O428" s="23" t="s">
        <v>158</v>
      </c>
      <c r="P428" s="23" t="s">
        <v>86</v>
      </c>
      <c r="Q428" s="23" t="s">
        <v>1689</v>
      </c>
      <c r="R428" s="42"/>
      <c r="S428" s="43">
        <f ca="1">IF(K428="Matched",0,Mapping_Rules!$B$6-B428)</f>
        <v>17</v>
      </c>
    </row>
    <row r="429" spans="1:19">
      <c r="A429" s="44" t="s">
        <v>1024</v>
      </c>
      <c r="B429" s="45">
        <v>46042</v>
      </c>
      <c r="C429" s="44" t="s">
        <v>99</v>
      </c>
      <c r="D429" s="44" t="s">
        <v>182</v>
      </c>
      <c r="E429" s="44" t="s">
        <v>1025</v>
      </c>
      <c r="F429" s="46">
        <v>-6929.17</v>
      </c>
      <c r="G429" s="47" t="str">
        <f ca="1">IFERROR(_xludf.XLOOKUP(E429,Bank_Statement!$D$4:$D$448,Bank_Statement!$G$4:$G$448,""),"")</f>
        <v/>
      </c>
      <c r="H429" s="46" t="str">
        <f t="shared" ca="1" si="18"/>
        <v/>
      </c>
      <c r="I429" s="48" t="str">
        <f ca="1">IFERROR(_xludf.XLOOKUP(E429,Bank_Statement!$D$4:$D$448,Bank_Statement!$B$4:$B$448,""),"")</f>
        <v/>
      </c>
      <c r="J429" s="49" t="str">
        <f t="shared" ca="1" si="19"/>
        <v/>
      </c>
      <c r="K429" s="50" t="str">
        <f ca="1">IF(G429="","Unmatched ERP",IF(AND(ABS(H429)&lt;=Mapping_Rules!$B$4,ABS(J429)&lt;=Mapping_Rules!$B$5),"Matched","Review"))</f>
        <v>Unmatched ERP</v>
      </c>
      <c r="L429" s="50" t="str">
        <f ca="1">IF(K429="Matched","None",IF(G429="","Missing from bank",IF(ABS(H429)&gt;Mapping_Rules!$B$4,"Amount variance","Date variance")))</f>
        <v>Missing from bank</v>
      </c>
      <c r="M429" s="50" t="str">
        <f ca="1">IF(K429="Matched","Low",IF(OR(IFERROR(ABS(H429),0)&gt;Mapping_Rules!$B$7,IFERROR(J429,0)&gt;Mapping_Rules!$B$8),"High","Medium"))</f>
        <v>High</v>
      </c>
      <c r="N429" s="50" t="str">
        <f t="shared" ca="1" si="20"/>
        <v>Check bank date or posting</v>
      </c>
      <c r="O429" s="44" t="s">
        <v>185</v>
      </c>
      <c r="P429" s="44" t="s">
        <v>95</v>
      </c>
      <c r="Q429" s="44" t="s">
        <v>1689</v>
      </c>
      <c r="R429" s="51"/>
      <c r="S429" s="52">
        <f ca="1">IF(K429="Matched",0,Mapping_Rules!$B$6-B429)</f>
        <v>11</v>
      </c>
    </row>
    <row r="430" spans="1:19">
      <c r="A430" s="23" t="s">
        <v>1026</v>
      </c>
      <c r="B430" s="31">
        <v>46050</v>
      </c>
      <c r="C430" s="23" t="s">
        <v>72</v>
      </c>
      <c r="D430" s="23" t="s">
        <v>208</v>
      </c>
      <c r="E430" s="23" t="s">
        <v>1027</v>
      </c>
      <c r="F430" s="32">
        <v>-1415.44</v>
      </c>
      <c r="G430" s="38" t="str">
        <f ca="1">IFERROR(_xludf.XLOOKUP(E430,Bank_Statement!$D$4:$D$448,Bank_Statement!$G$4:$G$448,""),"")</f>
        <v/>
      </c>
      <c r="H430" s="32" t="str">
        <f t="shared" ca="1" si="18"/>
        <v/>
      </c>
      <c r="I430" s="39" t="str">
        <f ca="1">IFERROR(_xludf.XLOOKUP(E430,Bank_Statement!$D$4:$D$448,Bank_Statement!$B$4:$B$448,""),"")</f>
        <v/>
      </c>
      <c r="J430" s="40" t="str">
        <f t="shared" ca="1" si="19"/>
        <v/>
      </c>
      <c r="K430" s="41" t="str">
        <f ca="1">IF(G430="","Unmatched ERP",IF(AND(ABS(H430)&lt;=Mapping_Rules!$B$4,ABS(J430)&lt;=Mapping_Rules!$B$5),"Matched","Review"))</f>
        <v>Unmatched ERP</v>
      </c>
      <c r="L430" s="41" t="str">
        <f ca="1">IF(K430="Matched","None",IF(G430="","Missing from bank",IF(ABS(H430)&gt;Mapping_Rules!$B$4,"Amount variance","Date variance")))</f>
        <v>Missing from bank</v>
      </c>
      <c r="M430" s="41" t="str">
        <f ca="1">IF(K430="Matched","Low",IF(OR(IFERROR(ABS(H430),0)&gt;Mapping_Rules!$B$7,IFERROR(J430,0)&gt;Mapping_Rules!$B$8),"High","Medium"))</f>
        <v>High</v>
      </c>
      <c r="N430" s="41" t="str">
        <f t="shared" ca="1" si="20"/>
        <v>Check bank date or posting</v>
      </c>
      <c r="O430" s="23" t="s">
        <v>131</v>
      </c>
      <c r="P430" s="23" t="s">
        <v>77</v>
      </c>
      <c r="Q430" s="23" t="s">
        <v>1689</v>
      </c>
      <c r="R430" s="42"/>
      <c r="S430" s="43">
        <f ca="1">IF(K430="Matched",0,Mapping_Rules!$B$6-B430)</f>
        <v>3</v>
      </c>
    </row>
    <row r="431" spans="1:19">
      <c r="A431" s="44" t="s">
        <v>1028</v>
      </c>
      <c r="B431" s="45">
        <v>46035</v>
      </c>
      <c r="C431" s="44" t="s">
        <v>81</v>
      </c>
      <c r="D431" s="44" t="s">
        <v>220</v>
      </c>
      <c r="E431" s="44" t="s">
        <v>1029</v>
      </c>
      <c r="F431" s="46">
        <v>4421.1400000000003</v>
      </c>
      <c r="G431" s="47" t="str">
        <f ca="1">IFERROR(_xludf.XLOOKUP(E431,Bank_Statement!$D$4:$D$448,Bank_Statement!$G$4:$G$448,""),"")</f>
        <v/>
      </c>
      <c r="H431" s="46" t="str">
        <f t="shared" ca="1" si="18"/>
        <v/>
      </c>
      <c r="I431" s="48" t="str">
        <f ca="1">IFERROR(_xludf.XLOOKUP(E431,Bank_Statement!$D$4:$D$448,Bank_Statement!$B$4:$B$448,""),"")</f>
        <v/>
      </c>
      <c r="J431" s="49" t="str">
        <f t="shared" ca="1" si="19"/>
        <v/>
      </c>
      <c r="K431" s="50" t="str">
        <f ca="1">IF(G431="","Unmatched ERP",IF(AND(ABS(H431)&lt;=Mapping_Rules!$B$4,ABS(J431)&lt;=Mapping_Rules!$B$5),"Matched","Review"))</f>
        <v>Unmatched ERP</v>
      </c>
      <c r="L431" s="50" t="str">
        <f ca="1">IF(K431="Matched","None",IF(G431="","Missing from bank",IF(ABS(H431)&gt;Mapping_Rules!$B$4,"Amount variance","Date variance")))</f>
        <v>Missing from bank</v>
      </c>
      <c r="M431" s="50" t="str">
        <f ca="1">IF(K431="Matched","Low",IF(OR(IFERROR(ABS(H431),0)&gt;Mapping_Rules!$B$7,IFERROR(J431,0)&gt;Mapping_Rules!$B$8),"High","Medium"))</f>
        <v>High</v>
      </c>
      <c r="N431" s="50" t="str">
        <f t="shared" ca="1" si="20"/>
        <v>Check bank date or posting</v>
      </c>
      <c r="O431" s="44" t="s">
        <v>158</v>
      </c>
      <c r="P431" s="44" t="s">
        <v>86</v>
      </c>
      <c r="Q431" s="44" t="s">
        <v>1689</v>
      </c>
      <c r="R431" s="51"/>
      <c r="S431" s="52">
        <f ca="1">IF(K431="Matched",0,Mapping_Rules!$B$6-B431)</f>
        <v>18</v>
      </c>
    </row>
    <row r="432" spans="1:19">
      <c r="A432" s="23" t="s">
        <v>1030</v>
      </c>
      <c r="B432" s="31">
        <v>46026</v>
      </c>
      <c r="C432" s="23" t="s">
        <v>81</v>
      </c>
      <c r="D432" s="23" t="s">
        <v>214</v>
      </c>
      <c r="E432" s="23" t="s">
        <v>1031</v>
      </c>
      <c r="F432" s="32">
        <v>8402.81</v>
      </c>
      <c r="G432" s="38" t="str">
        <f ca="1">IFERROR(_xludf.XLOOKUP(E432,Bank_Statement!$D$4:$D$448,Bank_Statement!$G$4:$G$448,""),"")</f>
        <v/>
      </c>
      <c r="H432" s="32" t="str">
        <f t="shared" ca="1" si="18"/>
        <v/>
      </c>
      <c r="I432" s="39" t="str">
        <f ca="1">IFERROR(_xludf.XLOOKUP(E432,Bank_Statement!$D$4:$D$448,Bank_Statement!$B$4:$B$448,""),"")</f>
        <v/>
      </c>
      <c r="J432" s="40" t="str">
        <f t="shared" ca="1" si="19"/>
        <v/>
      </c>
      <c r="K432" s="41" t="str">
        <f ca="1">IF(G432="","Unmatched ERP",IF(AND(ABS(H432)&lt;=Mapping_Rules!$B$4,ABS(J432)&lt;=Mapping_Rules!$B$5),"Matched","Review"))</f>
        <v>Unmatched ERP</v>
      </c>
      <c r="L432" s="41" t="str">
        <f ca="1">IF(K432="Matched","None",IF(G432="","Missing from bank",IF(ABS(H432)&gt;Mapping_Rules!$B$4,"Amount variance","Date variance")))</f>
        <v>Missing from bank</v>
      </c>
      <c r="M432" s="41" t="str">
        <f ca="1">IF(K432="Matched","Low",IF(OR(IFERROR(ABS(H432),0)&gt;Mapping_Rules!$B$7,IFERROR(J432,0)&gt;Mapping_Rules!$B$8),"High","Medium"))</f>
        <v>High</v>
      </c>
      <c r="N432" s="41" t="str">
        <f t="shared" ca="1" si="20"/>
        <v>Check bank date or posting</v>
      </c>
      <c r="O432" s="23" t="s">
        <v>158</v>
      </c>
      <c r="P432" s="23" t="s">
        <v>86</v>
      </c>
      <c r="Q432" s="23" t="s">
        <v>1689</v>
      </c>
      <c r="R432" s="42"/>
      <c r="S432" s="43">
        <f ca="1">IF(K432="Matched",0,Mapping_Rules!$B$6-B432)</f>
        <v>27</v>
      </c>
    </row>
    <row r="433" spans="1:19">
      <c r="A433" s="44" t="s">
        <v>1032</v>
      </c>
      <c r="B433" s="45">
        <v>46039</v>
      </c>
      <c r="C433" s="44" t="s">
        <v>90</v>
      </c>
      <c r="D433" s="44" t="s">
        <v>144</v>
      </c>
      <c r="E433" s="44" t="s">
        <v>1033</v>
      </c>
      <c r="F433" s="46">
        <v>-4036.88</v>
      </c>
      <c r="G433" s="47" t="str">
        <f ca="1">IFERROR(_xludf.XLOOKUP(E433,Bank_Statement!$D$4:$D$448,Bank_Statement!$G$4:$G$448,""),"")</f>
        <v/>
      </c>
      <c r="H433" s="46" t="str">
        <f t="shared" ca="1" si="18"/>
        <v/>
      </c>
      <c r="I433" s="48" t="str">
        <f ca="1">IFERROR(_xludf.XLOOKUP(E433,Bank_Statement!$D$4:$D$448,Bank_Statement!$B$4:$B$448,""),"")</f>
        <v/>
      </c>
      <c r="J433" s="49" t="str">
        <f t="shared" ca="1" si="19"/>
        <v/>
      </c>
      <c r="K433" s="50" t="str">
        <f ca="1">IF(G433="","Unmatched ERP",IF(AND(ABS(H433)&lt;=Mapping_Rules!$B$4,ABS(J433)&lt;=Mapping_Rules!$B$5),"Matched","Review"))</f>
        <v>Unmatched ERP</v>
      </c>
      <c r="L433" s="50" t="str">
        <f ca="1">IF(K433="Matched","None",IF(G433="","Missing from bank",IF(ABS(H433)&gt;Mapping_Rules!$B$4,"Amount variance","Date variance")))</f>
        <v>Missing from bank</v>
      </c>
      <c r="M433" s="50" t="str">
        <f ca="1">IF(K433="Matched","Low",IF(OR(IFERROR(ABS(H433),0)&gt;Mapping_Rules!$B$7,IFERROR(J433,0)&gt;Mapping_Rules!$B$8),"High","Medium"))</f>
        <v>High</v>
      </c>
      <c r="N433" s="50" t="str">
        <f t="shared" ca="1" si="20"/>
        <v>Check bank date or posting</v>
      </c>
      <c r="O433" s="44" t="s">
        <v>185</v>
      </c>
      <c r="P433" s="44" t="s">
        <v>95</v>
      </c>
      <c r="Q433" s="44" t="s">
        <v>1689</v>
      </c>
      <c r="R433" s="51"/>
      <c r="S433" s="52">
        <f ca="1">IF(K433="Matched",0,Mapping_Rules!$B$6-B433)</f>
        <v>14</v>
      </c>
    </row>
    <row r="434" spans="1:19">
      <c r="A434" s="23" t="s">
        <v>1034</v>
      </c>
      <c r="B434" s="31">
        <v>46031</v>
      </c>
      <c r="C434" s="23" t="s">
        <v>99</v>
      </c>
      <c r="D434" s="23" t="s">
        <v>182</v>
      </c>
      <c r="E434" s="23" t="s">
        <v>1035</v>
      </c>
      <c r="F434" s="32">
        <v>-8366.68</v>
      </c>
      <c r="G434" s="38" t="str">
        <f ca="1">IFERROR(_xludf.XLOOKUP(E434,Bank_Statement!$D$4:$D$448,Bank_Statement!$G$4:$G$448,""),"")</f>
        <v/>
      </c>
      <c r="H434" s="32" t="str">
        <f t="shared" ca="1" si="18"/>
        <v/>
      </c>
      <c r="I434" s="39" t="str">
        <f ca="1">IFERROR(_xludf.XLOOKUP(E434,Bank_Statement!$D$4:$D$448,Bank_Statement!$B$4:$B$448,""),"")</f>
        <v/>
      </c>
      <c r="J434" s="40" t="str">
        <f t="shared" ca="1" si="19"/>
        <v/>
      </c>
      <c r="K434" s="41" t="str">
        <f ca="1">IF(G434="","Unmatched ERP",IF(AND(ABS(H434)&lt;=Mapping_Rules!$B$4,ABS(J434)&lt;=Mapping_Rules!$B$5),"Matched","Review"))</f>
        <v>Unmatched ERP</v>
      </c>
      <c r="L434" s="41" t="str">
        <f ca="1">IF(K434="Matched","None",IF(G434="","Missing from bank",IF(ABS(H434)&gt;Mapping_Rules!$B$4,"Amount variance","Date variance")))</f>
        <v>Missing from bank</v>
      </c>
      <c r="M434" s="41" t="str">
        <f ca="1">IF(K434="Matched","Low",IF(OR(IFERROR(ABS(H434),0)&gt;Mapping_Rules!$B$7,IFERROR(J434,0)&gt;Mapping_Rules!$B$8),"High","Medium"))</f>
        <v>High</v>
      </c>
      <c r="N434" s="41" t="str">
        <f t="shared" ca="1" si="20"/>
        <v>Check bank date or posting</v>
      </c>
      <c r="O434" s="23" t="s">
        <v>185</v>
      </c>
      <c r="P434" s="23" t="s">
        <v>95</v>
      </c>
      <c r="Q434" s="23" t="s">
        <v>1689</v>
      </c>
      <c r="R434" s="42"/>
      <c r="S434" s="43">
        <f ca="1">IF(K434="Matched",0,Mapping_Rules!$B$6-B434)</f>
        <v>22</v>
      </c>
    </row>
    <row r="435" spans="1:19">
      <c r="A435" s="44" t="s">
        <v>1036</v>
      </c>
      <c r="B435" s="45">
        <v>46045</v>
      </c>
      <c r="C435" s="44" t="s">
        <v>72</v>
      </c>
      <c r="D435" s="44" t="s">
        <v>204</v>
      </c>
      <c r="E435" s="44" t="s">
        <v>1037</v>
      </c>
      <c r="F435" s="46">
        <v>-3986.48</v>
      </c>
      <c r="G435" s="47" t="str">
        <f ca="1">IFERROR(_xludf.XLOOKUP(E435,Bank_Statement!$D$4:$D$448,Bank_Statement!$G$4:$G$448,""),"")</f>
        <v/>
      </c>
      <c r="H435" s="46" t="str">
        <f t="shared" ca="1" si="18"/>
        <v/>
      </c>
      <c r="I435" s="48" t="str">
        <f ca="1">IFERROR(_xludf.XLOOKUP(E435,Bank_Statement!$D$4:$D$448,Bank_Statement!$B$4:$B$448,""),"")</f>
        <v/>
      </c>
      <c r="J435" s="49" t="str">
        <f t="shared" ca="1" si="19"/>
        <v/>
      </c>
      <c r="K435" s="50" t="str">
        <f ca="1">IF(G435="","Unmatched ERP",IF(AND(ABS(H435)&lt;=Mapping_Rules!$B$4,ABS(J435)&lt;=Mapping_Rules!$B$5),"Matched","Review"))</f>
        <v>Unmatched ERP</v>
      </c>
      <c r="L435" s="50" t="str">
        <f ca="1">IF(K435="Matched","None",IF(G435="","Missing from bank",IF(ABS(H435)&gt;Mapping_Rules!$B$4,"Amount variance","Date variance")))</f>
        <v>Missing from bank</v>
      </c>
      <c r="M435" s="50" t="str">
        <f ca="1">IF(K435="Matched","Low",IF(OR(IFERROR(ABS(H435),0)&gt;Mapping_Rules!$B$7,IFERROR(J435,0)&gt;Mapping_Rules!$B$8),"High","Medium"))</f>
        <v>High</v>
      </c>
      <c r="N435" s="50" t="str">
        <f t="shared" ca="1" si="20"/>
        <v>Check bank date or posting</v>
      </c>
      <c r="O435" s="44" t="s">
        <v>131</v>
      </c>
      <c r="P435" s="44" t="s">
        <v>77</v>
      </c>
      <c r="Q435" s="44" t="s">
        <v>1689</v>
      </c>
      <c r="R435" s="51"/>
      <c r="S435" s="52">
        <f ca="1">IF(K435="Matched",0,Mapping_Rules!$B$6-B435)</f>
        <v>8</v>
      </c>
    </row>
    <row r="436" spans="1:19">
      <c r="A436" s="23" t="s">
        <v>1038</v>
      </c>
      <c r="B436" s="31">
        <v>46051</v>
      </c>
      <c r="C436" s="23" t="s">
        <v>81</v>
      </c>
      <c r="D436" s="23" t="s">
        <v>214</v>
      </c>
      <c r="E436" s="23" t="s">
        <v>1039</v>
      </c>
      <c r="F436" s="32">
        <v>964.99</v>
      </c>
      <c r="G436" s="38" t="str">
        <f ca="1">IFERROR(_xludf.XLOOKUP(E436,Bank_Statement!$D$4:$D$448,Bank_Statement!$G$4:$G$448,""),"")</f>
        <v/>
      </c>
      <c r="H436" s="32" t="str">
        <f t="shared" ca="1" si="18"/>
        <v/>
      </c>
      <c r="I436" s="39" t="str">
        <f ca="1">IFERROR(_xludf.XLOOKUP(E436,Bank_Statement!$D$4:$D$448,Bank_Statement!$B$4:$B$448,""),"")</f>
        <v/>
      </c>
      <c r="J436" s="40" t="str">
        <f t="shared" ca="1" si="19"/>
        <v/>
      </c>
      <c r="K436" s="41" t="str">
        <f ca="1">IF(G436="","Unmatched ERP",IF(AND(ABS(H436)&lt;=Mapping_Rules!$B$4,ABS(J436)&lt;=Mapping_Rules!$B$5),"Matched","Review"))</f>
        <v>Unmatched ERP</v>
      </c>
      <c r="L436" s="41" t="str">
        <f ca="1">IF(K436="Matched","None",IF(G436="","Missing from bank",IF(ABS(H436)&gt;Mapping_Rules!$B$4,"Amount variance","Date variance")))</f>
        <v>Missing from bank</v>
      </c>
      <c r="M436" s="41" t="str">
        <f ca="1">IF(K436="Matched","Low",IF(OR(IFERROR(ABS(H436),0)&gt;Mapping_Rules!$B$7,IFERROR(J436,0)&gt;Mapping_Rules!$B$8),"High","Medium"))</f>
        <v>High</v>
      </c>
      <c r="N436" s="41" t="str">
        <f t="shared" ca="1" si="20"/>
        <v>Check bank date or posting</v>
      </c>
      <c r="O436" s="23" t="s">
        <v>158</v>
      </c>
      <c r="P436" s="23" t="s">
        <v>86</v>
      </c>
      <c r="Q436" s="23" t="s">
        <v>1689</v>
      </c>
      <c r="R436" s="42"/>
      <c r="S436" s="43">
        <f ca="1">IF(K436="Matched",0,Mapping_Rules!$B$6-B436)</f>
        <v>2</v>
      </c>
    </row>
    <row r="437" spans="1:19">
      <c r="A437" s="44" t="s">
        <v>1040</v>
      </c>
      <c r="B437" s="45">
        <v>46051</v>
      </c>
      <c r="C437" s="44" t="s">
        <v>72</v>
      </c>
      <c r="D437" s="44" t="s">
        <v>144</v>
      </c>
      <c r="E437" s="44" t="s">
        <v>1041</v>
      </c>
      <c r="F437" s="46">
        <v>-1440.19</v>
      </c>
      <c r="G437" s="47" t="str">
        <f ca="1">IFERROR(_xludf.XLOOKUP(E437,Bank_Statement!$D$4:$D$448,Bank_Statement!$G$4:$G$448,""),"")</f>
        <v/>
      </c>
      <c r="H437" s="46" t="str">
        <f t="shared" ca="1" si="18"/>
        <v/>
      </c>
      <c r="I437" s="48" t="str">
        <f ca="1">IFERROR(_xludf.XLOOKUP(E437,Bank_Statement!$D$4:$D$448,Bank_Statement!$B$4:$B$448,""),"")</f>
        <v/>
      </c>
      <c r="J437" s="49" t="str">
        <f t="shared" ca="1" si="19"/>
        <v/>
      </c>
      <c r="K437" s="50" t="str">
        <f ca="1">IF(G437="","Unmatched ERP",IF(AND(ABS(H437)&lt;=Mapping_Rules!$B$4,ABS(J437)&lt;=Mapping_Rules!$B$5),"Matched","Review"))</f>
        <v>Unmatched ERP</v>
      </c>
      <c r="L437" s="50" t="str">
        <f ca="1">IF(K437="Matched","None",IF(G437="","Missing from bank",IF(ABS(H437)&gt;Mapping_Rules!$B$4,"Amount variance","Date variance")))</f>
        <v>Missing from bank</v>
      </c>
      <c r="M437" s="50" t="str">
        <f ca="1">IF(K437="Matched","Low",IF(OR(IFERROR(ABS(H437),0)&gt;Mapping_Rules!$B$7,IFERROR(J437,0)&gt;Mapping_Rules!$B$8),"High","Medium"))</f>
        <v>High</v>
      </c>
      <c r="N437" s="50" t="str">
        <f t="shared" ca="1" si="20"/>
        <v>Check bank date or posting</v>
      </c>
      <c r="O437" s="44" t="s">
        <v>131</v>
      </c>
      <c r="P437" s="44" t="s">
        <v>77</v>
      </c>
      <c r="Q437" s="44" t="s">
        <v>1689</v>
      </c>
      <c r="R437" s="51"/>
      <c r="S437" s="52">
        <f ca="1">IF(K437="Matched",0,Mapping_Rules!$B$6-B437)</f>
        <v>2</v>
      </c>
    </row>
    <row r="438" spans="1:19">
      <c r="A438" s="23" t="s">
        <v>1042</v>
      </c>
      <c r="B438" s="31">
        <v>46041</v>
      </c>
      <c r="C438" s="23" t="s">
        <v>72</v>
      </c>
      <c r="D438" s="23" t="s">
        <v>139</v>
      </c>
      <c r="E438" s="23" t="s">
        <v>1043</v>
      </c>
      <c r="F438" s="32">
        <v>-800.82</v>
      </c>
      <c r="G438" s="38" t="str">
        <f ca="1">IFERROR(_xludf.XLOOKUP(E438,Bank_Statement!$D$4:$D$448,Bank_Statement!$G$4:$G$448,""),"")</f>
        <v/>
      </c>
      <c r="H438" s="32" t="str">
        <f t="shared" ca="1" si="18"/>
        <v/>
      </c>
      <c r="I438" s="39" t="str">
        <f ca="1">IFERROR(_xludf.XLOOKUP(E438,Bank_Statement!$D$4:$D$448,Bank_Statement!$B$4:$B$448,""),"")</f>
        <v/>
      </c>
      <c r="J438" s="40" t="str">
        <f t="shared" ca="1" si="19"/>
        <v/>
      </c>
      <c r="K438" s="41" t="str">
        <f ca="1">IF(G438="","Unmatched ERP",IF(AND(ABS(H438)&lt;=Mapping_Rules!$B$4,ABS(J438)&lt;=Mapping_Rules!$B$5),"Matched","Review"))</f>
        <v>Unmatched ERP</v>
      </c>
      <c r="L438" s="41" t="str">
        <f ca="1">IF(K438="Matched","None",IF(G438="","Missing from bank",IF(ABS(H438)&gt;Mapping_Rules!$B$4,"Amount variance","Date variance")))</f>
        <v>Missing from bank</v>
      </c>
      <c r="M438" s="41" t="str">
        <f ca="1">IF(K438="Matched","Low",IF(OR(IFERROR(ABS(H438),0)&gt;Mapping_Rules!$B$7,IFERROR(J438,0)&gt;Mapping_Rules!$B$8),"High","Medium"))</f>
        <v>High</v>
      </c>
      <c r="N438" s="41" t="str">
        <f t="shared" ca="1" si="20"/>
        <v>Check bank date or posting</v>
      </c>
      <c r="O438" s="23" t="s">
        <v>131</v>
      </c>
      <c r="P438" s="23" t="s">
        <v>77</v>
      </c>
      <c r="Q438" s="23" t="s">
        <v>1689</v>
      </c>
      <c r="R438" s="42"/>
      <c r="S438" s="43">
        <f ca="1">IF(K438="Matched",0,Mapping_Rules!$B$6-B438)</f>
        <v>12</v>
      </c>
    </row>
    <row r="439" spans="1:19">
      <c r="A439" s="44" t="s">
        <v>1044</v>
      </c>
      <c r="B439" s="45">
        <v>46029</v>
      </c>
      <c r="C439" s="44" t="s">
        <v>81</v>
      </c>
      <c r="D439" s="44" t="s">
        <v>155</v>
      </c>
      <c r="E439" s="44" t="s">
        <v>1045</v>
      </c>
      <c r="F439" s="46">
        <v>3336.94</v>
      </c>
      <c r="G439" s="47" t="str">
        <f ca="1">IFERROR(_xludf.XLOOKUP(E439,Bank_Statement!$D$4:$D$448,Bank_Statement!$G$4:$G$448,""),"")</f>
        <v/>
      </c>
      <c r="H439" s="46" t="str">
        <f t="shared" ca="1" si="18"/>
        <v/>
      </c>
      <c r="I439" s="48" t="str">
        <f ca="1">IFERROR(_xludf.XLOOKUP(E439,Bank_Statement!$D$4:$D$448,Bank_Statement!$B$4:$B$448,""),"")</f>
        <v/>
      </c>
      <c r="J439" s="49" t="str">
        <f t="shared" ca="1" si="19"/>
        <v/>
      </c>
      <c r="K439" s="50" t="str">
        <f ca="1">IF(G439="","Unmatched ERP",IF(AND(ABS(H439)&lt;=Mapping_Rules!$B$4,ABS(J439)&lt;=Mapping_Rules!$B$5),"Matched","Review"))</f>
        <v>Unmatched ERP</v>
      </c>
      <c r="L439" s="50" t="str">
        <f ca="1">IF(K439="Matched","None",IF(G439="","Missing from bank",IF(ABS(H439)&gt;Mapping_Rules!$B$4,"Amount variance","Date variance")))</f>
        <v>Missing from bank</v>
      </c>
      <c r="M439" s="50" t="str">
        <f ca="1">IF(K439="Matched","Low",IF(OR(IFERROR(ABS(H439),0)&gt;Mapping_Rules!$B$7,IFERROR(J439,0)&gt;Mapping_Rules!$B$8),"High","Medium"))</f>
        <v>High</v>
      </c>
      <c r="N439" s="50" t="str">
        <f t="shared" ca="1" si="20"/>
        <v>Check bank date or posting</v>
      </c>
      <c r="O439" s="44" t="s">
        <v>158</v>
      </c>
      <c r="P439" s="44" t="s">
        <v>86</v>
      </c>
      <c r="Q439" s="44" t="s">
        <v>1689</v>
      </c>
      <c r="R439" s="51"/>
      <c r="S439" s="52">
        <f ca="1">IF(K439="Matched",0,Mapping_Rules!$B$6-B439)</f>
        <v>24</v>
      </c>
    </row>
    <row r="440" spans="1:19">
      <c r="A440" s="23" t="s">
        <v>1046</v>
      </c>
      <c r="B440" s="31">
        <v>46029</v>
      </c>
      <c r="C440" s="23" t="s">
        <v>72</v>
      </c>
      <c r="D440" s="23" t="s">
        <v>204</v>
      </c>
      <c r="E440" s="23" t="s">
        <v>1047</v>
      </c>
      <c r="F440" s="32">
        <v>-5544.21</v>
      </c>
      <c r="G440" s="38" t="str">
        <f ca="1">IFERROR(_xludf.XLOOKUP(E440,Bank_Statement!$D$4:$D$448,Bank_Statement!$G$4:$G$448,""),"")</f>
        <v/>
      </c>
      <c r="H440" s="32" t="str">
        <f t="shared" ca="1" si="18"/>
        <v/>
      </c>
      <c r="I440" s="39" t="str">
        <f ca="1">IFERROR(_xludf.XLOOKUP(E440,Bank_Statement!$D$4:$D$448,Bank_Statement!$B$4:$B$448,""),"")</f>
        <v/>
      </c>
      <c r="J440" s="40" t="str">
        <f t="shared" ca="1" si="19"/>
        <v/>
      </c>
      <c r="K440" s="41" t="str">
        <f ca="1">IF(G440="","Unmatched ERP",IF(AND(ABS(H440)&lt;=Mapping_Rules!$B$4,ABS(J440)&lt;=Mapping_Rules!$B$5),"Matched","Review"))</f>
        <v>Unmatched ERP</v>
      </c>
      <c r="L440" s="41" t="str">
        <f ca="1">IF(K440="Matched","None",IF(G440="","Missing from bank",IF(ABS(H440)&gt;Mapping_Rules!$B$4,"Amount variance","Date variance")))</f>
        <v>Missing from bank</v>
      </c>
      <c r="M440" s="41" t="str">
        <f ca="1">IF(K440="Matched","Low",IF(OR(IFERROR(ABS(H440),0)&gt;Mapping_Rules!$B$7,IFERROR(J440,0)&gt;Mapping_Rules!$B$8),"High","Medium"))</f>
        <v>High</v>
      </c>
      <c r="N440" s="41" t="str">
        <f t="shared" ca="1" si="20"/>
        <v>Check bank date or posting</v>
      </c>
      <c r="O440" s="23" t="s">
        <v>131</v>
      </c>
      <c r="P440" s="23" t="s">
        <v>77</v>
      </c>
      <c r="Q440" s="23" t="s">
        <v>1689</v>
      </c>
      <c r="R440" s="42"/>
      <c r="S440" s="43">
        <f ca="1">IF(K440="Matched",0,Mapping_Rules!$B$6-B440)</f>
        <v>24</v>
      </c>
    </row>
    <row r="441" spans="1:19">
      <c r="A441" s="44" t="s">
        <v>1048</v>
      </c>
      <c r="B441" s="45">
        <v>46038</v>
      </c>
      <c r="C441" s="44" t="s">
        <v>72</v>
      </c>
      <c r="D441" s="44" t="s">
        <v>133</v>
      </c>
      <c r="E441" s="44" t="s">
        <v>1049</v>
      </c>
      <c r="F441" s="46">
        <v>-1998.09</v>
      </c>
      <c r="G441" s="47" t="str">
        <f ca="1">IFERROR(_xludf.XLOOKUP(E441,Bank_Statement!$D$4:$D$448,Bank_Statement!$G$4:$G$448,""),"")</f>
        <v/>
      </c>
      <c r="H441" s="46" t="str">
        <f t="shared" ca="1" si="18"/>
        <v/>
      </c>
      <c r="I441" s="48" t="str">
        <f ca="1">IFERROR(_xludf.XLOOKUP(E441,Bank_Statement!$D$4:$D$448,Bank_Statement!$B$4:$B$448,""),"")</f>
        <v/>
      </c>
      <c r="J441" s="49" t="str">
        <f t="shared" ca="1" si="19"/>
        <v/>
      </c>
      <c r="K441" s="50" t="str">
        <f ca="1">IF(G441="","Unmatched ERP",IF(AND(ABS(H441)&lt;=Mapping_Rules!$B$4,ABS(J441)&lt;=Mapping_Rules!$B$5),"Matched","Review"))</f>
        <v>Unmatched ERP</v>
      </c>
      <c r="L441" s="50" t="str">
        <f ca="1">IF(K441="Matched","None",IF(G441="","Missing from bank",IF(ABS(H441)&gt;Mapping_Rules!$B$4,"Amount variance","Date variance")))</f>
        <v>Missing from bank</v>
      </c>
      <c r="M441" s="50" t="str">
        <f ca="1">IF(K441="Matched","Low",IF(OR(IFERROR(ABS(H441),0)&gt;Mapping_Rules!$B$7,IFERROR(J441,0)&gt;Mapping_Rules!$B$8),"High","Medium"))</f>
        <v>High</v>
      </c>
      <c r="N441" s="50" t="str">
        <f t="shared" ca="1" si="20"/>
        <v>Check bank date or posting</v>
      </c>
      <c r="O441" s="44" t="s">
        <v>131</v>
      </c>
      <c r="P441" s="44" t="s">
        <v>77</v>
      </c>
      <c r="Q441" s="44" t="s">
        <v>1689</v>
      </c>
      <c r="R441" s="51"/>
      <c r="S441" s="52">
        <f ca="1">IF(K441="Matched",0,Mapping_Rules!$B$6-B441)</f>
        <v>15</v>
      </c>
    </row>
    <row r="442" spans="1:19">
      <c r="A442" s="23" t="s">
        <v>1050</v>
      </c>
      <c r="B442" s="31">
        <v>46028</v>
      </c>
      <c r="C442" s="23" t="s">
        <v>81</v>
      </c>
      <c r="D442" s="23" t="s">
        <v>173</v>
      </c>
      <c r="E442" s="23" t="s">
        <v>1051</v>
      </c>
      <c r="F442" s="32">
        <v>4237.97</v>
      </c>
      <c r="G442" s="38" t="str">
        <f ca="1">IFERROR(_xludf.XLOOKUP(E442,Bank_Statement!$D$4:$D$448,Bank_Statement!$G$4:$G$448,""),"")</f>
        <v/>
      </c>
      <c r="H442" s="32" t="str">
        <f t="shared" ca="1" si="18"/>
        <v/>
      </c>
      <c r="I442" s="39" t="str">
        <f ca="1">IFERROR(_xludf.XLOOKUP(E442,Bank_Statement!$D$4:$D$448,Bank_Statement!$B$4:$B$448,""),"")</f>
        <v/>
      </c>
      <c r="J442" s="40" t="str">
        <f t="shared" ca="1" si="19"/>
        <v/>
      </c>
      <c r="K442" s="41" t="str">
        <f ca="1">IF(G442="","Unmatched ERP",IF(AND(ABS(H442)&lt;=Mapping_Rules!$B$4,ABS(J442)&lt;=Mapping_Rules!$B$5),"Matched","Review"))</f>
        <v>Unmatched ERP</v>
      </c>
      <c r="L442" s="41" t="str">
        <f ca="1">IF(K442="Matched","None",IF(G442="","Missing from bank",IF(ABS(H442)&gt;Mapping_Rules!$B$4,"Amount variance","Date variance")))</f>
        <v>Missing from bank</v>
      </c>
      <c r="M442" s="41" t="str">
        <f ca="1">IF(K442="Matched","Low",IF(OR(IFERROR(ABS(H442),0)&gt;Mapping_Rules!$B$7,IFERROR(J442,0)&gt;Mapping_Rules!$B$8),"High","Medium"))</f>
        <v>High</v>
      </c>
      <c r="N442" s="41" t="str">
        <f t="shared" ca="1" si="20"/>
        <v>Check bank date or posting</v>
      </c>
      <c r="O442" s="23" t="s">
        <v>158</v>
      </c>
      <c r="P442" s="23" t="s">
        <v>86</v>
      </c>
      <c r="Q442" s="23" t="s">
        <v>1689</v>
      </c>
      <c r="R442" s="42"/>
      <c r="S442" s="43">
        <f ca="1">IF(K442="Matched",0,Mapping_Rules!$B$6-B442)</f>
        <v>25</v>
      </c>
    </row>
    <row r="443" spans="1:19">
      <c r="A443" s="44" t="s">
        <v>1052</v>
      </c>
      <c r="B443" s="45">
        <v>46053</v>
      </c>
      <c r="C443" s="44" t="s">
        <v>81</v>
      </c>
      <c r="D443" s="44" t="s">
        <v>220</v>
      </c>
      <c r="E443" s="44" t="s">
        <v>1053</v>
      </c>
      <c r="F443" s="46">
        <v>465.01</v>
      </c>
      <c r="G443" s="47" t="str">
        <f ca="1">IFERROR(_xludf.XLOOKUP(E443,Bank_Statement!$D$4:$D$448,Bank_Statement!$G$4:$G$448,""),"")</f>
        <v/>
      </c>
      <c r="H443" s="46" t="str">
        <f t="shared" ca="1" si="18"/>
        <v/>
      </c>
      <c r="I443" s="48" t="str">
        <f ca="1">IFERROR(_xludf.XLOOKUP(E443,Bank_Statement!$D$4:$D$448,Bank_Statement!$B$4:$B$448,""),"")</f>
        <v/>
      </c>
      <c r="J443" s="49" t="str">
        <f t="shared" ca="1" si="19"/>
        <v/>
      </c>
      <c r="K443" s="50" t="str">
        <f ca="1">IF(G443="","Unmatched ERP",IF(AND(ABS(H443)&lt;=Mapping_Rules!$B$4,ABS(J443)&lt;=Mapping_Rules!$B$5),"Matched","Review"))</f>
        <v>Unmatched ERP</v>
      </c>
      <c r="L443" s="50" t="str">
        <f ca="1">IF(K443="Matched","None",IF(G443="","Missing from bank",IF(ABS(H443)&gt;Mapping_Rules!$B$4,"Amount variance","Date variance")))</f>
        <v>Missing from bank</v>
      </c>
      <c r="M443" s="50" t="str">
        <f ca="1">IF(K443="Matched","Low",IF(OR(IFERROR(ABS(H443),0)&gt;Mapping_Rules!$B$7,IFERROR(J443,0)&gt;Mapping_Rules!$B$8),"High","Medium"))</f>
        <v>High</v>
      </c>
      <c r="N443" s="50" t="str">
        <f t="shared" ca="1" si="20"/>
        <v>Check bank date or posting</v>
      </c>
      <c r="O443" s="44" t="s">
        <v>158</v>
      </c>
      <c r="P443" s="44" t="s">
        <v>86</v>
      </c>
      <c r="Q443" s="44" t="s">
        <v>1689</v>
      </c>
      <c r="R443" s="51"/>
      <c r="S443" s="52">
        <f ca="1">IF(K443="Matched",0,Mapping_Rules!$B$6-B443)</f>
        <v>0</v>
      </c>
    </row>
    <row r="444" spans="1:19">
      <c r="A444" s="23" t="s">
        <v>1054</v>
      </c>
      <c r="B444" s="31">
        <v>46051</v>
      </c>
      <c r="C444" s="23" t="s">
        <v>72</v>
      </c>
      <c r="D444" s="23" t="s">
        <v>139</v>
      </c>
      <c r="E444" s="23" t="s">
        <v>1055</v>
      </c>
      <c r="F444" s="32">
        <v>-3329.93</v>
      </c>
      <c r="G444" s="38" t="str">
        <f ca="1">IFERROR(_xludf.XLOOKUP(E444,Bank_Statement!$D$4:$D$448,Bank_Statement!$G$4:$G$448,""),"")</f>
        <v/>
      </c>
      <c r="H444" s="32" t="str">
        <f t="shared" ca="1" si="18"/>
        <v/>
      </c>
      <c r="I444" s="39" t="str">
        <f ca="1">IFERROR(_xludf.XLOOKUP(E444,Bank_Statement!$D$4:$D$448,Bank_Statement!$B$4:$B$448,""),"")</f>
        <v/>
      </c>
      <c r="J444" s="40" t="str">
        <f t="shared" ca="1" si="19"/>
        <v/>
      </c>
      <c r="K444" s="41" t="str">
        <f ca="1">IF(G444="","Unmatched ERP",IF(AND(ABS(H444)&lt;=Mapping_Rules!$B$4,ABS(J444)&lt;=Mapping_Rules!$B$5),"Matched","Review"))</f>
        <v>Unmatched ERP</v>
      </c>
      <c r="L444" s="41" t="str">
        <f ca="1">IF(K444="Matched","None",IF(G444="","Missing from bank",IF(ABS(H444)&gt;Mapping_Rules!$B$4,"Amount variance","Date variance")))</f>
        <v>Missing from bank</v>
      </c>
      <c r="M444" s="41" t="str">
        <f ca="1">IF(K444="Matched","Low",IF(OR(IFERROR(ABS(H444),0)&gt;Mapping_Rules!$B$7,IFERROR(J444,0)&gt;Mapping_Rules!$B$8),"High","Medium"))</f>
        <v>High</v>
      </c>
      <c r="N444" s="41" t="str">
        <f t="shared" ca="1" si="20"/>
        <v>Check bank date or posting</v>
      </c>
      <c r="O444" s="23" t="s">
        <v>131</v>
      </c>
      <c r="P444" s="23" t="s">
        <v>77</v>
      </c>
      <c r="Q444" s="23" t="s">
        <v>1689</v>
      </c>
      <c r="R444" s="42"/>
      <c r="S444" s="43">
        <f ca="1">IF(K444="Matched",0,Mapping_Rules!$B$6-B444)</f>
        <v>2</v>
      </c>
    </row>
    <row r="445" spans="1:19">
      <c r="A445" s="44" t="s">
        <v>1056</v>
      </c>
      <c r="B445" s="45">
        <v>46051</v>
      </c>
      <c r="C445" s="44" t="s">
        <v>72</v>
      </c>
      <c r="D445" s="44" t="s">
        <v>133</v>
      </c>
      <c r="E445" s="44" t="s">
        <v>1057</v>
      </c>
      <c r="F445" s="46">
        <v>-708.57</v>
      </c>
      <c r="G445" s="47" t="str">
        <f ca="1">IFERROR(_xludf.XLOOKUP(E445,Bank_Statement!$D$4:$D$448,Bank_Statement!$G$4:$G$448,""),"")</f>
        <v/>
      </c>
      <c r="H445" s="46" t="str">
        <f t="shared" ca="1" si="18"/>
        <v/>
      </c>
      <c r="I445" s="48" t="str">
        <f ca="1">IFERROR(_xludf.XLOOKUP(E445,Bank_Statement!$D$4:$D$448,Bank_Statement!$B$4:$B$448,""),"")</f>
        <v/>
      </c>
      <c r="J445" s="49" t="str">
        <f t="shared" ca="1" si="19"/>
        <v/>
      </c>
      <c r="K445" s="50" t="str">
        <f ca="1">IF(G445="","Unmatched ERP",IF(AND(ABS(H445)&lt;=Mapping_Rules!$B$4,ABS(J445)&lt;=Mapping_Rules!$B$5),"Matched","Review"))</f>
        <v>Unmatched ERP</v>
      </c>
      <c r="L445" s="50" t="str">
        <f ca="1">IF(K445="Matched","None",IF(G445="","Missing from bank",IF(ABS(H445)&gt;Mapping_Rules!$B$4,"Amount variance","Date variance")))</f>
        <v>Missing from bank</v>
      </c>
      <c r="M445" s="50" t="str">
        <f ca="1">IF(K445="Matched","Low",IF(OR(IFERROR(ABS(H445),0)&gt;Mapping_Rules!$B$7,IFERROR(J445,0)&gt;Mapping_Rules!$B$8),"High","Medium"))</f>
        <v>High</v>
      </c>
      <c r="N445" s="50" t="str">
        <f t="shared" ca="1" si="20"/>
        <v>Check bank date or posting</v>
      </c>
      <c r="O445" s="44" t="s">
        <v>131</v>
      </c>
      <c r="P445" s="44" t="s">
        <v>77</v>
      </c>
      <c r="Q445" s="44" t="s">
        <v>1689</v>
      </c>
      <c r="R445" s="51"/>
      <c r="S445" s="52">
        <f ca="1">IF(K445="Matched",0,Mapping_Rules!$B$6-B445)</f>
        <v>2</v>
      </c>
    </row>
    <row r="446" spans="1:19">
      <c r="A446" s="23" t="s">
        <v>1058</v>
      </c>
      <c r="B446" s="31">
        <v>46032</v>
      </c>
      <c r="C446" s="23" t="s">
        <v>107</v>
      </c>
      <c r="D446" s="23" t="s">
        <v>191</v>
      </c>
      <c r="E446" s="23" t="s">
        <v>1059</v>
      </c>
      <c r="F446" s="32">
        <v>-57.43</v>
      </c>
      <c r="G446" s="38" t="str">
        <f ca="1">IFERROR(_xludf.XLOOKUP(E446,Bank_Statement!$D$4:$D$448,Bank_Statement!$G$4:$G$448,""),"")</f>
        <v/>
      </c>
      <c r="H446" s="32" t="str">
        <f t="shared" ca="1" si="18"/>
        <v/>
      </c>
      <c r="I446" s="39" t="str">
        <f ca="1">IFERROR(_xludf.XLOOKUP(E446,Bank_Statement!$D$4:$D$448,Bank_Statement!$B$4:$B$448,""),"")</f>
        <v/>
      </c>
      <c r="J446" s="40" t="str">
        <f t="shared" ca="1" si="19"/>
        <v/>
      </c>
      <c r="K446" s="41" t="str">
        <f ca="1">IF(G446="","Unmatched ERP",IF(AND(ABS(H446)&lt;=Mapping_Rules!$B$4,ABS(J446)&lt;=Mapping_Rules!$B$5),"Matched","Review"))</f>
        <v>Unmatched ERP</v>
      </c>
      <c r="L446" s="41" t="str">
        <f ca="1">IF(K446="Matched","None",IF(G446="","Missing from bank",IF(ABS(H446)&gt;Mapping_Rules!$B$4,"Amount variance","Date variance")))</f>
        <v>Missing from bank</v>
      </c>
      <c r="M446" s="41" t="str">
        <f ca="1">IF(K446="Matched","Low",IF(OR(IFERROR(ABS(H446),0)&gt;Mapping_Rules!$B$7,IFERROR(J446,0)&gt;Mapping_Rules!$B$8),"High","Medium"))</f>
        <v>High</v>
      </c>
      <c r="N446" s="41" t="str">
        <f t="shared" ca="1" si="20"/>
        <v>Check bank date or posting</v>
      </c>
      <c r="O446" s="23" t="s">
        <v>194</v>
      </c>
      <c r="P446" s="23" t="s">
        <v>95</v>
      </c>
      <c r="Q446" s="23" t="s">
        <v>1689</v>
      </c>
      <c r="R446" s="42"/>
      <c r="S446" s="43">
        <f ca="1">IF(K446="Matched",0,Mapping_Rules!$B$6-B446)</f>
        <v>21</v>
      </c>
    </row>
    <row r="447" spans="1:19">
      <c r="A447" s="44" t="s">
        <v>1060</v>
      </c>
      <c r="B447" s="45">
        <v>46027</v>
      </c>
      <c r="C447" s="44" t="s">
        <v>72</v>
      </c>
      <c r="D447" s="44" t="s">
        <v>150</v>
      </c>
      <c r="E447" s="44" t="s">
        <v>1061</v>
      </c>
      <c r="F447" s="46">
        <v>-2278.62</v>
      </c>
      <c r="G447" s="47" t="str">
        <f ca="1">IFERROR(_xludf.XLOOKUP(E447,Bank_Statement!$D$4:$D$448,Bank_Statement!$G$4:$G$448,""),"")</f>
        <v/>
      </c>
      <c r="H447" s="46" t="str">
        <f t="shared" ca="1" si="18"/>
        <v/>
      </c>
      <c r="I447" s="48" t="str">
        <f ca="1">IFERROR(_xludf.XLOOKUP(E447,Bank_Statement!$D$4:$D$448,Bank_Statement!$B$4:$B$448,""),"")</f>
        <v/>
      </c>
      <c r="J447" s="49" t="str">
        <f t="shared" ca="1" si="19"/>
        <v/>
      </c>
      <c r="K447" s="50" t="str">
        <f ca="1">IF(G447="","Unmatched ERP",IF(AND(ABS(H447)&lt;=Mapping_Rules!$B$4,ABS(J447)&lt;=Mapping_Rules!$B$5),"Matched","Review"))</f>
        <v>Unmatched ERP</v>
      </c>
      <c r="L447" s="50" t="str">
        <f ca="1">IF(K447="Matched","None",IF(G447="","Missing from bank",IF(ABS(H447)&gt;Mapping_Rules!$B$4,"Amount variance","Date variance")))</f>
        <v>Missing from bank</v>
      </c>
      <c r="M447" s="50" t="str">
        <f ca="1">IF(K447="Matched","Low",IF(OR(IFERROR(ABS(H447),0)&gt;Mapping_Rules!$B$7,IFERROR(J447,0)&gt;Mapping_Rules!$B$8),"High","Medium"))</f>
        <v>High</v>
      </c>
      <c r="N447" s="50" t="str">
        <f t="shared" ca="1" si="20"/>
        <v>Check bank date or posting</v>
      </c>
      <c r="O447" s="44" t="s">
        <v>131</v>
      </c>
      <c r="P447" s="44" t="s">
        <v>77</v>
      </c>
      <c r="Q447" s="44" t="s">
        <v>1689</v>
      </c>
      <c r="R447" s="51"/>
      <c r="S447" s="52">
        <f ca="1">IF(K447="Matched",0,Mapping_Rules!$B$6-B447)</f>
        <v>26</v>
      </c>
    </row>
    <row r="448" spans="1:19">
      <c r="A448" s="23" t="s">
        <v>1062</v>
      </c>
      <c r="B448" s="31">
        <v>46052</v>
      </c>
      <c r="C448" s="23" t="s">
        <v>99</v>
      </c>
      <c r="D448" s="23" t="s">
        <v>182</v>
      </c>
      <c r="E448" s="23" t="s">
        <v>1063</v>
      </c>
      <c r="F448" s="32">
        <v>-2777.31</v>
      </c>
      <c r="G448" s="38" t="str">
        <f ca="1">IFERROR(_xludf.XLOOKUP(E448,Bank_Statement!$D$4:$D$448,Bank_Statement!$G$4:$G$448,""),"")</f>
        <v/>
      </c>
      <c r="H448" s="32" t="str">
        <f t="shared" ca="1" si="18"/>
        <v/>
      </c>
      <c r="I448" s="39" t="str">
        <f ca="1">IFERROR(_xludf.XLOOKUP(E448,Bank_Statement!$D$4:$D$448,Bank_Statement!$B$4:$B$448,""),"")</f>
        <v/>
      </c>
      <c r="J448" s="40" t="str">
        <f t="shared" ca="1" si="19"/>
        <v/>
      </c>
      <c r="K448" s="41" t="str">
        <f ca="1">IF(G448="","Unmatched ERP",IF(AND(ABS(H448)&lt;=Mapping_Rules!$B$4,ABS(J448)&lt;=Mapping_Rules!$B$5),"Matched","Review"))</f>
        <v>Unmatched ERP</v>
      </c>
      <c r="L448" s="41" t="str">
        <f ca="1">IF(K448="Matched","None",IF(G448="","Missing from bank",IF(ABS(H448)&gt;Mapping_Rules!$B$4,"Amount variance","Date variance")))</f>
        <v>Missing from bank</v>
      </c>
      <c r="M448" s="41" t="str">
        <f ca="1">IF(K448="Matched","Low",IF(OR(IFERROR(ABS(H448),0)&gt;Mapping_Rules!$B$7,IFERROR(J448,0)&gt;Mapping_Rules!$B$8),"High","Medium"))</f>
        <v>High</v>
      </c>
      <c r="N448" s="41" t="str">
        <f t="shared" ca="1" si="20"/>
        <v>Check bank date or posting</v>
      </c>
      <c r="O448" s="23" t="s">
        <v>185</v>
      </c>
      <c r="P448" s="23" t="s">
        <v>95</v>
      </c>
      <c r="Q448" s="23" t="s">
        <v>1689</v>
      </c>
      <c r="R448" s="42"/>
      <c r="S448" s="43">
        <f ca="1">IF(K448="Matched",0,Mapping_Rules!$B$6-B448)</f>
        <v>1</v>
      </c>
    </row>
    <row r="449" spans="1:19">
      <c r="A449" s="44" t="s">
        <v>1064</v>
      </c>
      <c r="B449" s="45">
        <v>46028</v>
      </c>
      <c r="C449" s="44" t="s">
        <v>72</v>
      </c>
      <c r="D449" s="44" t="s">
        <v>126</v>
      </c>
      <c r="E449" s="44" t="s">
        <v>1065</v>
      </c>
      <c r="F449" s="46">
        <v>-4061.31</v>
      </c>
      <c r="G449" s="47" t="str">
        <f ca="1">IFERROR(_xludf.XLOOKUP(E449,Bank_Statement!$D$4:$D$448,Bank_Statement!$G$4:$G$448,""),"")</f>
        <v/>
      </c>
      <c r="H449" s="46" t="str">
        <f t="shared" ca="1" si="18"/>
        <v/>
      </c>
      <c r="I449" s="48" t="str">
        <f ca="1">IFERROR(_xludf.XLOOKUP(E449,Bank_Statement!$D$4:$D$448,Bank_Statement!$B$4:$B$448,""),"")</f>
        <v/>
      </c>
      <c r="J449" s="49" t="str">
        <f t="shared" ca="1" si="19"/>
        <v/>
      </c>
      <c r="K449" s="50" t="str">
        <f ca="1">IF(G449="","Unmatched ERP",IF(AND(ABS(H449)&lt;=Mapping_Rules!$B$4,ABS(J449)&lt;=Mapping_Rules!$B$5),"Matched","Review"))</f>
        <v>Unmatched ERP</v>
      </c>
      <c r="L449" s="50" t="str">
        <f ca="1">IF(K449="Matched","None",IF(G449="","Missing from bank",IF(ABS(H449)&gt;Mapping_Rules!$B$4,"Amount variance","Date variance")))</f>
        <v>Missing from bank</v>
      </c>
      <c r="M449" s="50" t="str">
        <f ca="1">IF(K449="Matched","Low",IF(OR(IFERROR(ABS(H449),0)&gt;Mapping_Rules!$B$7,IFERROR(J449,0)&gt;Mapping_Rules!$B$8),"High","Medium"))</f>
        <v>High</v>
      </c>
      <c r="N449" s="50" t="str">
        <f t="shared" ca="1" si="20"/>
        <v>Check bank date or posting</v>
      </c>
      <c r="O449" s="44" t="s">
        <v>131</v>
      </c>
      <c r="P449" s="44" t="s">
        <v>77</v>
      </c>
      <c r="Q449" s="44" t="s">
        <v>1689</v>
      </c>
      <c r="R449" s="51"/>
      <c r="S449" s="52">
        <f ca="1">IF(K449="Matched",0,Mapping_Rules!$B$6-B449)</f>
        <v>25</v>
      </c>
    </row>
    <row r="450" spans="1:19">
      <c r="A450" s="23" t="s">
        <v>1066</v>
      </c>
      <c r="B450" s="31">
        <v>46031</v>
      </c>
      <c r="C450" s="23" t="s">
        <v>90</v>
      </c>
      <c r="D450" s="23" t="s">
        <v>214</v>
      </c>
      <c r="E450" s="23" t="s">
        <v>1067</v>
      </c>
      <c r="F450" s="32">
        <v>-290.51</v>
      </c>
      <c r="G450" s="38" t="str">
        <f ca="1">IFERROR(_xludf.XLOOKUP(E450,Bank_Statement!$D$4:$D$448,Bank_Statement!$G$4:$G$448,""),"")</f>
        <v/>
      </c>
      <c r="H450" s="32" t="str">
        <f t="shared" ca="1" si="18"/>
        <v/>
      </c>
      <c r="I450" s="39" t="str">
        <f ca="1">IFERROR(_xludf.XLOOKUP(E450,Bank_Statement!$D$4:$D$448,Bank_Statement!$B$4:$B$448,""),"")</f>
        <v/>
      </c>
      <c r="J450" s="40" t="str">
        <f t="shared" ca="1" si="19"/>
        <v/>
      </c>
      <c r="K450" s="41" t="str">
        <f ca="1">IF(G450="","Unmatched ERP",IF(AND(ABS(H450)&lt;=Mapping_Rules!$B$4,ABS(J450)&lt;=Mapping_Rules!$B$5),"Matched","Review"))</f>
        <v>Unmatched ERP</v>
      </c>
      <c r="L450" s="41" t="str">
        <f ca="1">IF(K450="Matched","None",IF(G450="","Missing from bank",IF(ABS(H450)&gt;Mapping_Rules!$B$4,"Amount variance","Date variance")))</f>
        <v>Missing from bank</v>
      </c>
      <c r="M450" s="41" t="str">
        <f ca="1">IF(K450="Matched","Low",IF(OR(IFERROR(ABS(H450),0)&gt;Mapping_Rules!$B$7,IFERROR(J450,0)&gt;Mapping_Rules!$B$8),"High","Medium"))</f>
        <v>High</v>
      </c>
      <c r="N450" s="41" t="str">
        <f t="shared" ca="1" si="20"/>
        <v>Check bank date or posting</v>
      </c>
      <c r="O450" s="23" t="s">
        <v>158</v>
      </c>
      <c r="P450" s="23" t="s">
        <v>95</v>
      </c>
      <c r="Q450" s="23" t="s">
        <v>1689</v>
      </c>
      <c r="R450" s="42"/>
      <c r="S450" s="43">
        <f ca="1">IF(K450="Matched",0,Mapping_Rules!$B$6-B450)</f>
        <v>22</v>
      </c>
    </row>
    <row r="451" spans="1:19">
      <c r="A451" s="44" t="s">
        <v>1068</v>
      </c>
      <c r="B451" s="45">
        <v>46026</v>
      </c>
      <c r="C451" s="44" t="s">
        <v>81</v>
      </c>
      <c r="D451" s="44" t="s">
        <v>163</v>
      </c>
      <c r="E451" s="44" t="s">
        <v>1069</v>
      </c>
      <c r="F451" s="46">
        <v>6010.6</v>
      </c>
      <c r="G451" s="47" t="str">
        <f ca="1">IFERROR(_xludf.XLOOKUP(E451,Bank_Statement!$D$4:$D$448,Bank_Statement!$G$4:$G$448,""),"")</f>
        <v/>
      </c>
      <c r="H451" s="46" t="str">
        <f t="shared" ca="1" si="18"/>
        <v/>
      </c>
      <c r="I451" s="48" t="str">
        <f ca="1">IFERROR(_xludf.XLOOKUP(E451,Bank_Statement!$D$4:$D$448,Bank_Statement!$B$4:$B$448,""),"")</f>
        <v/>
      </c>
      <c r="J451" s="49" t="str">
        <f t="shared" ca="1" si="19"/>
        <v/>
      </c>
      <c r="K451" s="50" t="str">
        <f ca="1">IF(G451="","Unmatched ERP",IF(AND(ABS(H451)&lt;=Mapping_Rules!$B$4,ABS(J451)&lt;=Mapping_Rules!$B$5),"Matched","Review"))</f>
        <v>Unmatched ERP</v>
      </c>
      <c r="L451" s="50" t="str">
        <f ca="1">IF(K451="Matched","None",IF(G451="","Missing from bank",IF(ABS(H451)&gt;Mapping_Rules!$B$4,"Amount variance","Date variance")))</f>
        <v>Missing from bank</v>
      </c>
      <c r="M451" s="50" t="str">
        <f ca="1">IF(K451="Matched","Low",IF(OR(IFERROR(ABS(H451),0)&gt;Mapping_Rules!$B$7,IFERROR(J451,0)&gt;Mapping_Rules!$B$8),"High","Medium"))</f>
        <v>High</v>
      </c>
      <c r="N451" s="50" t="str">
        <f t="shared" ca="1" si="20"/>
        <v>Check bank date or posting</v>
      </c>
      <c r="O451" s="44" t="s">
        <v>158</v>
      </c>
      <c r="P451" s="44" t="s">
        <v>86</v>
      </c>
      <c r="Q451" s="44" t="s">
        <v>1689</v>
      </c>
      <c r="R451" s="51"/>
      <c r="S451" s="52">
        <f ca="1">IF(K451="Matched",0,Mapping_Rules!$B$6-B451)</f>
        <v>27</v>
      </c>
    </row>
    <row r="452" spans="1:19">
      <c r="A452" s="23" t="s">
        <v>1070</v>
      </c>
      <c r="B452" s="31">
        <v>46031</v>
      </c>
      <c r="C452" s="23" t="s">
        <v>81</v>
      </c>
      <c r="D452" s="23" t="s">
        <v>155</v>
      </c>
      <c r="E452" s="23" t="s">
        <v>1071</v>
      </c>
      <c r="F452" s="32">
        <v>1295.32</v>
      </c>
      <c r="G452" s="38" t="str">
        <f ca="1">IFERROR(_xludf.XLOOKUP(E452,Bank_Statement!$D$4:$D$448,Bank_Statement!$G$4:$G$448,""),"")</f>
        <v/>
      </c>
      <c r="H452" s="32" t="str">
        <f t="shared" ref="H452:H503" ca="1" si="21">IF(G452="","",F452-G452)</f>
        <v/>
      </c>
      <c r="I452" s="39" t="str">
        <f ca="1">IFERROR(_xludf.XLOOKUP(E452,Bank_Statement!$D$4:$D$448,Bank_Statement!$B$4:$B$448,""),"")</f>
        <v/>
      </c>
      <c r="J452" s="40" t="str">
        <f t="shared" ref="J452:J503" ca="1" si="22">IF(I452="","",ABS(B452-I452))</f>
        <v/>
      </c>
      <c r="K452" s="41" t="str">
        <f ca="1">IF(G452="","Unmatched ERP",IF(AND(ABS(H452)&lt;=Mapping_Rules!$B$4,ABS(J452)&lt;=Mapping_Rules!$B$5),"Matched","Review"))</f>
        <v>Unmatched ERP</v>
      </c>
      <c r="L452" s="41" t="str">
        <f ca="1">IF(K452="Matched","None",IF(G452="","Missing from bank",IF(ABS(H452)&gt;Mapping_Rules!$B$4,"Amount variance","Date variance")))</f>
        <v>Missing from bank</v>
      </c>
      <c r="M452" s="41" t="str">
        <f ca="1">IF(K452="Matched","Low",IF(OR(IFERROR(ABS(H452),0)&gt;Mapping_Rules!$B$7,IFERROR(J452,0)&gt;Mapping_Rules!$B$8),"High","Medium"))</f>
        <v>High</v>
      </c>
      <c r="N452" s="41" t="str">
        <f t="shared" ref="N452:N503" ca="1" si="23">IF(K452="Matched","No action needed",IF(L452="Missing from bank","Check bank date or posting",IF(L452="Amount variance","Check invoice/payment amount","Check timing difference")))</f>
        <v>Check bank date or posting</v>
      </c>
      <c r="O452" s="23" t="s">
        <v>158</v>
      </c>
      <c r="P452" s="23" t="s">
        <v>86</v>
      </c>
      <c r="Q452" s="23" t="s">
        <v>1689</v>
      </c>
      <c r="R452" s="42"/>
      <c r="S452" s="43">
        <f ca="1">IF(K452="Matched",0,Mapping_Rules!$B$6-B452)</f>
        <v>22</v>
      </c>
    </row>
    <row r="453" spans="1:19">
      <c r="A453" s="44" t="s">
        <v>1072</v>
      </c>
      <c r="B453" s="45">
        <v>46048</v>
      </c>
      <c r="C453" s="44" t="s">
        <v>72</v>
      </c>
      <c r="D453" s="44" t="s">
        <v>133</v>
      </c>
      <c r="E453" s="44" t="s">
        <v>1073</v>
      </c>
      <c r="F453" s="46">
        <v>-3807.09</v>
      </c>
      <c r="G453" s="47" t="str">
        <f ca="1">IFERROR(_xludf.XLOOKUP(E453,Bank_Statement!$D$4:$D$448,Bank_Statement!$G$4:$G$448,""),"")</f>
        <v/>
      </c>
      <c r="H453" s="46" t="str">
        <f t="shared" ca="1" si="21"/>
        <v/>
      </c>
      <c r="I453" s="48" t="str">
        <f ca="1">IFERROR(_xludf.XLOOKUP(E453,Bank_Statement!$D$4:$D$448,Bank_Statement!$B$4:$B$448,""),"")</f>
        <v/>
      </c>
      <c r="J453" s="49" t="str">
        <f t="shared" ca="1" si="22"/>
        <v/>
      </c>
      <c r="K453" s="50" t="str">
        <f ca="1">IF(G453="","Unmatched ERP",IF(AND(ABS(H453)&lt;=Mapping_Rules!$B$4,ABS(J453)&lt;=Mapping_Rules!$B$5),"Matched","Review"))</f>
        <v>Unmatched ERP</v>
      </c>
      <c r="L453" s="50" t="str">
        <f ca="1">IF(K453="Matched","None",IF(G453="","Missing from bank",IF(ABS(H453)&gt;Mapping_Rules!$B$4,"Amount variance","Date variance")))</f>
        <v>Missing from bank</v>
      </c>
      <c r="M453" s="50" t="str">
        <f ca="1">IF(K453="Matched","Low",IF(OR(IFERROR(ABS(H453),0)&gt;Mapping_Rules!$B$7,IFERROR(J453,0)&gt;Mapping_Rules!$B$8),"High","Medium"))</f>
        <v>High</v>
      </c>
      <c r="N453" s="50" t="str">
        <f t="shared" ca="1" si="23"/>
        <v>Check bank date or posting</v>
      </c>
      <c r="O453" s="44" t="s">
        <v>131</v>
      </c>
      <c r="P453" s="44" t="s">
        <v>77</v>
      </c>
      <c r="Q453" s="44" t="s">
        <v>1689</v>
      </c>
      <c r="R453" s="51"/>
      <c r="S453" s="52">
        <f ca="1">IF(K453="Matched",0,Mapping_Rules!$B$6-B453)</f>
        <v>5</v>
      </c>
    </row>
    <row r="454" spans="1:19">
      <c r="A454" s="23" t="s">
        <v>1074</v>
      </c>
      <c r="B454" s="31">
        <v>46034</v>
      </c>
      <c r="C454" s="23" t="s">
        <v>90</v>
      </c>
      <c r="D454" s="23" t="s">
        <v>204</v>
      </c>
      <c r="E454" s="23" t="s">
        <v>1075</v>
      </c>
      <c r="F454" s="32">
        <v>-843.85</v>
      </c>
      <c r="G454" s="38" t="str">
        <f ca="1">IFERROR(_xludf.XLOOKUP(E454,Bank_Statement!$D$4:$D$448,Bank_Statement!$G$4:$G$448,""),"")</f>
        <v/>
      </c>
      <c r="H454" s="32" t="str">
        <f t="shared" ca="1" si="21"/>
        <v/>
      </c>
      <c r="I454" s="39" t="str">
        <f ca="1">IFERROR(_xludf.XLOOKUP(E454,Bank_Statement!$D$4:$D$448,Bank_Statement!$B$4:$B$448,""),"")</f>
        <v/>
      </c>
      <c r="J454" s="40" t="str">
        <f t="shared" ca="1" si="22"/>
        <v/>
      </c>
      <c r="K454" s="41" t="str">
        <f ca="1">IF(G454="","Unmatched ERP",IF(AND(ABS(H454)&lt;=Mapping_Rules!$B$4,ABS(J454)&lt;=Mapping_Rules!$B$5),"Matched","Review"))</f>
        <v>Unmatched ERP</v>
      </c>
      <c r="L454" s="41" t="str">
        <f ca="1">IF(K454="Matched","None",IF(G454="","Missing from bank",IF(ABS(H454)&gt;Mapping_Rules!$B$4,"Amount variance","Date variance")))</f>
        <v>Missing from bank</v>
      </c>
      <c r="M454" s="41" t="str">
        <f ca="1">IF(K454="Matched","Low",IF(OR(IFERROR(ABS(H454),0)&gt;Mapping_Rules!$B$7,IFERROR(J454,0)&gt;Mapping_Rules!$B$8),"High","Medium"))</f>
        <v>High</v>
      </c>
      <c r="N454" s="41" t="str">
        <f t="shared" ca="1" si="23"/>
        <v>Check bank date or posting</v>
      </c>
      <c r="O454" s="23" t="s">
        <v>225</v>
      </c>
      <c r="P454" s="23" t="s">
        <v>95</v>
      </c>
      <c r="Q454" s="23" t="s">
        <v>1689</v>
      </c>
      <c r="R454" s="42"/>
      <c r="S454" s="43">
        <f ca="1">IF(K454="Matched",0,Mapping_Rules!$B$6-B454)</f>
        <v>19</v>
      </c>
    </row>
    <row r="455" spans="1:19">
      <c r="A455" s="44" t="s">
        <v>1076</v>
      </c>
      <c r="B455" s="45">
        <v>46052</v>
      </c>
      <c r="C455" s="44" t="s">
        <v>72</v>
      </c>
      <c r="D455" s="44" t="s">
        <v>204</v>
      </c>
      <c r="E455" s="44" t="s">
        <v>1077</v>
      </c>
      <c r="F455" s="46">
        <v>-4174.41</v>
      </c>
      <c r="G455" s="47" t="str">
        <f ca="1">IFERROR(_xludf.XLOOKUP(E455,Bank_Statement!$D$4:$D$448,Bank_Statement!$G$4:$G$448,""),"")</f>
        <v/>
      </c>
      <c r="H455" s="46" t="str">
        <f t="shared" ca="1" si="21"/>
        <v/>
      </c>
      <c r="I455" s="48" t="str">
        <f ca="1">IFERROR(_xludf.XLOOKUP(E455,Bank_Statement!$D$4:$D$448,Bank_Statement!$B$4:$B$448,""),"")</f>
        <v/>
      </c>
      <c r="J455" s="49" t="str">
        <f t="shared" ca="1" si="22"/>
        <v/>
      </c>
      <c r="K455" s="50" t="str">
        <f ca="1">IF(G455="","Unmatched ERP",IF(AND(ABS(H455)&lt;=Mapping_Rules!$B$4,ABS(J455)&lt;=Mapping_Rules!$B$5),"Matched","Review"))</f>
        <v>Unmatched ERP</v>
      </c>
      <c r="L455" s="50" t="str">
        <f ca="1">IF(K455="Matched","None",IF(G455="","Missing from bank",IF(ABS(H455)&gt;Mapping_Rules!$B$4,"Amount variance","Date variance")))</f>
        <v>Missing from bank</v>
      </c>
      <c r="M455" s="50" t="str">
        <f ca="1">IF(K455="Matched","Low",IF(OR(IFERROR(ABS(H455),0)&gt;Mapping_Rules!$B$7,IFERROR(J455,0)&gt;Mapping_Rules!$B$8),"High","Medium"))</f>
        <v>High</v>
      </c>
      <c r="N455" s="50" t="str">
        <f t="shared" ca="1" si="23"/>
        <v>Check bank date or posting</v>
      </c>
      <c r="O455" s="44" t="s">
        <v>131</v>
      </c>
      <c r="P455" s="44" t="s">
        <v>77</v>
      </c>
      <c r="Q455" s="44" t="s">
        <v>1689</v>
      </c>
      <c r="R455" s="51"/>
      <c r="S455" s="52">
        <f ca="1">IF(K455="Matched",0,Mapping_Rules!$B$6-B455)</f>
        <v>1</v>
      </c>
    </row>
    <row r="456" spans="1:19">
      <c r="A456" s="23" t="s">
        <v>1078</v>
      </c>
      <c r="B456" s="31">
        <v>46026</v>
      </c>
      <c r="C456" s="23" t="s">
        <v>99</v>
      </c>
      <c r="D456" s="23" t="s">
        <v>182</v>
      </c>
      <c r="E456" s="23" t="s">
        <v>1079</v>
      </c>
      <c r="F456" s="32">
        <v>-11842.88</v>
      </c>
      <c r="G456" s="38" t="str">
        <f ca="1">IFERROR(_xludf.XLOOKUP(E456,Bank_Statement!$D$4:$D$448,Bank_Statement!$G$4:$G$448,""),"")</f>
        <v/>
      </c>
      <c r="H456" s="32" t="str">
        <f t="shared" ca="1" si="21"/>
        <v/>
      </c>
      <c r="I456" s="39" t="str">
        <f ca="1">IFERROR(_xludf.XLOOKUP(E456,Bank_Statement!$D$4:$D$448,Bank_Statement!$B$4:$B$448,""),"")</f>
        <v/>
      </c>
      <c r="J456" s="40" t="str">
        <f t="shared" ca="1" si="22"/>
        <v/>
      </c>
      <c r="K456" s="41" t="str">
        <f ca="1">IF(G456="","Unmatched ERP",IF(AND(ABS(H456)&lt;=Mapping_Rules!$B$4,ABS(J456)&lt;=Mapping_Rules!$B$5),"Matched","Review"))</f>
        <v>Unmatched ERP</v>
      </c>
      <c r="L456" s="41" t="str">
        <f ca="1">IF(K456="Matched","None",IF(G456="","Missing from bank",IF(ABS(H456)&gt;Mapping_Rules!$B$4,"Amount variance","Date variance")))</f>
        <v>Missing from bank</v>
      </c>
      <c r="M456" s="41" t="str">
        <f ca="1">IF(K456="Matched","Low",IF(OR(IFERROR(ABS(H456),0)&gt;Mapping_Rules!$B$7,IFERROR(J456,0)&gt;Mapping_Rules!$B$8),"High","Medium"))</f>
        <v>High</v>
      </c>
      <c r="N456" s="41" t="str">
        <f t="shared" ca="1" si="23"/>
        <v>Check bank date or posting</v>
      </c>
      <c r="O456" s="23" t="s">
        <v>185</v>
      </c>
      <c r="P456" s="23" t="s">
        <v>95</v>
      </c>
      <c r="Q456" s="23" t="s">
        <v>1689</v>
      </c>
      <c r="R456" s="42"/>
      <c r="S456" s="43">
        <f ca="1">IF(K456="Matched",0,Mapping_Rules!$B$6-B456)</f>
        <v>27</v>
      </c>
    </row>
    <row r="457" spans="1:19">
      <c r="A457" s="44" t="s">
        <v>1080</v>
      </c>
      <c r="B457" s="45">
        <v>46028</v>
      </c>
      <c r="C457" s="44" t="s">
        <v>99</v>
      </c>
      <c r="D457" s="44" t="s">
        <v>182</v>
      </c>
      <c r="E457" s="44" t="s">
        <v>1081</v>
      </c>
      <c r="F457" s="46">
        <v>-14857.61</v>
      </c>
      <c r="G457" s="47" t="str">
        <f ca="1">IFERROR(_xludf.XLOOKUP(E457,Bank_Statement!$D$4:$D$448,Bank_Statement!$G$4:$G$448,""),"")</f>
        <v/>
      </c>
      <c r="H457" s="46" t="str">
        <f t="shared" ca="1" si="21"/>
        <v/>
      </c>
      <c r="I457" s="48" t="str">
        <f ca="1">IFERROR(_xludf.XLOOKUP(E457,Bank_Statement!$D$4:$D$448,Bank_Statement!$B$4:$B$448,""),"")</f>
        <v/>
      </c>
      <c r="J457" s="49" t="str">
        <f t="shared" ca="1" si="22"/>
        <v/>
      </c>
      <c r="K457" s="50" t="str">
        <f ca="1">IF(G457="","Unmatched ERP",IF(AND(ABS(H457)&lt;=Mapping_Rules!$B$4,ABS(J457)&lt;=Mapping_Rules!$B$5),"Matched","Review"))</f>
        <v>Unmatched ERP</v>
      </c>
      <c r="L457" s="50" t="str">
        <f ca="1">IF(K457="Matched","None",IF(G457="","Missing from bank",IF(ABS(H457)&gt;Mapping_Rules!$B$4,"Amount variance","Date variance")))</f>
        <v>Missing from bank</v>
      </c>
      <c r="M457" s="50" t="str">
        <f ca="1">IF(K457="Matched","Low",IF(OR(IFERROR(ABS(H457),0)&gt;Mapping_Rules!$B$7,IFERROR(J457,0)&gt;Mapping_Rules!$B$8),"High","Medium"))</f>
        <v>High</v>
      </c>
      <c r="N457" s="50" t="str">
        <f t="shared" ca="1" si="23"/>
        <v>Check bank date or posting</v>
      </c>
      <c r="O457" s="44" t="s">
        <v>185</v>
      </c>
      <c r="P457" s="44" t="s">
        <v>95</v>
      </c>
      <c r="Q457" s="44" t="s">
        <v>1689</v>
      </c>
      <c r="R457" s="51"/>
      <c r="S457" s="52">
        <f ca="1">IF(K457="Matched",0,Mapping_Rules!$B$6-B457)</f>
        <v>25</v>
      </c>
    </row>
    <row r="458" spans="1:19">
      <c r="A458" s="23" t="s">
        <v>1082</v>
      </c>
      <c r="B458" s="31">
        <v>46047</v>
      </c>
      <c r="C458" s="23" t="s">
        <v>99</v>
      </c>
      <c r="D458" s="23" t="s">
        <v>182</v>
      </c>
      <c r="E458" s="23" t="s">
        <v>1083</v>
      </c>
      <c r="F458" s="32">
        <v>-2640.25</v>
      </c>
      <c r="G458" s="38" t="str">
        <f ca="1">IFERROR(_xludf.XLOOKUP(E458,Bank_Statement!$D$4:$D$448,Bank_Statement!$G$4:$G$448,""),"")</f>
        <v/>
      </c>
      <c r="H458" s="32" t="str">
        <f t="shared" ca="1" si="21"/>
        <v/>
      </c>
      <c r="I458" s="39" t="str">
        <f ca="1">IFERROR(_xludf.XLOOKUP(E458,Bank_Statement!$D$4:$D$448,Bank_Statement!$B$4:$B$448,""),"")</f>
        <v/>
      </c>
      <c r="J458" s="40" t="str">
        <f t="shared" ca="1" si="22"/>
        <v/>
      </c>
      <c r="K458" s="41" t="str">
        <f ca="1">IF(G458="","Unmatched ERP",IF(AND(ABS(H458)&lt;=Mapping_Rules!$B$4,ABS(J458)&lt;=Mapping_Rules!$B$5),"Matched","Review"))</f>
        <v>Unmatched ERP</v>
      </c>
      <c r="L458" s="41" t="str">
        <f ca="1">IF(K458="Matched","None",IF(G458="","Missing from bank",IF(ABS(H458)&gt;Mapping_Rules!$B$4,"Amount variance","Date variance")))</f>
        <v>Missing from bank</v>
      </c>
      <c r="M458" s="41" t="str">
        <f ca="1">IF(K458="Matched","Low",IF(OR(IFERROR(ABS(H458),0)&gt;Mapping_Rules!$B$7,IFERROR(J458,0)&gt;Mapping_Rules!$B$8),"High","Medium"))</f>
        <v>High</v>
      </c>
      <c r="N458" s="41" t="str">
        <f t="shared" ca="1" si="23"/>
        <v>Check bank date or posting</v>
      </c>
      <c r="O458" s="23" t="s">
        <v>185</v>
      </c>
      <c r="P458" s="23" t="s">
        <v>95</v>
      </c>
      <c r="Q458" s="23" t="s">
        <v>1689</v>
      </c>
      <c r="R458" s="42"/>
      <c r="S458" s="43">
        <f ca="1">IF(K458="Matched",0,Mapping_Rules!$B$6-B458)</f>
        <v>6</v>
      </c>
    </row>
    <row r="459" spans="1:19">
      <c r="A459" s="44" t="s">
        <v>1084</v>
      </c>
      <c r="B459" s="45">
        <v>46031</v>
      </c>
      <c r="C459" s="44" t="s">
        <v>99</v>
      </c>
      <c r="D459" s="44" t="s">
        <v>182</v>
      </c>
      <c r="E459" s="44" t="s">
        <v>1085</v>
      </c>
      <c r="F459" s="46">
        <v>-3847.79</v>
      </c>
      <c r="G459" s="47" t="str">
        <f ca="1">IFERROR(_xludf.XLOOKUP(E459,Bank_Statement!$D$4:$D$448,Bank_Statement!$G$4:$G$448,""),"")</f>
        <v/>
      </c>
      <c r="H459" s="46" t="str">
        <f t="shared" ca="1" si="21"/>
        <v/>
      </c>
      <c r="I459" s="48" t="str">
        <f ca="1">IFERROR(_xludf.XLOOKUP(E459,Bank_Statement!$D$4:$D$448,Bank_Statement!$B$4:$B$448,""),"")</f>
        <v/>
      </c>
      <c r="J459" s="49" t="str">
        <f t="shared" ca="1" si="22"/>
        <v/>
      </c>
      <c r="K459" s="50" t="str">
        <f ca="1">IF(G459="","Unmatched ERP",IF(AND(ABS(H459)&lt;=Mapping_Rules!$B$4,ABS(J459)&lt;=Mapping_Rules!$B$5),"Matched","Review"))</f>
        <v>Unmatched ERP</v>
      </c>
      <c r="L459" s="50" t="str">
        <f ca="1">IF(K459="Matched","None",IF(G459="","Missing from bank",IF(ABS(H459)&gt;Mapping_Rules!$B$4,"Amount variance","Date variance")))</f>
        <v>Missing from bank</v>
      </c>
      <c r="M459" s="50" t="str">
        <f ca="1">IF(K459="Matched","Low",IF(OR(IFERROR(ABS(H459),0)&gt;Mapping_Rules!$B$7,IFERROR(J459,0)&gt;Mapping_Rules!$B$8),"High","Medium"))</f>
        <v>High</v>
      </c>
      <c r="N459" s="50" t="str">
        <f t="shared" ca="1" si="23"/>
        <v>Check bank date or posting</v>
      </c>
      <c r="O459" s="44" t="s">
        <v>185</v>
      </c>
      <c r="P459" s="44" t="s">
        <v>95</v>
      </c>
      <c r="Q459" s="44" t="s">
        <v>1689</v>
      </c>
      <c r="R459" s="51"/>
      <c r="S459" s="52">
        <f ca="1">IF(K459="Matched",0,Mapping_Rules!$B$6-B459)</f>
        <v>22</v>
      </c>
    </row>
    <row r="460" spans="1:19">
      <c r="A460" s="23" t="s">
        <v>1086</v>
      </c>
      <c r="B460" s="31">
        <v>46031</v>
      </c>
      <c r="C460" s="23" t="s">
        <v>99</v>
      </c>
      <c r="D460" s="23" t="s">
        <v>182</v>
      </c>
      <c r="E460" s="23" t="s">
        <v>1087</v>
      </c>
      <c r="F460" s="32">
        <v>-12503.59</v>
      </c>
      <c r="G460" s="38" t="str">
        <f ca="1">IFERROR(_xludf.XLOOKUP(E460,Bank_Statement!$D$4:$D$448,Bank_Statement!$G$4:$G$448,""),"")</f>
        <v/>
      </c>
      <c r="H460" s="32" t="str">
        <f t="shared" ca="1" si="21"/>
        <v/>
      </c>
      <c r="I460" s="39" t="str">
        <f ca="1">IFERROR(_xludf.XLOOKUP(E460,Bank_Statement!$D$4:$D$448,Bank_Statement!$B$4:$B$448,""),"")</f>
        <v/>
      </c>
      <c r="J460" s="40" t="str">
        <f t="shared" ca="1" si="22"/>
        <v/>
      </c>
      <c r="K460" s="41" t="str">
        <f ca="1">IF(G460="","Unmatched ERP",IF(AND(ABS(H460)&lt;=Mapping_Rules!$B$4,ABS(J460)&lt;=Mapping_Rules!$B$5),"Matched","Review"))</f>
        <v>Unmatched ERP</v>
      </c>
      <c r="L460" s="41" t="str">
        <f ca="1">IF(K460="Matched","None",IF(G460="","Missing from bank",IF(ABS(H460)&gt;Mapping_Rules!$B$4,"Amount variance","Date variance")))</f>
        <v>Missing from bank</v>
      </c>
      <c r="M460" s="41" t="str">
        <f ca="1">IF(K460="Matched","Low",IF(OR(IFERROR(ABS(H460),0)&gt;Mapping_Rules!$B$7,IFERROR(J460,0)&gt;Mapping_Rules!$B$8),"High","Medium"))</f>
        <v>High</v>
      </c>
      <c r="N460" s="41" t="str">
        <f t="shared" ca="1" si="23"/>
        <v>Check bank date or posting</v>
      </c>
      <c r="O460" s="23" t="s">
        <v>185</v>
      </c>
      <c r="P460" s="23" t="s">
        <v>95</v>
      </c>
      <c r="Q460" s="23" t="s">
        <v>1689</v>
      </c>
      <c r="R460" s="42"/>
      <c r="S460" s="43">
        <f ca="1">IF(K460="Matched",0,Mapping_Rules!$B$6-B460)</f>
        <v>22</v>
      </c>
    </row>
    <row r="461" spans="1:19">
      <c r="A461" s="44" t="s">
        <v>1088</v>
      </c>
      <c r="B461" s="45">
        <v>46045</v>
      </c>
      <c r="C461" s="44" t="s">
        <v>90</v>
      </c>
      <c r="D461" s="44" t="s">
        <v>208</v>
      </c>
      <c r="E461" s="44" t="s">
        <v>1089</v>
      </c>
      <c r="F461" s="46">
        <v>-563.38</v>
      </c>
      <c r="G461" s="47" t="str">
        <f ca="1">IFERROR(_xludf.XLOOKUP(E461,Bank_Statement!$D$4:$D$448,Bank_Statement!$G$4:$G$448,""),"")</f>
        <v/>
      </c>
      <c r="H461" s="46" t="str">
        <f t="shared" ca="1" si="21"/>
        <v/>
      </c>
      <c r="I461" s="48" t="str">
        <f ca="1">IFERROR(_xludf.XLOOKUP(E461,Bank_Statement!$D$4:$D$448,Bank_Statement!$B$4:$B$448,""),"")</f>
        <v/>
      </c>
      <c r="J461" s="49" t="str">
        <f t="shared" ca="1" si="22"/>
        <v/>
      </c>
      <c r="K461" s="50" t="str">
        <f ca="1">IF(G461="","Unmatched ERP",IF(AND(ABS(H461)&lt;=Mapping_Rules!$B$4,ABS(J461)&lt;=Mapping_Rules!$B$5),"Matched","Review"))</f>
        <v>Unmatched ERP</v>
      </c>
      <c r="L461" s="50" t="str">
        <f ca="1">IF(K461="Matched","None",IF(G461="","Missing from bank",IF(ABS(H461)&gt;Mapping_Rules!$B$4,"Amount variance","Date variance")))</f>
        <v>Missing from bank</v>
      </c>
      <c r="M461" s="50" t="str">
        <f ca="1">IF(K461="Matched","Low",IF(OR(IFERROR(ABS(H461),0)&gt;Mapping_Rules!$B$7,IFERROR(J461,0)&gt;Mapping_Rules!$B$8),"High","Medium"))</f>
        <v>High</v>
      </c>
      <c r="N461" s="50" t="str">
        <f t="shared" ca="1" si="23"/>
        <v>Check bank date or posting</v>
      </c>
      <c r="O461" s="44" t="s">
        <v>194</v>
      </c>
      <c r="P461" s="44" t="s">
        <v>95</v>
      </c>
      <c r="Q461" s="44" t="s">
        <v>1689</v>
      </c>
      <c r="R461" s="51"/>
      <c r="S461" s="52">
        <f ca="1">IF(K461="Matched",0,Mapping_Rules!$B$6-B461)</f>
        <v>8</v>
      </c>
    </row>
    <row r="462" spans="1:19">
      <c r="A462" s="23" t="s">
        <v>1090</v>
      </c>
      <c r="B462" s="31">
        <v>46042</v>
      </c>
      <c r="C462" s="23" t="s">
        <v>72</v>
      </c>
      <c r="D462" s="23" t="s">
        <v>126</v>
      </c>
      <c r="E462" s="23" t="s">
        <v>1091</v>
      </c>
      <c r="F462" s="32">
        <v>-5465.3</v>
      </c>
      <c r="G462" s="38" t="str">
        <f ca="1">IFERROR(_xludf.XLOOKUP(E462,Bank_Statement!$D$4:$D$448,Bank_Statement!$G$4:$G$448,""),"")</f>
        <v/>
      </c>
      <c r="H462" s="32" t="str">
        <f t="shared" ca="1" si="21"/>
        <v/>
      </c>
      <c r="I462" s="39" t="str">
        <f ca="1">IFERROR(_xludf.XLOOKUP(E462,Bank_Statement!$D$4:$D$448,Bank_Statement!$B$4:$B$448,""),"")</f>
        <v/>
      </c>
      <c r="J462" s="40" t="str">
        <f t="shared" ca="1" si="22"/>
        <v/>
      </c>
      <c r="K462" s="41" t="str">
        <f ca="1">IF(G462="","Unmatched ERP",IF(AND(ABS(H462)&lt;=Mapping_Rules!$B$4,ABS(J462)&lt;=Mapping_Rules!$B$5),"Matched","Review"))</f>
        <v>Unmatched ERP</v>
      </c>
      <c r="L462" s="41" t="str">
        <f ca="1">IF(K462="Matched","None",IF(G462="","Missing from bank",IF(ABS(H462)&gt;Mapping_Rules!$B$4,"Amount variance","Date variance")))</f>
        <v>Missing from bank</v>
      </c>
      <c r="M462" s="41" t="str">
        <f ca="1">IF(K462="Matched","Low",IF(OR(IFERROR(ABS(H462),0)&gt;Mapping_Rules!$B$7,IFERROR(J462,0)&gt;Mapping_Rules!$B$8),"High","Medium"))</f>
        <v>High</v>
      </c>
      <c r="N462" s="41" t="str">
        <f t="shared" ca="1" si="23"/>
        <v>Check bank date or posting</v>
      </c>
      <c r="O462" s="23" t="s">
        <v>131</v>
      </c>
      <c r="P462" s="23" t="s">
        <v>77</v>
      </c>
      <c r="Q462" s="23" t="s">
        <v>1689</v>
      </c>
      <c r="R462" s="42"/>
      <c r="S462" s="43">
        <f ca="1">IF(K462="Matched",0,Mapping_Rules!$B$6-B462)</f>
        <v>11</v>
      </c>
    </row>
    <row r="463" spans="1:19">
      <c r="A463" s="44" t="s">
        <v>1092</v>
      </c>
      <c r="B463" s="45">
        <v>46026</v>
      </c>
      <c r="C463" s="44" t="s">
        <v>99</v>
      </c>
      <c r="D463" s="44" t="s">
        <v>182</v>
      </c>
      <c r="E463" s="44" t="s">
        <v>1093</v>
      </c>
      <c r="F463" s="46">
        <v>-8889.9699999999993</v>
      </c>
      <c r="G463" s="47" t="str">
        <f ca="1">IFERROR(_xludf.XLOOKUP(E463,Bank_Statement!$D$4:$D$448,Bank_Statement!$G$4:$G$448,""),"")</f>
        <v/>
      </c>
      <c r="H463" s="46" t="str">
        <f t="shared" ca="1" si="21"/>
        <v/>
      </c>
      <c r="I463" s="48" t="str">
        <f ca="1">IFERROR(_xludf.XLOOKUP(E463,Bank_Statement!$D$4:$D$448,Bank_Statement!$B$4:$B$448,""),"")</f>
        <v/>
      </c>
      <c r="J463" s="49" t="str">
        <f t="shared" ca="1" si="22"/>
        <v/>
      </c>
      <c r="K463" s="50" t="str">
        <f ca="1">IF(G463="","Unmatched ERP",IF(AND(ABS(H463)&lt;=Mapping_Rules!$B$4,ABS(J463)&lt;=Mapping_Rules!$B$5),"Matched","Review"))</f>
        <v>Unmatched ERP</v>
      </c>
      <c r="L463" s="50" t="str">
        <f ca="1">IF(K463="Matched","None",IF(G463="","Missing from bank",IF(ABS(H463)&gt;Mapping_Rules!$B$4,"Amount variance","Date variance")))</f>
        <v>Missing from bank</v>
      </c>
      <c r="M463" s="50" t="str">
        <f ca="1">IF(K463="Matched","Low",IF(OR(IFERROR(ABS(H463),0)&gt;Mapping_Rules!$B$7,IFERROR(J463,0)&gt;Mapping_Rules!$B$8),"High","Medium"))</f>
        <v>High</v>
      </c>
      <c r="N463" s="50" t="str">
        <f t="shared" ca="1" si="23"/>
        <v>Check bank date or posting</v>
      </c>
      <c r="O463" s="44" t="s">
        <v>185</v>
      </c>
      <c r="P463" s="44" t="s">
        <v>95</v>
      </c>
      <c r="Q463" s="44" t="s">
        <v>1689</v>
      </c>
      <c r="R463" s="51"/>
      <c r="S463" s="52">
        <f ca="1">IF(K463="Matched",0,Mapping_Rules!$B$6-B463)</f>
        <v>27</v>
      </c>
    </row>
    <row r="464" spans="1:19">
      <c r="A464" s="23" t="s">
        <v>1094</v>
      </c>
      <c r="B464" s="31">
        <v>46044</v>
      </c>
      <c r="C464" s="23" t="s">
        <v>81</v>
      </c>
      <c r="D464" s="23" t="s">
        <v>155</v>
      </c>
      <c r="E464" s="23" t="s">
        <v>1095</v>
      </c>
      <c r="F464" s="32">
        <v>4965.0200000000004</v>
      </c>
      <c r="G464" s="38" t="str">
        <f ca="1">IFERROR(_xludf.XLOOKUP(E464,Bank_Statement!$D$4:$D$448,Bank_Statement!$G$4:$G$448,""),"")</f>
        <v/>
      </c>
      <c r="H464" s="32" t="str">
        <f t="shared" ca="1" si="21"/>
        <v/>
      </c>
      <c r="I464" s="39" t="str">
        <f ca="1">IFERROR(_xludf.XLOOKUP(E464,Bank_Statement!$D$4:$D$448,Bank_Statement!$B$4:$B$448,""),"")</f>
        <v/>
      </c>
      <c r="J464" s="40" t="str">
        <f t="shared" ca="1" si="22"/>
        <v/>
      </c>
      <c r="K464" s="41" t="str">
        <f ca="1">IF(G464="","Unmatched ERP",IF(AND(ABS(H464)&lt;=Mapping_Rules!$B$4,ABS(J464)&lt;=Mapping_Rules!$B$5),"Matched","Review"))</f>
        <v>Unmatched ERP</v>
      </c>
      <c r="L464" s="41" t="str">
        <f ca="1">IF(K464="Matched","None",IF(G464="","Missing from bank",IF(ABS(H464)&gt;Mapping_Rules!$B$4,"Amount variance","Date variance")))</f>
        <v>Missing from bank</v>
      </c>
      <c r="M464" s="41" t="str">
        <f ca="1">IF(K464="Matched","Low",IF(OR(IFERROR(ABS(H464),0)&gt;Mapping_Rules!$B$7,IFERROR(J464,0)&gt;Mapping_Rules!$B$8),"High","Medium"))</f>
        <v>High</v>
      </c>
      <c r="N464" s="41" t="str">
        <f t="shared" ca="1" si="23"/>
        <v>Check bank date or posting</v>
      </c>
      <c r="O464" s="23" t="s">
        <v>158</v>
      </c>
      <c r="P464" s="23" t="s">
        <v>86</v>
      </c>
      <c r="Q464" s="23" t="s">
        <v>1689</v>
      </c>
      <c r="R464" s="42"/>
      <c r="S464" s="43">
        <f ca="1">IF(K464="Matched",0,Mapping_Rules!$B$6-B464)</f>
        <v>9</v>
      </c>
    </row>
    <row r="465" spans="1:19">
      <c r="A465" s="44" t="s">
        <v>1096</v>
      </c>
      <c r="B465" s="45">
        <v>46044</v>
      </c>
      <c r="C465" s="44" t="s">
        <v>99</v>
      </c>
      <c r="D465" s="44" t="s">
        <v>182</v>
      </c>
      <c r="E465" s="44" t="s">
        <v>1097</v>
      </c>
      <c r="F465" s="46">
        <v>-10026.950000000001</v>
      </c>
      <c r="G465" s="47" t="str">
        <f ca="1">IFERROR(_xludf.XLOOKUP(E465,Bank_Statement!$D$4:$D$448,Bank_Statement!$G$4:$G$448,""),"")</f>
        <v/>
      </c>
      <c r="H465" s="46" t="str">
        <f t="shared" ca="1" si="21"/>
        <v/>
      </c>
      <c r="I465" s="48" t="str">
        <f ca="1">IFERROR(_xludf.XLOOKUP(E465,Bank_Statement!$D$4:$D$448,Bank_Statement!$B$4:$B$448,""),"")</f>
        <v/>
      </c>
      <c r="J465" s="49" t="str">
        <f t="shared" ca="1" si="22"/>
        <v/>
      </c>
      <c r="K465" s="50" t="str">
        <f ca="1">IF(G465="","Unmatched ERP",IF(AND(ABS(H465)&lt;=Mapping_Rules!$B$4,ABS(J465)&lt;=Mapping_Rules!$B$5),"Matched","Review"))</f>
        <v>Unmatched ERP</v>
      </c>
      <c r="L465" s="50" t="str">
        <f ca="1">IF(K465="Matched","None",IF(G465="","Missing from bank",IF(ABS(H465)&gt;Mapping_Rules!$B$4,"Amount variance","Date variance")))</f>
        <v>Missing from bank</v>
      </c>
      <c r="M465" s="50" t="str">
        <f ca="1">IF(K465="Matched","Low",IF(OR(IFERROR(ABS(H465),0)&gt;Mapping_Rules!$B$7,IFERROR(J465,0)&gt;Mapping_Rules!$B$8),"High","Medium"))</f>
        <v>High</v>
      </c>
      <c r="N465" s="50" t="str">
        <f t="shared" ca="1" si="23"/>
        <v>Check bank date or posting</v>
      </c>
      <c r="O465" s="44" t="s">
        <v>185</v>
      </c>
      <c r="P465" s="44" t="s">
        <v>95</v>
      </c>
      <c r="Q465" s="44" t="s">
        <v>1689</v>
      </c>
      <c r="R465" s="51"/>
      <c r="S465" s="52">
        <f ca="1">IF(K465="Matched",0,Mapping_Rules!$B$6-B465)</f>
        <v>9</v>
      </c>
    </row>
    <row r="466" spans="1:19">
      <c r="A466" s="23" t="s">
        <v>1098</v>
      </c>
      <c r="B466" s="31">
        <v>46044</v>
      </c>
      <c r="C466" s="23" t="s">
        <v>90</v>
      </c>
      <c r="D466" s="23" t="s">
        <v>139</v>
      </c>
      <c r="E466" s="23" t="s">
        <v>1099</v>
      </c>
      <c r="F466" s="32">
        <v>-785.84</v>
      </c>
      <c r="G466" s="38" t="str">
        <f ca="1">IFERROR(_xludf.XLOOKUP(E466,Bank_Statement!$D$4:$D$448,Bank_Statement!$G$4:$G$448,""),"")</f>
        <v/>
      </c>
      <c r="H466" s="32" t="str">
        <f t="shared" ca="1" si="21"/>
        <v/>
      </c>
      <c r="I466" s="39" t="str">
        <f ca="1">IFERROR(_xludf.XLOOKUP(E466,Bank_Statement!$D$4:$D$448,Bank_Statement!$B$4:$B$448,""),"")</f>
        <v/>
      </c>
      <c r="J466" s="40" t="str">
        <f t="shared" ca="1" si="22"/>
        <v/>
      </c>
      <c r="K466" s="41" t="str">
        <f ca="1">IF(G466="","Unmatched ERP",IF(AND(ABS(H466)&lt;=Mapping_Rules!$B$4,ABS(J466)&lt;=Mapping_Rules!$B$5),"Matched","Review"))</f>
        <v>Unmatched ERP</v>
      </c>
      <c r="L466" s="41" t="str">
        <f ca="1">IF(K466="Matched","None",IF(G466="","Missing from bank",IF(ABS(H466)&gt;Mapping_Rules!$B$4,"Amount variance","Date variance")))</f>
        <v>Missing from bank</v>
      </c>
      <c r="M466" s="41" t="str">
        <f ca="1">IF(K466="Matched","Low",IF(OR(IFERROR(ABS(H466),0)&gt;Mapping_Rules!$B$7,IFERROR(J466,0)&gt;Mapping_Rules!$B$8),"High","Medium"))</f>
        <v>High</v>
      </c>
      <c r="N466" s="41" t="str">
        <f t="shared" ca="1" si="23"/>
        <v>Check bank date or posting</v>
      </c>
      <c r="O466" s="23" t="s">
        <v>242</v>
      </c>
      <c r="P466" s="23" t="s">
        <v>95</v>
      </c>
      <c r="Q466" s="23" t="s">
        <v>1689</v>
      </c>
      <c r="R466" s="42"/>
      <c r="S466" s="43">
        <f ca="1">IF(K466="Matched",0,Mapping_Rules!$B$6-B466)</f>
        <v>9</v>
      </c>
    </row>
    <row r="467" spans="1:19">
      <c r="A467" s="44" t="s">
        <v>1100</v>
      </c>
      <c r="B467" s="45">
        <v>46050</v>
      </c>
      <c r="C467" s="44" t="s">
        <v>72</v>
      </c>
      <c r="D467" s="44" t="s">
        <v>139</v>
      </c>
      <c r="E467" s="44" t="s">
        <v>1101</v>
      </c>
      <c r="F467" s="46">
        <v>-3088.89</v>
      </c>
      <c r="G467" s="47" t="str">
        <f ca="1">IFERROR(_xludf.XLOOKUP(E467,Bank_Statement!$D$4:$D$448,Bank_Statement!$G$4:$G$448,""),"")</f>
        <v/>
      </c>
      <c r="H467" s="46" t="str">
        <f t="shared" ca="1" si="21"/>
        <v/>
      </c>
      <c r="I467" s="48" t="str">
        <f ca="1">IFERROR(_xludf.XLOOKUP(E467,Bank_Statement!$D$4:$D$448,Bank_Statement!$B$4:$B$448,""),"")</f>
        <v/>
      </c>
      <c r="J467" s="49" t="str">
        <f t="shared" ca="1" si="22"/>
        <v/>
      </c>
      <c r="K467" s="50" t="str">
        <f ca="1">IF(G467="","Unmatched ERP",IF(AND(ABS(H467)&lt;=Mapping_Rules!$B$4,ABS(J467)&lt;=Mapping_Rules!$B$5),"Matched","Review"))</f>
        <v>Unmatched ERP</v>
      </c>
      <c r="L467" s="50" t="str">
        <f ca="1">IF(K467="Matched","None",IF(G467="","Missing from bank",IF(ABS(H467)&gt;Mapping_Rules!$B$4,"Amount variance","Date variance")))</f>
        <v>Missing from bank</v>
      </c>
      <c r="M467" s="50" t="str">
        <f ca="1">IF(K467="Matched","Low",IF(OR(IFERROR(ABS(H467),0)&gt;Mapping_Rules!$B$7,IFERROR(J467,0)&gt;Mapping_Rules!$B$8),"High","Medium"))</f>
        <v>High</v>
      </c>
      <c r="N467" s="50" t="str">
        <f t="shared" ca="1" si="23"/>
        <v>Check bank date or posting</v>
      </c>
      <c r="O467" s="44" t="s">
        <v>131</v>
      </c>
      <c r="P467" s="44" t="s">
        <v>77</v>
      </c>
      <c r="Q467" s="44" t="s">
        <v>1689</v>
      </c>
      <c r="R467" s="51"/>
      <c r="S467" s="52">
        <f ca="1">IF(K467="Matched",0,Mapping_Rules!$B$6-B467)</f>
        <v>3</v>
      </c>
    </row>
    <row r="468" spans="1:19">
      <c r="A468" s="23" t="s">
        <v>1102</v>
      </c>
      <c r="B468" s="31">
        <v>46024</v>
      </c>
      <c r="C468" s="23" t="s">
        <v>81</v>
      </c>
      <c r="D468" s="23" t="s">
        <v>167</v>
      </c>
      <c r="E468" s="23" t="s">
        <v>1103</v>
      </c>
      <c r="F468" s="32">
        <v>5521.7</v>
      </c>
      <c r="G468" s="38" t="str">
        <f ca="1">IFERROR(_xludf.XLOOKUP(E468,Bank_Statement!$D$4:$D$448,Bank_Statement!$G$4:$G$448,""),"")</f>
        <v/>
      </c>
      <c r="H468" s="32" t="str">
        <f t="shared" ca="1" si="21"/>
        <v/>
      </c>
      <c r="I468" s="39" t="str">
        <f ca="1">IFERROR(_xludf.XLOOKUP(E468,Bank_Statement!$D$4:$D$448,Bank_Statement!$B$4:$B$448,""),"")</f>
        <v/>
      </c>
      <c r="J468" s="40" t="str">
        <f t="shared" ca="1" si="22"/>
        <v/>
      </c>
      <c r="K468" s="41" t="str">
        <f ca="1">IF(G468="","Unmatched ERP",IF(AND(ABS(H468)&lt;=Mapping_Rules!$B$4,ABS(J468)&lt;=Mapping_Rules!$B$5),"Matched","Review"))</f>
        <v>Unmatched ERP</v>
      </c>
      <c r="L468" s="41" t="str">
        <f ca="1">IF(K468="Matched","None",IF(G468="","Missing from bank",IF(ABS(H468)&gt;Mapping_Rules!$B$4,"Amount variance","Date variance")))</f>
        <v>Missing from bank</v>
      </c>
      <c r="M468" s="41" t="str">
        <f ca="1">IF(K468="Matched","Low",IF(OR(IFERROR(ABS(H468),0)&gt;Mapping_Rules!$B$7,IFERROR(J468,0)&gt;Mapping_Rules!$B$8),"High","Medium"))</f>
        <v>High</v>
      </c>
      <c r="N468" s="41" t="str">
        <f t="shared" ca="1" si="23"/>
        <v>Check bank date or posting</v>
      </c>
      <c r="O468" s="23" t="s">
        <v>158</v>
      </c>
      <c r="P468" s="23" t="s">
        <v>86</v>
      </c>
      <c r="Q468" s="23" t="s">
        <v>1689</v>
      </c>
      <c r="R468" s="42"/>
      <c r="S468" s="43">
        <f ca="1">IF(K468="Matched",0,Mapping_Rules!$B$6-B468)</f>
        <v>29</v>
      </c>
    </row>
    <row r="469" spans="1:19">
      <c r="A469" s="44" t="s">
        <v>1104</v>
      </c>
      <c r="B469" s="45">
        <v>46037</v>
      </c>
      <c r="C469" s="44" t="s">
        <v>72</v>
      </c>
      <c r="D469" s="44" t="s">
        <v>150</v>
      </c>
      <c r="E469" s="44" t="s">
        <v>1105</v>
      </c>
      <c r="F469" s="46">
        <v>-2816.06</v>
      </c>
      <c r="G469" s="47" t="str">
        <f ca="1">IFERROR(_xludf.XLOOKUP(E469,Bank_Statement!$D$4:$D$448,Bank_Statement!$G$4:$G$448,""),"")</f>
        <v/>
      </c>
      <c r="H469" s="46" t="str">
        <f t="shared" ca="1" si="21"/>
        <v/>
      </c>
      <c r="I469" s="48" t="str">
        <f ca="1">IFERROR(_xludf.XLOOKUP(E469,Bank_Statement!$D$4:$D$448,Bank_Statement!$B$4:$B$448,""),"")</f>
        <v/>
      </c>
      <c r="J469" s="49" t="str">
        <f t="shared" ca="1" si="22"/>
        <v/>
      </c>
      <c r="K469" s="50" t="str">
        <f ca="1">IF(G469="","Unmatched ERP",IF(AND(ABS(H469)&lt;=Mapping_Rules!$B$4,ABS(J469)&lt;=Mapping_Rules!$B$5),"Matched","Review"))</f>
        <v>Unmatched ERP</v>
      </c>
      <c r="L469" s="50" t="str">
        <f ca="1">IF(K469="Matched","None",IF(G469="","Missing from bank",IF(ABS(H469)&gt;Mapping_Rules!$B$4,"Amount variance","Date variance")))</f>
        <v>Missing from bank</v>
      </c>
      <c r="M469" s="50" t="str">
        <f ca="1">IF(K469="Matched","Low",IF(OR(IFERROR(ABS(H469),0)&gt;Mapping_Rules!$B$7,IFERROR(J469,0)&gt;Mapping_Rules!$B$8),"High","Medium"))</f>
        <v>High</v>
      </c>
      <c r="N469" s="50" t="str">
        <f t="shared" ca="1" si="23"/>
        <v>Check bank date or posting</v>
      </c>
      <c r="O469" s="44" t="s">
        <v>131</v>
      </c>
      <c r="P469" s="44" t="s">
        <v>77</v>
      </c>
      <c r="Q469" s="44" t="s">
        <v>1689</v>
      </c>
      <c r="R469" s="51"/>
      <c r="S469" s="52">
        <f ca="1">IF(K469="Matched",0,Mapping_Rules!$B$6-B469)</f>
        <v>16</v>
      </c>
    </row>
    <row r="470" spans="1:19">
      <c r="A470" s="23" t="s">
        <v>1106</v>
      </c>
      <c r="B470" s="31">
        <v>46036</v>
      </c>
      <c r="C470" s="23" t="s">
        <v>72</v>
      </c>
      <c r="D470" s="23" t="s">
        <v>204</v>
      </c>
      <c r="E470" s="23" t="s">
        <v>1107</v>
      </c>
      <c r="F470" s="32">
        <v>-81.040000000000006</v>
      </c>
      <c r="G470" s="38" t="str">
        <f ca="1">IFERROR(_xludf.XLOOKUP(E470,Bank_Statement!$D$4:$D$448,Bank_Statement!$G$4:$G$448,""),"")</f>
        <v/>
      </c>
      <c r="H470" s="32" t="str">
        <f t="shared" ca="1" si="21"/>
        <v/>
      </c>
      <c r="I470" s="39" t="str">
        <f ca="1">IFERROR(_xludf.XLOOKUP(E470,Bank_Statement!$D$4:$D$448,Bank_Statement!$B$4:$B$448,""),"")</f>
        <v/>
      </c>
      <c r="J470" s="40" t="str">
        <f t="shared" ca="1" si="22"/>
        <v/>
      </c>
      <c r="K470" s="41" t="str">
        <f ca="1">IF(G470="","Unmatched ERP",IF(AND(ABS(H470)&lt;=Mapping_Rules!$B$4,ABS(J470)&lt;=Mapping_Rules!$B$5),"Matched","Review"))</f>
        <v>Unmatched ERP</v>
      </c>
      <c r="L470" s="41" t="str">
        <f ca="1">IF(K470="Matched","None",IF(G470="","Missing from bank",IF(ABS(H470)&gt;Mapping_Rules!$B$4,"Amount variance","Date variance")))</f>
        <v>Missing from bank</v>
      </c>
      <c r="M470" s="41" t="str">
        <f ca="1">IF(K470="Matched","Low",IF(OR(IFERROR(ABS(H470),0)&gt;Mapping_Rules!$B$7,IFERROR(J470,0)&gt;Mapping_Rules!$B$8),"High","Medium"))</f>
        <v>High</v>
      </c>
      <c r="N470" s="41" t="str">
        <f t="shared" ca="1" si="23"/>
        <v>Check bank date or posting</v>
      </c>
      <c r="O470" s="23" t="s">
        <v>131</v>
      </c>
      <c r="P470" s="23" t="s">
        <v>77</v>
      </c>
      <c r="Q470" s="23" t="s">
        <v>1689</v>
      </c>
      <c r="R470" s="42"/>
      <c r="S470" s="43">
        <f ca="1">IF(K470="Matched",0,Mapping_Rules!$B$6-B470)</f>
        <v>17</v>
      </c>
    </row>
    <row r="471" spans="1:19">
      <c r="A471" s="44" t="s">
        <v>1108</v>
      </c>
      <c r="B471" s="45">
        <v>46043</v>
      </c>
      <c r="C471" s="44" t="s">
        <v>72</v>
      </c>
      <c r="D471" s="44" t="s">
        <v>204</v>
      </c>
      <c r="E471" s="44" t="s">
        <v>1109</v>
      </c>
      <c r="F471" s="46">
        <v>-3521.48</v>
      </c>
      <c r="G471" s="47" t="str">
        <f ca="1">IFERROR(_xludf.XLOOKUP(E471,Bank_Statement!$D$4:$D$448,Bank_Statement!$G$4:$G$448,""),"")</f>
        <v/>
      </c>
      <c r="H471" s="46" t="str">
        <f t="shared" ca="1" si="21"/>
        <v/>
      </c>
      <c r="I471" s="48" t="str">
        <f ca="1">IFERROR(_xludf.XLOOKUP(E471,Bank_Statement!$D$4:$D$448,Bank_Statement!$B$4:$B$448,""),"")</f>
        <v/>
      </c>
      <c r="J471" s="49" t="str">
        <f t="shared" ca="1" si="22"/>
        <v/>
      </c>
      <c r="K471" s="50" t="str">
        <f ca="1">IF(G471="","Unmatched ERP",IF(AND(ABS(H471)&lt;=Mapping_Rules!$B$4,ABS(J471)&lt;=Mapping_Rules!$B$5),"Matched","Review"))</f>
        <v>Unmatched ERP</v>
      </c>
      <c r="L471" s="50" t="str">
        <f ca="1">IF(K471="Matched","None",IF(G471="","Missing from bank",IF(ABS(H471)&gt;Mapping_Rules!$B$4,"Amount variance","Date variance")))</f>
        <v>Missing from bank</v>
      </c>
      <c r="M471" s="50" t="str">
        <f ca="1">IF(K471="Matched","Low",IF(OR(IFERROR(ABS(H471),0)&gt;Mapping_Rules!$B$7,IFERROR(J471,0)&gt;Mapping_Rules!$B$8),"High","Medium"))</f>
        <v>High</v>
      </c>
      <c r="N471" s="50" t="str">
        <f t="shared" ca="1" si="23"/>
        <v>Check bank date or posting</v>
      </c>
      <c r="O471" s="44" t="s">
        <v>131</v>
      </c>
      <c r="P471" s="44" t="s">
        <v>77</v>
      </c>
      <c r="Q471" s="44" t="s">
        <v>1689</v>
      </c>
      <c r="R471" s="51"/>
      <c r="S471" s="52">
        <f ca="1">IF(K471="Matched",0,Mapping_Rules!$B$6-B471)</f>
        <v>10</v>
      </c>
    </row>
    <row r="472" spans="1:19">
      <c r="A472" s="23" t="s">
        <v>1110</v>
      </c>
      <c r="B472" s="31">
        <v>46050</v>
      </c>
      <c r="C472" s="23" t="s">
        <v>81</v>
      </c>
      <c r="D472" s="23" t="s">
        <v>167</v>
      </c>
      <c r="E472" s="23" t="s">
        <v>1111</v>
      </c>
      <c r="F472" s="32">
        <v>6557.93</v>
      </c>
      <c r="G472" s="38" t="str">
        <f ca="1">IFERROR(_xludf.XLOOKUP(E472,Bank_Statement!$D$4:$D$448,Bank_Statement!$G$4:$G$448,""),"")</f>
        <v/>
      </c>
      <c r="H472" s="32" t="str">
        <f t="shared" ca="1" si="21"/>
        <v/>
      </c>
      <c r="I472" s="39" t="str">
        <f ca="1">IFERROR(_xludf.XLOOKUP(E472,Bank_Statement!$D$4:$D$448,Bank_Statement!$B$4:$B$448,""),"")</f>
        <v/>
      </c>
      <c r="J472" s="40" t="str">
        <f t="shared" ca="1" si="22"/>
        <v/>
      </c>
      <c r="K472" s="41" t="str">
        <f ca="1">IF(G472="","Unmatched ERP",IF(AND(ABS(H472)&lt;=Mapping_Rules!$B$4,ABS(J472)&lt;=Mapping_Rules!$B$5),"Matched","Review"))</f>
        <v>Unmatched ERP</v>
      </c>
      <c r="L472" s="41" t="str">
        <f ca="1">IF(K472="Matched","None",IF(G472="","Missing from bank",IF(ABS(H472)&gt;Mapping_Rules!$B$4,"Amount variance","Date variance")))</f>
        <v>Missing from bank</v>
      </c>
      <c r="M472" s="41" t="str">
        <f ca="1">IF(K472="Matched","Low",IF(OR(IFERROR(ABS(H472),0)&gt;Mapping_Rules!$B$7,IFERROR(J472,0)&gt;Mapping_Rules!$B$8),"High","Medium"))</f>
        <v>High</v>
      </c>
      <c r="N472" s="41" t="str">
        <f t="shared" ca="1" si="23"/>
        <v>Check bank date or posting</v>
      </c>
      <c r="O472" s="23" t="s">
        <v>158</v>
      </c>
      <c r="P472" s="23" t="s">
        <v>86</v>
      </c>
      <c r="Q472" s="23" t="s">
        <v>1689</v>
      </c>
      <c r="R472" s="42"/>
      <c r="S472" s="43">
        <f ca="1">IF(K472="Matched",0,Mapping_Rules!$B$6-B472)</f>
        <v>3</v>
      </c>
    </row>
    <row r="473" spans="1:19">
      <c r="A473" s="44" t="s">
        <v>1112</v>
      </c>
      <c r="B473" s="45">
        <v>46026</v>
      </c>
      <c r="C473" s="44" t="s">
        <v>72</v>
      </c>
      <c r="D473" s="44" t="s">
        <v>126</v>
      </c>
      <c r="E473" s="44" t="s">
        <v>1113</v>
      </c>
      <c r="F473" s="46">
        <v>-1437.09</v>
      </c>
      <c r="G473" s="47" t="str">
        <f ca="1">IFERROR(_xludf.XLOOKUP(E473,Bank_Statement!$D$4:$D$448,Bank_Statement!$G$4:$G$448,""),"")</f>
        <v/>
      </c>
      <c r="H473" s="46" t="str">
        <f t="shared" ca="1" si="21"/>
        <v/>
      </c>
      <c r="I473" s="48" t="str">
        <f ca="1">IFERROR(_xludf.XLOOKUP(E473,Bank_Statement!$D$4:$D$448,Bank_Statement!$B$4:$B$448,""),"")</f>
        <v/>
      </c>
      <c r="J473" s="49" t="str">
        <f t="shared" ca="1" si="22"/>
        <v/>
      </c>
      <c r="K473" s="50" t="str">
        <f ca="1">IF(G473="","Unmatched ERP",IF(AND(ABS(H473)&lt;=Mapping_Rules!$B$4,ABS(J473)&lt;=Mapping_Rules!$B$5),"Matched","Review"))</f>
        <v>Unmatched ERP</v>
      </c>
      <c r="L473" s="50" t="str">
        <f ca="1">IF(K473="Matched","None",IF(G473="","Missing from bank",IF(ABS(H473)&gt;Mapping_Rules!$B$4,"Amount variance","Date variance")))</f>
        <v>Missing from bank</v>
      </c>
      <c r="M473" s="50" t="str">
        <f ca="1">IF(K473="Matched","Low",IF(OR(IFERROR(ABS(H473),0)&gt;Mapping_Rules!$B$7,IFERROR(J473,0)&gt;Mapping_Rules!$B$8),"High","Medium"))</f>
        <v>High</v>
      </c>
      <c r="N473" s="50" t="str">
        <f t="shared" ca="1" si="23"/>
        <v>Check bank date or posting</v>
      </c>
      <c r="O473" s="44" t="s">
        <v>131</v>
      </c>
      <c r="P473" s="44" t="s">
        <v>77</v>
      </c>
      <c r="Q473" s="44" t="s">
        <v>1689</v>
      </c>
      <c r="R473" s="51"/>
      <c r="S473" s="52">
        <f ca="1">IF(K473="Matched",0,Mapping_Rules!$B$6-B473)</f>
        <v>27</v>
      </c>
    </row>
    <row r="474" spans="1:19">
      <c r="A474" s="23" t="s">
        <v>1114</v>
      </c>
      <c r="B474" s="31">
        <v>46053</v>
      </c>
      <c r="C474" s="23" t="s">
        <v>90</v>
      </c>
      <c r="D474" s="23" t="s">
        <v>173</v>
      </c>
      <c r="E474" s="23" t="s">
        <v>1115</v>
      </c>
      <c r="F474" s="32">
        <v>-2633.83</v>
      </c>
      <c r="G474" s="38" t="str">
        <f ca="1">IFERROR(_xludf.XLOOKUP(E474,Bank_Statement!$D$4:$D$448,Bank_Statement!$G$4:$G$448,""),"")</f>
        <v/>
      </c>
      <c r="H474" s="32" t="str">
        <f t="shared" ca="1" si="21"/>
        <v/>
      </c>
      <c r="I474" s="39" t="str">
        <f ca="1">IFERROR(_xludf.XLOOKUP(E474,Bank_Statement!$D$4:$D$448,Bank_Statement!$B$4:$B$448,""),"")</f>
        <v/>
      </c>
      <c r="J474" s="40" t="str">
        <f t="shared" ca="1" si="22"/>
        <v/>
      </c>
      <c r="K474" s="41" t="str">
        <f ca="1">IF(G474="","Unmatched ERP",IF(AND(ABS(H474)&lt;=Mapping_Rules!$B$4,ABS(J474)&lt;=Mapping_Rules!$B$5),"Matched","Review"))</f>
        <v>Unmatched ERP</v>
      </c>
      <c r="L474" s="41" t="str">
        <f ca="1">IF(K474="Matched","None",IF(G474="","Missing from bank",IF(ABS(H474)&gt;Mapping_Rules!$B$4,"Amount variance","Date variance")))</f>
        <v>Missing from bank</v>
      </c>
      <c r="M474" s="41" t="str">
        <f ca="1">IF(K474="Matched","Low",IF(OR(IFERROR(ABS(H474),0)&gt;Mapping_Rules!$B$7,IFERROR(J474,0)&gt;Mapping_Rules!$B$8),"High","Medium"))</f>
        <v>High</v>
      </c>
      <c r="N474" s="41" t="str">
        <f t="shared" ca="1" si="23"/>
        <v>Check bank date or posting</v>
      </c>
      <c r="O474" s="23" t="s">
        <v>242</v>
      </c>
      <c r="P474" s="23" t="s">
        <v>95</v>
      </c>
      <c r="Q474" s="23" t="s">
        <v>1689</v>
      </c>
      <c r="R474" s="42"/>
      <c r="S474" s="43">
        <f ca="1">IF(K474="Matched",0,Mapping_Rules!$B$6-B474)</f>
        <v>0</v>
      </c>
    </row>
    <row r="475" spans="1:19">
      <c r="A475" s="44" t="s">
        <v>1116</v>
      </c>
      <c r="B475" s="45">
        <v>46042</v>
      </c>
      <c r="C475" s="44" t="s">
        <v>72</v>
      </c>
      <c r="D475" s="44" t="s">
        <v>144</v>
      </c>
      <c r="E475" s="44" t="s">
        <v>1117</v>
      </c>
      <c r="F475" s="46">
        <v>-5772.92</v>
      </c>
      <c r="G475" s="47" t="str">
        <f ca="1">IFERROR(_xludf.XLOOKUP(E475,Bank_Statement!$D$4:$D$448,Bank_Statement!$G$4:$G$448,""),"")</f>
        <v/>
      </c>
      <c r="H475" s="46" t="str">
        <f t="shared" ca="1" si="21"/>
        <v/>
      </c>
      <c r="I475" s="48" t="str">
        <f ca="1">IFERROR(_xludf.XLOOKUP(E475,Bank_Statement!$D$4:$D$448,Bank_Statement!$B$4:$B$448,""),"")</f>
        <v/>
      </c>
      <c r="J475" s="49" t="str">
        <f t="shared" ca="1" si="22"/>
        <v/>
      </c>
      <c r="K475" s="50" t="str">
        <f ca="1">IF(G475="","Unmatched ERP",IF(AND(ABS(H475)&lt;=Mapping_Rules!$B$4,ABS(J475)&lt;=Mapping_Rules!$B$5),"Matched","Review"))</f>
        <v>Unmatched ERP</v>
      </c>
      <c r="L475" s="50" t="str">
        <f ca="1">IF(K475="Matched","None",IF(G475="","Missing from bank",IF(ABS(H475)&gt;Mapping_Rules!$B$4,"Amount variance","Date variance")))</f>
        <v>Missing from bank</v>
      </c>
      <c r="M475" s="50" t="str">
        <f ca="1">IF(K475="Matched","Low",IF(OR(IFERROR(ABS(H475),0)&gt;Mapping_Rules!$B$7,IFERROR(J475,0)&gt;Mapping_Rules!$B$8),"High","Medium"))</f>
        <v>High</v>
      </c>
      <c r="N475" s="50" t="str">
        <f t="shared" ca="1" si="23"/>
        <v>Check bank date or posting</v>
      </c>
      <c r="O475" s="44" t="s">
        <v>131</v>
      </c>
      <c r="P475" s="44" t="s">
        <v>77</v>
      </c>
      <c r="Q475" s="44" t="s">
        <v>1689</v>
      </c>
      <c r="R475" s="51"/>
      <c r="S475" s="52">
        <f ca="1">IF(K475="Matched",0,Mapping_Rules!$B$6-B475)</f>
        <v>11</v>
      </c>
    </row>
    <row r="476" spans="1:19">
      <c r="A476" s="23" t="s">
        <v>1118</v>
      </c>
      <c r="B476" s="31">
        <v>46026</v>
      </c>
      <c r="C476" s="23" t="s">
        <v>90</v>
      </c>
      <c r="D476" s="23" t="s">
        <v>144</v>
      </c>
      <c r="E476" s="23" t="s">
        <v>1119</v>
      </c>
      <c r="F476" s="32">
        <v>-4636.8</v>
      </c>
      <c r="G476" s="38" t="str">
        <f ca="1">IFERROR(_xludf.XLOOKUP(E476,Bank_Statement!$D$4:$D$448,Bank_Statement!$G$4:$G$448,""),"")</f>
        <v/>
      </c>
      <c r="H476" s="32" t="str">
        <f t="shared" ca="1" si="21"/>
        <v/>
      </c>
      <c r="I476" s="39" t="str">
        <f ca="1">IFERROR(_xludf.XLOOKUP(E476,Bank_Statement!$D$4:$D$448,Bank_Statement!$B$4:$B$448,""),"")</f>
        <v/>
      </c>
      <c r="J476" s="40" t="str">
        <f t="shared" ca="1" si="22"/>
        <v/>
      </c>
      <c r="K476" s="41" t="str">
        <f ca="1">IF(G476="","Unmatched ERP",IF(AND(ABS(H476)&lt;=Mapping_Rules!$B$4,ABS(J476)&lt;=Mapping_Rules!$B$5),"Matched","Review"))</f>
        <v>Unmatched ERP</v>
      </c>
      <c r="L476" s="41" t="str">
        <f ca="1">IF(K476="Matched","None",IF(G476="","Missing from bank",IF(ABS(H476)&gt;Mapping_Rules!$B$4,"Amount variance","Date variance")))</f>
        <v>Missing from bank</v>
      </c>
      <c r="M476" s="41" t="str">
        <f ca="1">IF(K476="Matched","Low",IF(OR(IFERROR(ABS(H476),0)&gt;Mapping_Rules!$B$7,IFERROR(J476,0)&gt;Mapping_Rules!$B$8),"High","Medium"))</f>
        <v>High</v>
      </c>
      <c r="N476" s="41" t="str">
        <f t="shared" ca="1" si="23"/>
        <v>Check bank date or posting</v>
      </c>
      <c r="O476" s="23" t="s">
        <v>158</v>
      </c>
      <c r="P476" s="23" t="s">
        <v>95</v>
      </c>
      <c r="Q476" s="23" t="s">
        <v>1689</v>
      </c>
      <c r="R476" s="42"/>
      <c r="S476" s="43">
        <f ca="1">IF(K476="Matched",0,Mapping_Rules!$B$6-B476)</f>
        <v>27</v>
      </c>
    </row>
    <row r="477" spans="1:19">
      <c r="A477" s="44" t="s">
        <v>1120</v>
      </c>
      <c r="B477" s="45">
        <v>46023</v>
      </c>
      <c r="C477" s="44" t="s">
        <v>81</v>
      </c>
      <c r="D477" s="44" t="s">
        <v>220</v>
      </c>
      <c r="E477" s="44" t="s">
        <v>1121</v>
      </c>
      <c r="F477" s="46">
        <v>4769.4399999999996</v>
      </c>
      <c r="G477" s="47" t="str">
        <f ca="1">IFERROR(_xludf.XLOOKUP(E477,Bank_Statement!$D$4:$D$448,Bank_Statement!$G$4:$G$448,""),"")</f>
        <v/>
      </c>
      <c r="H477" s="46" t="str">
        <f t="shared" ca="1" si="21"/>
        <v/>
      </c>
      <c r="I477" s="48" t="str">
        <f ca="1">IFERROR(_xludf.XLOOKUP(E477,Bank_Statement!$D$4:$D$448,Bank_Statement!$B$4:$B$448,""),"")</f>
        <v/>
      </c>
      <c r="J477" s="49" t="str">
        <f t="shared" ca="1" si="22"/>
        <v/>
      </c>
      <c r="K477" s="50" t="str">
        <f ca="1">IF(G477="","Unmatched ERP",IF(AND(ABS(H477)&lt;=Mapping_Rules!$B$4,ABS(J477)&lt;=Mapping_Rules!$B$5),"Matched","Review"))</f>
        <v>Unmatched ERP</v>
      </c>
      <c r="L477" s="50" t="str">
        <f ca="1">IF(K477="Matched","None",IF(G477="","Missing from bank",IF(ABS(H477)&gt;Mapping_Rules!$B$4,"Amount variance","Date variance")))</f>
        <v>Missing from bank</v>
      </c>
      <c r="M477" s="50" t="str">
        <f ca="1">IF(K477="Matched","Low",IF(OR(IFERROR(ABS(H477),0)&gt;Mapping_Rules!$B$7,IFERROR(J477,0)&gt;Mapping_Rules!$B$8),"High","Medium"))</f>
        <v>High</v>
      </c>
      <c r="N477" s="50" t="str">
        <f t="shared" ca="1" si="23"/>
        <v>Check bank date or posting</v>
      </c>
      <c r="O477" s="44" t="s">
        <v>158</v>
      </c>
      <c r="P477" s="44" t="s">
        <v>86</v>
      </c>
      <c r="Q477" s="44" t="s">
        <v>1689</v>
      </c>
      <c r="R477" s="51"/>
      <c r="S477" s="52">
        <f ca="1">IF(K477="Matched",0,Mapping_Rules!$B$6-B477)</f>
        <v>30</v>
      </c>
    </row>
    <row r="478" spans="1:19">
      <c r="A478" s="23" t="s">
        <v>1122</v>
      </c>
      <c r="B478" s="31">
        <v>46028</v>
      </c>
      <c r="C478" s="23" t="s">
        <v>90</v>
      </c>
      <c r="D478" s="23" t="s">
        <v>208</v>
      </c>
      <c r="E478" s="23" t="s">
        <v>1123</v>
      </c>
      <c r="F478" s="32">
        <v>-562.59</v>
      </c>
      <c r="G478" s="38" t="str">
        <f ca="1">IFERROR(_xludf.XLOOKUP(E478,Bank_Statement!$D$4:$D$448,Bank_Statement!$G$4:$G$448,""),"")</f>
        <v/>
      </c>
      <c r="H478" s="32" t="str">
        <f t="shared" ca="1" si="21"/>
        <v/>
      </c>
      <c r="I478" s="39" t="str">
        <f ca="1">IFERROR(_xludf.XLOOKUP(E478,Bank_Statement!$D$4:$D$448,Bank_Statement!$B$4:$B$448,""),"")</f>
        <v/>
      </c>
      <c r="J478" s="40" t="str">
        <f t="shared" ca="1" si="22"/>
        <v/>
      </c>
      <c r="K478" s="41" t="str">
        <f ca="1">IF(G478="","Unmatched ERP",IF(AND(ABS(H478)&lt;=Mapping_Rules!$B$4,ABS(J478)&lt;=Mapping_Rules!$B$5),"Matched","Review"))</f>
        <v>Unmatched ERP</v>
      </c>
      <c r="L478" s="41" t="str">
        <f ca="1">IF(K478="Matched","None",IF(G478="","Missing from bank",IF(ABS(H478)&gt;Mapping_Rules!$B$4,"Amount variance","Date variance")))</f>
        <v>Missing from bank</v>
      </c>
      <c r="M478" s="41" t="str">
        <f ca="1">IF(K478="Matched","Low",IF(OR(IFERROR(ABS(H478),0)&gt;Mapping_Rules!$B$7,IFERROR(J478,0)&gt;Mapping_Rules!$B$8),"High","Medium"))</f>
        <v>High</v>
      </c>
      <c r="N478" s="41" t="str">
        <f t="shared" ca="1" si="23"/>
        <v>Check bank date or posting</v>
      </c>
      <c r="O478" s="23" t="s">
        <v>426</v>
      </c>
      <c r="P478" s="23" t="s">
        <v>95</v>
      </c>
      <c r="Q478" s="23" t="s">
        <v>1689</v>
      </c>
      <c r="R478" s="42"/>
      <c r="S478" s="43">
        <f ca="1">IF(K478="Matched",0,Mapping_Rules!$B$6-B478)</f>
        <v>25</v>
      </c>
    </row>
    <row r="479" spans="1:19">
      <c r="A479" s="44" t="s">
        <v>1124</v>
      </c>
      <c r="B479" s="45">
        <v>46053</v>
      </c>
      <c r="C479" s="44" t="s">
        <v>72</v>
      </c>
      <c r="D479" s="44" t="s">
        <v>208</v>
      </c>
      <c r="E479" s="44" t="s">
        <v>1125</v>
      </c>
      <c r="F479" s="46">
        <v>-2851.42</v>
      </c>
      <c r="G479" s="47" t="str">
        <f ca="1">IFERROR(_xludf.XLOOKUP(E479,Bank_Statement!$D$4:$D$448,Bank_Statement!$G$4:$G$448,""),"")</f>
        <v/>
      </c>
      <c r="H479" s="46" t="str">
        <f t="shared" ca="1" si="21"/>
        <v/>
      </c>
      <c r="I479" s="48" t="str">
        <f ca="1">IFERROR(_xludf.XLOOKUP(E479,Bank_Statement!$D$4:$D$448,Bank_Statement!$B$4:$B$448,""),"")</f>
        <v/>
      </c>
      <c r="J479" s="49" t="str">
        <f t="shared" ca="1" si="22"/>
        <v/>
      </c>
      <c r="K479" s="50" t="str">
        <f ca="1">IF(G479="","Unmatched ERP",IF(AND(ABS(H479)&lt;=Mapping_Rules!$B$4,ABS(J479)&lt;=Mapping_Rules!$B$5),"Matched","Review"))</f>
        <v>Unmatched ERP</v>
      </c>
      <c r="L479" s="50" t="str">
        <f ca="1">IF(K479="Matched","None",IF(G479="","Missing from bank",IF(ABS(H479)&gt;Mapping_Rules!$B$4,"Amount variance","Date variance")))</f>
        <v>Missing from bank</v>
      </c>
      <c r="M479" s="50" t="str">
        <f ca="1">IF(K479="Matched","Low",IF(OR(IFERROR(ABS(H479),0)&gt;Mapping_Rules!$B$7,IFERROR(J479,0)&gt;Mapping_Rules!$B$8),"High","Medium"))</f>
        <v>High</v>
      </c>
      <c r="N479" s="50" t="str">
        <f t="shared" ca="1" si="23"/>
        <v>Check bank date or posting</v>
      </c>
      <c r="O479" s="44" t="s">
        <v>131</v>
      </c>
      <c r="P479" s="44" t="s">
        <v>77</v>
      </c>
      <c r="Q479" s="44" t="s">
        <v>1689</v>
      </c>
      <c r="R479" s="51"/>
      <c r="S479" s="52">
        <f ca="1">IF(K479="Matched",0,Mapping_Rules!$B$6-B479)</f>
        <v>0</v>
      </c>
    </row>
    <row r="480" spans="1:19">
      <c r="A480" s="23" t="s">
        <v>1126</v>
      </c>
      <c r="B480" s="31">
        <v>46040</v>
      </c>
      <c r="C480" s="23" t="s">
        <v>99</v>
      </c>
      <c r="D480" s="23" t="s">
        <v>182</v>
      </c>
      <c r="E480" s="23" t="s">
        <v>1127</v>
      </c>
      <c r="F480" s="32">
        <v>-12822.18</v>
      </c>
      <c r="G480" s="38" t="str">
        <f ca="1">IFERROR(_xludf.XLOOKUP(E480,Bank_Statement!$D$4:$D$448,Bank_Statement!$G$4:$G$448,""),"")</f>
        <v/>
      </c>
      <c r="H480" s="32" t="str">
        <f t="shared" ca="1" si="21"/>
        <v/>
      </c>
      <c r="I480" s="39" t="str">
        <f ca="1">IFERROR(_xludf.XLOOKUP(E480,Bank_Statement!$D$4:$D$448,Bank_Statement!$B$4:$B$448,""),"")</f>
        <v/>
      </c>
      <c r="J480" s="40" t="str">
        <f t="shared" ca="1" si="22"/>
        <v/>
      </c>
      <c r="K480" s="41" t="str">
        <f ca="1">IF(G480="","Unmatched ERP",IF(AND(ABS(H480)&lt;=Mapping_Rules!$B$4,ABS(J480)&lt;=Mapping_Rules!$B$5),"Matched","Review"))</f>
        <v>Unmatched ERP</v>
      </c>
      <c r="L480" s="41" t="str">
        <f ca="1">IF(K480="Matched","None",IF(G480="","Missing from bank",IF(ABS(H480)&gt;Mapping_Rules!$B$4,"Amount variance","Date variance")))</f>
        <v>Missing from bank</v>
      </c>
      <c r="M480" s="41" t="str">
        <f ca="1">IF(K480="Matched","Low",IF(OR(IFERROR(ABS(H480),0)&gt;Mapping_Rules!$B$7,IFERROR(J480,0)&gt;Mapping_Rules!$B$8),"High","Medium"))</f>
        <v>High</v>
      </c>
      <c r="N480" s="41" t="str">
        <f t="shared" ca="1" si="23"/>
        <v>Check bank date or posting</v>
      </c>
      <c r="O480" s="23" t="s">
        <v>185</v>
      </c>
      <c r="P480" s="23" t="s">
        <v>95</v>
      </c>
      <c r="Q480" s="23" t="s">
        <v>1689</v>
      </c>
      <c r="R480" s="42"/>
      <c r="S480" s="43">
        <f ca="1">IF(K480="Matched",0,Mapping_Rules!$B$6-B480)</f>
        <v>13</v>
      </c>
    </row>
    <row r="481" spans="1:19">
      <c r="A481" s="44" t="s">
        <v>1128</v>
      </c>
      <c r="B481" s="45">
        <v>46052</v>
      </c>
      <c r="C481" s="44" t="s">
        <v>90</v>
      </c>
      <c r="D481" s="44" t="s">
        <v>167</v>
      </c>
      <c r="E481" s="44" t="s">
        <v>1129</v>
      </c>
      <c r="F481" s="46">
        <v>-3267.93</v>
      </c>
      <c r="G481" s="47" t="str">
        <f ca="1">IFERROR(_xludf.XLOOKUP(E481,Bank_Statement!$D$4:$D$448,Bank_Statement!$G$4:$G$448,""),"")</f>
        <v/>
      </c>
      <c r="H481" s="46" t="str">
        <f t="shared" ca="1" si="21"/>
        <v/>
      </c>
      <c r="I481" s="48" t="str">
        <f ca="1">IFERROR(_xludf.XLOOKUP(E481,Bank_Statement!$D$4:$D$448,Bank_Statement!$B$4:$B$448,""),"")</f>
        <v/>
      </c>
      <c r="J481" s="49" t="str">
        <f t="shared" ca="1" si="22"/>
        <v/>
      </c>
      <c r="K481" s="50" t="str">
        <f ca="1">IF(G481="","Unmatched ERP",IF(AND(ABS(H481)&lt;=Mapping_Rules!$B$4,ABS(J481)&lt;=Mapping_Rules!$B$5),"Matched","Review"))</f>
        <v>Unmatched ERP</v>
      </c>
      <c r="L481" s="50" t="str">
        <f ca="1">IF(K481="Matched","None",IF(G481="","Missing from bank",IF(ABS(H481)&gt;Mapping_Rules!$B$4,"Amount variance","Date variance")))</f>
        <v>Missing from bank</v>
      </c>
      <c r="M481" s="50" t="str">
        <f ca="1">IF(K481="Matched","Low",IF(OR(IFERROR(ABS(H481),0)&gt;Mapping_Rules!$B$7,IFERROR(J481,0)&gt;Mapping_Rules!$B$8),"High","Medium"))</f>
        <v>High</v>
      </c>
      <c r="N481" s="50" t="str">
        <f t="shared" ca="1" si="23"/>
        <v>Check bank date or posting</v>
      </c>
      <c r="O481" s="44" t="s">
        <v>426</v>
      </c>
      <c r="P481" s="44" t="s">
        <v>95</v>
      </c>
      <c r="Q481" s="44" t="s">
        <v>1689</v>
      </c>
      <c r="R481" s="51"/>
      <c r="S481" s="52">
        <f ca="1">IF(K481="Matched",0,Mapping_Rules!$B$6-B481)</f>
        <v>1</v>
      </c>
    </row>
    <row r="482" spans="1:19">
      <c r="A482" s="23" t="s">
        <v>1130</v>
      </c>
      <c r="B482" s="31">
        <v>46051</v>
      </c>
      <c r="C482" s="23" t="s">
        <v>99</v>
      </c>
      <c r="D482" s="23" t="s">
        <v>182</v>
      </c>
      <c r="E482" s="23" t="s">
        <v>1131</v>
      </c>
      <c r="F482" s="32">
        <v>-6645.96</v>
      </c>
      <c r="G482" s="38" t="str">
        <f ca="1">IFERROR(_xludf.XLOOKUP(E482,Bank_Statement!$D$4:$D$448,Bank_Statement!$G$4:$G$448,""),"")</f>
        <v/>
      </c>
      <c r="H482" s="32" t="str">
        <f t="shared" ca="1" si="21"/>
        <v/>
      </c>
      <c r="I482" s="39" t="str">
        <f ca="1">IFERROR(_xludf.XLOOKUP(E482,Bank_Statement!$D$4:$D$448,Bank_Statement!$B$4:$B$448,""),"")</f>
        <v/>
      </c>
      <c r="J482" s="40" t="str">
        <f t="shared" ca="1" si="22"/>
        <v/>
      </c>
      <c r="K482" s="41" t="str">
        <f ca="1">IF(G482="","Unmatched ERP",IF(AND(ABS(H482)&lt;=Mapping_Rules!$B$4,ABS(J482)&lt;=Mapping_Rules!$B$5),"Matched","Review"))</f>
        <v>Unmatched ERP</v>
      </c>
      <c r="L482" s="41" t="str">
        <f ca="1">IF(K482="Matched","None",IF(G482="","Missing from bank",IF(ABS(H482)&gt;Mapping_Rules!$B$4,"Amount variance","Date variance")))</f>
        <v>Missing from bank</v>
      </c>
      <c r="M482" s="41" t="str">
        <f ca="1">IF(K482="Matched","Low",IF(OR(IFERROR(ABS(H482),0)&gt;Mapping_Rules!$B$7,IFERROR(J482,0)&gt;Mapping_Rules!$B$8),"High","Medium"))</f>
        <v>High</v>
      </c>
      <c r="N482" s="41" t="str">
        <f t="shared" ca="1" si="23"/>
        <v>Check bank date or posting</v>
      </c>
      <c r="O482" s="23" t="s">
        <v>185</v>
      </c>
      <c r="P482" s="23" t="s">
        <v>95</v>
      </c>
      <c r="Q482" s="23" t="s">
        <v>1689</v>
      </c>
      <c r="R482" s="42"/>
      <c r="S482" s="43">
        <f ca="1">IF(K482="Matched",0,Mapping_Rules!$B$6-B482)</f>
        <v>2</v>
      </c>
    </row>
    <row r="483" spans="1:19">
      <c r="A483" s="44" t="s">
        <v>1132</v>
      </c>
      <c r="B483" s="45">
        <v>46024</v>
      </c>
      <c r="C483" s="44" t="s">
        <v>90</v>
      </c>
      <c r="D483" s="44" t="s">
        <v>150</v>
      </c>
      <c r="E483" s="44" t="s">
        <v>1133</v>
      </c>
      <c r="F483" s="46">
        <v>-1371.54</v>
      </c>
      <c r="G483" s="47" t="str">
        <f ca="1">IFERROR(_xludf.XLOOKUP(E483,Bank_Statement!$D$4:$D$448,Bank_Statement!$G$4:$G$448,""),"")</f>
        <v/>
      </c>
      <c r="H483" s="46" t="str">
        <f t="shared" ca="1" si="21"/>
        <v/>
      </c>
      <c r="I483" s="48" t="str">
        <f ca="1">IFERROR(_xludf.XLOOKUP(E483,Bank_Statement!$D$4:$D$448,Bank_Statement!$B$4:$B$448,""),"")</f>
        <v/>
      </c>
      <c r="J483" s="49" t="str">
        <f t="shared" ca="1" si="22"/>
        <v/>
      </c>
      <c r="K483" s="50" t="str">
        <f ca="1">IF(G483="","Unmatched ERP",IF(AND(ABS(H483)&lt;=Mapping_Rules!$B$4,ABS(J483)&lt;=Mapping_Rules!$B$5),"Matched","Review"))</f>
        <v>Unmatched ERP</v>
      </c>
      <c r="L483" s="50" t="str">
        <f ca="1">IF(K483="Matched","None",IF(G483="","Missing from bank",IF(ABS(H483)&gt;Mapping_Rules!$B$4,"Amount variance","Date variance")))</f>
        <v>Missing from bank</v>
      </c>
      <c r="M483" s="50" t="str">
        <f ca="1">IF(K483="Matched","Low",IF(OR(IFERROR(ABS(H483),0)&gt;Mapping_Rules!$B$7,IFERROR(J483,0)&gt;Mapping_Rules!$B$8),"High","Medium"))</f>
        <v>High</v>
      </c>
      <c r="N483" s="50" t="str">
        <f t="shared" ca="1" si="23"/>
        <v>Check bank date or posting</v>
      </c>
      <c r="O483" s="44" t="s">
        <v>867</v>
      </c>
      <c r="P483" s="44" t="s">
        <v>95</v>
      </c>
      <c r="Q483" s="44" t="s">
        <v>1689</v>
      </c>
      <c r="R483" s="51"/>
      <c r="S483" s="52">
        <f ca="1">IF(K483="Matched",0,Mapping_Rules!$B$6-B483)</f>
        <v>29</v>
      </c>
    </row>
    <row r="484" spans="1:19">
      <c r="A484" s="23" t="s">
        <v>1134</v>
      </c>
      <c r="B484" s="31">
        <v>46045</v>
      </c>
      <c r="C484" s="23" t="s">
        <v>90</v>
      </c>
      <c r="D484" s="23" t="s">
        <v>150</v>
      </c>
      <c r="E484" s="23" t="s">
        <v>1135</v>
      </c>
      <c r="F484" s="32">
        <v>3780.29</v>
      </c>
      <c r="G484" s="38" t="str">
        <f ca="1">IFERROR(_xludf.XLOOKUP(E484,Bank_Statement!$D$4:$D$448,Bank_Statement!$G$4:$G$448,""),"")</f>
        <v/>
      </c>
      <c r="H484" s="32" t="str">
        <f t="shared" ca="1" si="21"/>
        <v/>
      </c>
      <c r="I484" s="39" t="str">
        <f ca="1">IFERROR(_xludf.XLOOKUP(E484,Bank_Statement!$D$4:$D$448,Bank_Statement!$B$4:$B$448,""),"")</f>
        <v/>
      </c>
      <c r="J484" s="40" t="str">
        <f t="shared" ca="1" si="22"/>
        <v/>
      </c>
      <c r="K484" s="41" t="str">
        <f ca="1">IF(G484="","Unmatched ERP",IF(AND(ABS(H484)&lt;=Mapping_Rules!$B$4,ABS(J484)&lt;=Mapping_Rules!$B$5),"Matched","Review"))</f>
        <v>Unmatched ERP</v>
      </c>
      <c r="L484" s="41" t="str">
        <f ca="1">IF(K484="Matched","None",IF(G484="","Missing from bank",IF(ABS(H484)&gt;Mapping_Rules!$B$4,"Amount variance","Date variance")))</f>
        <v>Missing from bank</v>
      </c>
      <c r="M484" s="41" t="str">
        <f ca="1">IF(K484="Matched","Low",IF(OR(IFERROR(ABS(H484),0)&gt;Mapping_Rules!$B$7,IFERROR(J484,0)&gt;Mapping_Rules!$B$8),"High","Medium"))</f>
        <v>High</v>
      </c>
      <c r="N484" s="41" t="str">
        <f t="shared" ca="1" si="23"/>
        <v>Check bank date or posting</v>
      </c>
      <c r="O484" s="23" t="s">
        <v>194</v>
      </c>
      <c r="P484" s="23" t="s">
        <v>95</v>
      </c>
      <c r="Q484" s="23" t="s">
        <v>1689</v>
      </c>
      <c r="R484" s="42"/>
      <c r="S484" s="43">
        <f ca="1">IF(K484="Matched",0,Mapping_Rules!$B$6-B484)</f>
        <v>8</v>
      </c>
    </row>
    <row r="485" spans="1:19">
      <c r="A485" s="44" t="s">
        <v>1136</v>
      </c>
      <c r="B485" s="45">
        <v>46046</v>
      </c>
      <c r="C485" s="44" t="s">
        <v>81</v>
      </c>
      <c r="D485" s="44" t="s">
        <v>173</v>
      </c>
      <c r="E485" s="44" t="s">
        <v>1137</v>
      </c>
      <c r="F485" s="46">
        <v>6349.15</v>
      </c>
      <c r="G485" s="47" t="str">
        <f ca="1">IFERROR(_xludf.XLOOKUP(E485,Bank_Statement!$D$4:$D$448,Bank_Statement!$G$4:$G$448,""),"")</f>
        <v/>
      </c>
      <c r="H485" s="46" t="str">
        <f t="shared" ca="1" si="21"/>
        <v/>
      </c>
      <c r="I485" s="48" t="str">
        <f ca="1">IFERROR(_xludf.XLOOKUP(E485,Bank_Statement!$D$4:$D$448,Bank_Statement!$B$4:$B$448,""),"")</f>
        <v/>
      </c>
      <c r="J485" s="49" t="str">
        <f t="shared" ca="1" si="22"/>
        <v/>
      </c>
      <c r="K485" s="50" t="str">
        <f ca="1">IF(G485="","Unmatched ERP",IF(AND(ABS(H485)&lt;=Mapping_Rules!$B$4,ABS(J485)&lt;=Mapping_Rules!$B$5),"Matched","Review"))</f>
        <v>Unmatched ERP</v>
      </c>
      <c r="L485" s="50" t="str">
        <f ca="1">IF(K485="Matched","None",IF(G485="","Missing from bank",IF(ABS(H485)&gt;Mapping_Rules!$B$4,"Amount variance","Date variance")))</f>
        <v>Missing from bank</v>
      </c>
      <c r="M485" s="50" t="str">
        <f ca="1">IF(K485="Matched","Low",IF(OR(IFERROR(ABS(H485),0)&gt;Mapping_Rules!$B$7,IFERROR(J485,0)&gt;Mapping_Rules!$B$8),"High","Medium"))</f>
        <v>High</v>
      </c>
      <c r="N485" s="50" t="str">
        <f t="shared" ca="1" si="23"/>
        <v>Check bank date or posting</v>
      </c>
      <c r="O485" s="44" t="s">
        <v>158</v>
      </c>
      <c r="P485" s="44" t="s">
        <v>86</v>
      </c>
      <c r="Q485" s="44" t="s">
        <v>1689</v>
      </c>
      <c r="R485" s="51"/>
      <c r="S485" s="52">
        <f ca="1">IF(K485="Matched",0,Mapping_Rules!$B$6-B485)</f>
        <v>7</v>
      </c>
    </row>
    <row r="486" spans="1:19">
      <c r="A486" s="23" t="s">
        <v>1138</v>
      </c>
      <c r="B486" s="31">
        <v>46024</v>
      </c>
      <c r="C486" s="23" t="s">
        <v>107</v>
      </c>
      <c r="D486" s="23" t="s">
        <v>191</v>
      </c>
      <c r="E486" s="23" t="s">
        <v>1139</v>
      </c>
      <c r="F486" s="32">
        <v>-49.57</v>
      </c>
      <c r="G486" s="38" t="str">
        <f ca="1">IFERROR(_xludf.XLOOKUP(E486,Bank_Statement!$D$4:$D$448,Bank_Statement!$G$4:$G$448,""),"")</f>
        <v/>
      </c>
      <c r="H486" s="32" t="str">
        <f t="shared" ca="1" si="21"/>
        <v/>
      </c>
      <c r="I486" s="39" t="str">
        <f ca="1">IFERROR(_xludf.XLOOKUP(E486,Bank_Statement!$D$4:$D$448,Bank_Statement!$B$4:$B$448,""),"")</f>
        <v/>
      </c>
      <c r="J486" s="40" t="str">
        <f t="shared" ca="1" si="22"/>
        <v/>
      </c>
      <c r="K486" s="41" t="str">
        <f ca="1">IF(G486="","Unmatched ERP",IF(AND(ABS(H486)&lt;=Mapping_Rules!$B$4,ABS(J486)&lt;=Mapping_Rules!$B$5),"Matched","Review"))</f>
        <v>Unmatched ERP</v>
      </c>
      <c r="L486" s="41" t="str">
        <f ca="1">IF(K486="Matched","None",IF(G486="","Missing from bank",IF(ABS(H486)&gt;Mapping_Rules!$B$4,"Amount variance","Date variance")))</f>
        <v>Missing from bank</v>
      </c>
      <c r="M486" s="41" t="str">
        <f ca="1">IF(K486="Matched","Low",IF(OR(IFERROR(ABS(H486),0)&gt;Mapping_Rules!$B$7,IFERROR(J486,0)&gt;Mapping_Rules!$B$8),"High","Medium"))</f>
        <v>High</v>
      </c>
      <c r="N486" s="41" t="str">
        <f t="shared" ca="1" si="23"/>
        <v>Check bank date or posting</v>
      </c>
      <c r="O486" s="23" t="s">
        <v>194</v>
      </c>
      <c r="P486" s="23" t="s">
        <v>95</v>
      </c>
      <c r="Q486" s="23" t="s">
        <v>1689</v>
      </c>
      <c r="R486" s="42"/>
      <c r="S486" s="43">
        <f ca="1">IF(K486="Matched",0,Mapping_Rules!$B$6-B486)</f>
        <v>29</v>
      </c>
    </row>
    <row r="487" spans="1:19">
      <c r="A487" s="44" t="s">
        <v>1140</v>
      </c>
      <c r="B487" s="45">
        <v>46050</v>
      </c>
      <c r="C487" s="44" t="s">
        <v>90</v>
      </c>
      <c r="D487" s="44" t="s">
        <v>220</v>
      </c>
      <c r="E487" s="44" t="s">
        <v>1141</v>
      </c>
      <c r="F487" s="46">
        <v>-4158.42</v>
      </c>
      <c r="G487" s="47" t="str">
        <f ca="1">IFERROR(_xludf.XLOOKUP(E487,Bank_Statement!$D$4:$D$448,Bank_Statement!$G$4:$G$448,""),"")</f>
        <v/>
      </c>
      <c r="H487" s="46" t="str">
        <f t="shared" ca="1" si="21"/>
        <v/>
      </c>
      <c r="I487" s="48" t="str">
        <f ca="1">IFERROR(_xludf.XLOOKUP(E487,Bank_Statement!$D$4:$D$448,Bank_Statement!$B$4:$B$448,""),"")</f>
        <v/>
      </c>
      <c r="J487" s="49" t="str">
        <f t="shared" ca="1" si="22"/>
        <v/>
      </c>
      <c r="K487" s="50" t="str">
        <f ca="1">IF(G487="","Unmatched ERP",IF(AND(ABS(H487)&lt;=Mapping_Rules!$B$4,ABS(J487)&lt;=Mapping_Rules!$B$5),"Matched","Review"))</f>
        <v>Unmatched ERP</v>
      </c>
      <c r="L487" s="50" t="str">
        <f ca="1">IF(K487="Matched","None",IF(G487="","Missing from bank",IF(ABS(H487)&gt;Mapping_Rules!$B$4,"Amount variance","Date variance")))</f>
        <v>Missing from bank</v>
      </c>
      <c r="M487" s="50" t="str">
        <f ca="1">IF(K487="Matched","Low",IF(OR(IFERROR(ABS(H487),0)&gt;Mapping_Rules!$B$7,IFERROR(J487,0)&gt;Mapping_Rules!$B$8),"High","Medium"))</f>
        <v>High</v>
      </c>
      <c r="N487" s="50" t="str">
        <f t="shared" ca="1" si="23"/>
        <v>Check bank date or posting</v>
      </c>
      <c r="O487" s="44" t="s">
        <v>426</v>
      </c>
      <c r="P487" s="44" t="s">
        <v>95</v>
      </c>
      <c r="Q487" s="44" t="s">
        <v>1689</v>
      </c>
      <c r="R487" s="51"/>
      <c r="S487" s="52">
        <f ca="1">IF(K487="Matched",0,Mapping_Rules!$B$6-B487)</f>
        <v>3</v>
      </c>
    </row>
    <row r="488" spans="1:19">
      <c r="A488" s="23" t="s">
        <v>1142</v>
      </c>
      <c r="B488" s="31">
        <v>46053</v>
      </c>
      <c r="C488" s="23" t="s">
        <v>72</v>
      </c>
      <c r="D488" s="23" t="s">
        <v>150</v>
      </c>
      <c r="E488" s="23" t="s">
        <v>1143</v>
      </c>
      <c r="F488" s="32">
        <v>-1165.8499999999999</v>
      </c>
      <c r="G488" s="38" t="str">
        <f ca="1">IFERROR(_xludf.XLOOKUP(E488,Bank_Statement!$D$4:$D$448,Bank_Statement!$G$4:$G$448,""),"")</f>
        <v/>
      </c>
      <c r="H488" s="32" t="str">
        <f t="shared" ca="1" si="21"/>
        <v/>
      </c>
      <c r="I488" s="39" t="str">
        <f ca="1">IFERROR(_xludf.XLOOKUP(E488,Bank_Statement!$D$4:$D$448,Bank_Statement!$B$4:$B$448,""),"")</f>
        <v/>
      </c>
      <c r="J488" s="40" t="str">
        <f t="shared" ca="1" si="22"/>
        <v/>
      </c>
      <c r="K488" s="41" t="str">
        <f ca="1">IF(G488="","Unmatched ERP",IF(AND(ABS(H488)&lt;=Mapping_Rules!$B$4,ABS(J488)&lt;=Mapping_Rules!$B$5),"Matched","Review"))</f>
        <v>Unmatched ERP</v>
      </c>
      <c r="L488" s="41" t="str">
        <f ca="1">IF(K488="Matched","None",IF(G488="","Missing from bank",IF(ABS(H488)&gt;Mapping_Rules!$B$4,"Amount variance","Date variance")))</f>
        <v>Missing from bank</v>
      </c>
      <c r="M488" s="41" t="str">
        <f ca="1">IF(K488="Matched","Low",IF(OR(IFERROR(ABS(H488),0)&gt;Mapping_Rules!$B$7,IFERROR(J488,0)&gt;Mapping_Rules!$B$8),"High","Medium"))</f>
        <v>High</v>
      </c>
      <c r="N488" s="41" t="str">
        <f t="shared" ca="1" si="23"/>
        <v>Check bank date or posting</v>
      </c>
      <c r="O488" s="23" t="s">
        <v>131</v>
      </c>
      <c r="P488" s="23" t="s">
        <v>77</v>
      </c>
      <c r="Q488" s="23" t="s">
        <v>1689</v>
      </c>
      <c r="R488" s="42"/>
      <c r="S488" s="43">
        <f ca="1">IF(K488="Matched",0,Mapping_Rules!$B$6-B488)</f>
        <v>0</v>
      </c>
    </row>
    <row r="489" spans="1:19">
      <c r="A489" s="44" t="s">
        <v>1144</v>
      </c>
      <c r="B489" s="45">
        <v>46046</v>
      </c>
      <c r="C489" s="44" t="s">
        <v>81</v>
      </c>
      <c r="D489" s="44" t="s">
        <v>163</v>
      </c>
      <c r="E489" s="44" t="s">
        <v>1145</v>
      </c>
      <c r="F489" s="46">
        <v>489.3</v>
      </c>
      <c r="G489" s="47" t="str">
        <f ca="1">IFERROR(_xludf.XLOOKUP(E489,Bank_Statement!$D$4:$D$448,Bank_Statement!$G$4:$G$448,""),"")</f>
        <v/>
      </c>
      <c r="H489" s="46" t="str">
        <f t="shared" ca="1" si="21"/>
        <v/>
      </c>
      <c r="I489" s="48" t="str">
        <f ca="1">IFERROR(_xludf.XLOOKUP(E489,Bank_Statement!$D$4:$D$448,Bank_Statement!$B$4:$B$448,""),"")</f>
        <v/>
      </c>
      <c r="J489" s="49" t="str">
        <f t="shared" ca="1" si="22"/>
        <v/>
      </c>
      <c r="K489" s="50" t="str">
        <f ca="1">IF(G489="","Unmatched ERP",IF(AND(ABS(H489)&lt;=Mapping_Rules!$B$4,ABS(J489)&lt;=Mapping_Rules!$B$5),"Matched","Review"))</f>
        <v>Unmatched ERP</v>
      </c>
      <c r="L489" s="50" t="str">
        <f ca="1">IF(K489="Matched","None",IF(G489="","Missing from bank",IF(ABS(H489)&gt;Mapping_Rules!$B$4,"Amount variance","Date variance")))</f>
        <v>Missing from bank</v>
      </c>
      <c r="M489" s="50" t="str">
        <f ca="1">IF(K489="Matched","Low",IF(OR(IFERROR(ABS(H489),0)&gt;Mapping_Rules!$B$7,IFERROR(J489,0)&gt;Mapping_Rules!$B$8),"High","Medium"))</f>
        <v>High</v>
      </c>
      <c r="N489" s="50" t="str">
        <f t="shared" ca="1" si="23"/>
        <v>Check bank date or posting</v>
      </c>
      <c r="O489" s="44" t="s">
        <v>158</v>
      </c>
      <c r="P489" s="44" t="s">
        <v>86</v>
      </c>
      <c r="Q489" s="44" t="s">
        <v>1689</v>
      </c>
      <c r="R489" s="51"/>
      <c r="S489" s="52">
        <f ca="1">IF(K489="Matched",0,Mapping_Rules!$B$6-B489)</f>
        <v>7</v>
      </c>
    </row>
    <row r="490" spans="1:19">
      <c r="A490" s="23" t="s">
        <v>1146</v>
      </c>
      <c r="B490" s="31">
        <v>46031</v>
      </c>
      <c r="C490" s="23" t="s">
        <v>72</v>
      </c>
      <c r="D490" s="23" t="s">
        <v>150</v>
      </c>
      <c r="E490" s="23" t="s">
        <v>1147</v>
      </c>
      <c r="F490" s="32">
        <v>-4423.3</v>
      </c>
      <c r="G490" s="38" t="str">
        <f ca="1">IFERROR(_xludf.XLOOKUP(E490,Bank_Statement!$D$4:$D$448,Bank_Statement!$G$4:$G$448,""),"")</f>
        <v/>
      </c>
      <c r="H490" s="32" t="str">
        <f t="shared" ca="1" si="21"/>
        <v/>
      </c>
      <c r="I490" s="39" t="str">
        <f ca="1">IFERROR(_xludf.XLOOKUP(E490,Bank_Statement!$D$4:$D$448,Bank_Statement!$B$4:$B$448,""),"")</f>
        <v/>
      </c>
      <c r="J490" s="40" t="str">
        <f t="shared" ca="1" si="22"/>
        <v/>
      </c>
      <c r="K490" s="41" t="str">
        <f ca="1">IF(G490="","Unmatched ERP",IF(AND(ABS(H490)&lt;=Mapping_Rules!$B$4,ABS(J490)&lt;=Mapping_Rules!$B$5),"Matched","Review"))</f>
        <v>Unmatched ERP</v>
      </c>
      <c r="L490" s="41" t="str">
        <f ca="1">IF(K490="Matched","None",IF(G490="","Missing from bank",IF(ABS(H490)&gt;Mapping_Rules!$B$4,"Amount variance","Date variance")))</f>
        <v>Missing from bank</v>
      </c>
      <c r="M490" s="41" t="str">
        <f ca="1">IF(K490="Matched","Low",IF(OR(IFERROR(ABS(H490),0)&gt;Mapping_Rules!$B$7,IFERROR(J490,0)&gt;Mapping_Rules!$B$8),"High","Medium"))</f>
        <v>High</v>
      </c>
      <c r="N490" s="41" t="str">
        <f t="shared" ca="1" si="23"/>
        <v>Check bank date or posting</v>
      </c>
      <c r="O490" s="23" t="s">
        <v>131</v>
      </c>
      <c r="P490" s="23" t="s">
        <v>77</v>
      </c>
      <c r="Q490" s="23" t="s">
        <v>1689</v>
      </c>
      <c r="R490" s="42"/>
      <c r="S490" s="43">
        <f ca="1">IF(K490="Matched",0,Mapping_Rules!$B$6-B490)</f>
        <v>22</v>
      </c>
    </row>
    <row r="491" spans="1:19">
      <c r="A491" s="44" t="s">
        <v>1148</v>
      </c>
      <c r="B491" s="45">
        <v>46047</v>
      </c>
      <c r="C491" s="44" t="s">
        <v>107</v>
      </c>
      <c r="D491" s="44" t="s">
        <v>191</v>
      </c>
      <c r="E491" s="44" t="s">
        <v>1149</v>
      </c>
      <c r="F491" s="46">
        <v>-75.790000000000006</v>
      </c>
      <c r="G491" s="47" t="str">
        <f ca="1">IFERROR(_xludf.XLOOKUP(E491,Bank_Statement!$D$4:$D$448,Bank_Statement!$G$4:$G$448,""),"")</f>
        <v/>
      </c>
      <c r="H491" s="46" t="str">
        <f t="shared" ca="1" si="21"/>
        <v/>
      </c>
      <c r="I491" s="48" t="str">
        <f ca="1">IFERROR(_xludf.XLOOKUP(E491,Bank_Statement!$D$4:$D$448,Bank_Statement!$B$4:$B$448,""),"")</f>
        <v/>
      </c>
      <c r="J491" s="49" t="str">
        <f t="shared" ca="1" si="22"/>
        <v/>
      </c>
      <c r="K491" s="50" t="str">
        <f ca="1">IF(G491="","Unmatched ERP",IF(AND(ABS(H491)&lt;=Mapping_Rules!$B$4,ABS(J491)&lt;=Mapping_Rules!$B$5),"Matched","Review"))</f>
        <v>Unmatched ERP</v>
      </c>
      <c r="L491" s="50" t="str">
        <f ca="1">IF(K491="Matched","None",IF(G491="","Missing from bank",IF(ABS(H491)&gt;Mapping_Rules!$B$4,"Amount variance","Date variance")))</f>
        <v>Missing from bank</v>
      </c>
      <c r="M491" s="50" t="str">
        <f ca="1">IF(K491="Matched","Low",IF(OR(IFERROR(ABS(H491),0)&gt;Mapping_Rules!$B$7,IFERROR(J491,0)&gt;Mapping_Rules!$B$8),"High","Medium"))</f>
        <v>High</v>
      </c>
      <c r="N491" s="50" t="str">
        <f t="shared" ca="1" si="23"/>
        <v>Check bank date or posting</v>
      </c>
      <c r="O491" s="44" t="s">
        <v>194</v>
      </c>
      <c r="P491" s="44" t="s">
        <v>95</v>
      </c>
      <c r="Q491" s="44" t="s">
        <v>1689</v>
      </c>
      <c r="R491" s="51"/>
      <c r="S491" s="52">
        <f ca="1">IF(K491="Matched",0,Mapping_Rules!$B$6-B491)</f>
        <v>6</v>
      </c>
    </row>
    <row r="492" spans="1:19">
      <c r="A492" s="23" t="s">
        <v>1150</v>
      </c>
      <c r="B492" s="31">
        <v>46045</v>
      </c>
      <c r="C492" s="23" t="s">
        <v>72</v>
      </c>
      <c r="D492" s="23" t="s">
        <v>133</v>
      </c>
      <c r="E492" s="23" t="s">
        <v>1151</v>
      </c>
      <c r="F492" s="32">
        <v>-5936.76</v>
      </c>
      <c r="G492" s="38" t="str">
        <f ca="1">IFERROR(_xludf.XLOOKUP(E492,Bank_Statement!$D$4:$D$448,Bank_Statement!$G$4:$G$448,""),"")</f>
        <v/>
      </c>
      <c r="H492" s="32" t="str">
        <f t="shared" ca="1" si="21"/>
        <v/>
      </c>
      <c r="I492" s="39" t="str">
        <f ca="1">IFERROR(_xludf.XLOOKUP(E492,Bank_Statement!$D$4:$D$448,Bank_Statement!$B$4:$B$448,""),"")</f>
        <v/>
      </c>
      <c r="J492" s="40" t="str">
        <f t="shared" ca="1" si="22"/>
        <v/>
      </c>
      <c r="K492" s="41" t="str">
        <f ca="1">IF(G492="","Unmatched ERP",IF(AND(ABS(H492)&lt;=Mapping_Rules!$B$4,ABS(J492)&lt;=Mapping_Rules!$B$5),"Matched","Review"))</f>
        <v>Unmatched ERP</v>
      </c>
      <c r="L492" s="41" t="str">
        <f ca="1">IF(K492="Matched","None",IF(G492="","Missing from bank",IF(ABS(H492)&gt;Mapping_Rules!$B$4,"Amount variance","Date variance")))</f>
        <v>Missing from bank</v>
      </c>
      <c r="M492" s="41" t="str">
        <f ca="1">IF(K492="Matched","Low",IF(OR(IFERROR(ABS(H492),0)&gt;Mapping_Rules!$B$7,IFERROR(J492,0)&gt;Mapping_Rules!$B$8),"High","Medium"))</f>
        <v>High</v>
      </c>
      <c r="N492" s="41" t="str">
        <f t="shared" ca="1" si="23"/>
        <v>Check bank date or posting</v>
      </c>
      <c r="O492" s="23" t="s">
        <v>131</v>
      </c>
      <c r="P492" s="23" t="s">
        <v>77</v>
      </c>
      <c r="Q492" s="23" t="s">
        <v>1689</v>
      </c>
      <c r="R492" s="42"/>
      <c r="S492" s="43">
        <f ca="1">IF(K492="Matched",0,Mapping_Rules!$B$6-B492)</f>
        <v>8</v>
      </c>
    </row>
    <row r="493" spans="1:19">
      <c r="A493" s="44" t="s">
        <v>1152</v>
      </c>
      <c r="B493" s="45">
        <v>46040</v>
      </c>
      <c r="C493" s="44" t="s">
        <v>81</v>
      </c>
      <c r="D493" s="44" t="s">
        <v>214</v>
      </c>
      <c r="E493" s="44" t="s">
        <v>1153</v>
      </c>
      <c r="F493" s="46">
        <v>1997</v>
      </c>
      <c r="G493" s="47" t="str">
        <f ca="1">IFERROR(_xludf.XLOOKUP(E493,Bank_Statement!$D$4:$D$448,Bank_Statement!$G$4:$G$448,""),"")</f>
        <v/>
      </c>
      <c r="H493" s="46" t="str">
        <f t="shared" ca="1" si="21"/>
        <v/>
      </c>
      <c r="I493" s="48" t="str">
        <f ca="1">IFERROR(_xludf.XLOOKUP(E493,Bank_Statement!$D$4:$D$448,Bank_Statement!$B$4:$B$448,""),"")</f>
        <v/>
      </c>
      <c r="J493" s="49" t="str">
        <f t="shared" ca="1" si="22"/>
        <v/>
      </c>
      <c r="K493" s="50" t="str">
        <f ca="1">IF(G493="","Unmatched ERP",IF(AND(ABS(H493)&lt;=Mapping_Rules!$B$4,ABS(J493)&lt;=Mapping_Rules!$B$5),"Matched","Review"))</f>
        <v>Unmatched ERP</v>
      </c>
      <c r="L493" s="50" t="str">
        <f ca="1">IF(K493="Matched","None",IF(G493="","Missing from bank",IF(ABS(H493)&gt;Mapping_Rules!$B$4,"Amount variance","Date variance")))</f>
        <v>Missing from bank</v>
      </c>
      <c r="M493" s="50" t="str">
        <f ca="1">IF(K493="Matched","Low",IF(OR(IFERROR(ABS(H493),0)&gt;Mapping_Rules!$B$7,IFERROR(J493,0)&gt;Mapping_Rules!$B$8),"High","Medium"))</f>
        <v>High</v>
      </c>
      <c r="N493" s="50" t="str">
        <f t="shared" ca="1" si="23"/>
        <v>Check bank date or posting</v>
      </c>
      <c r="O493" s="44" t="s">
        <v>158</v>
      </c>
      <c r="P493" s="44" t="s">
        <v>86</v>
      </c>
      <c r="Q493" s="44" t="s">
        <v>1689</v>
      </c>
      <c r="R493" s="51"/>
      <c r="S493" s="52">
        <f ca="1">IF(K493="Matched",0,Mapping_Rules!$B$6-B493)</f>
        <v>13</v>
      </c>
    </row>
    <row r="494" spans="1:19">
      <c r="A494" s="23" t="s">
        <v>1154</v>
      </c>
      <c r="B494" s="31">
        <v>46047</v>
      </c>
      <c r="C494" s="23" t="s">
        <v>81</v>
      </c>
      <c r="D494" s="23" t="s">
        <v>163</v>
      </c>
      <c r="E494" s="23" t="s">
        <v>1155</v>
      </c>
      <c r="F494" s="32">
        <v>8471.8700000000008</v>
      </c>
      <c r="G494" s="38" t="str">
        <f ca="1">IFERROR(_xludf.XLOOKUP(E494,Bank_Statement!$D$4:$D$448,Bank_Statement!$G$4:$G$448,""),"")</f>
        <v/>
      </c>
      <c r="H494" s="32" t="str">
        <f t="shared" ca="1" si="21"/>
        <v/>
      </c>
      <c r="I494" s="39" t="str">
        <f ca="1">IFERROR(_xludf.XLOOKUP(E494,Bank_Statement!$D$4:$D$448,Bank_Statement!$B$4:$B$448,""),"")</f>
        <v/>
      </c>
      <c r="J494" s="40" t="str">
        <f t="shared" ca="1" si="22"/>
        <v/>
      </c>
      <c r="K494" s="41" t="str">
        <f ca="1">IF(G494="","Unmatched ERP",IF(AND(ABS(H494)&lt;=Mapping_Rules!$B$4,ABS(J494)&lt;=Mapping_Rules!$B$5),"Matched","Review"))</f>
        <v>Unmatched ERP</v>
      </c>
      <c r="L494" s="41" t="str">
        <f ca="1">IF(K494="Matched","None",IF(G494="","Missing from bank",IF(ABS(H494)&gt;Mapping_Rules!$B$4,"Amount variance","Date variance")))</f>
        <v>Missing from bank</v>
      </c>
      <c r="M494" s="41" t="str">
        <f ca="1">IF(K494="Matched","Low",IF(OR(IFERROR(ABS(H494),0)&gt;Mapping_Rules!$B$7,IFERROR(J494,0)&gt;Mapping_Rules!$B$8),"High","Medium"))</f>
        <v>High</v>
      </c>
      <c r="N494" s="41" t="str">
        <f t="shared" ca="1" si="23"/>
        <v>Check bank date or posting</v>
      </c>
      <c r="O494" s="23" t="s">
        <v>158</v>
      </c>
      <c r="P494" s="23" t="s">
        <v>86</v>
      </c>
      <c r="Q494" s="23" t="s">
        <v>1689</v>
      </c>
      <c r="R494" s="42"/>
      <c r="S494" s="43">
        <f ca="1">IF(K494="Matched",0,Mapping_Rules!$B$6-B494)</f>
        <v>6</v>
      </c>
    </row>
    <row r="495" spans="1:19">
      <c r="A495" s="44" t="s">
        <v>1156</v>
      </c>
      <c r="B495" s="45">
        <v>46043</v>
      </c>
      <c r="C495" s="44" t="s">
        <v>81</v>
      </c>
      <c r="D495" s="44" t="s">
        <v>167</v>
      </c>
      <c r="E495" s="44" t="s">
        <v>1157</v>
      </c>
      <c r="F495" s="46">
        <v>2185.96</v>
      </c>
      <c r="G495" s="47" t="str">
        <f ca="1">IFERROR(_xludf.XLOOKUP(E495,Bank_Statement!$D$4:$D$448,Bank_Statement!$G$4:$G$448,""),"")</f>
        <v/>
      </c>
      <c r="H495" s="46" t="str">
        <f t="shared" ca="1" si="21"/>
        <v/>
      </c>
      <c r="I495" s="48" t="str">
        <f ca="1">IFERROR(_xludf.XLOOKUP(E495,Bank_Statement!$D$4:$D$448,Bank_Statement!$B$4:$B$448,""),"")</f>
        <v/>
      </c>
      <c r="J495" s="49" t="str">
        <f t="shared" ca="1" si="22"/>
        <v/>
      </c>
      <c r="K495" s="50" t="str">
        <f ca="1">IF(G495="","Unmatched ERP",IF(AND(ABS(H495)&lt;=Mapping_Rules!$B$4,ABS(J495)&lt;=Mapping_Rules!$B$5),"Matched","Review"))</f>
        <v>Unmatched ERP</v>
      </c>
      <c r="L495" s="50" t="str">
        <f ca="1">IF(K495="Matched","None",IF(G495="","Missing from bank",IF(ABS(H495)&gt;Mapping_Rules!$B$4,"Amount variance","Date variance")))</f>
        <v>Missing from bank</v>
      </c>
      <c r="M495" s="50" t="str">
        <f ca="1">IF(K495="Matched","Low",IF(OR(IFERROR(ABS(H495),0)&gt;Mapping_Rules!$B$7,IFERROR(J495,0)&gt;Mapping_Rules!$B$8),"High","Medium"))</f>
        <v>High</v>
      </c>
      <c r="N495" s="50" t="str">
        <f t="shared" ca="1" si="23"/>
        <v>Check bank date or posting</v>
      </c>
      <c r="O495" s="44" t="s">
        <v>158</v>
      </c>
      <c r="P495" s="44" t="s">
        <v>86</v>
      </c>
      <c r="Q495" s="44" t="s">
        <v>1689</v>
      </c>
      <c r="R495" s="51"/>
      <c r="S495" s="52">
        <f ca="1">IF(K495="Matched",0,Mapping_Rules!$B$6-B495)</f>
        <v>10</v>
      </c>
    </row>
    <row r="496" spans="1:19">
      <c r="A496" s="23" t="s">
        <v>1158</v>
      </c>
      <c r="B496" s="31">
        <v>46040</v>
      </c>
      <c r="C496" s="23" t="s">
        <v>90</v>
      </c>
      <c r="D496" s="23" t="s">
        <v>144</v>
      </c>
      <c r="E496" s="23" t="s">
        <v>1159</v>
      </c>
      <c r="F496" s="32">
        <v>-4561.1099999999997</v>
      </c>
      <c r="G496" s="38" t="str">
        <f ca="1">IFERROR(_xludf.XLOOKUP(E496,Bank_Statement!$D$4:$D$448,Bank_Statement!$G$4:$G$448,""),"")</f>
        <v/>
      </c>
      <c r="H496" s="32" t="str">
        <f t="shared" ca="1" si="21"/>
        <v/>
      </c>
      <c r="I496" s="39" t="str">
        <f ca="1">IFERROR(_xludf.XLOOKUP(E496,Bank_Statement!$D$4:$D$448,Bank_Statement!$B$4:$B$448,""),"")</f>
        <v/>
      </c>
      <c r="J496" s="40" t="str">
        <f t="shared" ca="1" si="22"/>
        <v/>
      </c>
      <c r="K496" s="41" t="str">
        <f ca="1">IF(G496="","Unmatched ERP",IF(AND(ABS(H496)&lt;=Mapping_Rules!$B$4,ABS(J496)&lt;=Mapping_Rules!$B$5),"Matched","Review"))</f>
        <v>Unmatched ERP</v>
      </c>
      <c r="L496" s="41" t="str">
        <f ca="1">IF(K496="Matched","None",IF(G496="","Missing from bank",IF(ABS(H496)&gt;Mapping_Rules!$B$4,"Amount variance","Date variance")))</f>
        <v>Missing from bank</v>
      </c>
      <c r="M496" s="41" t="str">
        <f ca="1">IF(K496="Matched","Low",IF(OR(IFERROR(ABS(H496),0)&gt;Mapping_Rules!$B$7,IFERROR(J496,0)&gt;Mapping_Rules!$B$8),"High","Medium"))</f>
        <v>High</v>
      </c>
      <c r="N496" s="41" t="str">
        <f t="shared" ca="1" si="23"/>
        <v>Check bank date or posting</v>
      </c>
      <c r="O496" s="23" t="s">
        <v>426</v>
      </c>
      <c r="P496" s="23" t="s">
        <v>95</v>
      </c>
      <c r="Q496" s="23" t="s">
        <v>1689</v>
      </c>
      <c r="R496" s="42"/>
      <c r="S496" s="43">
        <f ca="1">IF(K496="Matched",0,Mapping_Rules!$B$6-B496)</f>
        <v>13</v>
      </c>
    </row>
    <row r="497" spans="1:19">
      <c r="A497" s="44" t="s">
        <v>1160</v>
      </c>
      <c r="B497" s="45">
        <v>46043</v>
      </c>
      <c r="C497" s="44" t="s">
        <v>72</v>
      </c>
      <c r="D497" s="44" t="s">
        <v>204</v>
      </c>
      <c r="E497" s="44" t="s">
        <v>1161</v>
      </c>
      <c r="F497" s="46">
        <v>-583.95000000000005</v>
      </c>
      <c r="G497" s="47" t="str">
        <f ca="1">IFERROR(_xludf.XLOOKUP(E497,Bank_Statement!$D$4:$D$448,Bank_Statement!$G$4:$G$448,""),"")</f>
        <v/>
      </c>
      <c r="H497" s="46" t="str">
        <f t="shared" ca="1" si="21"/>
        <v/>
      </c>
      <c r="I497" s="48" t="str">
        <f ca="1">IFERROR(_xludf.XLOOKUP(E497,Bank_Statement!$D$4:$D$448,Bank_Statement!$B$4:$B$448,""),"")</f>
        <v/>
      </c>
      <c r="J497" s="49" t="str">
        <f t="shared" ca="1" si="22"/>
        <v/>
      </c>
      <c r="K497" s="50" t="str">
        <f ca="1">IF(G497="","Unmatched ERP",IF(AND(ABS(H497)&lt;=Mapping_Rules!$B$4,ABS(J497)&lt;=Mapping_Rules!$B$5),"Matched","Review"))</f>
        <v>Unmatched ERP</v>
      </c>
      <c r="L497" s="50" t="str">
        <f ca="1">IF(K497="Matched","None",IF(G497="","Missing from bank",IF(ABS(H497)&gt;Mapping_Rules!$B$4,"Amount variance","Date variance")))</f>
        <v>Missing from bank</v>
      </c>
      <c r="M497" s="50" t="str">
        <f ca="1">IF(K497="Matched","Low",IF(OR(IFERROR(ABS(H497),0)&gt;Mapping_Rules!$B$7,IFERROR(J497,0)&gt;Mapping_Rules!$B$8),"High","Medium"))</f>
        <v>High</v>
      </c>
      <c r="N497" s="50" t="str">
        <f t="shared" ca="1" si="23"/>
        <v>Check bank date or posting</v>
      </c>
      <c r="O497" s="44" t="s">
        <v>131</v>
      </c>
      <c r="P497" s="44" t="s">
        <v>77</v>
      </c>
      <c r="Q497" s="44" t="s">
        <v>1689</v>
      </c>
      <c r="R497" s="51"/>
      <c r="S497" s="52">
        <f ca="1">IF(K497="Matched",0,Mapping_Rules!$B$6-B497)</f>
        <v>10</v>
      </c>
    </row>
    <row r="498" spans="1:19">
      <c r="A498" s="23" t="s">
        <v>1162</v>
      </c>
      <c r="B498" s="31">
        <v>46047</v>
      </c>
      <c r="C498" s="23" t="s">
        <v>81</v>
      </c>
      <c r="D498" s="23" t="s">
        <v>220</v>
      </c>
      <c r="E498" s="23" t="s">
        <v>1163</v>
      </c>
      <c r="F498" s="32">
        <v>5384.89</v>
      </c>
      <c r="G498" s="38" t="str">
        <f ca="1">IFERROR(_xludf.XLOOKUP(E498,Bank_Statement!$D$4:$D$448,Bank_Statement!$G$4:$G$448,""),"")</f>
        <v/>
      </c>
      <c r="H498" s="32" t="str">
        <f t="shared" ca="1" si="21"/>
        <v/>
      </c>
      <c r="I498" s="39" t="str">
        <f ca="1">IFERROR(_xludf.XLOOKUP(E498,Bank_Statement!$D$4:$D$448,Bank_Statement!$B$4:$B$448,""),"")</f>
        <v/>
      </c>
      <c r="J498" s="40" t="str">
        <f t="shared" ca="1" si="22"/>
        <v/>
      </c>
      <c r="K498" s="41" t="str">
        <f ca="1">IF(G498="","Unmatched ERP",IF(AND(ABS(H498)&lt;=Mapping_Rules!$B$4,ABS(J498)&lt;=Mapping_Rules!$B$5),"Matched","Review"))</f>
        <v>Unmatched ERP</v>
      </c>
      <c r="L498" s="41" t="str">
        <f ca="1">IF(K498="Matched","None",IF(G498="","Missing from bank",IF(ABS(H498)&gt;Mapping_Rules!$B$4,"Amount variance","Date variance")))</f>
        <v>Missing from bank</v>
      </c>
      <c r="M498" s="41" t="str">
        <f ca="1">IF(K498="Matched","Low",IF(OR(IFERROR(ABS(H498),0)&gt;Mapping_Rules!$B$7,IFERROR(J498,0)&gt;Mapping_Rules!$B$8),"High","Medium"))</f>
        <v>High</v>
      </c>
      <c r="N498" s="41" t="str">
        <f t="shared" ca="1" si="23"/>
        <v>Check bank date or posting</v>
      </c>
      <c r="O498" s="23" t="s">
        <v>158</v>
      </c>
      <c r="P498" s="23" t="s">
        <v>86</v>
      </c>
      <c r="Q498" s="23" t="s">
        <v>1689</v>
      </c>
      <c r="R498" s="42"/>
      <c r="S498" s="43">
        <f ca="1">IF(K498="Matched",0,Mapping_Rules!$B$6-B498)</f>
        <v>6</v>
      </c>
    </row>
    <row r="499" spans="1:19">
      <c r="A499" s="44" t="s">
        <v>1164</v>
      </c>
      <c r="B499" s="45">
        <v>46036</v>
      </c>
      <c r="C499" s="44" t="s">
        <v>99</v>
      </c>
      <c r="D499" s="44" t="s">
        <v>182</v>
      </c>
      <c r="E499" s="44" t="s">
        <v>1165</v>
      </c>
      <c r="F499" s="46">
        <v>-5480.9</v>
      </c>
      <c r="G499" s="47" t="str">
        <f ca="1">IFERROR(_xludf.XLOOKUP(E499,Bank_Statement!$D$4:$D$448,Bank_Statement!$G$4:$G$448,""),"")</f>
        <v/>
      </c>
      <c r="H499" s="46" t="str">
        <f t="shared" ca="1" si="21"/>
        <v/>
      </c>
      <c r="I499" s="48" t="str">
        <f ca="1">IFERROR(_xludf.XLOOKUP(E499,Bank_Statement!$D$4:$D$448,Bank_Statement!$B$4:$B$448,""),"")</f>
        <v/>
      </c>
      <c r="J499" s="49" t="str">
        <f t="shared" ca="1" si="22"/>
        <v/>
      </c>
      <c r="K499" s="50" t="str">
        <f ca="1">IF(G499="","Unmatched ERP",IF(AND(ABS(H499)&lt;=Mapping_Rules!$B$4,ABS(J499)&lt;=Mapping_Rules!$B$5),"Matched","Review"))</f>
        <v>Unmatched ERP</v>
      </c>
      <c r="L499" s="50" t="str">
        <f ca="1">IF(K499="Matched","None",IF(G499="","Missing from bank",IF(ABS(H499)&gt;Mapping_Rules!$B$4,"Amount variance","Date variance")))</f>
        <v>Missing from bank</v>
      </c>
      <c r="M499" s="50" t="str">
        <f ca="1">IF(K499="Matched","Low",IF(OR(IFERROR(ABS(H499),0)&gt;Mapping_Rules!$B$7,IFERROR(J499,0)&gt;Mapping_Rules!$B$8),"High","Medium"))</f>
        <v>High</v>
      </c>
      <c r="N499" s="50" t="str">
        <f t="shared" ca="1" si="23"/>
        <v>Check bank date or posting</v>
      </c>
      <c r="O499" s="44" t="s">
        <v>185</v>
      </c>
      <c r="P499" s="44" t="s">
        <v>95</v>
      </c>
      <c r="Q499" s="44" t="s">
        <v>1689</v>
      </c>
      <c r="R499" s="51"/>
      <c r="S499" s="52">
        <f ca="1">IF(K499="Matched",0,Mapping_Rules!$B$6-B499)</f>
        <v>17</v>
      </c>
    </row>
    <row r="500" spans="1:19">
      <c r="A500" s="23" t="s">
        <v>1166</v>
      </c>
      <c r="B500" s="31">
        <v>46024</v>
      </c>
      <c r="C500" s="23" t="s">
        <v>72</v>
      </c>
      <c r="D500" s="23" t="s">
        <v>144</v>
      </c>
      <c r="E500" s="23" t="s">
        <v>1167</v>
      </c>
      <c r="F500" s="32">
        <v>-1169.31</v>
      </c>
      <c r="G500" s="38" t="str">
        <f ca="1">IFERROR(_xludf.XLOOKUP(E500,Bank_Statement!$D$4:$D$448,Bank_Statement!$G$4:$G$448,""),"")</f>
        <v/>
      </c>
      <c r="H500" s="32" t="str">
        <f t="shared" ca="1" si="21"/>
        <v/>
      </c>
      <c r="I500" s="39" t="str">
        <f ca="1">IFERROR(_xludf.XLOOKUP(E500,Bank_Statement!$D$4:$D$448,Bank_Statement!$B$4:$B$448,""),"")</f>
        <v/>
      </c>
      <c r="J500" s="40" t="str">
        <f t="shared" ca="1" si="22"/>
        <v/>
      </c>
      <c r="K500" s="41" t="str">
        <f ca="1">IF(G500="","Unmatched ERP",IF(AND(ABS(H500)&lt;=Mapping_Rules!$B$4,ABS(J500)&lt;=Mapping_Rules!$B$5),"Matched","Review"))</f>
        <v>Unmatched ERP</v>
      </c>
      <c r="L500" s="41" t="str">
        <f ca="1">IF(K500="Matched","None",IF(G500="","Missing from bank",IF(ABS(H500)&gt;Mapping_Rules!$B$4,"Amount variance","Date variance")))</f>
        <v>Missing from bank</v>
      </c>
      <c r="M500" s="41" t="str">
        <f ca="1">IF(K500="Matched","Low",IF(OR(IFERROR(ABS(H500),0)&gt;Mapping_Rules!$B$7,IFERROR(J500,0)&gt;Mapping_Rules!$B$8),"High","Medium"))</f>
        <v>High</v>
      </c>
      <c r="N500" s="41" t="str">
        <f t="shared" ca="1" si="23"/>
        <v>Check bank date or posting</v>
      </c>
      <c r="O500" s="23" t="s">
        <v>131</v>
      </c>
      <c r="P500" s="23" t="s">
        <v>77</v>
      </c>
      <c r="Q500" s="23" t="s">
        <v>1689</v>
      </c>
      <c r="R500" s="42"/>
      <c r="S500" s="43">
        <f ca="1">IF(K500="Matched",0,Mapping_Rules!$B$6-B500)</f>
        <v>29</v>
      </c>
    </row>
    <row r="501" spans="1:19">
      <c r="A501" s="44" t="s">
        <v>1168</v>
      </c>
      <c r="B501" s="45">
        <v>46036</v>
      </c>
      <c r="C501" s="44" t="s">
        <v>81</v>
      </c>
      <c r="D501" s="44" t="s">
        <v>155</v>
      </c>
      <c r="E501" s="44" t="s">
        <v>1169</v>
      </c>
      <c r="F501" s="46">
        <v>3527.14</v>
      </c>
      <c r="G501" s="47" t="str">
        <f ca="1">IFERROR(_xludf.XLOOKUP(E501,Bank_Statement!$D$4:$D$448,Bank_Statement!$G$4:$G$448,""),"")</f>
        <v/>
      </c>
      <c r="H501" s="46" t="str">
        <f t="shared" ca="1" si="21"/>
        <v/>
      </c>
      <c r="I501" s="48" t="str">
        <f ca="1">IFERROR(_xludf.XLOOKUP(E501,Bank_Statement!$D$4:$D$448,Bank_Statement!$B$4:$B$448,""),"")</f>
        <v/>
      </c>
      <c r="J501" s="49" t="str">
        <f t="shared" ca="1" si="22"/>
        <v/>
      </c>
      <c r="K501" s="50" t="str">
        <f ca="1">IF(G501="","Unmatched ERP",IF(AND(ABS(H501)&lt;=Mapping_Rules!$B$4,ABS(J501)&lt;=Mapping_Rules!$B$5),"Matched","Review"))</f>
        <v>Unmatched ERP</v>
      </c>
      <c r="L501" s="50" t="str">
        <f ca="1">IF(K501="Matched","None",IF(G501="","Missing from bank",IF(ABS(H501)&gt;Mapping_Rules!$B$4,"Amount variance","Date variance")))</f>
        <v>Missing from bank</v>
      </c>
      <c r="M501" s="50" t="str">
        <f ca="1">IF(K501="Matched","Low",IF(OR(IFERROR(ABS(H501),0)&gt;Mapping_Rules!$B$7,IFERROR(J501,0)&gt;Mapping_Rules!$B$8),"High","Medium"))</f>
        <v>High</v>
      </c>
      <c r="N501" s="50" t="str">
        <f t="shared" ca="1" si="23"/>
        <v>Check bank date or posting</v>
      </c>
      <c r="O501" s="44" t="s">
        <v>158</v>
      </c>
      <c r="P501" s="44" t="s">
        <v>86</v>
      </c>
      <c r="Q501" s="44" t="s">
        <v>1689</v>
      </c>
      <c r="R501" s="51"/>
      <c r="S501" s="52">
        <f ca="1">IF(K501="Matched",0,Mapping_Rules!$B$6-B501)</f>
        <v>17</v>
      </c>
    </row>
    <row r="502" spans="1:19">
      <c r="A502" s="23" t="s">
        <v>1170</v>
      </c>
      <c r="B502" s="31">
        <v>46043</v>
      </c>
      <c r="C502" s="23" t="s">
        <v>90</v>
      </c>
      <c r="D502" s="23" t="s">
        <v>133</v>
      </c>
      <c r="E502" s="23" t="s">
        <v>1171</v>
      </c>
      <c r="F502" s="32">
        <v>-3792</v>
      </c>
      <c r="G502" s="38" t="str">
        <f ca="1">IFERROR(_xludf.XLOOKUP(E502,Bank_Statement!$D$4:$D$448,Bank_Statement!$G$4:$G$448,""),"")</f>
        <v/>
      </c>
      <c r="H502" s="32" t="str">
        <f t="shared" ca="1" si="21"/>
        <v/>
      </c>
      <c r="I502" s="39" t="str">
        <f ca="1">IFERROR(_xludf.XLOOKUP(E502,Bank_Statement!$D$4:$D$448,Bank_Statement!$B$4:$B$448,""),"")</f>
        <v/>
      </c>
      <c r="J502" s="40" t="str">
        <f t="shared" ca="1" si="22"/>
        <v/>
      </c>
      <c r="K502" s="41" t="str">
        <f ca="1">IF(G502="","Unmatched ERP",IF(AND(ABS(H502)&lt;=Mapping_Rules!$B$4,ABS(J502)&lt;=Mapping_Rules!$B$5),"Matched","Review"))</f>
        <v>Unmatched ERP</v>
      </c>
      <c r="L502" s="41" t="str">
        <f ca="1">IF(K502="Matched","None",IF(G502="","Missing from bank",IF(ABS(H502)&gt;Mapping_Rules!$B$4,"Amount variance","Date variance")))</f>
        <v>Missing from bank</v>
      </c>
      <c r="M502" s="41" t="str">
        <f ca="1">IF(K502="Matched","Low",IF(OR(IFERROR(ABS(H502),0)&gt;Mapping_Rules!$B$7,IFERROR(J502,0)&gt;Mapping_Rules!$B$8),"High","Medium"))</f>
        <v>High</v>
      </c>
      <c r="N502" s="41" t="str">
        <f t="shared" ca="1" si="23"/>
        <v>Check bank date or posting</v>
      </c>
      <c r="O502" s="23" t="s">
        <v>158</v>
      </c>
      <c r="P502" s="23" t="s">
        <v>95</v>
      </c>
      <c r="Q502" s="23" t="s">
        <v>1689</v>
      </c>
      <c r="R502" s="42"/>
      <c r="S502" s="43">
        <f ca="1">IF(K502="Matched",0,Mapping_Rules!$B$6-B502)</f>
        <v>10</v>
      </c>
    </row>
    <row r="503" spans="1:19">
      <c r="A503" s="44" t="s">
        <v>1172</v>
      </c>
      <c r="B503" s="45">
        <v>46032</v>
      </c>
      <c r="C503" s="44" t="s">
        <v>90</v>
      </c>
      <c r="D503" s="44" t="s">
        <v>220</v>
      </c>
      <c r="E503" s="44" t="s">
        <v>1173</v>
      </c>
      <c r="F503" s="46">
        <v>-1938</v>
      </c>
      <c r="G503" s="47" t="str">
        <f ca="1">IFERROR(_xludf.XLOOKUP(E503,Bank_Statement!$D$4:$D$448,Bank_Statement!$G$4:$G$448,""),"")</f>
        <v/>
      </c>
      <c r="H503" s="46" t="str">
        <f t="shared" ca="1" si="21"/>
        <v/>
      </c>
      <c r="I503" s="48" t="str">
        <f ca="1">IFERROR(_xludf.XLOOKUP(E503,Bank_Statement!$D$4:$D$448,Bank_Statement!$B$4:$B$448,""),"")</f>
        <v/>
      </c>
      <c r="J503" s="49" t="str">
        <f t="shared" ca="1" si="22"/>
        <v/>
      </c>
      <c r="K503" s="50" t="str">
        <f ca="1">IF(G503="","Unmatched ERP",IF(AND(ABS(H503)&lt;=Mapping_Rules!$B$4,ABS(J503)&lt;=Mapping_Rules!$B$5),"Matched","Review"))</f>
        <v>Unmatched ERP</v>
      </c>
      <c r="L503" s="50" t="str">
        <f ca="1">IF(K503="Matched","None",IF(G503="","Missing from bank",IF(ABS(H503)&gt;Mapping_Rules!$B$4,"Amount variance","Date variance")))</f>
        <v>Missing from bank</v>
      </c>
      <c r="M503" s="50" t="str">
        <f ca="1">IF(K503="Matched","Low",IF(OR(IFERROR(ABS(H503),0)&gt;Mapping_Rules!$B$7,IFERROR(J503,0)&gt;Mapping_Rules!$B$8),"High","Medium"))</f>
        <v>High</v>
      </c>
      <c r="N503" s="50" t="str">
        <f t="shared" ca="1" si="23"/>
        <v>Check bank date or posting</v>
      </c>
      <c r="O503" s="44" t="s">
        <v>242</v>
      </c>
      <c r="P503" s="44" t="s">
        <v>95</v>
      </c>
      <c r="Q503" s="44" t="s">
        <v>1689</v>
      </c>
      <c r="R503" s="51"/>
      <c r="S503" s="52">
        <f ca="1">IF(K503="Matched",0,Mapping_Rules!$B$6-B503)</f>
        <v>21</v>
      </c>
    </row>
  </sheetData>
  <mergeCells count="1">
    <mergeCell ref="A1:S1"/>
  </mergeCell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D4AC0D"/>
  </sheetPr>
  <dimension ref="A1:N223"/>
  <sheetViews>
    <sheetView workbookViewId="0">
      <pane ySplit="3" topLeftCell="A4" activePane="bottomLeft" state="frozen"/>
      <selection pane="bottomLeft" sqref="A1:N1"/>
    </sheetView>
  </sheetViews>
  <sheetFormatPr defaultRowHeight="13.8"/>
  <cols>
    <col min="1" max="1" width="28" customWidth="1"/>
    <col min="2" max="2" width="6" customWidth="1"/>
    <col min="3" max="3" width="25" customWidth="1"/>
    <col min="4" max="5" width="21" customWidth="1"/>
    <col min="6" max="6" width="17" customWidth="1"/>
    <col min="7" max="8" width="13" customWidth="1"/>
    <col min="9" max="10" width="28" customWidth="1"/>
    <col min="11" max="11" width="23" customWidth="1"/>
    <col min="12" max="12" width="16" customWidth="1"/>
    <col min="13" max="14" width="28" customWidth="1"/>
  </cols>
  <sheetData>
    <row r="1" spans="1:14" ht="24" customHeight="1">
      <c r="A1" s="105" t="s">
        <v>1690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</row>
    <row r="2" spans="1:14" ht="22.05" customHeight="1">
      <c r="A2" s="53"/>
      <c r="B2" s="53"/>
      <c r="C2" s="53"/>
      <c r="D2" s="53"/>
      <c r="E2" s="53"/>
      <c r="F2" s="53"/>
      <c r="G2" s="53"/>
      <c r="H2" s="53"/>
      <c r="I2" s="53"/>
      <c r="J2" s="53"/>
      <c r="K2" s="53"/>
      <c r="L2" s="53"/>
      <c r="M2" s="53"/>
      <c r="N2" s="53"/>
    </row>
    <row r="3" spans="1:14" ht="22.05" customHeight="1">
      <c r="A3" s="54" t="s">
        <v>1691</v>
      </c>
      <c r="B3" s="54" t="s">
        <v>1692</v>
      </c>
      <c r="C3" s="54" t="s">
        <v>1693</v>
      </c>
      <c r="D3" s="54" t="s">
        <v>1694</v>
      </c>
      <c r="E3" s="54" t="s">
        <v>1695</v>
      </c>
      <c r="F3" s="54" t="s">
        <v>1696</v>
      </c>
      <c r="G3" s="54" t="s">
        <v>1697</v>
      </c>
      <c r="H3" s="54" t="s">
        <v>1698</v>
      </c>
      <c r="I3" s="54" t="s">
        <v>1699</v>
      </c>
      <c r="J3" s="54" t="s">
        <v>1700</v>
      </c>
      <c r="K3" s="54" t="s">
        <v>1685</v>
      </c>
      <c r="L3" s="54" t="s">
        <v>64</v>
      </c>
      <c r="M3" s="54" t="s">
        <v>1701</v>
      </c>
      <c r="N3" s="54" t="s">
        <v>1702</v>
      </c>
    </row>
    <row r="4" spans="1:14" ht="27.6">
      <c r="A4" s="23" t="s">
        <v>1703</v>
      </c>
      <c r="B4" s="23" t="s">
        <v>72</v>
      </c>
      <c r="C4" s="23" t="s">
        <v>204</v>
      </c>
      <c r="D4" s="31">
        <v>46031</v>
      </c>
      <c r="E4" s="31">
        <v>46091</v>
      </c>
      <c r="F4" s="32">
        <v>9860.5400000000009</v>
      </c>
      <c r="G4" s="32">
        <v>0</v>
      </c>
      <c r="H4" s="32">
        <f t="shared" ref="H4:H67" si="0">F4-G4</f>
        <v>9860.5400000000009</v>
      </c>
      <c r="I4" s="40">
        <f>MAX(0,Mapping_Rules!$B$6-E4)</f>
        <v>0</v>
      </c>
      <c r="J4" s="41" t="str">
        <f t="shared" ref="J4:J67" si="1">IF(I4=0,"Current",IF(I4&lt;=30,"1-30",IF(I4&lt;=60,"31-60",IF(I4&lt;=90,"61-90","90+"))))</f>
        <v>Current</v>
      </c>
      <c r="K4" s="23" t="s">
        <v>103</v>
      </c>
      <c r="L4" s="23" t="s">
        <v>73</v>
      </c>
      <c r="M4" s="41" t="str">
        <f>IF(L4="Closed","Closed",IF(OR(H4&gt;=Mapping_Rules!$B$7,I4&gt;=Mapping_Rules!$B$8),"High Risk",IF(I4&gt;30,"Monitor","Normal")))</f>
        <v>High Risk</v>
      </c>
      <c r="N4" s="41" t="str">
        <f t="shared" ref="N4:N67" si="2">IF(M4="Closed","No action",IF(M4="High Risk","Call customer/vendor and escalate",IF(M4="Monitor","Send follow-up email","Keep monitoring")))</f>
        <v>Call customer/vendor and escalate</v>
      </c>
    </row>
    <row r="5" spans="1:14">
      <c r="A5" s="55" t="s">
        <v>1704</v>
      </c>
      <c r="B5" s="55" t="s">
        <v>81</v>
      </c>
      <c r="C5" s="55" t="s">
        <v>167</v>
      </c>
      <c r="D5" s="56">
        <v>45999</v>
      </c>
      <c r="E5" s="56">
        <v>46029</v>
      </c>
      <c r="F5" s="57">
        <v>7050.81</v>
      </c>
      <c r="G5" s="57">
        <v>2876.1</v>
      </c>
      <c r="H5" s="57">
        <f t="shared" si="0"/>
        <v>4174.7100000000009</v>
      </c>
      <c r="I5" s="58">
        <f>MAX(0,Mapping_Rules!$B$6-E5)</f>
        <v>24</v>
      </c>
      <c r="J5" s="59" t="str">
        <f t="shared" si="1"/>
        <v>1-30</v>
      </c>
      <c r="K5" s="55" t="s">
        <v>77</v>
      </c>
      <c r="L5" s="55" t="s">
        <v>82</v>
      </c>
      <c r="M5" s="59" t="str">
        <f>IF(L5="Closed","Closed",IF(OR(H5&gt;=Mapping_Rules!$B$7,I5&gt;=Mapping_Rules!$B$8),"High Risk",IF(I5&gt;30,"Monitor","Normal")))</f>
        <v>Normal</v>
      </c>
      <c r="N5" s="59" t="str">
        <f t="shared" si="2"/>
        <v>Keep monitoring</v>
      </c>
    </row>
    <row r="6" spans="1:14" ht="27.6">
      <c r="A6" s="23" t="s">
        <v>1705</v>
      </c>
      <c r="B6" s="23" t="s">
        <v>81</v>
      </c>
      <c r="C6" s="23" t="s">
        <v>167</v>
      </c>
      <c r="D6" s="31">
        <v>46049</v>
      </c>
      <c r="E6" s="31">
        <v>46079</v>
      </c>
      <c r="F6" s="32">
        <v>11394.51</v>
      </c>
      <c r="G6" s="32">
        <v>0</v>
      </c>
      <c r="H6" s="32">
        <f t="shared" si="0"/>
        <v>11394.51</v>
      </c>
      <c r="I6" s="40">
        <f>MAX(0,Mapping_Rules!$B$6-E6)</f>
        <v>0</v>
      </c>
      <c r="J6" s="41" t="str">
        <f t="shared" si="1"/>
        <v>Current</v>
      </c>
      <c r="K6" s="23" t="s">
        <v>86</v>
      </c>
      <c r="L6" s="23" t="s">
        <v>73</v>
      </c>
      <c r="M6" s="41" t="str">
        <f>IF(L6="Closed","Closed",IF(OR(H6&gt;=Mapping_Rules!$B$7,I6&gt;=Mapping_Rules!$B$8),"High Risk",IF(I6&gt;30,"Monitor","Normal")))</f>
        <v>High Risk</v>
      </c>
      <c r="N6" s="41" t="str">
        <f t="shared" si="2"/>
        <v>Call customer/vendor and escalate</v>
      </c>
    </row>
    <row r="7" spans="1:14" ht="27.6">
      <c r="A7" s="55" t="s">
        <v>1706</v>
      </c>
      <c r="B7" s="55" t="s">
        <v>81</v>
      </c>
      <c r="C7" s="55" t="s">
        <v>167</v>
      </c>
      <c r="D7" s="56">
        <v>46034</v>
      </c>
      <c r="E7" s="56">
        <v>46064</v>
      </c>
      <c r="F7" s="57">
        <v>11078.41</v>
      </c>
      <c r="G7" s="57">
        <v>0</v>
      </c>
      <c r="H7" s="57">
        <f t="shared" si="0"/>
        <v>11078.41</v>
      </c>
      <c r="I7" s="58">
        <f>MAX(0,Mapping_Rules!$B$6-E7)</f>
        <v>0</v>
      </c>
      <c r="J7" s="59" t="str">
        <f t="shared" si="1"/>
        <v>Current</v>
      </c>
      <c r="K7" s="55" t="s">
        <v>95</v>
      </c>
      <c r="L7" s="55" t="s">
        <v>73</v>
      </c>
      <c r="M7" s="59" t="str">
        <f>IF(L7="Closed","Closed",IF(OR(H7&gt;=Mapping_Rules!$B$7,I7&gt;=Mapping_Rules!$B$8),"High Risk",IF(I7&gt;30,"Monitor","Normal")))</f>
        <v>High Risk</v>
      </c>
      <c r="N7" s="59" t="str">
        <f t="shared" si="2"/>
        <v>Call customer/vendor and escalate</v>
      </c>
    </row>
    <row r="8" spans="1:14">
      <c r="A8" s="23" t="s">
        <v>1707</v>
      </c>
      <c r="B8" s="23" t="s">
        <v>81</v>
      </c>
      <c r="C8" s="23" t="s">
        <v>173</v>
      </c>
      <c r="D8" s="31">
        <v>46024</v>
      </c>
      <c r="E8" s="31">
        <v>46054</v>
      </c>
      <c r="F8" s="32">
        <v>1083.49</v>
      </c>
      <c r="G8" s="32">
        <v>0</v>
      </c>
      <c r="H8" s="32">
        <f t="shared" si="0"/>
        <v>1083.49</v>
      </c>
      <c r="I8" s="40">
        <f>MAX(0,Mapping_Rules!$B$6-E8)</f>
        <v>0</v>
      </c>
      <c r="J8" s="41" t="str">
        <f t="shared" si="1"/>
        <v>Current</v>
      </c>
      <c r="K8" s="23" t="s">
        <v>77</v>
      </c>
      <c r="L8" s="23" t="s">
        <v>73</v>
      </c>
      <c r="M8" s="41" t="str">
        <f>IF(L8="Closed","Closed",IF(OR(H8&gt;=Mapping_Rules!$B$7,I8&gt;=Mapping_Rules!$B$8),"High Risk",IF(I8&gt;30,"Monitor","Normal")))</f>
        <v>Normal</v>
      </c>
      <c r="N8" s="41" t="str">
        <f t="shared" si="2"/>
        <v>Keep monitoring</v>
      </c>
    </row>
    <row r="9" spans="1:14" ht="27.6">
      <c r="A9" s="55" t="s">
        <v>1708</v>
      </c>
      <c r="B9" s="55" t="s">
        <v>81</v>
      </c>
      <c r="C9" s="55" t="s">
        <v>167</v>
      </c>
      <c r="D9" s="56">
        <v>46008</v>
      </c>
      <c r="E9" s="56">
        <v>46068</v>
      </c>
      <c r="F9" s="57">
        <v>7124.66</v>
      </c>
      <c r="G9" s="57">
        <v>0</v>
      </c>
      <c r="H9" s="57">
        <f t="shared" si="0"/>
        <v>7124.66</v>
      </c>
      <c r="I9" s="58">
        <f>MAX(0,Mapping_Rules!$B$6-E9)</f>
        <v>0</v>
      </c>
      <c r="J9" s="59" t="str">
        <f t="shared" si="1"/>
        <v>Current</v>
      </c>
      <c r="K9" s="55" t="s">
        <v>77</v>
      </c>
      <c r="L9" s="55" t="s">
        <v>73</v>
      </c>
      <c r="M9" s="59" t="str">
        <f>IF(L9="Closed","Closed",IF(OR(H9&gt;=Mapping_Rules!$B$7,I9&gt;=Mapping_Rules!$B$8),"High Risk",IF(I9&gt;30,"Monitor","Normal")))</f>
        <v>High Risk</v>
      </c>
      <c r="N9" s="59" t="str">
        <f t="shared" si="2"/>
        <v>Call customer/vendor and escalate</v>
      </c>
    </row>
    <row r="10" spans="1:14">
      <c r="A10" s="23" t="s">
        <v>1709</v>
      </c>
      <c r="B10" s="23" t="s">
        <v>81</v>
      </c>
      <c r="C10" s="23" t="s">
        <v>155</v>
      </c>
      <c r="D10" s="31">
        <v>46003</v>
      </c>
      <c r="E10" s="31">
        <v>46018</v>
      </c>
      <c r="F10" s="32">
        <v>10600.48</v>
      </c>
      <c r="G10" s="32">
        <v>7306.6</v>
      </c>
      <c r="H10" s="32">
        <f t="shared" si="0"/>
        <v>3293.8799999999992</v>
      </c>
      <c r="I10" s="40">
        <f>MAX(0,Mapping_Rules!$B$6-E10)</f>
        <v>35</v>
      </c>
      <c r="J10" s="41" t="str">
        <f t="shared" si="1"/>
        <v>31-60</v>
      </c>
      <c r="K10" s="23" t="s">
        <v>95</v>
      </c>
      <c r="L10" s="23" t="s">
        <v>82</v>
      </c>
      <c r="M10" s="41" t="str">
        <f>IF(L10="Closed","Closed",IF(OR(H10&gt;=Mapping_Rules!$B$7,I10&gt;=Mapping_Rules!$B$8),"High Risk",IF(I10&gt;30,"Monitor","Normal")))</f>
        <v>Monitor</v>
      </c>
      <c r="N10" s="41" t="str">
        <f t="shared" si="2"/>
        <v>Send follow-up email</v>
      </c>
    </row>
    <row r="11" spans="1:14">
      <c r="A11" s="55" t="s">
        <v>1710</v>
      </c>
      <c r="B11" s="55" t="s">
        <v>81</v>
      </c>
      <c r="C11" s="55" t="s">
        <v>163</v>
      </c>
      <c r="D11" s="56">
        <v>46045</v>
      </c>
      <c r="E11" s="56">
        <v>46105</v>
      </c>
      <c r="F11" s="57">
        <v>5574.66</v>
      </c>
      <c r="G11" s="57">
        <v>3863.55</v>
      </c>
      <c r="H11" s="57">
        <f t="shared" si="0"/>
        <v>1711.1099999999997</v>
      </c>
      <c r="I11" s="58">
        <f>MAX(0,Mapping_Rules!$B$6-E11)</f>
        <v>0</v>
      </c>
      <c r="J11" s="59" t="str">
        <f t="shared" si="1"/>
        <v>Current</v>
      </c>
      <c r="K11" s="55" t="s">
        <v>95</v>
      </c>
      <c r="L11" s="55" t="s">
        <v>82</v>
      </c>
      <c r="M11" s="59" t="str">
        <f>IF(L11="Closed","Closed",IF(OR(H11&gt;=Mapping_Rules!$B$7,I11&gt;=Mapping_Rules!$B$8),"High Risk",IF(I11&gt;30,"Monitor","Normal")))</f>
        <v>Normal</v>
      </c>
      <c r="N11" s="59" t="str">
        <f t="shared" si="2"/>
        <v>Keep monitoring</v>
      </c>
    </row>
    <row r="12" spans="1:14" ht="27.6">
      <c r="A12" s="23" t="s">
        <v>1711</v>
      </c>
      <c r="B12" s="23" t="s">
        <v>72</v>
      </c>
      <c r="C12" s="23" t="s">
        <v>133</v>
      </c>
      <c r="D12" s="31">
        <v>46028</v>
      </c>
      <c r="E12" s="31">
        <v>46088</v>
      </c>
      <c r="F12" s="32">
        <v>5390.54</v>
      </c>
      <c r="G12" s="32">
        <v>0</v>
      </c>
      <c r="H12" s="32">
        <f t="shared" si="0"/>
        <v>5390.54</v>
      </c>
      <c r="I12" s="40">
        <f>MAX(0,Mapping_Rules!$B$6-E12)</f>
        <v>0</v>
      </c>
      <c r="J12" s="41" t="str">
        <f t="shared" si="1"/>
        <v>Current</v>
      </c>
      <c r="K12" s="23" t="s">
        <v>103</v>
      </c>
      <c r="L12" s="23" t="s">
        <v>100</v>
      </c>
      <c r="M12" s="41" t="str">
        <f>IF(L12="Closed","Closed",IF(OR(H12&gt;=Mapping_Rules!$B$7,I12&gt;=Mapping_Rules!$B$8),"High Risk",IF(I12&gt;30,"Monitor","Normal")))</f>
        <v>High Risk</v>
      </c>
      <c r="N12" s="41" t="str">
        <f t="shared" si="2"/>
        <v>Call customer/vendor and escalate</v>
      </c>
    </row>
    <row r="13" spans="1:14" ht="27.6">
      <c r="A13" s="55" t="s">
        <v>1712</v>
      </c>
      <c r="B13" s="55" t="s">
        <v>72</v>
      </c>
      <c r="C13" s="55" t="s">
        <v>204</v>
      </c>
      <c r="D13" s="56">
        <v>45962</v>
      </c>
      <c r="E13" s="56">
        <v>45992</v>
      </c>
      <c r="F13" s="57">
        <v>6682.5</v>
      </c>
      <c r="G13" s="57">
        <v>0</v>
      </c>
      <c r="H13" s="57">
        <f t="shared" si="0"/>
        <v>6682.5</v>
      </c>
      <c r="I13" s="58">
        <f>MAX(0,Mapping_Rules!$B$6-E13)</f>
        <v>61</v>
      </c>
      <c r="J13" s="59" t="str">
        <f t="shared" si="1"/>
        <v>61-90</v>
      </c>
      <c r="K13" s="55" t="s">
        <v>95</v>
      </c>
      <c r="L13" s="55" t="s">
        <v>73</v>
      </c>
      <c r="M13" s="59" t="str">
        <f>IF(L13="Closed","Closed",IF(OR(H13&gt;=Mapping_Rules!$B$7,I13&gt;=Mapping_Rules!$B$8),"High Risk",IF(I13&gt;30,"Monitor","Normal")))</f>
        <v>High Risk</v>
      </c>
      <c r="N13" s="59" t="str">
        <f t="shared" si="2"/>
        <v>Call customer/vendor and escalate</v>
      </c>
    </row>
    <row r="14" spans="1:14" ht="27.6">
      <c r="A14" s="23" t="s">
        <v>1713</v>
      </c>
      <c r="B14" s="23" t="s">
        <v>81</v>
      </c>
      <c r="C14" s="23" t="s">
        <v>173</v>
      </c>
      <c r="D14" s="31">
        <v>45985</v>
      </c>
      <c r="E14" s="31">
        <v>46015</v>
      </c>
      <c r="F14" s="32">
        <v>5529.01</v>
      </c>
      <c r="G14" s="32">
        <v>0</v>
      </c>
      <c r="H14" s="32">
        <f t="shared" si="0"/>
        <v>5529.01</v>
      </c>
      <c r="I14" s="40">
        <f>MAX(0,Mapping_Rules!$B$6-E14)</f>
        <v>38</v>
      </c>
      <c r="J14" s="41" t="str">
        <f t="shared" si="1"/>
        <v>31-60</v>
      </c>
      <c r="K14" s="23" t="s">
        <v>77</v>
      </c>
      <c r="L14" s="23" t="s">
        <v>91</v>
      </c>
      <c r="M14" s="41" t="str">
        <f>IF(L14="Closed","Closed",IF(OR(H14&gt;=Mapping_Rules!$B$7,I14&gt;=Mapping_Rules!$B$8),"High Risk",IF(I14&gt;30,"Monitor","Normal")))</f>
        <v>High Risk</v>
      </c>
      <c r="N14" s="41" t="str">
        <f t="shared" si="2"/>
        <v>Call customer/vendor and escalate</v>
      </c>
    </row>
    <row r="15" spans="1:14" ht="27.6">
      <c r="A15" s="55" t="s">
        <v>1714</v>
      </c>
      <c r="B15" s="55" t="s">
        <v>81</v>
      </c>
      <c r="C15" s="55" t="s">
        <v>163</v>
      </c>
      <c r="D15" s="56">
        <v>46004</v>
      </c>
      <c r="E15" s="56">
        <v>46019</v>
      </c>
      <c r="F15" s="57">
        <v>7300.52</v>
      </c>
      <c r="G15" s="57">
        <v>0</v>
      </c>
      <c r="H15" s="57">
        <f t="shared" si="0"/>
        <v>7300.52</v>
      </c>
      <c r="I15" s="58">
        <f>MAX(0,Mapping_Rules!$B$6-E15)</f>
        <v>34</v>
      </c>
      <c r="J15" s="59" t="str">
        <f t="shared" si="1"/>
        <v>31-60</v>
      </c>
      <c r="K15" s="55" t="s">
        <v>86</v>
      </c>
      <c r="L15" s="55" t="s">
        <v>73</v>
      </c>
      <c r="M15" s="59" t="str">
        <f>IF(L15="Closed","Closed",IF(OR(H15&gt;=Mapping_Rules!$B$7,I15&gt;=Mapping_Rules!$B$8),"High Risk",IF(I15&gt;30,"Monitor","Normal")))</f>
        <v>High Risk</v>
      </c>
      <c r="N15" s="59" t="str">
        <f t="shared" si="2"/>
        <v>Call customer/vendor and escalate</v>
      </c>
    </row>
    <row r="16" spans="1:14">
      <c r="A16" s="23" t="s">
        <v>1715</v>
      </c>
      <c r="B16" s="23" t="s">
        <v>81</v>
      </c>
      <c r="C16" s="23" t="s">
        <v>155</v>
      </c>
      <c r="D16" s="31">
        <v>46014</v>
      </c>
      <c r="E16" s="31">
        <v>46029</v>
      </c>
      <c r="F16" s="32">
        <v>3768.5</v>
      </c>
      <c r="G16" s="32">
        <v>0</v>
      </c>
      <c r="H16" s="32">
        <f t="shared" si="0"/>
        <v>3768.5</v>
      </c>
      <c r="I16" s="40">
        <f>MAX(0,Mapping_Rules!$B$6-E16)</f>
        <v>24</v>
      </c>
      <c r="J16" s="41" t="str">
        <f t="shared" si="1"/>
        <v>1-30</v>
      </c>
      <c r="K16" s="23" t="s">
        <v>86</v>
      </c>
      <c r="L16" s="23" t="s">
        <v>73</v>
      </c>
      <c r="M16" s="41" t="str">
        <f>IF(L16="Closed","Closed",IF(OR(H16&gt;=Mapping_Rules!$B$7,I16&gt;=Mapping_Rules!$B$8),"High Risk",IF(I16&gt;30,"Monitor","Normal")))</f>
        <v>Normal</v>
      </c>
      <c r="N16" s="41" t="str">
        <f t="shared" si="2"/>
        <v>Keep monitoring</v>
      </c>
    </row>
    <row r="17" spans="1:14" ht="27.6">
      <c r="A17" s="55" t="s">
        <v>1716</v>
      </c>
      <c r="B17" s="55" t="s">
        <v>81</v>
      </c>
      <c r="C17" s="55" t="s">
        <v>155</v>
      </c>
      <c r="D17" s="56">
        <v>46027</v>
      </c>
      <c r="E17" s="56">
        <v>46042</v>
      </c>
      <c r="F17" s="57">
        <v>13378.35</v>
      </c>
      <c r="G17" s="57">
        <v>0</v>
      </c>
      <c r="H17" s="57">
        <f t="shared" si="0"/>
        <v>13378.35</v>
      </c>
      <c r="I17" s="58">
        <f>MAX(0,Mapping_Rules!$B$6-E17)</f>
        <v>11</v>
      </c>
      <c r="J17" s="59" t="str">
        <f t="shared" si="1"/>
        <v>1-30</v>
      </c>
      <c r="K17" s="55" t="s">
        <v>86</v>
      </c>
      <c r="L17" s="55" t="s">
        <v>73</v>
      </c>
      <c r="M17" s="59" t="str">
        <f>IF(L17="Closed","Closed",IF(OR(H17&gt;=Mapping_Rules!$B$7,I17&gt;=Mapping_Rules!$B$8),"High Risk",IF(I17&gt;30,"Monitor","Normal")))</f>
        <v>High Risk</v>
      </c>
      <c r="N17" s="59" t="str">
        <f t="shared" si="2"/>
        <v>Call customer/vendor and escalate</v>
      </c>
    </row>
    <row r="18" spans="1:14" ht="27.6">
      <c r="A18" s="23" t="s">
        <v>1717</v>
      </c>
      <c r="B18" s="23" t="s">
        <v>72</v>
      </c>
      <c r="C18" s="23" t="s">
        <v>133</v>
      </c>
      <c r="D18" s="31">
        <v>46028</v>
      </c>
      <c r="E18" s="31">
        <v>46088</v>
      </c>
      <c r="F18" s="32">
        <v>9050.4599999999991</v>
      </c>
      <c r="G18" s="32">
        <v>1467.11</v>
      </c>
      <c r="H18" s="32">
        <f t="shared" si="0"/>
        <v>7583.3499999999995</v>
      </c>
      <c r="I18" s="40">
        <f>MAX(0,Mapping_Rules!$B$6-E18)</f>
        <v>0</v>
      </c>
      <c r="J18" s="41" t="str">
        <f t="shared" si="1"/>
        <v>Current</v>
      </c>
      <c r="K18" s="23" t="s">
        <v>95</v>
      </c>
      <c r="L18" s="23" t="s">
        <v>82</v>
      </c>
      <c r="M18" s="41" t="str">
        <f>IF(L18="Closed","Closed",IF(OR(H18&gt;=Mapping_Rules!$B$7,I18&gt;=Mapping_Rules!$B$8),"High Risk",IF(I18&gt;30,"Monitor","Normal")))</f>
        <v>High Risk</v>
      </c>
      <c r="N18" s="41" t="str">
        <f t="shared" si="2"/>
        <v>Call customer/vendor and escalate</v>
      </c>
    </row>
    <row r="19" spans="1:14" ht="27.6">
      <c r="A19" s="55" t="s">
        <v>1718</v>
      </c>
      <c r="B19" s="55" t="s">
        <v>81</v>
      </c>
      <c r="C19" s="55" t="s">
        <v>173</v>
      </c>
      <c r="D19" s="56">
        <v>46019</v>
      </c>
      <c r="E19" s="56">
        <v>46079</v>
      </c>
      <c r="F19" s="57">
        <v>13029.44</v>
      </c>
      <c r="G19" s="57">
        <v>0</v>
      </c>
      <c r="H19" s="57">
        <f t="shared" si="0"/>
        <v>13029.44</v>
      </c>
      <c r="I19" s="58">
        <f>MAX(0,Mapping_Rules!$B$6-E19)</f>
        <v>0</v>
      </c>
      <c r="J19" s="59" t="str">
        <f t="shared" si="1"/>
        <v>Current</v>
      </c>
      <c r="K19" s="55" t="s">
        <v>103</v>
      </c>
      <c r="L19" s="55" t="s">
        <v>73</v>
      </c>
      <c r="M19" s="59" t="str">
        <f>IF(L19="Closed","Closed",IF(OR(H19&gt;=Mapping_Rules!$B$7,I19&gt;=Mapping_Rules!$B$8),"High Risk",IF(I19&gt;30,"Monitor","Normal")))</f>
        <v>High Risk</v>
      </c>
      <c r="N19" s="59" t="str">
        <f t="shared" si="2"/>
        <v>Call customer/vendor and escalate</v>
      </c>
    </row>
    <row r="20" spans="1:14">
      <c r="A20" s="23" t="s">
        <v>1719</v>
      </c>
      <c r="B20" s="23" t="s">
        <v>81</v>
      </c>
      <c r="C20" s="23" t="s">
        <v>167</v>
      </c>
      <c r="D20" s="31">
        <v>45985</v>
      </c>
      <c r="E20" s="31">
        <v>46030</v>
      </c>
      <c r="F20" s="32">
        <v>2640.67</v>
      </c>
      <c r="G20" s="32">
        <v>1979.26</v>
      </c>
      <c r="H20" s="32">
        <f t="shared" si="0"/>
        <v>661.41000000000008</v>
      </c>
      <c r="I20" s="40">
        <f>MAX(0,Mapping_Rules!$B$6-E20)</f>
        <v>23</v>
      </c>
      <c r="J20" s="41" t="str">
        <f t="shared" si="1"/>
        <v>1-30</v>
      </c>
      <c r="K20" s="23" t="s">
        <v>77</v>
      </c>
      <c r="L20" s="23" t="s">
        <v>82</v>
      </c>
      <c r="M20" s="41" t="str">
        <f>IF(L20="Closed","Closed",IF(OR(H20&gt;=Mapping_Rules!$B$7,I20&gt;=Mapping_Rules!$B$8),"High Risk",IF(I20&gt;30,"Monitor","Normal")))</f>
        <v>Normal</v>
      </c>
      <c r="N20" s="41" t="str">
        <f t="shared" si="2"/>
        <v>Keep monitoring</v>
      </c>
    </row>
    <row r="21" spans="1:14">
      <c r="A21" s="55" t="s">
        <v>1720</v>
      </c>
      <c r="B21" s="55" t="s">
        <v>81</v>
      </c>
      <c r="C21" s="55" t="s">
        <v>163</v>
      </c>
      <c r="D21" s="56">
        <v>46011</v>
      </c>
      <c r="E21" s="56">
        <v>46041</v>
      </c>
      <c r="F21" s="57">
        <v>1762.27</v>
      </c>
      <c r="G21" s="57">
        <v>0</v>
      </c>
      <c r="H21" s="57">
        <f t="shared" si="0"/>
        <v>1762.27</v>
      </c>
      <c r="I21" s="58">
        <f>MAX(0,Mapping_Rules!$B$6-E21)</f>
        <v>12</v>
      </c>
      <c r="J21" s="59" t="str">
        <f t="shared" si="1"/>
        <v>1-30</v>
      </c>
      <c r="K21" s="55" t="s">
        <v>103</v>
      </c>
      <c r="L21" s="55" t="s">
        <v>73</v>
      </c>
      <c r="M21" s="59" t="str">
        <f>IF(L21="Closed","Closed",IF(OR(H21&gt;=Mapping_Rules!$B$7,I21&gt;=Mapping_Rules!$B$8),"High Risk",IF(I21&gt;30,"Monitor","Normal")))</f>
        <v>Normal</v>
      </c>
      <c r="N21" s="59" t="str">
        <f t="shared" si="2"/>
        <v>Keep monitoring</v>
      </c>
    </row>
    <row r="22" spans="1:14" ht="27.6">
      <c r="A22" s="23" t="s">
        <v>1721</v>
      </c>
      <c r="B22" s="23" t="s">
        <v>81</v>
      </c>
      <c r="C22" s="23" t="s">
        <v>167</v>
      </c>
      <c r="D22" s="31">
        <v>45974</v>
      </c>
      <c r="E22" s="31">
        <v>46004</v>
      </c>
      <c r="F22" s="32">
        <v>7216.66</v>
      </c>
      <c r="G22" s="32">
        <v>1265.6099999999999</v>
      </c>
      <c r="H22" s="32">
        <f t="shared" si="0"/>
        <v>5951.05</v>
      </c>
      <c r="I22" s="40">
        <f>MAX(0,Mapping_Rules!$B$6-E22)</f>
        <v>49</v>
      </c>
      <c r="J22" s="41" t="str">
        <f t="shared" si="1"/>
        <v>31-60</v>
      </c>
      <c r="K22" s="23" t="s">
        <v>77</v>
      </c>
      <c r="L22" s="23" t="s">
        <v>82</v>
      </c>
      <c r="M22" s="41" t="str">
        <f>IF(L22="Closed","Closed",IF(OR(H22&gt;=Mapping_Rules!$B$7,I22&gt;=Mapping_Rules!$B$8),"High Risk",IF(I22&gt;30,"Monitor","Normal")))</f>
        <v>High Risk</v>
      </c>
      <c r="N22" s="41" t="str">
        <f t="shared" si="2"/>
        <v>Call customer/vendor and escalate</v>
      </c>
    </row>
    <row r="23" spans="1:14" ht="27.6">
      <c r="A23" s="55" t="s">
        <v>1722</v>
      </c>
      <c r="B23" s="55" t="s">
        <v>81</v>
      </c>
      <c r="C23" s="55" t="s">
        <v>163</v>
      </c>
      <c r="D23" s="56">
        <v>46046</v>
      </c>
      <c r="E23" s="56">
        <v>46076</v>
      </c>
      <c r="F23" s="57">
        <v>13544.47</v>
      </c>
      <c r="G23" s="57">
        <v>2042.24</v>
      </c>
      <c r="H23" s="57">
        <f t="shared" si="0"/>
        <v>11502.23</v>
      </c>
      <c r="I23" s="58">
        <f>MAX(0,Mapping_Rules!$B$6-E23)</f>
        <v>0</v>
      </c>
      <c r="J23" s="59" t="str">
        <f t="shared" si="1"/>
        <v>Current</v>
      </c>
      <c r="K23" s="55" t="s">
        <v>103</v>
      </c>
      <c r="L23" s="55" t="s">
        <v>82</v>
      </c>
      <c r="M23" s="59" t="str">
        <f>IF(L23="Closed","Closed",IF(OR(H23&gt;=Mapping_Rules!$B$7,I23&gt;=Mapping_Rules!$B$8),"High Risk",IF(I23&gt;30,"Monitor","Normal")))</f>
        <v>High Risk</v>
      </c>
      <c r="N23" s="59" t="str">
        <f t="shared" si="2"/>
        <v>Call customer/vendor and escalate</v>
      </c>
    </row>
    <row r="24" spans="1:14">
      <c r="A24" s="23" t="s">
        <v>1723</v>
      </c>
      <c r="B24" s="23" t="s">
        <v>72</v>
      </c>
      <c r="C24" s="23" t="s">
        <v>208</v>
      </c>
      <c r="D24" s="31">
        <v>45967</v>
      </c>
      <c r="E24" s="31">
        <v>46027</v>
      </c>
      <c r="F24" s="32">
        <v>3557.87</v>
      </c>
      <c r="G24" s="32">
        <v>0</v>
      </c>
      <c r="H24" s="32">
        <f t="shared" si="0"/>
        <v>3557.87</v>
      </c>
      <c r="I24" s="40">
        <f>MAX(0,Mapping_Rules!$B$6-E24)</f>
        <v>26</v>
      </c>
      <c r="J24" s="41" t="str">
        <f t="shared" si="1"/>
        <v>1-30</v>
      </c>
      <c r="K24" s="23" t="s">
        <v>103</v>
      </c>
      <c r="L24" s="23" t="s">
        <v>100</v>
      </c>
      <c r="M24" s="41" t="str">
        <f>IF(L24="Closed","Closed",IF(OR(H24&gt;=Mapping_Rules!$B$7,I24&gt;=Mapping_Rules!$B$8),"High Risk",IF(I24&gt;30,"Monitor","Normal")))</f>
        <v>Normal</v>
      </c>
      <c r="N24" s="41" t="str">
        <f t="shared" si="2"/>
        <v>Keep monitoring</v>
      </c>
    </row>
    <row r="25" spans="1:14" ht="27.6">
      <c r="A25" s="55" t="s">
        <v>1724</v>
      </c>
      <c r="B25" s="55" t="s">
        <v>72</v>
      </c>
      <c r="C25" s="55" t="s">
        <v>204</v>
      </c>
      <c r="D25" s="56">
        <v>46051</v>
      </c>
      <c r="E25" s="56">
        <v>46066</v>
      </c>
      <c r="F25" s="57">
        <v>6468.52</v>
      </c>
      <c r="G25" s="57">
        <v>0</v>
      </c>
      <c r="H25" s="57">
        <f t="shared" si="0"/>
        <v>6468.52</v>
      </c>
      <c r="I25" s="58">
        <f>MAX(0,Mapping_Rules!$B$6-E25)</f>
        <v>0</v>
      </c>
      <c r="J25" s="59" t="str">
        <f t="shared" si="1"/>
        <v>Current</v>
      </c>
      <c r="K25" s="55" t="s">
        <v>86</v>
      </c>
      <c r="L25" s="55" t="s">
        <v>73</v>
      </c>
      <c r="M25" s="59" t="str">
        <f>IF(L25="Closed","Closed",IF(OR(H25&gt;=Mapping_Rules!$B$7,I25&gt;=Mapping_Rules!$B$8),"High Risk",IF(I25&gt;30,"Monitor","Normal")))</f>
        <v>High Risk</v>
      </c>
      <c r="N25" s="59" t="str">
        <f t="shared" si="2"/>
        <v>Call customer/vendor and escalate</v>
      </c>
    </row>
    <row r="26" spans="1:14">
      <c r="A26" s="23" t="s">
        <v>1725</v>
      </c>
      <c r="B26" s="23" t="s">
        <v>81</v>
      </c>
      <c r="C26" s="23" t="s">
        <v>214</v>
      </c>
      <c r="D26" s="31">
        <v>46038</v>
      </c>
      <c r="E26" s="31">
        <v>46098</v>
      </c>
      <c r="F26" s="32">
        <v>3978.4</v>
      </c>
      <c r="G26" s="32">
        <v>0</v>
      </c>
      <c r="H26" s="32">
        <f t="shared" si="0"/>
        <v>3978.4</v>
      </c>
      <c r="I26" s="40">
        <f>MAX(0,Mapping_Rules!$B$6-E26)</f>
        <v>0</v>
      </c>
      <c r="J26" s="41" t="str">
        <f t="shared" si="1"/>
        <v>Current</v>
      </c>
      <c r="K26" s="23" t="s">
        <v>77</v>
      </c>
      <c r="L26" s="23" t="s">
        <v>73</v>
      </c>
      <c r="M26" s="41" t="str">
        <f>IF(L26="Closed","Closed",IF(OR(H26&gt;=Mapping_Rules!$B$7,I26&gt;=Mapping_Rules!$B$8),"High Risk",IF(I26&gt;30,"Monitor","Normal")))</f>
        <v>Normal</v>
      </c>
      <c r="N26" s="41" t="str">
        <f t="shared" si="2"/>
        <v>Keep monitoring</v>
      </c>
    </row>
    <row r="27" spans="1:14" ht="27.6">
      <c r="A27" s="55" t="s">
        <v>1726</v>
      </c>
      <c r="B27" s="55" t="s">
        <v>81</v>
      </c>
      <c r="C27" s="55" t="s">
        <v>167</v>
      </c>
      <c r="D27" s="56">
        <v>45962</v>
      </c>
      <c r="E27" s="56">
        <v>46022</v>
      </c>
      <c r="F27" s="57">
        <v>9870.01</v>
      </c>
      <c r="G27" s="57">
        <v>3507.17</v>
      </c>
      <c r="H27" s="57">
        <f t="shared" si="0"/>
        <v>6362.84</v>
      </c>
      <c r="I27" s="58">
        <f>MAX(0,Mapping_Rules!$B$6-E27)</f>
        <v>31</v>
      </c>
      <c r="J27" s="59" t="str">
        <f t="shared" si="1"/>
        <v>31-60</v>
      </c>
      <c r="K27" s="55" t="s">
        <v>95</v>
      </c>
      <c r="L27" s="55" t="s">
        <v>82</v>
      </c>
      <c r="M27" s="59" t="str">
        <f>IF(L27="Closed","Closed",IF(OR(H27&gt;=Mapping_Rules!$B$7,I27&gt;=Mapping_Rules!$B$8),"High Risk",IF(I27&gt;30,"Monitor","Normal")))</f>
        <v>High Risk</v>
      </c>
      <c r="N27" s="59" t="str">
        <f t="shared" si="2"/>
        <v>Call customer/vendor and escalate</v>
      </c>
    </row>
    <row r="28" spans="1:14">
      <c r="A28" s="23" t="s">
        <v>1727</v>
      </c>
      <c r="B28" s="23" t="s">
        <v>81</v>
      </c>
      <c r="C28" s="23" t="s">
        <v>173</v>
      </c>
      <c r="D28" s="31">
        <v>46016</v>
      </c>
      <c r="E28" s="31">
        <v>46061</v>
      </c>
      <c r="F28" s="32">
        <v>4030.35</v>
      </c>
      <c r="G28" s="32">
        <v>2083.83</v>
      </c>
      <c r="H28" s="32">
        <f t="shared" si="0"/>
        <v>1946.52</v>
      </c>
      <c r="I28" s="40">
        <f>MAX(0,Mapping_Rules!$B$6-E28)</f>
        <v>0</v>
      </c>
      <c r="J28" s="41" t="str">
        <f t="shared" si="1"/>
        <v>Current</v>
      </c>
      <c r="K28" s="23" t="s">
        <v>95</v>
      </c>
      <c r="L28" s="23" t="s">
        <v>82</v>
      </c>
      <c r="M28" s="41" t="str">
        <f>IF(L28="Closed","Closed",IF(OR(H28&gt;=Mapping_Rules!$B$7,I28&gt;=Mapping_Rules!$B$8),"High Risk",IF(I28&gt;30,"Monitor","Normal")))</f>
        <v>Normal</v>
      </c>
      <c r="N28" s="41" t="str">
        <f t="shared" si="2"/>
        <v>Keep monitoring</v>
      </c>
    </row>
    <row r="29" spans="1:14" ht="27.6">
      <c r="A29" s="55" t="s">
        <v>1728</v>
      </c>
      <c r="B29" s="55" t="s">
        <v>72</v>
      </c>
      <c r="C29" s="55" t="s">
        <v>139</v>
      </c>
      <c r="D29" s="56">
        <v>45988</v>
      </c>
      <c r="E29" s="56">
        <v>46048</v>
      </c>
      <c r="F29" s="57">
        <v>8348.76</v>
      </c>
      <c r="G29" s="57">
        <v>2222.17</v>
      </c>
      <c r="H29" s="57">
        <f t="shared" si="0"/>
        <v>6126.59</v>
      </c>
      <c r="I29" s="58">
        <f>MAX(0,Mapping_Rules!$B$6-E29)</f>
        <v>5</v>
      </c>
      <c r="J29" s="59" t="str">
        <f t="shared" si="1"/>
        <v>1-30</v>
      </c>
      <c r="K29" s="55" t="s">
        <v>103</v>
      </c>
      <c r="L29" s="55" t="s">
        <v>82</v>
      </c>
      <c r="M29" s="59" t="str">
        <f>IF(L29="Closed","Closed",IF(OR(H29&gt;=Mapping_Rules!$B$7,I29&gt;=Mapping_Rules!$B$8),"High Risk",IF(I29&gt;30,"Monitor","Normal")))</f>
        <v>High Risk</v>
      </c>
      <c r="N29" s="59" t="str">
        <f t="shared" si="2"/>
        <v>Call customer/vendor and escalate</v>
      </c>
    </row>
    <row r="30" spans="1:14" ht="27.6">
      <c r="A30" s="23" t="s">
        <v>1729</v>
      </c>
      <c r="B30" s="23" t="s">
        <v>72</v>
      </c>
      <c r="C30" s="23" t="s">
        <v>208</v>
      </c>
      <c r="D30" s="31">
        <v>46035</v>
      </c>
      <c r="E30" s="31">
        <v>46080</v>
      </c>
      <c r="F30" s="32">
        <v>11646.79</v>
      </c>
      <c r="G30" s="32">
        <v>0</v>
      </c>
      <c r="H30" s="32">
        <f t="shared" si="0"/>
        <v>11646.79</v>
      </c>
      <c r="I30" s="40">
        <f>MAX(0,Mapping_Rules!$B$6-E30)</f>
        <v>0</v>
      </c>
      <c r="J30" s="41" t="str">
        <f t="shared" si="1"/>
        <v>Current</v>
      </c>
      <c r="K30" s="23" t="s">
        <v>86</v>
      </c>
      <c r="L30" s="23" t="s">
        <v>73</v>
      </c>
      <c r="M30" s="41" t="str">
        <f>IF(L30="Closed","Closed",IF(OR(H30&gt;=Mapping_Rules!$B$7,I30&gt;=Mapping_Rules!$B$8),"High Risk",IF(I30&gt;30,"Monitor","Normal")))</f>
        <v>High Risk</v>
      </c>
      <c r="N30" s="41" t="str">
        <f t="shared" si="2"/>
        <v>Call customer/vendor and escalate</v>
      </c>
    </row>
    <row r="31" spans="1:14">
      <c r="A31" s="55" t="s">
        <v>1730</v>
      </c>
      <c r="B31" s="55" t="s">
        <v>81</v>
      </c>
      <c r="C31" s="55" t="s">
        <v>155</v>
      </c>
      <c r="D31" s="56">
        <v>45991</v>
      </c>
      <c r="E31" s="56">
        <v>46051</v>
      </c>
      <c r="F31" s="57">
        <v>11779.17</v>
      </c>
      <c r="G31" s="57">
        <v>11779.17</v>
      </c>
      <c r="H31" s="57">
        <f t="shared" si="0"/>
        <v>0</v>
      </c>
      <c r="I31" s="58">
        <f>MAX(0,Mapping_Rules!$B$6-E31)</f>
        <v>2</v>
      </c>
      <c r="J31" s="59" t="str">
        <f t="shared" si="1"/>
        <v>1-30</v>
      </c>
      <c r="K31" s="55" t="s">
        <v>77</v>
      </c>
      <c r="L31" s="55" t="s">
        <v>104</v>
      </c>
      <c r="M31" s="59" t="str">
        <f>IF(L31="Closed","Closed",IF(OR(H31&gt;=Mapping_Rules!$B$7,I31&gt;=Mapping_Rules!$B$8),"High Risk",IF(I31&gt;30,"Monitor","Normal")))</f>
        <v>Closed</v>
      </c>
      <c r="N31" s="59" t="str">
        <f t="shared" si="2"/>
        <v>No action</v>
      </c>
    </row>
    <row r="32" spans="1:14">
      <c r="A32" s="23" t="s">
        <v>1731</v>
      </c>
      <c r="B32" s="23" t="s">
        <v>81</v>
      </c>
      <c r="C32" s="23" t="s">
        <v>167</v>
      </c>
      <c r="D32" s="31">
        <v>46013</v>
      </c>
      <c r="E32" s="31">
        <v>46058</v>
      </c>
      <c r="F32" s="32">
        <v>12042.68</v>
      </c>
      <c r="G32" s="32">
        <v>7165</v>
      </c>
      <c r="H32" s="32">
        <f t="shared" si="0"/>
        <v>4877.68</v>
      </c>
      <c r="I32" s="40">
        <f>MAX(0,Mapping_Rules!$B$6-E32)</f>
        <v>0</v>
      </c>
      <c r="J32" s="41" t="str">
        <f t="shared" si="1"/>
        <v>Current</v>
      </c>
      <c r="K32" s="23" t="s">
        <v>77</v>
      </c>
      <c r="L32" s="23" t="s">
        <v>82</v>
      </c>
      <c r="M32" s="41" t="str">
        <f>IF(L32="Closed","Closed",IF(OR(H32&gt;=Mapping_Rules!$B$7,I32&gt;=Mapping_Rules!$B$8),"High Risk",IF(I32&gt;30,"Monitor","Normal")))</f>
        <v>Normal</v>
      </c>
      <c r="N32" s="41" t="str">
        <f t="shared" si="2"/>
        <v>Keep monitoring</v>
      </c>
    </row>
    <row r="33" spans="1:14" ht="27.6">
      <c r="A33" s="55" t="s">
        <v>1732</v>
      </c>
      <c r="B33" s="55" t="s">
        <v>81</v>
      </c>
      <c r="C33" s="55" t="s">
        <v>163</v>
      </c>
      <c r="D33" s="56">
        <v>46043</v>
      </c>
      <c r="E33" s="56">
        <v>46058</v>
      </c>
      <c r="F33" s="57">
        <v>12094.89</v>
      </c>
      <c r="G33" s="57">
        <v>0</v>
      </c>
      <c r="H33" s="57">
        <f t="shared" si="0"/>
        <v>12094.89</v>
      </c>
      <c r="I33" s="58">
        <f>MAX(0,Mapping_Rules!$B$6-E33)</f>
        <v>0</v>
      </c>
      <c r="J33" s="59" t="str">
        <f t="shared" si="1"/>
        <v>Current</v>
      </c>
      <c r="K33" s="55" t="s">
        <v>103</v>
      </c>
      <c r="L33" s="55" t="s">
        <v>100</v>
      </c>
      <c r="M33" s="59" t="str">
        <f>IF(L33="Closed","Closed",IF(OR(H33&gt;=Mapping_Rules!$B$7,I33&gt;=Mapping_Rules!$B$8),"High Risk",IF(I33&gt;30,"Monitor","Normal")))</f>
        <v>High Risk</v>
      </c>
      <c r="N33" s="59" t="str">
        <f t="shared" si="2"/>
        <v>Call customer/vendor and escalate</v>
      </c>
    </row>
    <row r="34" spans="1:14">
      <c r="A34" s="23" t="s">
        <v>1733</v>
      </c>
      <c r="B34" s="23" t="s">
        <v>72</v>
      </c>
      <c r="C34" s="23" t="s">
        <v>144</v>
      </c>
      <c r="D34" s="31">
        <v>45970</v>
      </c>
      <c r="E34" s="31">
        <v>46015</v>
      </c>
      <c r="F34" s="32">
        <v>3443.29</v>
      </c>
      <c r="G34" s="32">
        <v>0</v>
      </c>
      <c r="H34" s="32">
        <f t="shared" si="0"/>
        <v>3443.29</v>
      </c>
      <c r="I34" s="40">
        <f>MAX(0,Mapping_Rules!$B$6-E34)</f>
        <v>38</v>
      </c>
      <c r="J34" s="41" t="str">
        <f t="shared" si="1"/>
        <v>31-60</v>
      </c>
      <c r="K34" s="23" t="s">
        <v>77</v>
      </c>
      <c r="L34" s="23" t="s">
        <v>73</v>
      </c>
      <c r="M34" s="41" t="str">
        <f>IF(L34="Closed","Closed",IF(OR(H34&gt;=Mapping_Rules!$B$7,I34&gt;=Mapping_Rules!$B$8),"High Risk",IF(I34&gt;30,"Monitor","Normal")))</f>
        <v>Monitor</v>
      </c>
      <c r="N34" s="41" t="str">
        <f t="shared" si="2"/>
        <v>Send follow-up email</v>
      </c>
    </row>
    <row r="35" spans="1:14">
      <c r="A35" s="55" t="s">
        <v>1734</v>
      </c>
      <c r="B35" s="55" t="s">
        <v>72</v>
      </c>
      <c r="C35" s="55" t="s">
        <v>150</v>
      </c>
      <c r="D35" s="56">
        <v>46040</v>
      </c>
      <c r="E35" s="56">
        <v>46085</v>
      </c>
      <c r="F35" s="57">
        <v>10717.35</v>
      </c>
      <c r="G35" s="57">
        <v>8195.7199999999993</v>
      </c>
      <c r="H35" s="57">
        <f t="shared" si="0"/>
        <v>2521.630000000001</v>
      </c>
      <c r="I35" s="58">
        <f>MAX(0,Mapping_Rules!$B$6-E35)</f>
        <v>0</v>
      </c>
      <c r="J35" s="59" t="str">
        <f t="shared" si="1"/>
        <v>Current</v>
      </c>
      <c r="K35" s="55" t="s">
        <v>86</v>
      </c>
      <c r="L35" s="55" t="s">
        <v>82</v>
      </c>
      <c r="M35" s="59" t="str">
        <f>IF(L35="Closed","Closed",IF(OR(H35&gt;=Mapping_Rules!$B$7,I35&gt;=Mapping_Rules!$B$8),"High Risk",IF(I35&gt;30,"Monitor","Normal")))</f>
        <v>Normal</v>
      </c>
      <c r="N35" s="59" t="str">
        <f t="shared" si="2"/>
        <v>Keep monitoring</v>
      </c>
    </row>
    <row r="36" spans="1:14">
      <c r="A36" s="23" t="s">
        <v>1735</v>
      </c>
      <c r="B36" s="23" t="s">
        <v>72</v>
      </c>
      <c r="C36" s="23" t="s">
        <v>150</v>
      </c>
      <c r="D36" s="31">
        <v>45963</v>
      </c>
      <c r="E36" s="31">
        <v>45993</v>
      </c>
      <c r="F36" s="32">
        <v>12780.93</v>
      </c>
      <c r="G36" s="32">
        <v>12780.93</v>
      </c>
      <c r="H36" s="32">
        <f t="shared" si="0"/>
        <v>0</v>
      </c>
      <c r="I36" s="40">
        <f>MAX(0,Mapping_Rules!$B$6-E36)</f>
        <v>60</v>
      </c>
      <c r="J36" s="41" t="str">
        <f t="shared" si="1"/>
        <v>31-60</v>
      </c>
      <c r="K36" s="23" t="s">
        <v>95</v>
      </c>
      <c r="L36" s="23" t="s">
        <v>104</v>
      </c>
      <c r="M36" s="41" t="str">
        <f>IF(L36="Closed","Closed",IF(OR(H36&gt;=Mapping_Rules!$B$7,I36&gt;=Mapping_Rules!$B$8),"High Risk",IF(I36&gt;30,"Monitor","Normal")))</f>
        <v>Closed</v>
      </c>
      <c r="N36" s="41" t="str">
        <f t="shared" si="2"/>
        <v>No action</v>
      </c>
    </row>
    <row r="37" spans="1:14" ht="27.6">
      <c r="A37" s="55" t="s">
        <v>1736</v>
      </c>
      <c r="B37" s="55" t="s">
        <v>81</v>
      </c>
      <c r="C37" s="55" t="s">
        <v>220</v>
      </c>
      <c r="D37" s="56">
        <v>46038</v>
      </c>
      <c r="E37" s="56">
        <v>46068</v>
      </c>
      <c r="F37" s="57">
        <v>9285.57</v>
      </c>
      <c r="G37" s="57">
        <v>3564.09</v>
      </c>
      <c r="H37" s="57">
        <f t="shared" si="0"/>
        <v>5721.48</v>
      </c>
      <c r="I37" s="58">
        <f>MAX(0,Mapping_Rules!$B$6-E37)</f>
        <v>0</v>
      </c>
      <c r="J37" s="59" t="str">
        <f t="shared" si="1"/>
        <v>Current</v>
      </c>
      <c r="K37" s="55" t="s">
        <v>77</v>
      </c>
      <c r="L37" s="55" t="s">
        <v>82</v>
      </c>
      <c r="M37" s="59" t="str">
        <f>IF(L37="Closed","Closed",IF(OR(H37&gt;=Mapping_Rules!$B$7,I37&gt;=Mapping_Rules!$B$8),"High Risk",IF(I37&gt;30,"Monitor","Normal")))</f>
        <v>High Risk</v>
      </c>
      <c r="N37" s="59" t="str">
        <f t="shared" si="2"/>
        <v>Call customer/vendor and escalate</v>
      </c>
    </row>
    <row r="38" spans="1:14" ht="27.6">
      <c r="A38" s="23" t="s">
        <v>1737</v>
      </c>
      <c r="B38" s="23" t="s">
        <v>81</v>
      </c>
      <c r="C38" s="23" t="s">
        <v>220</v>
      </c>
      <c r="D38" s="31">
        <v>45997</v>
      </c>
      <c r="E38" s="31">
        <v>46057</v>
      </c>
      <c r="F38" s="32">
        <v>5393.95</v>
      </c>
      <c r="G38" s="32">
        <v>0</v>
      </c>
      <c r="H38" s="32">
        <f t="shared" si="0"/>
        <v>5393.95</v>
      </c>
      <c r="I38" s="40">
        <f>MAX(0,Mapping_Rules!$B$6-E38)</f>
        <v>0</v>
      </c>
      <c r="J38" s="41" t="str">
        <f t="shared" si="1"/>
        <v>Current</v>
      </c>
      <c r="K38" s="23" t="s">
        <v>86</v>
      </c>
      <c r="L38" s="23" t="s">
        <v>73</v>
      </c>
      <c r="M38" s="41" t="str">
        <f>IF(L38="Closed","Closed",IF(OR(H38&gt;=Mapping_Rules!$B$7,I38&gt;=Mapping_Rules!$B$8),"High Risk",IF(I38&gt;30,"Monitor","Normal")))</f>
        <v>High Risk</v>
      </c>
      <c r="N38" s="41" t="str">
        <f t="shared" si="2"/>
        <v>Call customer/vendor and escalate</v>
      </c>
    </row>
    <row r="39" spans="1:14" ht="27.6">
      <c r="A39" s="55" t="s">
        <v>1738</v>
      </c>
      <c r="B39" s="55" t="s">
        <v>81</v>
      </c>
      <c r="C39" s="55" t="s">
        <v>155</v>
      </c>
      <c r="D39" s="56">
        <v>46052</v>
      </c>
      <c r="E39" s="56">
        <v>46067</v>
      </c>
      <c r="F39" s="57">
        <v>13799.78</v>
      </c>
      <c r="G39" s="57">
        <v>8583.33</v>
      </c>
      <c r="H39" s="57">
        <f t="shared" si="0"/>
        <v>5216.4500000000007</v>
      </c>
      <c r="I39" s="58">
        <f>MAX(0,Mapping_Rules!$B$6-E39)</f>
        <v>0</v>
      </c>
      <c r="J39" s="59" t="str">
        <f t="shared" si="1"/>
        <v>Current</v>
      </c>
      <c r="K39" s="55" t="s">
        <v>95</v>
      </c>
      <c r="L39" s="55" t="s">
        <v>82</v>
      </c>
      <c r="M39" s="59" t="str">
        <f>IF(L39="Closed","Closed",IF(OR(H39&gt;=Mapping_Rules!$B$7,I39&gt;=Mapping_Rules!$B$8),"High Risk",IF(I39&gt;30,"Monitor","Normal")))</f>
        <v>High Risk</v>
      </c>
      <c r="N39" s="59" t="str">
        <f t="shared" si="2"/>
        <v>Call customer/vendor and escalate</v>
      </c>
    </row>
    <row r="40" spans="1:14" ht="27.6">
      <c r="A40" s="23" t="s">
        <v>1739</v>
      </c>
      <c r="B40" s="23" t="s">
        <v>72</v>
      </c>
      <c r="C40" s="23" t="s">
        <v>139</v>
      </c>
      <c r="D40" s="31">
        <v>45997</v>
      </c>
      <c r="E40" s="31">
        <v>46027</v>
      </c>
      <c r="F40" s="32">
        <v>9154.5</v>
      </c>
      <c r="G40" s="32">
        <v>0</v>
      </c>
      <c r="H40" s="32">
        <f t="shared" si="0"/>
        <v>9154.5</v>
      </c>
      <c r="I40" s="40">
        <f>MAX(0,Mapping_Rules!$B$6-E40)</f>
        <v>26</v>
      </c>
      <c r="J40" s="41" t="str">
        <f t="shared" si="1"/>
        <v>1-30</v>
      </c>
      <c r="K40" s="23" t="s">
        <v>103</v>
      </c>
      <c r="L40" s="23" t="s">
        <v>73</v>
      </c>
      <c r="M40" s="41" t="str">
        <f>IF(L40="Closed","Closed",IF(OR(H40&gt;=Mapping_Rules!$B$7,I40&gt;=Mapping_Rules!$B$8),"High Risk",IF(I40&gt;30,"Monitor","Normal")))</f>
        <v>High Risk</v>
      </c>
      <c r="N40" s="41" t="str">
        <f t="shared" si="2"/>
        <v>Call customer/vendor and escalate</v>
      </c>
    </row>
    <row r="41" spans="1:14">
      <c r="A41" s="55" t="s">
        <v>1740</v>
      </c>
      <c r="B41" s="55" t="s">
        <v>81</v>
      </c>
      <c r="C41" s="55" t="s">
        <v>214</v>
      </c>
      <c r="D41" s="56">
        <v>45984</v>
      </c>
      <c r="E41" s="56">
        <v>46044</v>
      </c>
      <c r="F41" s="57">
        <v>7667.64</v>
      </c>
      <c r="G41" s="57">
        <v>3657.92</v>
      </c>
      <c r="H41" s="57">
        <f t="shared" si="0"/>
        <v>4009.7200000000003</v>
      </c>
      <c r="I41" s="58">
        <f>MAX(0,Mapping_Rules!$B$6-E41)</f>
        <v>9</v>
      </c>
      <c r="J41" s="59" t="str">
        <f t="shared" si="1"/>
        <v>1-30</v>
      </c>
      <c r="K41" s="55" t="s">
        <v>95</v>
      </c>
      <c r="L41" s="55" t="s">
        <v>82</v>
      </c>
      <c r="M41" s="59" t="str">
        <f>IF(L41="Closed","Closed",IF(OR(H41&gt;=Mapping_Rules!$B$7,I41&gt;=Mapping_Rules!$B$8),"High Risk",IF(I41&gt;30,"Monitor","Normal")))</f>
        <v>Normal</v>
      </c>
      <c r="N41" s="59" t="str">
        <f t="shared" si="2"/>
        <v>Keep monitoring</v>
      </c>
    </row>
    <row r="42" spans="1:14">
      <c r="A42" s="23" t="s">
        <v>1741</v>
      </c>
      <c r="B42" s="23" t="s">
        <v>81</v>
      </c>
      <c r="C42" s="23" t="s">
        <v>167</v>
      </c>
      <c r="D42" s="31">
        <v>45994</v>
      </c>
      <c r="E42" s="31">
        <v>46039</v>
      </c>
      <c r="F42" s="32">
        <v>10458.75</v>
      </c>
      <c r="G42" s="32">
        <v>10458.75</v>
      </c>
      <c r="H42" s="32">
        <f t="shared" si="0"/>
        <v>0</v>
      </c>
      <c r="I42" s="40">
        <f>MAX(0,Mapping_Rules!$B$6-E42)</f>
        <v>14</v>
      </c>
      <c r="J42" s="41" t="str">
        <f t="shared" si="1"/>
        <v>1-30</v>
      </c>
      <c r="K42" s="23" t="s">
        <v>103</v>
      </c>
      <c r="L42" s="23" t="s">
        <v>104</v>
      </c>
      <c r="M42" s="41" t="str">
        <f>IF(L42="Closed","Closed",IF(OR(H42&gt;=Mapping_Rules!$B$7,I42&gt;=Mapping_Rules!$B$8),"High Risk",IF(I42&gt;30,"Monitor","Normal")))</f>
        <v>Closed</v>
      </c>
      <c r="N42" s="41" t="str">
        <f t="shared" si="2"/>
        <v>No action</v>
      </c>
    </row>
    <row r="43" spans="1:14" ht="27.6">
      <c r="A43" s="55" t="s">
        <v>1742</v>
      </c>
      <c r="B43" s="55" t="s">
        <v>81</v>
      </c>
      <c r="C43" s="55" t="s">
        <v>214</v>
      </c>
      <c r="D43" s="56">
        <v>46020</v>
      </c>
      <c r="E43" s="56">
        <v>46080</v>
      </c>
      <c r="F43" s="57">
        <v>13463.38</v>
      </c>
      <c r="G43" s="57">
        <v>0</v>
      </c>
      <c r="H43" s="57">
        <f t="shared" si="0"/>
        <v>13463.38</v>
      </c>
      <c r="I43" s="58">
        <f>MAX(0,Mapping_Rules!$B$6-E43)</f>
        <v>0</v>
      </c>
      <c r="J43" s="59" t="str">
        <f t="shared" si="1"/>
        <v>Current</v>
      </c>
      <c r="K43" s="55" t="s">
        <v>103</v>
      </c>
      <c r="L43" s="55" t="s">
        <v>100</v>
      </c>
      <c r="M43" s="59" t="str">
        <f>IF(L43="Closed","Closed",IF(OR(H43&gt;=Mapping_Rules!$B$7,I43&gt;=Mapping_Rules!$B$8),"High Risk",IF(I43&gt;30,"Monitor","Normal")))</f>
        <v>High Risk</v>
      </c>
      <c r="N43" s="59" t="str">
        <f t="shared" si="2"/>
        <v>Call customer/vendor and escalate</v>
      </c>
    </row>
    <row r="44" spans="1:14">
      <c r="A44" s="23" t="s">
        <v>1743</v>
      </c>
      <c r="B44" s="23" t="s">
        <v>81</v>
      </c>
      <c r="C44" s="23" t="s">
        <v>214</v>
      </c>
      <c r="D44" s="31">
        <v>45970</v>
      </c>
      <c r="E44" s="31">
        <v>46030</v>
      </c>
      <c r="F44" s="32">
        <v>9559.8799999999992</v>
      </c>
      <c r="G44" s="32">
        <v>9559.8799999999992</v>
      </c>
      <c r="H44" s="32">
        <f t="shared" si="0"/>
        <v>0</v>
      </c>
      <c r="I44" s="40">
        <f>MAX(0,Mapping_Rules!$B$6-E44)</f>
        <v>23</v>
      </c>
      <c r="J44" s="41" t="str">
        <f t="shared" si="1"/>
        <v>1-30</v>
      </c>
      <c r="K44" s="23" t="s">
        <v>86</v>
      </c>
      <c r="L44" s="23" t="s">
        <v>104</v>
      </c>
      <c r="M44" s="41" t="str">
        <f>IF(L44="Closed","Closed",IF(OR(H44&gt;=Mapping_Rules!$B$7,I44&gt;=Mapping_Rules!$B$8),"High Risk",IF(I44&gt;30,"Monitor","Normal")))</f>
        <v>Closed</v>
      </c>
      <c r="N44" s="41" t="str">
        <f t="shared" si="2"/>
        <v>No action</v>
      </c>
    </row>
    <row r="45" spans="1:14" ht="27.6">
      <c r="A45" s="55" t="s">
        <v>1744</v>
      </c>
      <c r="B45" s="55" t="s">
        <v>72</v>
      </c>
      <c r="C45" s="55" t="s">
        <v>150</v>
      </c>
      <c r="D45" s="56">
        <v>46007</v>
      </c>
      <c r="E45" s="56">
        <v>46022</v>
      </c>
      <c r="F45" s="57">
        <v>10557.16</v>
      </c>
      <c r="G45" s="57">
        <v>0</v>
      </c>
      <c r="H45" s="57">
        <f t="shared" si="0"/>
        <v>10557.16</v>
      </c>
      <c r="I45" s="58">
        <f>MAX(0,Mapping_Rules!$B$6-E45)</f>
        <v>31</v>
      </c>
      <c r="J45" s="59" t="str">
        <f t="shared" si="1"/>
        <v>31-60</v>
      </c>
      <c r="K45" s="55" t="s">
        <v>95</v>
      </c>
      <c r="L45" s="55" t="s">
        <v>73</v>
      </c>
      <c r="M45" s="59" t="str">
        <f>IF(L45="Closed","Closed",IF(OR(H45&gt;=Mapping_Rules!$B$7,I45&gt;=Mapping_Rules!$B$8),"High Risk",IF(I45&gt;30,"Monitor","Normal")))</f>
        <v>High Risk</v>
      </c>
      <c r="N45" s="59" t="str">
        <f t="shared" si="2"/>
        <v>Call customer/vendor and escalate</v>
      </c>
    </row>
    <row r="46" spans="1:14">
      <c r="A46" s="23" t="s">
        <v>1745</v>
      </c>
      <c r="B46" s="23" t="s">
        <v>81</v>
      </c>
      <c r="C46" s="23" t="s">
        <v>163</v>
      </c>
      <c r="D46" s="31">
        <v>46048</v>
      </c>
      <c r="E46" s="31">
        <v>46093</v>
      </c>
      <c r="F46" s="32">
        <v>1279.03</v>
      </c>
      <c r="G46" s="32">
        <v>1279.03</v>
      </c>
      <c r="H46" s="32">
        <f t="shared" si="0"/>
        <v>0</v>
      </c>
      <c r="I46" s="40">
        <f>MAX(0,Mapping_Rules!$B$6-E46)</f>
        <v>0</v>
      </c>
      <c r="J46" s="41" t="str">
        <f t="shared" si="1"/>
        <v>Current</v>
      </c>
      <c r="K46" s="23" t="s">
        <v>103</v>
      </c>
      <c r="L46" s="23" t="s">
        <v>104</v>
      </c>
      <c r="M46" s="41" t="str">
        <f>IF(L46="Closed","Closed",IF(OR(H46&gt;=Mapping_Rules!$B$7,I46&gt;=Mapping_Rules!$B$8),"High Risk",IF(I46&gt;30,"Monitor","Normal")))</f>
        <v>Closed</v>
      </c>
      <c r="N46" s="41" t="str">
        <f t="shared" si="2"/>
        <v>No action</v>
      </c>
    </row>
    <row r="47" spans="1:14">
      <c r="A47" s="55" t="s">
        <v>1746</v>
      </c>
      <c r="B47" s="55" t="s">
        <v>72</v>
      </c>
      <c r="C47" s="55" t="s">
        <v>208</v>
      </c>
      <c r="D47" s="56">
        <v>45989</v>
      </c>
      <c r="E47" s="56">
        <v>46034</v>
      </c>
      <c r="F47" s="57">
        <v>2864.35</v>
      </c>
      <c r="G47" s="57">
        <v>0</v>
      </c>
      <c r="H47" s="57">
        <f t="shared" si="0"/>
        <v>2864.35</v>
      </c>
      <c r="I47" s="58">
        <f>MAX(0,Mapping_Rules!$B$6-E47)</f>
        <v>19</v>
      </c>
      <c r="J47" s="59" t="str">
        <f t="shared" si="1"/>
        <v>1-30</v>
      </c>
      <c r="K47" s="55" t="s">
        <v>86</v>
      </c>
      <c r="L47" s="55" t="s">
        <v>91</v>
      </c>
      <c r="M47" s="59" t="str">
        <f>IF(L47="Closed","Closed",IF(OR(H47&gt;=Mapping_Rules!$B$7,I47&gt;=Mapping_Rules!$B$8),"High Risk",IF(I47&gt;30,"Monitor","Normal")))</f>
        <v>Normal</v>
      </c>
      <c r="N47" s="59" t="str">
        <f t="shared" si="2"/>
        <v>Keep monitoring</v>
      </c>
    </row>
    <row r="48" spans="1:14" ht="27.6">
      <c r="A48" s="23" t="s">
        <v>1747</v>
      </c>
      <c r="B48" s="23" t="s">
        <v>72</v>
      </c>
      <c r="C48" s="23" t="s">
        <v>126</v>
      </c>
      <c r="D48" s="31">
        <v>45987</v>
      </c>
      <c r="E48" s="31">
        <v>46017</v>
      </c>
      <c r="F48" s="32">
        <v>11071.12</v>
      </c>
      <c r="G48" s="32">
        <v>0</v>
      </c>
      <c r="H48" s="32">
        <f t="shared" si="0"/>
        <v>11071.12</v>
      </c>
      <c r="I48" s="40">
        <f>MAX(0,Mapping_Rules!$B$6-E48)</f>
        <v>36</v>
      </c>
      <c r="J48" s="41" t="str">
        <f t="shared" si="1"/>
        <v>31-60</v>
      </c>
      <c r="K48" s="23" t="s">
        <v>86</v>
      </c>
      <c r="L48" s="23" t="s">
        <v>100</v>
      </c>
      <c r="M48" s="41" t="str">
        <f>IF(L48="Closed","Closed",IF(OR(H48&gt;=Mapping_Rules!$B$7,I48&gt;=Mapping_Rules!$B$8),"High Risk",IF(I48&gt;30,"Monitor","Normal")))</f>
        <v>High Risk</v>
      </c>
      <c r="N48" s="41" t="str">
        <f t="shared" si="2"/>
        <v>Call customer/vendor and escalate</v>
      </c>
    </row>
    <row r="49" spans="1:14">
      <c r="A49" s="55" t="s">
        <v>1748</v>
      </c>
      <c r="B49" s="55" t="s">
        <v>81</v>
      </c>
      <c r="C49" s="55" t="s">
        <v>173</v>
      </c>
      <c r="D49" s="56">
        <v>45993</v>
      </c>
      <c r="E49" s="56">
        <v>46038</v>
      </c>
      <c r="F49" s="57">
        <v>2466.5300000000002</v>
      </c>
      <c r="G49" s="57">
        <v>0</v>
      </c>
      <c r="H49" s="57">
        <f t="shared" si="0"/>
        <v>2466.5300000000002</v>
      </c>
      <c r="I49" s="58">
        <f>MAX(0,Mapping_Rules!$B$6-E49)</f>
        <v>15</v>
      </c>
      <c r="J49" s="59" t="str">
        <f t="shared" si="1"/>
        <v>1-30</v>
      </c>
      <c r="K49" s="55" t="s">
        <v>77</v>
      </c>
      <c r="L49" s="55" t="s">
        <v>73</v>
      </c>
      <c r="M49" s="59" t="str">
        <f>IF(L49="Closed","Closed",IF(OR(H49&gt;=Mapping_Rules!$B$7,I49&gt;=Mapping_Rules!$B$8),"High Risk",IF(I49&gt;30,"Monitor","Normal")))</f>
        <v>Normal</v>
      </c>
      <c r="N49" s="59" t="str">
        <f t="shared" si="2"/>
        <v>Keep monitoring</v>
      </c>
    </row>
    <row r="50" spans="1:14" ht="27.6">
      <c r="A50" s="23" t="s">
        <v>1749</v>
      </c>
      <c r="B50" s="23" t="s">
        <v>72</v>
      </c>
      <c r="C50" s="23" t="s">
        <v>204</v>
      </c>
      <c r="D50" s="31">
        <v>45962</v>
      </c>
      <c r="E50" s="31">
        <v>45977</v>
      </c>
      <c r="F50" s="32">
        <v>12742.96</v>
      </c>
      <c r="G50" s="32">
        <v>0</v>
      </c>
      <c r="H50" s="32">
        <f t="shared" si="0"/>
        <v>12742.96</v>
      </c>
      <c r="I50" s="40">
        <f>MAX(0,Mapping_Rules!$B$6-E50)</f>
        <v>76</v>
      </c>
      <c r="J50" s="41" t="str">
        <f t="shared" si="1"/>
        <v>61-90</v>
      </c>
      <c r="K50" s="23" t="s">
        <v>95</v>
      </c>
      <c r="L50" s="23" t="s">
        <v>73</v>
      </c>
      <c r="M50" s="41" t="str">
        <f>IF(L50="Closed","Closed",IF(OR(H50&gt;=Mapping_Rules!$B$7,I50&gt;=Mapping_Rules!$B$8),"High Risk",IF(I50&gt;30,"Monitor","Normal")))</f>
        <v>High Risk</v>
      </c>
      <c r="N50" s="41" t="str">
        <f t="shared" si="2"/>
        <v>Call customer/vendor and escalate</v>
      </c>
    </row>
    <row r="51" spans="1:14">
      <c r="A51" s="55" t="s">
        <v>1750</v>
      </c>
      <c r="B51" s="55" t="s">
        <v>72</v>
      </c>
      <c r="C51" s="55" t="s">
        <v>204</v>
      </c>
      <c r="D51" s="56">
        <v>45997</v>
      </c>
      <c r="E51" s="56">
        <v>46057</v>
      </c>
      <c r="F51" s="57">
        <v>2865.65</v>
      </c>
      <c r="G51" s="57">
        <v>0</v>
      </c>
      <c r="H51" s="57">
        <f t="shared" si="0"/>
        <v>2865.65</v>
      </c>
      <c r="I51" s="58">
        <f>MAX(0,Mapping_Rules!$B$6-E51)</f>
        <v>0</v>
      </c>
      <c r="J51" s="59" t="str">
        <f t="shared" si="1"/>
        <v>Current</v>
      </c>
      <c r="K51" s="55" t="s">
        <v>95</v>
      </c>
      <c r="L51" s="55" t="s">
        <v>91</v>
      </c>
      <c r="M51" s="59" t="str">
        <f>IF(L51="Closed","Closed",IF(OR(H51&gt;=Mapping_Rules!$B$7,I51&gt;=Mapping_Rules!$B$8),"High Risk",IF(I51&gt;30,"Monitor","Normal")))</f>
        <v>Normal</v>
      </c>
      <c r="N51" s="59" t="str">
        <f t="shared" si="2"/>
        <v>Keep monitoring</v>
      </c>
    </row>
    <row r="52" spans="1:14">
      <c r="A52" s="23" t="s">
        <v>1751</v>
      </c>
      <c r="B52" s="23" t="s">
        <v>72</v>
      </c>
      <c r="C52" s="23" t="s">
        <v>133</v>
      </c>
      <c r="D52" s="31">
        <v>46035</v>
      </c>
      <c r="E52" s="31">
        <v>46065</v>
      </c>
      <c r="F52" s="32">
        <v>954.1</v>
      </c>
      <c r="G52" s="32">
        <v>0</v>
      </c>
      <c r="H52" s="32">
        <f t="shared" si="0"/>
        <v>954.1</v>
      </c>
      <c r="I52" s="40">
        <f>MAX(0,Mapping_Rules!$B$6-E52)</f>
        <v>0</v>
      </c>
      <c r="J52" s="41" t="str">
        <f t="shared" si="1"/>
        <v>Current</v>
      </c>
      <c r="K52" s="23" t="s">
        <v>103</v>
      </c>
      <c r="L52" s="23" t="s">
        <v>100</v>
      </c>
      <c r="M52" s="41" t="str">
        <f>IF(L52="Closed","Closed",IF(OR(H52&gt;=Mapping_Rules!$B$7,I52&gt;=Mapping_Rules!$B$8),"High Risk",IF(I52&gt;30,"Monitor","Normal")))</f>
        <v>Normal</v>
      </c>
      <c r="N52" s="41" t="str">
        <f t="shared" si="2"/>
        <v>Keep monitoring</v>
      </c>
    </row>
    <row r="53" spans="1:14" ht="27.6">
      <c r="A53" s="55" t="s">
        <v>1752</v>
      </c>
      <c r="B53" s="55" t="s">
        <v>81</v>
      </c>
      <c r="C53" s="55" t="s">
        <v>167</v>
      </c>
      <c r="D53" s="56">
        <v>46006</v>
      </c>
      <c r="E53" s="56">
        <v>46066</v>
      </c>
      <c r="F53" s="57">
        <v>12926.94</v>
      </c>
      <c r="G53" s="57">
        <v>0</v>
      </c>
      <c r="H53" s="57">
        <f t="shared" si="0"/>
        <v>12926.94</v>
      </c>
      <c r="I53" s="58">
        <f>MAX(0,Mapping_Rules!$B$6-E53)</f>
        <v>0</v>
      </c>
      <c r="J53" s="59" t="str">
        <f t="shared" si="1"/>
        <v>Current</v>
      </c>
      <c r="K53" s="55" t="s">
        <v>103</v>
      </c>
      <c r="L53" s="55" t="s">
        <v>91</v>
      </c>
      <c r="M53" s="59" t="str">
        <f>IF(L53="Closed","Closed",IF(OR(H53&gt;=Mapping_Rules!$B$7,I53&gt;=Mapping_Rules!$B$8),"High Risk",IF(I53&gt;30,"Monitor","Normal")))</f>
        <v>High Risk</v>
      </c>
      <c r="N53" s="59" t="str">
        <f t="shared" si="2"/>
        <v>Call customer/vendor and escalate</v>
      </c>
    </row>
    <row r="54" spans="1:14">
      <c r="A54" s="23" t="s">
        <v>1753</v>
      </c>
      <c r="B54" s="23" t="s">
        <v>81</v>
      </c>
      <c r="C54" s="23" t="s">
        <v>155</v>
      </c>
      <c r="D54" s="31">
        <v>46028</v>
      </c>
      <c r="E54" s="31">
        <v>46088</v>
      </c>
      <c r="F54" s="32">
        <v>4837.42</v>
      </c>
      <c r="G54" s="32">
        <v>0</v>
      </c>
      <c r="H54" s="32">
        <f t="shared" si="0"/>
        <v>4837.42</v>
      </c>
      <c r="I54" s="40">
        <f>MAX(0,Mapping_Rules!$B$6-E54)</f>
        <v>0</v>
      </c>
      <c r="J54" s="41" t="str">
        <f t="shared" si="1"/>
        <v>Current</v>
      </c>
      <c r="K54" s="23" t="s">
        <v>86</v>
      </c>
      <c r="L54" s="23" t="s">
        <v>73</v>
      </c>
      <c r="M54" s="41" t="str">
        <f>IF(L54="Closed","Closed",IF(OR(H54&gt;=Mapping_Rules!$B$7,I54&gt;=Mapping_Rules!$B$8),"High Risk",IF(I54&gt;30,"Monitor","Normal")))</f>
        <v>Normal</v>
      </c>
      <c r="N54" s="41" t="str">
        <f t="shared" si="2"/>
        <v>Keep monitoring</v>
      </c>
    </row>
    <row r="55" spans="1:14" ht="27.6">
      <c r="A55" s="55" t="s">
        <v>1754</v>
      </c>
      <c r="B55" s="55" t="s">
        <v>72</v>
      </c>
      <c r="C55" s="55" t="s">
        <v>204</v>
      </c>
      <c r="D55" s="56">
        <v>45974</v>
      </c>
      <c r="E55" s="56">
        <v>46019</v>
      </c>
      <c r="F55" s="57">
        <v>5519.79</v>
      </c>
      <c r="G55" s="57">
        <v>0</v>
      </c>
      <c r="H55" s="57">
        <f t="shared" si="0"/>
        <v>5519.79</v>
      </c>
      <c r="I55" s="58">
        <f>MAX(0,Mapping_Rules!$B$6-E55)</f>
        <v>34</v>
      </c>
      <c r="J55" s="59" t="str">
        <f t="shared" si="1"/>
        <v>31-60</v>
      </c>
      <c r="K55" s="55" t="s">
        <v>86</v>
      </c>
      <c r="L55" s="55" t="s">
        <v>100</v>
      </c>
      <c r="M55" s="59" t="str">
        <f>IF(L55="Closed","Closed",IF(OR(H55&gt;=Mapping_Rules!$B$7,I55&gt;=Mapping_Rules!$B$8),"High Risk",IF(I55&gt;30,"Monitor","Normal")))</f>
        <v>High Risk</v>
      </c>
      <c r="N55" s="59" t="str">
        <f t="shared" si="2"/>
        <v>Call customer/vendor and escalate</v>
      </c>
    </row>
    <row r="56" spans="1:14" ht="27.6">
      <c r="A56" s="23" t="s">
        <v>1755</v>
      </c>
      <c r="B56" s="23" t="s">
        <v>72</v>
      </c>
      <c r="C56" s="23" t="s">
        <v>133</v>
      </c>
      <c r="D56" s="31">
        <v>45996</v>
      </c>
      <c r="E56" s="31">
        <v>46056</v>
      </c>
      <c r="F56" s="32">
        <v>14384.12</v>
      </c>
      <c r="G56" s="32">
        <v>0</v>
      </c>
      <c r="H56" s="32">
        <f t="shared" si="0"/>
        <v>14384.12</v>
      </c>
      <c r="I56" s="40">
        <f>MAX(0,Mapping_Rules!$B$6-E56)</f>
        <v>0</v>
      </c>
      <c r="J56" s="41" t="str">
        <f t="shared" si="1"/>
        <v>Current</v>
      </c>
      <c r="K56" s="23" t="s">
        <v>86</v>
      </c>
      <c r="L56" s="23" t="s">
        <v>73</v>
      </c>
      <c r="M56" s="41" t="str">
        <f>IF(L56="Closed","Closed",IF(OR(H56&gt;=Mapping_Rules!$B$7,I56&gt;=Mapping_Rules!$B$8),"High Risk",IF(I56&gt;30,"Monitor","Normal")))</f>
        <v>High Risk</v>
      </c>
      <c r="N56" s="41" t="str">
        <f t="shared" si="2"/>
        <v>Call customer/vendor and escalate</v>
      </c>
    </row>
    <row r="57" spans="1:14" ht="27.6">
      <c r="A57" s="55" t="s">
        <v>1756</v>
      </c>
      <c r="B57" s="55" t="s">
        <v>72</v>
      </c>
      <c r="C57" s="55" t="s">
        <v>150</v>
      </c>
      <c r="D57" s="56">
        <v>45988</v>
      </c>
      <c r="E57" s="56">
        <v>46048</v>
      </c>
      <c r="F57" s="57">
        <v>10555.58</v>
      </c>
      <c r="G57" s="57">
        <v>0</v>
      </c>
      <c r="H57" s="57">
        <f t="shared" si="0"/>
        <v>10555.58</v>
      </c>
      <c r="I57" s="58">
        <f>MAX(0,Mapping_Rules!$B$6-E57)</f>
        <v>5</v>
      </c>
      <c r="J57" s="59" t="str">
        <f t="shared" si="1"/>
        <v>1-30</v>
      </c>
      <c r="K57" s="55" t="s">
        <v>103</v>
      </c>
      <c r="L57" s="55" t="s">
        <v>73</v>
      </c>
      <c r="M57" s="59" t="str">
        <f>IF(L57="Closed","Closed",IF(OR(H57&gt;=Mapping_Rules!$B$7,I57&gt;=Mapping_Rules!$B$8),"High Risk",IF(I57&gt;30,"Monitor","Normal")))</f>
        <v>High Risk</v>
      </c>
      <c r="N57" s="59" t="str">
        <f t="shared" si="2"/>
        <v>Call customer/vendor and escalate</v>
      </c>
    </row>
    <row r="58" spans="1:14">
      <c r="A58" s="23" t="s">
        <v>1757</v>
      </c>
      <c r="B58" s="23" t="s">
        <v>72</v>
      </c>
      <c r="C58" s="23" t="s">
        <v>150</v>
      </c>
      <c r="D58" s="31">
        <v>45985</v>
      </c>
      <c r="E58" s="31">
        <v>46015</v>
      </c>
      <c r="F58" s="32">
        <v>14692.2</v>
      </c>
      <c r="G58" s="32">
        <v>9979.2900000000009</v>
      </c>
      <c r="H58" s="32">
        <f t="shared" si="0"/>
        <v>4712.91</v>
      </c>
      <c r="I58" s="40">
        <f>MAX(0,Mapping_Rules!$B$6-E58)</f>
        <v>38</v>
      </c>
      <c r="J58" s="41" t="str">
        <f t="shared" si="1"/>
        <v>31-60</v>
      </c>
      <c r="K58" s="23" t="s">
        <v>95</v>
      </c>
      <c r="L58" s="23" t="s">
        <v>82</v>
      </c>
      <c r="M58" s="41" t="str">
        <f>IF(L58="Closed","Closed",IF(OR(H58&gt;=Mapping_Rules!$B$7,I58&gt;=Mapping_Rules!$B$8),"High Risk",IF(I58&gt;30,"Monitor","Normal")))</f>
        <v>Monitor</v>
      </c>
      <c r="N58" s="41" t="str">
        <f t="shared" si="2"/>
        <v>Send follow-up email</v>
      </c>
    </row>
    <row r="59" spans="1:14">
      <c r="A59" s="55" t="s">
        <v>1758</v>
      </c>
      <c r="B59" s="55" t="s">
        <v>81</v>
      </c>
      <c r="C59" s="55" t="s">
        <v>167</v>
      </c>
      <c r="D59" s="56">
        <v>46017</v>
      </c>
      <c r="E59" s="56">
        <v>46077</v>
      </c>
      <c r="F59" s="57">
        <v>3061.54</v>
      </c>
      <c r="G59" s="57">
        <v>0</v>
      </c>
      <c r="H59" s="57">
        <f t="shared" si="0"/>
        <v>3061.54</v>
      </c>
      <c r="I59" s="58">
        <f>MAX(0,Mapping_Rules!$B$6-E59)</f>
        <v>0</v>
      </c>
      <c r="J59" s="59" t="str">
        <f t="shared" si="1"/>
        <v>Current</v>
      </c>
      <c r="K59" s="55" t="s">
        <v>86</v>
      </c>
      <c r="L59" s="55" t="s">
        <v>100</v>
      </c>
      <c r="M59" s="59" t="str">
        <f>IF(L59="Closed","Closed",IF(OR(H59&gt;=Mapping_Rules!$B$7,I59&gt;=Mapping_Rules!$B$8),"High Risk",IF(I59&gt;30,"Monitor","Normal")))</f>
        <v>Normal</v>
      </c>
      <c r="N59" s="59" t="str">
        <f t="shared" si="2"/>
        <v>Keep monitoring</v>
      </c>
    </row>
    <row r="60" spans="1:14" ht="27.6">
      <c r="A60" s="23" t="s">
        <v>1759</v>
      </c>
      <c r="B60" s="23" t="s">
        <v>72</v>
      </c>
      <c r="C60" s="23" t="s">
        <v>139</v>
      </c>
      <c r="D60" s="31">
        <v>45963</v>
      </c>
      <c r="E60" s="31">
        <v>45993</v>
      </c>
      <c r="F60" s="32">
        <v>6409.58</v>
      </c>
      <c r="G60" s="32">
        <v>0</v>
      </c>
      <c r="H60" s="32">
        <f t="shared" si="0"/>
        <v>6409.58</v>
      </c>
      <c r="I60" s="40">
        <f>MAX(0,Mapping_Rules!$B$6-E60)</f>
        <v>60</v>
      </c>
      <c r="J60" s="41" t="str">
        <f t="shared" si="1"/>
        <v>31-60</v>
      </c>
      <c r="K60" s="23" t="s">
        <v>95</v>
      </c>
      <c r="L60" s="23" t="s">
        <v>73</v>
      </c>
      <c r="M60" s="41" t="str">
        <f>IF(L60="Closed","Closed",IF(OR(H60&gt;=Mapping_Rules!$B$7,I60&gt;=Mapping_Rules!$B$8),"High Risk",IF(I60&gt;30,"Monitor","Normal")))</f>
        <v>High Risk</v>
      </c>
      <c r="N60" s="41" t="str">
        <f t="shared" si="2"/>
        <v>Call customer/vendor and escalate</v>
      </c>
    </row>
    <row r="61" spans="1:14">
      <c r="A61" s="55" t="s">
        <v>1760</v>
      </c>
      <c r="B61" s="55" t="s">
        <v>72</v>
      </c>
      <c r="C61" s="55" t="s">
        <v>208</v>
      </c>
      <c r="D61" s="56">
        <v>45994</v>
      </c>
      <c r="E61" s="56">
        <v>46009</v>
      </c>
      <c r="F61" s="57">
        <v>6066.27</v>
      </c>
      <c r="G61" s="57">
        <v>1146.67</v>
      </c>
      <c r="H61" s="57">
        <f t="shared" si="0"/>
        <v>4919.6000000000004</v>
      </c>
      <c r="I61" s="58">
        <f>MAX(0,Mapping_Rules!$B$6-E61)</f>
        <v>44</v>
      </c>
      <c r="J61" s="59" t="str">
        <f t="shared" si="1"/>
        <v>31-60</v>
      </c>
      <c r="K61" s="55" t="s">
        <v>95</v>
      </c>
      <c r="L61" s="55" t="s">
        <v>82</v>
      </c>
      <c r="M61" s="59" t="str">
        <f>IF(L61="Closed","Closed",IF(OR(H61&gt;=Mapping_Rules!$B$7,I61&gt;=Mapping_Rules!$B$8),"High Risk",IF(I61&gt;30,"Monitor","Normal")))</f>
        <v>Monitor</v>
      </c>
      <c r="N61" s="59" t="str">
        <f t="shared" si="2"/>
        <v>Send follow-up email</v>
      </c>
    </row>
    <row r="62" spans="1:14" ht="27.6">
      <c r="A62" s="23" t="s">
        <v>1761</v>
      </c>
      <c r="B62" s="23" t="s">
        <v>72</v>
      </c>
      <c r="C62" s="23" t="s">
        <v>139</v>
      </c>
      <c r="D62" s="31">
        <v>46042</v>
      </c>
      <c r="E62" s="31">
        <v>46057</v>
      </c>
      <c r="F62" s="32">
        <v>6830.34</v>
      </c>
      <c r="G62" s="32">
        <v>0</v>
      </c>
      <c r="H62" s="32">
        <f t="shared" si="0"/>
        <v>6830.34</v>
      </c>
      <c r="I62" s="40">
        <f>MAX(0,Mapping_Rules!$B$6-E62)</f>
        <v>0</v>
      </c>
      <c r="J62" s="41" t="str">
        <f t="shared" si="1"/>
        <v>Current</v>
      </c>
      <c r="K62" s="23" t="s">
        <v>95</v>
      </c>
      <c r="L62" s="23" t="s">
        <v>73</v>
      </c>
      <c r="M62" s="41" t="str">
        <f>IF(L62="Closed","Closed",IF(OR(H62&gt;=Mapping_Rules!$B$7,I62&gt;=Mapping_Rules!$B$8),"High Risk",IF(I62&gt;30,"Monitor","Normal")))</f>
        <v>High Risk</v>
      </c>
      <c r="N62" s="41" t="str">
        <f t="shared" si="2"/>
        <v>Call customer/vendor and escalate</v>
      </c>
    </row>
    <row r="63" spans="1:14" ht="27.6">
      <c r="A63" s="55" t="s">
        <v>1762</v>
      </c>
      <c r="B63" s="55" t="s">
        <v>72</v>
      </c>
      <c r="C63" s="55" t="s">
        <v>204</v>
      </c>
      <c r="D63" s="56">
        <v>46033</v>
      </c>
      <c r="E63" s="56">
        <v>46078</v>
      </c>
      <c r="F63" s="57">
        <v>5260.48</v>
      </c>
      <c r="G63" s="57">
        <v>0</v>
      </c>
      <c r="H63" s="57">
        <f t="shared" si="0"/>
        <v>5260.48</v>
      </c>
      <c r="I63" s="58">
        <f>MAX(0,Mapping_Rules!$B$6-E63)</f>
        <v>0</v>
      </c>
      <c r="J63" s="59" t="str">
        <f t="shared" si="1"/>
        <v>Current</v>
      </c>
      <c r="K63" s="55" t="s">
        <v>95</v>
      </c>
      <c r="L63" s="55" t="s">
        <v>73</v>
      </c>
      <c r="M63" s="59" t="str">
        <f>IF(L63="Closed","Closed",IF(OR(H63&gt;=Mapping_Rules!$B$7,I63&gt;=Mapping_Rules!$B$8),"High Risk",IF(I63&gt;30,"Monitor","Normal")))</f>
        <v>High Risk</v>
      </c>
      <c r="N63" s="59" t="str">
        <f t="shared" si="2"/>
        <v>Call customer/vendor and escalate</v>
      </c>
    </row>
    <row r="64" spans="1:14" ht="27.6">
      <c r="A64" s="23" t="s">
        <v>1763</v>
      </c>
      <c r="B64" s="23" t="s">
        <v>81</v>
      </c>
      <c r="C64" s="23" t="s">
        <v>167</v>
      </c>
      <c r="D64" s="31">
        <v>46035</v>
      </c>
      <c r="E64" s="31">
        <v>46065</v>
      </c>
      <c r="F64" s="32">
        <v>14693.69</v>
      </c>
      <c r="G64" s="32">
        <v>0</v>
      </c>
      <c r="H64" s="32">
        <f t="shared" si="0"/>
        <v>14693.69</v>
      </c>
      <c r="I64" s="40">
        <f>MAX(0,Mapping_Rules!$B$6-E64)</f>
        <v>0</v>
      </c>
      <c r="J64" s="41" t="str">
        <f t="shared" si="1"/>
        <v>Current</v>
      </c>
      <c r="K64" s="23" t="s">
        <v>95</v>
      </c>
      <c r="L64" s="23" t="s">
        <v>73</v>
      </c>
      <c r="M64" s="41" t="str">
        <f>IF(L64="Closed","Closed",IF(OR(H64&gt;=Mapping_Rules!$B$7,I64&gt;=Mapping_Rules!$B$8),"High Risk",IF(I64&gt;30,"Monitor","Normal")))</f>
        <v>High Risk</v>
      </c>
      <c r="N64" s="41" t="str">
        <f t="shared" si="2"/>
        <v>Call customer/vendor and escalate</v>
      </c>
    </row>
    <row r="65" spans="1:14" ht="27.6">
      <c r="A65" s="55" t="s">
        <v>1764</v>
      </c>
      <c r="B65" s="55" t="s">
        <v>72</v>
      </c>
      <c r="C65" s="55" t="s">
        <v>139</v>
      </c>
      <c r="D65" s="56">
        <v>46019</v>
      </c>
      <c r="E65" s="56">
        <v>46034</v>
      </c>
      <c r="F65" s="57">
        <v>5808.9</v>
      </c>
      <c r="G65" s="57">
        <v>0</v>
      </c>
      <c r="H65" s="57">
        <f t="shared" si="0"/>
        <v>5808.9</v>
      </c>
      <c r="I65" s="58">
        <f>MAX(0,Mapping_Rules!$B$6-E65)</f>
        <v>19</v>
      </c>
      <c r="J65" s="59" t="str">
        <f t="shared" si="1"/>
        <v>1-30</v>
      </c>
      <c r="K65" s="55" t="s">
        <v>86</v>
      </c>
      <c r="L65" s="55" t="s">
        <v>73</v>
      </c>
      <c r="M65" s="59" t="str">
        <f>IF(L65="Closed","Closed",IF(OR(H65&gt;=Mapping_Rules!$B$7,I65&gt;=Mapping_Rules!$B$8),"High Risk",IF(I65&gt;30,"Monitor","Normal")))</f>
        <v>High Risk</v>
      </c>
      <c r="N65" s="59" t="str">
        <f t="shared" si="2"/>
        <v>Call customer/vendor and escalate</v>
      </c>
    </row>
    <row r="66" spans="1:14">
      <c r="A66" s="23" t="s">
        <v>1765</v>
      </c>
      <c r="B66" s="23" t="s">
        <v>81</v>
      </c>
      <c r="C66" s="23" t="s">
        <v>155</v>
      </c>
      <c r="D66" s="31">
        <v>46005</v>
      </c>
      <c r="E66" s="31">
        <v>46065</v>
      </c>
      <c r="F66" s="32">
        <v>9524.41</v>
      </c>
      <c r="G66" s="32">
        <v>6684.09</v>
      </c>
      <c r="H66" s="32">
        <f t="shared" si="0"/>
        <v>2840.3199999999997</v>
      </c>
      <c r="I66" s="40">
        <f>MAX(0,Mapping_Rules!$B$6-E66)</f>
        <v>0</v>
      </c>
      <c r="J66" s="41" t="str">
        <f t="shared" si="1"/>
        <v>Current</v>
      </c>
      <c r="K66" s="23" t="s">
        <v>77</v>
      </c>
      <c r="L66" s="23" t="s">
        <v>82</v>
      </c>
      <c r="M66" s="41" t="str">
        <f>IF(L66="Closed","Closed",IF(OR(H66&gt;=Mapping_Rules!$B$7,I66&gt;=Mapping_Rules!$B$8),"High Risk",IF(I66&gt;30,"Monitor","Normal")))</f>
        <v>Normal</v>
      </c>
      <c r="N66" s="41" t="str">
        <f t="shared" si="2"/>
        <v>Keep monitoring</v>
      </c>
    </row>
    <row r="67" spans="1:14">
      <c r="A67" s="55" t="s">
        <v>1766</v>
      </c>
      <c r="B67" s="55" t="s">
        <v>81</v>
      </c>
      <c r="C67" s="55" t="s">
        <v>173</v>
      </c>
      <c r="D67" s="56">
        <v>46005</v>
      </c>
      <c r="E67" s="56">
        <v>46035</v>
      </c>
      <c r="F67" s="57">
        <v>4805.21</v>
      </c>
      <c r="G67" s="57">
        <v>2939.74</v>
      </c>
      <c r="H67" s="57">
        <f t="shared" si="0"/>
        <v>1865.4700000000003</v>
      </c>
      <c r="I67" s="58">
        <f>MAX(0,Mapping_Rules!$B$6-E67)</f>
        <v>18</v>
      </c>
      <c r="J67" s="59" t="str">
        <f t="shared" si="1"/>
        <v>1-30</v>
      </c>
      <c r="K67" s="55" t="s">
        <v>103</v>
      </c>
      <c r="L67" s="55" t="s">
        <v>82</v>
      </c>
      <c r="M67" s="59" t="str">
        <f>IF(L67="Closed","Closed",IF(OR(H67&gt;=Mapping_Rules!$B$7,I67&gt;=Mapping_Rules!$B$8),"High Risk",IF(I67&gt;30,"Monitor","Normal")))</f>
        <v>Normal</v>
      </c>
      <c r="N67" s="59" t="str">
        <f t="shared" si="2"/>
        <v>Keep monitoring</v>
      </c>
    </row>
    <row r="68" spans="1:14" ht="27.6">
      <c r="A68" s="23" t="s">
        <v>1767</v>
      </c>
      <c r="B68" s="23" t="s">
        <v>72</v>
      </c>
      <c r="C68" s="23" t="s">
        <v>150</v>
      </c>
      <c r="D68" s="31">
        <v>46008</v>
      </c>
      <c r="E68" s="31">
        <v>46068</v>
      </c>
      <c r="F68" s="32">
        <v>6297.74</v>
      </c>
      <c r="G68" s="32">
        <v>0</v>
      </c>
      <c r="H68" s="32">
        <f t="shared" ref="H68:H131" si="3">F68-G68</f>
        <v>6297.74</v>
      </c>
      <c r="I68" s="40">
        <f>MAX(0,Mapping_Rules!$B$6-E68)</f>
        <v>0</v>
      </c>
      <c r="J68" s="41" t="str">
        <f t="shared" ref="J68:J131" si="4">IF(I68=0,"Current",IF(I68&lt;=30,"1-30",IF(I68&lt;=60,"31-60",IF(I68&lt;=90,"61-90","90+"))))</f>
        <v>Current</v>
      </c>
      <c r="K68" s="23" t="s">
        <v>77</v>
      </c>
      <c r="L68" s="23" t="s">
        <v>73</v>
      </c>
      <c r="M68" s="41" t="str">
        <f>IF(L68="Closed","Closed",IF(OR(H68&gt;=Mapping_Rules!$B$7,I68&gt;=Mapping_Rules!$B$8),"High Risk",IF(I68&gt;30,"Monitor","Normal")))</f>
        <v>High Risk</v>
      </c>
      <c r="N68" s="41" t="str">
        <f t="shared" ref="N68:N131" si="5">IF(M68="Closed","No action",IF(M68="High Risk","Call customer/vendor and escalate",IF(M68="Monitor","Send follow-up email","Keep monitoring")))</f>
        <v>Call customer/vendor and escalate</v>
      </c>
    </row>
    <row r="69" spans="1:14" ht="27.6">
      <c r="A69" s="55" t="s">
        <v>1768</v>
      </c>
      <c r="B69" s="55" t="s">
        <v>81</v>
      </c>
      <c r="C69" s="55" t="s">
        <v>155</v>
      </c>
      <c r="D69" s="56">
        <v>45992</v>
      </c>
      <c r="E69" s="56">
        <v>46037</v>
      </c>
      <c r="F69" s="57">
        <v>14115.49</v>
      </c>
      <c r="G69" s="57">
        <v>0</v>
      </c>
      <c r="H69" s="57">
        <f t="shared" si="3"/>
        <v>14115.49</v>
      </c>
      <c r="I69" s="58">
        <f>MAX(0,Mapping_Rules!$B$6-E69)</f>
        <v>16</v>
      </c>
      <c r="J69" s="59" t="str">
        <f t="shared" si="4"/>
        <v>1-30</v>
      </c>
      <c r="K69" s="55" t="s">
        <v>77</v>
      </c>
      <c r="L69" s="55" t="s">
        <v>91</v>
      </c>
      <c r="M69" s="59" t="str">
        <f>IF(L69="Closed","Closed",IF(OR(H69&gt;=Mapping_Rules!$B$7,I69&gt;=Mapping_Rules!$B$8),"High Risk",IF(I69&gt;30,"Monitor","Normal")))</f>
        <v>High Risk</v>
      </c>
      <c r="N69" s="59" t="str">
        <f t="shared" si="5"/>
        <v>Call customer/vendor and escalate</v>
      </c>
    </row>
    <row r="70" spans="1:14">
      <c r="A70" s="23" t="s">
        <v>1769</v>
      </c>
      <c r="B70" s="23" t="s">
        <v>81</v>
      </c>
      <c r="C70" s="23" t="s">
        <v>173</v>
      </c>
      <c r="D70" s="31">
        <v>46012</v>
      </c>
      <c r="E70" s="31">
        <v>46027</v>
      </c>
      <c r="F70" s="32">
        <v>1568.97</v>
      </c>
      <c r="G70" s="32">
        <v>1568.97</v>
      </c>
      <c r="H70" s="32">
        <f t="shared" si="3"/>
        <v>0</v>
      </c>
      <c r="I70" s="40">
        <f>MAX(0,Mapping_Rules!$B$6-E70)</f>
        <v>26</v>
      </c>
      <c r="J70" s="41" t="str">
        <f t="shared" si="4"/>
        <v>1-30</v>
      </c>
      <c r="K70" s="23" t="s">
        <v>103</v>
      </c>
      <c r="L70" s="23" t="s">
        <v>104</v>
      </c>
      <c r="M70" s="41" t="str">
        <f>IF(L70="Closed","Closed",IF(OR(H70&gt;=Mapping_Rules!$B$7,I70&gt;=Mapping_Rules!$B$8),"High Risk",IF(I70&gt;30,"Monitor","Normal")))</f>
        <v>Closed</v>
      </c>
      <c r="N70" s="41" t="str">
        <f t="shared" si="5"/>
        <v>No action</v>
      </c>
    </row>
    <row r="71" spans="1:14">
      <c r="A71" s="55" t="s">
        <v>1770</v>
      </c>
      <c r="B71" s="55" t="s">
        <v>81</v>
      </c>
      <c r="C71" s="55" t="s">
        <v>220</v>
      </c>
      <c r="D71" s="56">
        <v>46012</v>
      </c>
      <c r="E71" s="56">
        <v>46027</v>
      </c>
      <c r="F71" s="57">
        <v>1693.34</v>
      </c>
      <c r="G71" s="57">
        <v>346.8</v>
      </c>
      <c r="H71" s="57">
        <f t="shared" si="3"/>
        <v>1346.54</v>
      </c>
      <c r="I71" s="58">
        <f>MAX(0,Mapping_Rules!$B$6-E71)</f>
        <v>26</v>
      </c>
      <c r="J71" s="59" t="str">
        <f t="shared" si="4"/>
        <v>1-30</v>
      </c>
      <c r="K71" s="55" t="s">
        <v>103</v>
      </c>
      <c r="L71" s="55" t="s">
        <v>82</v>
      </c>
      <c r="M71" s="59" t="str">
        <f>IF(L71="Closed","Closed",IF(OR(H71&gt;=Mapping_Rules!$B$7,I71&gt;=Mapping_Rules!$B$8),"High Risk",IF(I71&gt;30,"Monitor","Normal")))</f>
        <v>Normal</v>
      </c>
      <c r="N71" s="59" t="str">
        <f t="shared" si="5"/>
        <v>Keep monitoring</v>
      </c>
    </row>
    <row r="72" spans="1:14" ht="27.6">
      <c r="A72" s="23" t="s">
        <v>1771</v>
      </c>
      <c r="B72" s="23" t="s">
        <v>72</v>
      </c>
      <c r="C72" s="23" t="s">
        <v>133</v>
      </c>
      <c r="D72" s="31">
        <v>45993</v>
      </c>
      <c r="E72" s="31">
        <v>46038</v>
      </c>
      <c r="F72" s="32">
        <v>6730.93</v>
      </c>
      <c r="G72" s="32">
        <v>0</v>
      </c>
      <c r="H72" s="32">
        <f t="shared" si="3"/>
        <v>6730.93</v>
      </c>
      <c r="I72" s="40">
        <f>MAX(0,Mapping_Rules!$B$6-E72)</f>
        <v>15</v>
      </c>
      <c r="J72" s="41" t="str">
        <f t="shared" si="4"/>
        <v>1-30</v>
      </c>
      <c r="K72" s="23" t="s">
        <v>86</v>
      </c>
      <c r="L72" s="23" t="s">
        <v>73</v>
      </c>
      <c r="M72" s="41" t="str">
        <f>IF(L72="Closed","Closed",IF(OR(H72&gt;=Mapping_Rules!$B$7,I72&gt;=Mapping_Rules!$B$8),"High Risk",IF(I72&gt;30,"Monitor","Normal")))</f>
        <v>High Risk</v>
      </c>
      <c r="N72" s="41" t="str">
        <f t="shared" si="5"/>
        <v>Call customer/vendor and escalate</v>
      </c>
    </row>
    <row r="73" spans="1:14" ht="27.6">
      <c r="A73" s="55" t="s">
        <v>1772</v>
      </c>
      <c r="B73" s="55" t="s">
        <v>81</v>
      </c>
      <c r="C73" s="55" t="s">
        <v>220</v>
      </c>
      <c r="D73" s="56">
        <v>46046</v>
      </c>
      <c r="E73" s="56">
        <v>46091</v>
      </c>
      <c r="F73" s="57">
        <v>12926.48</v>
      </c>
      <c r="G73" s="57">
        <v>0</v>
      </c>
      <c r="H73" s="57">
        <f t="shared" si="3"/>
        <v>12926.48</v>
      </c>
      <c r="I73" s="58">
        <f>MAX(0,Mapping_Rules!$B$6-E73)</f>
        <v>0</v>
      </c>
      <c r="J73" s="59" t="str">
        <f t="shared" si="4"/>
        <v>Current</v>
      </c>
      <c r="K73" s="55" t="s">
        <v>103</v>
      </c>
      <c r="L73" s="55" t="s">
        <v>73</v>
      </c>
      <c r="M73" s="59" t="str">
        <f>IF(L73="Closed","Closed",IF(OR(H73&gt;=Mapping_Rules!$B$7,I73&gt;=Mapping_Rules!$B$8),"High Risk",IF(I73&gt;30,"Monitor","Normal")))</f>
        <v>High Risk</v>
      </c>
      <c r="N73" s="59" t="str">
        <f t="shared" si="5"/>
        <v>Call customer/vendor and escalate</v>
      </c>
    </row>
    <row r="74" spans="1:14" ht="27.6">
      <c r="A74" s="23" t="s">
        <v>1773</v>
      </c>
      <c r="B74" s="23" t="s">
        <v>72</v>
      </c>
      <c r="C74" s="23" t="s">
        <v>139</v>
      </c>
      <c r="D74" s="31">
        <v>46031</v>
      </c>
      <c r="E74" s="31">
        <v>46076</v>
      </c>
      <c r="F74" s="32">
        <v>8295.9</v>
      </c>
      <c r="G74" s="32">
        <v>0</v>
      </c>
      <c r="H74" s="32">
        <f t="shared" si="3"/>
        <v>8295.9</v>
      </c>
      <c r="I74" s="40">
        <f>MAX(0,Mapping_Rules!$B$6-E74)</f>
        <v>0</v>
      </c>
      <c r="J74" s="41" t="str">
        <f t="shared" si="4"/>
        <v>Current</v>
      </c>
      <c r="K74" s="23" t="s">
        <v>86</v>
      </c>
      <c r="L74" s="23" t="s">
        <v>73</v>
      </c>
      <c r="M74" s="41" t="str">
        <f>IF(L74="Closed","Closed",IF(OR(H74&gt;=Mapping_Rules!$B$7,I74&gt;=Mapping_Rules!$B$8),"High Risk",IF(I74&gt;30,"Monitor","Normal")))</f>
        <v>High Risk</v>
      </c>
      <c r="N74" s="41" t="str">
        <f t="shared" si="5"/>
        <v>Call customer/vendor and escalate</v>
      </c>
    </row>
    <row r="75" spans="1:14" ht="27.6">
      <c r="A75" s="55" t="s">
        <v>1774</v>
      </c>
      <c r="B75" s="55" t="s">
        <v>72</v>
      </c>
      <c r="C75" s="55" t="s">
        <v>126</v>
      </c>
      <c r="D75" s="56">
        <v>46043</v>
      </c>
      <c r="E75" s="56">
        <v>46103</v>
      </c>
      <c r="F75" s="57">
        <v>7923.38</v>
      </c>
      <c r="G75" s="57">
        <v>2783.32</v>
      </c>
      <c r="H75" s="57">
        <f t="shared" si="3"/>
        <v>5140.0599999999995</v>
      </c>
      <c r="I75" s="58">
        <f>MAX(0,Mapping_Rules!$B$6-E75)</f>
        <v>0</v>
      </c>
      <c r="J75" s="59" t="str">
        <f t="shared" si="4"/>
        <v>Current</v>
      </c>
      <c r="K75" s="55" t="s">
        <v>95</v>
      </c>
      <c r="L75" s="55" t="s">
        <v>82</v>
      </c>
      <c r="M75" s="59" t="str">
        <f>IF(L75="Closed","Closed",IF(OR(H75&gt;=Mapping_Rules!$B$7,I75&gt;=Mapping_Rules!$B$8),"High Risk",IF(I75&gt;30,"Monitor","Normal")))</f>
        <v>High Risk</v>
      </c>
      <c r="N75" s="59" t="str">
        <f t="shared" si="5"/>
        <v>Call customer/vendor and escalate</v>
      </c>
    </row>
    <row r="76" spans="1:14" ht="27.6">
      <c r="A76" s="23" t="s">
        <v>1775</v>
      </c>
      <c r="B76" s="23" t="s">
        <v>72</v>
      </c>
      <c r="C76" s="23" t="s">
        <v>204</v>
      </c>
      <c r="D76" s="31">
        <v>45991</v>
      </c>
      <c r="E76" s="31">
        <v>46006</v>
      </c>
      <c r="F76" s="32">
        <v>6711.63</v>
      </c>
      <c r="G76" s="32">
        <v>0</v>
      </c>
      <c r="H76" s="32">
        <f t="shared" si="3"/>
        <v>6711.63</v>
      </c>
      <c r="I76" s="40">
        <f>MAX(0,Mapping_Rules!$B$6-E76)</f>
        <v>47</v>
      </c>
      <c r="J76" s="41" t="str">
        <f t="shared" si="4"/>
        <v>31-60</v>
      </c>
      <c r="K76" s="23" t="s">
        <v>95</v>
      </c>
      <c r="L76" s="23" t="s">
        <v>73</v>
      </c>
      <c r="M76" s="41" t="str">
        <f>IF(L76="Closed","Closed",IF(OR(H76&gt;=Mapping_Rules!$B$7,I76&gt;=Mapping_Rules!$B$8),"High Risk",IF(I76&gt;30,"Monitor","Normal")))</f>
        <v>High Risk</v>
      </c>
      <c r="N76" s="41" t="str">
        <f t="shared" si="5"/>
        <v>Call customer/vendor and escalate</v>
      </c>
    </row>
    <row r="77" spans="1:14" ht="27.6">
      <c r="A77" s="55" t="s">
        <v>1776</v>
      </c>
      <c r="B77" s="55" t="s">
        <v>81</v>
      </c>
      <c r="C77" s="55" t="s">
        <v>214</v>
      </c>
      <c r="D77" s="56">
        <v>45963</v>
      </c>
      <c r="E77" s="56">
        <v>45978</v>
      </c>
      <c r="F77" s="57">
        <v>7921.25</v>
      </c>
      <c r="G77" s="57">
        <v>0</v>
      </c>
      <c r="H77" s="57">
        <f t="shared" si="3"/>
        <v>7921.25</v>
      </c>
      <c r="I77" s="58">
        <f>MAX(0,Mapping_Rules!$B$6-E77)</f>
        <v>75</v>
      </c>
      <c r="J77" s="59" t="str">
        <f t="shared" si="4"/>
        <v>61-90</v>
      </c>
      <c r="K77" s="55" t="s">
        <v>86</v>
      </c>
      <c r="L77" s="55" t="s">
        <v>91</v>
      </c>
      <c r="M77" s="59" t="str">
        <f>IF(L77="Closed","Closed",IF(OR(H77&gt;=Mapping_Rules!$B$7,I77&gt;=Mapping_Rules!$B$8),"High Risk",IF(I77&gt;30,"Monitor","Normal")))</f>
        <v>High Risk</v>
      </c>
      <c r="N77" s="59" t="str">
        <f t="shared" si="5"/>
        <v>Call customer/vendor and escalate</v>
      </c>
    </row>
    <row r="78" spans="1:14" ht="27.6">
      <c r="A78" s="23" t="s">
        <v>1777</v>
      </c>
      <c r="B78" s="23" t="s">
        <v>72</v>
      </c>
      <c r="C78" s="23" t="s">
        <v>208</v>
      </c>
      <c r="D78" s="31">
        <v>46022</v>
      </c>
      <c r="E78" s="31">
        <v>46037</v>
      </c>
      <c r="F78" s="32">
        <v>10363.379999999999</v>
      </c>
      <c r="G78" s="32">
        <v>0</v>
      </c>
      <c r="H78" s="32">
        <f t="shared" si="3"/>
        <v>10363.379999999999</v>
      </c>
      <c r="I78" s="40">
        <f>MAX(0,Mapping_Rules!$B$6-E78)</f>
        <v>16</v>
      </c>
      <c r="J78" s="41" t="str">
        <f t="shared" si="4"/>
        <v>1-30</v>
      </c>
      <c r="K78" s="23" t="s">
        <v>103</v>
      </c>
      <c r="L78" s="23" t="s">
        <v>73</v>
      </c>
      <c r="M78" s="41" t="str">
        <f>IF(L78="Closed","Closed",IF(OR(H78&gt;=Mapping_Rules!$B$7,I78&gt;=Mapping_Rules!$B$8),"High Risk",IF(I78&gt;30,"Monitor","Normal")))</f>
        <v>High Risk</v>
      </c>
      <c r="N78" s="41" t="str">
        <f t="shared" si="5"/>
        <v>Call customer/vendor and escalate</v>
      </c>
    </row>
    <row r="79" spans="1:14" ht="27.6">
      <c r="A79" s="55" t="s">
        <v>1778</v>
      </c>
      <c r="B79" s="55" t="s">
        <v>72</v>
      </c>
      <c r="C79" s="55" t="s">
        <v>144</v>
      </c>
      <c r="D79" s="56">
        <v>46017</v>
      </c>
      <c r="E79" s="56">
        <v>46062</v>
      </c>
      <c r="F79" s="57">
        <v>9015.51</v>
      </c>
      <c r="G79" s="57">
        <v>0</v>
      </c>
      <c r="H79" s="57">
        <f t="shared" si="3"/>
        <v>9015.51</v>
      </c>
      <c r="I79" s="58">
        <f>MAX(0,Mapping_Rules!$B$6-E79)</f>
        <v>0</v>
      </c>
      <c r="J79" s="59" t="str">
        <f t="shared" si="4"/>
        <v>Current</v>
      </c>
      <c r="K79" s="55" t="s">
        <v>95</v>
      </c>
      <c r="L79" s="55" t="s">
        <v>100</v>
      </c>
      <c r="M79" s="59" t="str">
        <f>IF(L79="Closed","Closed",IF(OR(H79&gt;=Mapping_Rules!$B$7,I79&gt;=Mapping_Rules!$B$8),"High Risk",IF(I79&gt;30,"Monitor","Normal")))</f>
        <v>High Risk</v>
      </c>
      <c r="N79" s="59" t="str">
        <f t="shared" si="5"/>
        <v>Call customer/vendor and escalate</v>
      </c>
    </row>
    <row r="80" spans="1:14" ht="27.6">
      <c r="A80" s="23" t="s">
        <v>1779</v>
      </c>
      <c r="B80" s="23" t="s">
        <v>81</v>
      </c>
      <c r="C80" s="23" t="s">
        <v>163</v>
      </c>
      <c r="D80" s="31">
        <v>46033</v>
      </c>
      <c r="E80" s="31">
        <v>46093</v>
      </c>
      <c r="F80" s="32">
        <v>6012.07</v>
      </c>
      <c r="G80" s="32">
        <v>0</v>
      </c>
      <c r="H80" s="32">
        <f t="shared" si="3"/>
        <v>6012.07</v>
      </c>
      <c r="I80" s="40">
        <f>MAX(0,Mapping_Rules!$B$6-E80)</f>
        <v>0</v>
      </c>
      <c r="J80" s="41" t="str">
        <f t="shared" si="4"/>
        <v>Current</v>
      </c>
      <c r="K80" s="23" t="s">
        <v>103</v>
      </c>
      <c r="L80" s="23" t="s">
        <v>73</v>
      </c>
      <c r="M80" s="41" t="str">
        <f>IF(L80="Closed","Closed",IF(OR(H80&gt;=Mapping_Rules!$B$7,I80&gt;=Mapping_Rules!$B$8),"High Risk",IF(I80&gt;30,"Monitor","Normal")))</f>
        <v>High Risk</v>
      </c>
      <c r="N80" s="41" t="str">
        <f t="shared" si="5"/>
        <v>Call customer/vendor and escalate</v>
      </c>
    </row>
    <row r="81" spans="1:14" ht="27.6">
      <c r="A81" s="55" t="s">
        <v>1780</v>
      </c>
      <c r="B81" s="55" t="s">
        <v>72</v>
      </c>
      <c r="C81" s="55" t="s">
        <v>133</v>
      </c>
      <c r="D81" s="56">
        <v>45995</v>
      </c>
      <c r="E81" s="56">
        <v>46010</v>
      </c>
      <c r="F81" s="57">
        <v>6420.25</v>
      </c>
      <c r="G81" s="57">
        <v>0</v>
      </c>
      <c r="H81" s="57">
        <f t="shared" si="3"/>
        <v>6420.25</v>
      </c>
      <c r="I81" s="58">
        <f>MAX(0,Mapping_Rules!$B$6-E81)</f>
        <v>43</v>
      </c>
      <c r="J81" s="59" t="str">
        <f t="shared" si="4"/>
        <v>31-60</v>
      </c>
      <c r="K81" s="55" t="s">
        <v>95</v>
      </c>
      <c r="L81" s="55" t="s">
        <v>73</v>
      </c>
      <c r="M81" s="59" t="str">
        <f>IF(L81="Closed","Closed",IF(OR(H81&gt;=Mapping_Rules!$B$7,I81&gt;=Mapping_Rules!$B$8),"High Risk",IF(I81&gt;30,"Monitor","Normal")))</f>
        <v>High Risk</v>
      </c>
      <c r="N81" s="59" t="str">
        <f t="shared" si="5"/>
        <v>Call customer/vendor and escalate</v>
      </c>
    </row>
    <row r="82" spans="1:14" ht="27.6">
      <c r="A82" s="23" t="s">
        <v>1781</v>
      </c>
      <c r="B82" s="23" t="s">
        <v>72</v>
      </c>
      <c r="C82" s="23" t="s">
        <v>126</v>
      </c>
      <c r="D82" s="31">
        <v>46030</v>
      </c>
      <c r="E82" s="31">
        <v>46075</v>
      </c>
      <c r="F82" s="32">
        <v>6281.62</v>
      </c>
      <c r="G82" s="32">
        <v>0</v>
      </c>
      <c r="H82" s="32">
        <f t="shared" si="3"/>
        <v>6281.62</v>
      </c>
      <c r="I82" s="40">
        <f>MAX(0,Mapping_Rules!$B$6-E82)</f>
        <v>0</v>
      </c>
      <c r="J82" s="41" t="str">
        <f t="shared" si="4"/>
        <v>Current</v>
      </c>
      <c r="K82" s="23" t="s">
        <v>86</v>
      </c>
      <c r="L82" s="23" t="s">
        <v>100</v>
      </c>
      <c r="M82" s="41" t="str">
        <f>IF(L82="Closed","Closed",IF(OR(H82&gt;=Mapping_Rules!$B$7,I82&gt;=Mapping_Rules!$B$8),"High Risk",IF(I82&gt;30,"Monitor","Normal")))</f>
        <v>High Risk</v>
      </c>
      <c r="N82" s="41" t="str">
        <f t="shared" si="5"/>
        <v>Call customer/vendor and escalate</v>
      </c>
    </row>
    <row r="83" spans="1:14" ht="27.6">
      <c r="A83" s="55" t="s">
        <v>1782</v>
      </c>
      <c r="B83" s="55" t="s">
        <v>81</v>
      </c>
      <c r="C83" s="55" t="s">
        <v>214</v>
      </c>
      <c r="D83" s="56">
        <v>45976</v>
      </c>
      <c r="E83" s="56">
        <v>46036</v>
      </c>
      <c r="F83" s="57">
        <v>9323.2800000000007</v>
      </c>
      <c r="G83" s="57">
        <v>0</v>
      </c>
      <c r="H83" s="57">
        <f t="shared" si="3"/>
        <v>9323.2800000000007</v>
      </c>
      <c r="I83" s="58">
        <f>MAX(0,Mapping_Rules!$B$6-E83)</f>
        <v>17</v>
      </c>
      <c r="J83" s="59" t="str">
        <f t="shared" si="4"/>
        <v>1-30</v>
      </c>
      <c r="K83" s="55" t="s">
        <v>103</v>
      </c>
      <c r="L83" s="55" t="s">
        <v>73</v>
      </c>
      <c r="M83" s="59" t="str">
        <f>IF(L83="Closed","Closed",IF(OR(H83&gt;=Mapping_Rules!$B$7,I83&gt;=Mapping_Rules!$B$8),"High Risk",IF(I83&gt;30,"Monitor","Normal")))</f>
        <v>High Risk</v>
      </c>
      <c r="N83" s="59" t="str">
        <f t="shared" si="5"/>
        <v>Call customer/vendor and escalate</v>
      </c>
    </row>
    <row r="84" spans="1:14">
      <c r="A84" s="23" t="s">
        <v>1783</v>
      </c>
      <c r="B84" s="23" t="s">
        <v>81</v>
      </c>
      <c r="C84" s="23" t="s">
        <v>214</v>
      </c>
      <c r="D84" s="31">
        <v>45964</v>
      </c>
      <c r="E84" s="31">
        <v>45994</v>
      </c>
      <c r="F84" s="32">
        <v>887.04</v>
      </c>
      <c r="G84" s="32">
        <v>240.26</v>
      </c>
      <c r="H84" s="32">
        <f t="shared" si="3"/>
        <v>646.78</v>
      </c>
      <c r="I84" s="40">
        <f>MAX(0,Mapping_Rules!$B$6-E84)</f>
        <v>59</v>
      </c>
      <c r="J84" s="41" t="str">
        <f t="shared" si="4"/>
        <v>31-60</v>
      </c>
      <c r="K84" s="23" t="s">
        <v>77</v>
      </c>
      <c r="L84" s="23" t="s">
        <v>82</v>
      </c>
      <c r="M84" s="41" t="str">
        <f>IF(L84="Closed","Closed",IF(OR(H84&gt;=Mapping_Rules!$B$7,I84&gt;=Mapping_Rules!$B$8),"High Risk",IF(I84&gt;30,"Monitor","Normal")))</f>
        <v>Monitor</v>
      </c>
      <c r="N84" s="41" t="str">
        <f t="shared" si="5"/>
        <v>Send follow-up email</v>
      </c>
    </row>
    <row r="85" spans="1:14" ht="27.6">
      <c r="A85" s="55" t="s">
        <v>1784</v>
      </c>
      <c r="B85" s="55" t="s">
        <v>72</v>
      </c>
      <c r="C85" s="55" t="s">
        <v>208</v>
      </c>
      <c r="D85" s="56">
        <v>45978</v>
      </c>
      <c r="E85" s="56">
        <v>46038</v>
      </c>
      <c r="F85" s="57">
        <v>10947.54</v>
      </c>
      <c r="G85" s="57">
        <v>0</v>
      </c>
      <c r="H85" s="57">
        <f t="shared" si="3"/>
        <v>10947.54</v>
      </c>
      <c r="I85" s="58">
        <f>MAX(0,Mapping_Rules!$B$6-E85)</f>
        <v>15</v>
      </c>
      <c r="J85" s="59" t="str">
        <f t="shared" si="4"/>
        <v>1-30</v>
      </c>
      <c r="K85" s="55" t="s">
        <v>86</v>
      </c>
      <c r="L85" s="55" t="s">
        <v>73</v>
      </c>
      <c r="M85" s="59" t="str">
        <f>IF(L85="Closed","Closed",IF(OR(H85&gt;=Mapping_Rules!$B$7,I85&gt;=Mapping_Rules!$B$8),"High Risk",IF(I85&gt;30,"Monitor","Normal")))</f>
        <v>High Risk</v>
      </c>
      <c r="N85" s="59" t="str">
        <f t="shared" si="5"/>
        <v>Call customer/vendor and escalate</v>
      </c>
    </row>
    <row r="86" spans="1:14" ht="27.6">
      <c r="A86" s="23" t="s">
        <v>1785</v>
      </c>
      <c r="B86" s="23" t="s">
        <v>81</v>
      </c>
      <c r="C86" s="23" t="s">
        <v>163</v>
      </c>
      <c r="D86" s="31">
        <v>45989</v>
      </c>
      <c r="E86" s="31">
        <v>46034</v>
      </c>
      <c r="F86" s="32">
        <v>6390.61</v>
      </c>
      <c r="G86" s="32">
        <v>0</v>
      </c>
      <c r="H86" s="32">
        <f t="shared" si="3"/>
        <v>6390.61</v>
      </c>
      <c r="I86" s="40">
        <f>MAX(0,Mapping_Rules!$B$6-E86)</f>
        <v>19</v>
      </c>
      <c r="J86" s="41" t="str">
        <f t="shared" si="4"/>
        <v>1-30</v>
      </c>
      <c r="K86" s="23" t="s">
        <v>103</v>
      </c>
      <c r="L86" s="23" t="s">
        <v>100</v>
      </c>
      <c r="M86" s="41" t="str">
        <f>IF(L86="Closed","Closed",IF(OR(H86&gt;=Mapping_Rules!$B$7,I86&gt;=Mapping_Rules!$B$8),"High Risk",IF(I86&gt;30,"Monitor","Normal")))</f>
        <v>High Risk</v>
      </c>
      <c r="N86" s="41" t="str">
        <f t="shared" si="5"/>
        <v>Call customer/vendor and escalate</v>
      </c>
    </row>
    <row r="87" spans="1:14" ht="27.6">
      <c r="A87" s="55" t="s">
        <v>1786</v>
      </c>
      <c r="B87" s="55" t="s">
        <v>72</v>
      </c>
      <c r="C87" s="55" t="s">
        <v>150</v>
      </c>
      <c r="D87" s="56">
        <v>46051</v>
      </c>
      <c r="E87" s="56">
        <v>46066</v>
      </c>
      <c r="F87" s="57">
        <v>5054.1899999999996</v>
      </c>
      <c r="G87" s="57">
        <v>0</v>
      </c>
      <c r="H87" s="57">
        <f t="shared" si="3"/>
        <v>5054.1899999999996</v>
      </c>
      <c r="I87" s="58">
        <f>MAX(0,Mapping_Rules!$B$6-E87)</f>
        <v>0</v>
      </c>
      <c r="J87" s="59" t="str">
        <f t="shared" si="4"/>
        <v>Current</v>
      </c>
      <c r="K87" s="55" t="s">
        <v>86</v>
      </c>
      <c r="L87" s="55" t="s">
        <v>100</v>
      </c>
      <c r="M87" s="59" t="str">
        <f>IF(L87="Closed","Closed",IF(OR(H87&gt;=Mapping_Rules!$B$7,I87&gt;=Mapping_Rules!$B$8),"High Risk",IF(I87&gt;30,"Monitor","Normal")))</f>
        <v>High Risk</v>
      </c>
      <c r="N87" s="59" t="str">
        <f t="shared" si="5"/>
        <v>Call customer/vendor and escalate</v>
      </c>
    </row>
    <row r="88" spans="1:14" ht="27.6">
      <c r="A88" s="23" t="s">
        <v>1787</v>
      </c>
      <c r="B88" s="23" t="s">
        <v>81</v>
      </c>
      <c r="C88" s="23" t="s">
        <v>214</v>
      </c>
      <c r="D88" s="31">
        <v>46012</v>
      </c>
      <c r="E88" s="31">
        <v>46027</v>
      </c>
      <c r="F88" s="32">
        <v>8216.4</v>
      </c>
      <c r="G88" s="32">
        <v>0</v>
      </c>
      <c r="H88" s="32">
        <f t="shared" si="3"/>
        <v>8216.4</v>
      </c>
      <c r="I88" s="40">
        <f>MAX(0,Mapping_Rules!$B$6-E88)</f>
        <v>26</v>
      </c>
      <c r="J88" s="41" t="str">
        <f t="shared" si="4"/>
        <v>1-30</v>
      </c>
      <c r="K88" s="23" t="s">
        <v>95</v>
      </c>
      <c r="L88" s="23" t="s">
        <v>73</v>
      </c>
      <c r="M88" s="41" t="str">
        <f>IF(L88="Closed","Closed",IF(OR(H88&gt;=Mapping_Rules!$B$7,I88&gt;=Mapping_Rules!$B$8),"High Risk",IF(I88&gt;30,"Monitor","Normal")))</f>
        <v>High Risk</v>
      </c>
      <c r="N88" s="41" t="str">
        <f t="shared" si="5"/>
        <v>Call customer/vendor and escalate</v>
      </c>
    </row>
    <row r="89" spans="1:14" ht="27.6">
      <c r="A89" s="55" t="s">
        <v>1788</v>
      </c>
      <c r="B89" s="55" t="s">
        <v>72</v>
      </c>
      <c r="C89" s="55" t="s">
        <v>139</v>
      </c>
      <c r="D89" s="56">
        <v>45963</v>
      </c>
      <c r="E89" s="56">
        <v>45978</v>
      </c>
      <c r="F89" s="57">
        <v>14622.79</v>
      </c>
      <c r="G89" s="57">
        <v>0</v>
      </c>
      <c r="H89" s="57">
        <f t="shared" si="3"/>
        <v>14622.79</v>
      </c>
      <c r="I89" s="58">
        <f>MAX(0,Mapping_Rules!$B$6-E89)</f>
        <v>75</v>
      </c>
      <c r="J89" s="59" t="str">
        <f t="shared" si="4"/>
        <v>61-90</v>
      </c>
      <c r="K89" s="55" t="s">
        <v>103</v>
      </c>
      <c r="L89" s="55" t="s">
        <v>91</v>
      </c>
      <c r="M89" s="59" t="str">
        <f>IF(L89="Closed","Closed",IF(OR(H89&gt;=Mapping_Rules!$B$7,I89&gt;=Mapping_Rules!$B$8),"High Risk",IF(I89&gt;30,"Monitor","Normal")))</f>
        <v>High Risk</v>
      </c>
      <c r="N89" s="59" t="str">
        <f t="shared" si="5"/>
        <v>Call customer/vendor and escalate</v>
      </c>
    </row>
    <row r="90" spans="1:14" ht="27.6">
      <c r="A90" s="23" t="s">
        <v>1789</v>
      </c>
      <c r="B90" s="23" t="s">
        <v>72</v>
      </c>
      <c r="C90" s="23" t="s">
        <v>133</v>
      </c>
      <c r="D90" s="31">
        <v>45966</v>
      </c>
      <c r="E90" s="31">
        <v>45996</v>
      </c>
      <c r="F90" s="32">
        <v>6993.39</v>
      </c>
      <c r="G90" s="32">
        <v>0</v>
      </c>
      <c r="H90" s="32">
        <f t="shared" si="3"/>
        <v>6993.39</v>
      </c>
      <c r="I90" s="40">
        <f>MAX(0,Mapping_Rules!$B$6-E90)</f>
        <v>57</v>
      </c>
      <c r="J90" s="41" t="str">
        <f t="shared" si="4"/>
        <v>31-60</v>
      </c>
      <c r="K90" s="23" t="s">
        <v>86</v>
      </c>
      <c r="L90" s="23" t="s">
        <v>91</v>
      </c>
      <c r="M90" s="41" t="str">
        <f>IF(L90="Closed","Closed",IF(OR(H90&gt;=Mapping_Rules!$B$7,I90&gt;=Mapping_Rules!$B$8),"High Risk",IF(I90&gt;30,"Monitor","Normal")))</f>
        <v>High Risk</v>
      </c>
      <c r="N90" s="41" t="str">
        <f t="shared" si="5"/>
        <v>Call customer/vendor and escalate</v>
      </c>
    </row>
    <row r="91" spans="1:14" ht="27.6">
      <c r="A91" s="55" t="s">
        <v>1790</v>
      </c>
      <c r="B91" s="55" t="s">
        <v>72</v>
      </c>
      <c r="C91" s="55" t="s">
        <v>150</v>
      </c>
      <c r="D91" s="56">
        <v>46049</v>
      </c>
      <c r="E91" s="56">
        <v>46094</v>
      </c>
      <c r="F91" s="57">
        <v>14052.8</v>
      </c>
      <c r="G91" s="57">
        <v>0</v>
      </c>
      <c r="H91" s="57">
        <f t="shared" si="3"/>
        <v>14052.8</v>
      </c>
      <c r="I91" s="58">
        <f>MAX(0,Mapping_Rules!$B$6-E91)</f>
        <v>0</v>
      </c>
      <c r="J91" s="59" t="str">
        <f t="shared" si="4"/>
        <v>Current</v>
      </c>
      <c r="K91" s="55" t="s">
        <v>77</v>
      </c>
      <c r="L91" s="55" t="s">
        <v>73</v>
      </c>
      <c r="M91" s="59" t="str">
        <f>IF(L91="Closed","Closed",IF(OR(H91&gt;=Mapping_Rules!$B$7,I91&gt;=Mapping_Rules!$B$8),"High Risk",IF(I91&gt;30,"Monitor","Normal")))</f>
        <v>High Risk</v>
      </c>
      <c r="N91" s="59" t="str">
        <f t="shared" si="5"/>
        <v>Call customer/vendor and escalate</v>
      </c>
    </row>
    <row r="92" spans="1:14">
      <c r="A92" s="23" t="s">
        <v>1791</v>
      </c>
      <c r="B92" s="23" t="s">
        <v>81</v>
      </c>
      <c r="C92" s="23" t="s">
        <v>214</v>
      </c>
      <c r="D92" s="31">
        <v>46023</v>
      </c>
      <c r="E92" s="31">
        <v>46068</v>
      </c>
      <c r="F92" s="32">
        <v>3101.05</v>
      </c>
      <c r="G92" s="32">
        <v>3101.05</v>
      </c>
      <c r="H92" s="32">
        <f t="shared" si="3"/>
        <v>0</v>
      </c>
      <c r="I92" s="40">
        <f>MAX(0,Mapping_Rules!$B$6-E92)</f>
        <v>0</v>
      </c>
      <c r="J92" s="41" t="str">
        <f t="shared" si="4"/>
        <v>Current</v>
      </c>
      <c r="K92" s="23" t="s">
        <v>86</v>
      </c>
      <c r="L92" s="23" t="s">
        <v>104</v>
      </c>
      <c r="M92" s="41" t="str">
        <f>IF(L92="Closed","Closed",IF(OR(H92&gt;=Mapping_Rules!$B$7,I92&gt;=Mapping_Rules!$B$8),"High Risk",IF(I92&gt;30,"Monitor","Normal")))</f>
        <v>Closed</v>
      </c>
      <c r="N92" s="41" t="str">
        <f t="shared" si="5"/>
        <v>No action</v>
      </c>
    </row>
    <row r="93" spans="1:14">
      <c r="A93" s="55" t="s">
        <v>1792</v>
      </c>
      <c r="B93" s="55" t="s">
        <v>81</v>
      </c>
      <c r="C93" s="55" t="s">
        <v>173</v>
      </c>
      <c r="D93" s="56">
        <v>46043</v>
      </c>
      <c r="E93" s="56">
        <v>46103</v>
      </c>
      <c r="F93" s="57">
        <v>4969.03</v>
      </c>
      <c r="G93" s="57">
        <v>0</v>
      </c>
      <c r="H93" s="57">
        <f t="shared" si="3"/>
        <v>4969.03</v>
      </c>
      <c r="I93" s="58">
        <f>MAX(0,Mapping_Rules!$B$6-E93)</f>
        <v>0</v>
      </c>
      <c r="J93" s="59" t="str">
        <f t="shared" si="4"/>
        <v>Current</v>
      </c>
      <c r="K93" s="55" t="s">
        <v>95</v>
      </c>
      <c r="L93" s="55" t="s">
        <v>73</v>
      </c>
      <c r="M93" s="59" t="str">
        <f>IF(L93="Closed","Closed",IF(OR(H93&gt;=Mapping_Rules!$B$7,I93&gt;=Mapping_Rules!$B$8),"High Risk",IF(I93&gt;30,"Monitor","Normal")))</f>
        <v>Normal</v>
      </c>
      <c r="N93" s="59" t="str">
        <f t="shared" si="5"/>
        <v>Keep monitoring</v>
      </c>
    </row>
    <row r="94" spans="1:14" ht="27.6">
      <c r="A94" s="23" t="s">
        <v>1793</v>
      </c>
      <c r="B94" s="23" t="s">
        <v>81</v>
      </c>
      <c r="C94" s="23" t="s">
        <v>163</v>
      </c>
      <c r="D94" s="31">
        <v>45993</v>
      </c>
      <c r="E94" s="31">
        <v>46008</v>
      </c>
      <c r="F94" s="32">
        <v>14537.2</v>
      </c>
      <c r="G94" s="32">
        <v>8707.61</v>
      </c>
      <c r="H94" s="32">
        <f t="shared" si="3"/>
        <v>5829.59</v>
      </c>
      <c r="I94" s="40">
        <f>MAX(0,Mapping_Rules!$B$6-E94)</f>
        <v>45</v>
      </c>
      <c r="J94" s="41" t="str">
        <f t="shared" si="4"/>
        <v>31-60</v>
      </c>
      <c r="K94" s="23" t="s">
        <v>86</v>
      </c>
      <c r="L94" s="23" t="s">
        <v>82</v>
      </c>
      <c r="M94" s="41" t="str">
        <f>IF(L94="Closed","Closed",IF(OR(H94&gt;=Mapping_Rules!$B$7,I94&gt;=Mapping_Rules!$B$8),"High Risk",IF(I94&gt;30,"Monitor","Normal")))</f>
        <v>High Risk</v>
      </c>
      <c r="N94" s="41" t="str">
        <f t="shared" si="5"/>
        <v>Call customer/vendor and escalate</v>
      </c>
    </row>
    <row r="95" spans="1:14">
      <c r="A95" s="55" t="s">
        <v>1794</v>
      </c>
      <c r="B95" s="55" t="s">
        <v>72</v>
      </c>
      <c r="C95" s="55" t="s">
        <v>139</v>
      </c>
      <c r="D95" s="56">
        <v>45973</v>
      </c>
      <c r="E95" s="56">
        <v>46003</v>
      </c>
      <c r="F95" s="57">
        <v>2491.8200000000002</v>
      </c>
      <c r="G95" s="57">
        <v>0</v>
      </c>
      <c r="H95" s="57">
        <f t="shared" si="3"/>
        <v>2491.8200000000002</v>
      </c>
      <c r="I95" s="58">
        <f>MAX(0,Mapping_Rules!$B$6-E95)</f>
        <v>50</v>
      </c>
      <c r="J95" s="59" t="str">
        <f t="shared" si="4"/>
        <v>31-60</v>
      </c>
      <c r="K95" s="55" t="s">
        <v>95</v>
      </c>
      <c r="L95" s="55" t="s">
        <v>73</v>
      </c>
      <c r="M95" s="59" t="str">
        <f>IF(L95="Closed","Closed",IF(OR(H95&gt;=Mapping_Rules!$B$7,I95&gt;=Mapping_Rules!$B$8),"High Risk",IF(I95&gt;30,"Monitor","Normal")))</f>
        <v>Monitor</v>
      </c>
      <c r="N95" s="59" t="str">
        <f t="shared" si="5"/>
        <v>Send follow-up email</v>
      </c>
    </row>
    <row r="96" spans="1:14" ht="27.6">
      <c r="A96" s="23" t="s">
        <v>1795</v>
      </c>
      <c r="B96" s="23" t="s">
        <v>81</v>
      </c>
      <c r="C96" s="23" t="s">
        <v>220</v>
      </c>
      <c r="D96" s="31">
        <v>46007</v>
      </c>
      <c r="E96" s="31">
        <v>46037</v>
      </c>
      <c r="F96" s="32">
        <v>10564.72</v>
      </c>
      <c r="G96" s="32">
        <v>0</v>
      </c>
      <c r="H96" s="32">
        <f t="shared" si="3"/>
        <v>10564.72</v>
      </c>
      <c r="I96" s="40">
        <f>MAX(0,Mapping_Rules!$B$6-E96)</f>
        <v>16</v>
      </c>
      <c r="J96" s="41" t="str">
        <f t="shared" si="4"/>
        <v>1-30</v>
      </c>
      <c r="K96" s="23" t="s">
        <v>86</v>
      </c>
      <c r="L96" s="23" t="s">
        <v>100</v>
      </c>
      <c r="M96" s="41" t="str">
        <f>IF(L96="Closed","Closed",IF(OR(H96&gt;=Mapping_Rules!$B$7,I96&gt;=Mapping_Rules!$B$8),"High Risk",IF(I96&gt;30,"Monitor","Normal")))</f>
        <v>High Risk</v>
      </c>
      <c r="N96" s="41" t="str">
        <f t="shared" si="5"/>
        <v>Call customer/vendor and escalate</v>
      </c>
    </row>
    <row r="97" spans="1:14" ht="27.6">
      <c r="A97" s="55" t="s">
        <v>1796</v>
      </c>
      <c r="B97" s="55" t="s">
        <v>72</v>
      </c>
      <c r="C97" s="55" t="s">
        <v>133</v>
      </c>
      <c r="D97" s="56">
        <v>46002</v>
      </c>
      <c r="E97" s="56">
        <v>46047</v>
      </c>
      <c r="F97" s="57">
        <v>12112.05</v>
      </c>
      <c r="G97" s="57">
        <v>0</v>
      </c>
      <c r="H97" s="57">
        <f t="shared" si="3"/>
        <v>12112.05</v>
      </c>
      <c r="I97" s="58">
        <f>MAX(0,Mapping_Rules!$B$6-E97)</f>
        <v>6</v>
      </c>
      <c r="J97" s="59" t="str">
        <f t="shared" si="4"/>
        <v>1-30</v>
      </c>
      <c r="K97" s="55" t="s">
        <v>86</v>
      </c>
      <c r="L97" s="55" t="s">
        <v>73</v>
      </c>
      <c r="M97" s="59" t="str">
        <f>IF(L97="Closed","Closed",IF(OR(H97&gt;=Mapping_Rules!$B$7,I97&gt;=Mapping_Rules!$B$8),"High Risk",IF(I97&gt;30,"Monitor","Normal")))</f>
        <v>High Risk</v>
      </c>
      <c r="N97" s="59" t="str">
        <f t="shared" si="5"/>
        <v>Call customer/vendor and escalate</v>
      </c>
    </row>
    <row r="98" spans="1:14" ht="27.6">
      <c r="A98" s="23" t="s">
        <v>1797</v>
      </c>
      <c r="B98" s="23" t="s">
        <v>81</v>
      </c>
      <c r="C98" s="23" t="s">
        <v>155</v>
      </c>
      <c r="D98" s="31">
        <v>46010</v>
      </c>
      <c r="E98" s="31">
        <v>46055</v>
      </c>
      <c r="F98" s="32">
        <v>10907.33</v>
      </c>
      <c r="G98" s="32">
        <v>0</v>
      </c>
      <c r="H98" s="32">
        <f t="shared" si="3"/>
        <v>10907.33</v>
      </c>
      <c r="I98" s="40">
        <f>MAX(0,Mapping_Rules!$B$6-E98)</f>
        <v>0</v>
      </c>
      <c r="J98" s="41" t="str">
        <f t="shared" si="4"/>
        <v>Current</v>
      </c>
      <c r="K98" s="23" t="s">
        <v>77</v>
      </c>
      <c r="L98" s="23" t="s">
        <v>73</v>
      </c>
      <c r="M98" s="41" t="str">
        <f>IF(L98="Closed","Closed",IF(OR(H98&gt;=Mapping_Rules!$B$7,I98&gt;=Mapping_Rules!$B$8),"High Risk",IF(I98&gt;30,"Monitor","Normal")))</f>
        <v>High Risk</v>
      </c>
      <c r="N98" s="41" t="str">
        <f t="shared" si="5"/>
        <v>Call customer/vendor and escalate</v>
      </c>
    </row>
    <row r="99" spans="1:14" ht="27.6">
      <c r="A99" s="55" t="s">
        <v>1798</v>
      </c>
      <c r="B99" s="55" t="s">
        <v>72</v>
      </c>
      <c r="C99" s="55" t="s">
        <v>126</v>
      </c>
      <c r="D99" s="56">
        <v>46018</v>
      </c>
      <c r="E99" s="56">
        <v>46063</v>
      </c>
      <c r="F99" s="57">
        <v>8209.6</v>
      </c>
      <c r="G99" s="57">
        <v>0</v>
      </c>
      <c r="H99" s="57">
        <f t="shared" si="3"/>
        <v>8209.6</v>
      </c>
      <c r="I99" s="58">
        <f>MAX(0,Mapping_Rules!$B$6-E99)</f>
        <v>0</v>
      </c>
      <c r="J99" s="59" t="str">
        <f t="shared" si="4"/>
        <v>Current</v>
      </c>
      <c r="K99" s="55" t="s">
        <v>86</v>
      </c>
      <c r="L99" s="55" t="s">
        <v>73</v>
      </c>
      <c r="M99" s="59" t="str">
        <f>IF(L99="Closed","Closed",IF(OR(H99&gt;=Mapping_Rules!$B$7,I99&gt;=Mapping_Rules!$B$8),"High Risk",IF(I99&gt;30,"Monitor","Normal")))</f>
        <v>High Risk</v>
      </c>
      <c r="N99" s="59" t="str">
        <f t="shared" si="5"/>
        <v>Call customer/vendor and escalate</v>
      </c>
    </row>
    <row r="100" spans="1:14">
      <c r="A100" s="23" t="s">
        <v>1799</v>
      </c>
      <c r="B100" s="23" t="s">
        <v>72</v>
      </c>
      <c r="C100" s="23" t="s">
        <v>208</v>
      </c>
      <c r="D100" s="31">
        <v>46021</v>
      </c>
      <c r="E100" s="31">
        <v>46066</v>
      </c>
      <c r="F100" s="32">
        <v>13034.78</v>
      </c>
      <c r="G100" s="32">
        <v>9246.41</v>
      </c>
      <c r="H100" s="32">
        <f t="shared" si="3"/>
        <v>3788.3700000000008</v>
      </c>
      <c r="I100" s="40">
        <f>MAX(0,Mapping_Rules!$B$6-E100)</f>
        <v>0</v>
      </c>
      <c r="J100" s="41" t="str">
        <f t="shared" si="4"/>
        <v>Current</v>
      </c>
      <c r="K100" s="23" t="s">
        <v>86</v>
      </c>
      <c r="L100" s="23" t="s">
        <v>82</v>
      </c>
      <c r="M100" s="41" t="str">
        <f>IF(L100="Closed","Closed",IF(OR(H100&gt;=Mapping_Rules!$B$7,I100&gt;=Mapping_Rules!$B$8),"High Risk",IF(I100&gt;30,"Monitor","Normal")))</f>
        <v>Normal</v>
      </c>
      <c r="N100" s="41" t="str">
        <f t="shared" si="5"/>
        <v>Keep monitoring</v>
      </c>
    </row>
    <row r="101" spans="1:14">
      <c r="A101" s="55" t="s">
        <v>1800</v>
      </c>
      <c r="B101" s="55" t="s">
        <v>81</v>
      </c>
      <c r="C101" s="55" t="s">
        <v>167</v>
      </c>
      <c r="D101" s="56">
        <v>45981</v>
      </c>
      <c r="E101" s="56">
        <v>46041</v>
      </c>
      <c r="F101" s="57">
        <v>4540.74</v>
      </c>
      <c r="G101" s="57">
        <v>0</v>
      </c>
      <c r="H101" s="57">
        <f t="shared" si="3"/>
        <v>4540.74</v>
      </c>
      <c r="I101" s="58">
        <f>MAX(0,Mapping_Rules!$B$6-E101)</f>
        <v>12</v>
      </c>
      <c r="J101" s="59" t="str">
        <f t="shared" si="4"/>
        <v>1-30</v>
      </c>
      <c r="K101" s="55" t="s">
        <v>95</v>
      </c>
      <c r="L101" s="55" t="s">
        <v>73</v>
      </c>
      <c r="M101" s="59" t="str">
        <f>IF(L101="Closed","Closed",IF(OR(H101&gt;=Mapping_Rules!$B$7,I101&gt;=Mapping_Rules!$B$8),"High Risk",IF(I101&gt;30,"Monitor","Normal")))</f>
        <v>Normal</v>
      </c>
      <c r="N101" s="59" t="str">
        <f t="shared" si="5"/>
        <v>Keep monitoring</v>
      </c>
    </row>
    <row r="102" spans="1:14">
      <c r="A102" s="23" t="s">
        <v>1801</v>
      </c>
      <c r="B102" s="23" t="s">
        <v>72</v>
      </c>
      <c r="C102" s="23" t="s">
        <v>144</v>
      </c>
      <c r="D102" s="31">
        <v>46043</v>
      </c>
      <c r="E102" s="31">
        <v>46103</v>
      </c>
      <c r="F102" s="32">
        <v>11044.82</v>
      </c>
      <c r="G102" s="32">
        <v>11044.82</v>
      </c>
      <c r="H102" s="32">
        <f t="shared" si="3"/>
        <v>0</v>
      </c>
      <c r="I102" s="40">
        <f>MAX(0,Mapping_Rules!$B$6-E102)</f>
        <v>0</v>
      </c>
      <c r="J102" s="41" t="str">
        <f t="shared" si="4"/>
        <v>Current</v>
      </c>
      <c r="K102" s="23" t="s">
        <v>95</v>
      </c>
      <c r="L102" s="23" t="s">
        <v>104</v>
      </c>
      <c r="M102" s="41" t="str">
        <f>IF(L102="Closed","Closed",IF(OR(H102&gt;=Mapping_Rules!$B$7,I102&gt;=Mapping_Rules!$B$8),"High Risk",IF(I102&gt;30,"Monitor","Normal")))</f>
        <v>Closed</v>
      </c>
      <c r="N102" s="41" t="str">
        <f t="shared" si="5"/>
        <v>No action</v>
      </c>
    </row>
    <row r="103" spans="1:14">
      <c r="A103" s="55" t="s">
        <v>1802</v>
      </c>
      <c r="B103" s="55" t="s">
        <v>81</v>
      </c>
      <c r="C103" s="55" t="s">
        <v>214</v>
      </c>
      <c r="D103" s="56">
        <v>45970</v>
      </c>
      <c r="E103" s="56">
        <v>46030</v>
      </c>
      <c r="F103" s="57">
        <v>2969.56</v>
      </c>
      <c r="G103" s="57">
        <v>1923.46</v>
      </c>
      <c r="H103" s="57">
        <f t="shared" si="3"/>
        <v>1046.0999999999999</v>
      </c>
      <c r="I103" s="58">
        <f>MAX(0,Mapping_Rules!$B$6-E103)</f>
        <v>23</v>
      </c>
      <c r="J103" s="59" t="str">
        <f t="shared" si="4"/>
        <v>1-30</v>
      </c>
      <c r="K103" s="55" t="s">
        <v>86</v>
      </c>
      <c r="L103" s="55" t="s">
        <v>82</v>
      </c>
      <c r="M103" s="59" t="str">
        <f>IF(L103="Closed","Closed",IF(OR(H103&gt;=Mapping_Rules!$B$7,I103&gt;=Mapping_Rules!$B$8),"High Risk",IF(I103&gt;30,"Monitor","Normal")))</f>
        <v>Normal</v>
      </c>
      <c r="N103" s="59" t="str">
        <f t="shared" si="5"/>
        <v>Keep monitoring</v>
      </c>
    </row>
    <row r="104" spans="1:14">
      <c r="A104" s="23" t="s">
        <v>1803</v>
      </c>
      <c r="B104" s="23" t="s">
        <v>72</v>
      </c>
      <c r="C104" s="23" t="s">
        <v>208</v>
      </c>
      <c r="D104" s="31">
        <v>46014</v>
      </c>
      <c r="E104" s="31">
        <v>46059</v>
      </c>
      <c r="F104" s="32">
        <v>1790.39</v>
      </c>
      <c r="G104" s="32">
        <v>346.16</v>
      </c>
      <c r="H104" s="32">
        <f t="shared" si="3"/>
        <v>1444.23</v>
      </c>
      <c r="I104" s="40">
        <f>MAX(0,Mapping_Rules!$B$6-E104)</f>
        <v>0</v>
      </c>
      <c r="J104" s="41" t="str">
        <f t="shared" si="4"/>
        <v>Current</v>
      </c>
      <c r="K104" s="23" t="s">
        <v>86</v>
      </c>
      <c r="L104" s="23" t="s">
        <v>82</v>
      </c>
      <c r="M104" s="41" t="str">
        <f>IF(L104="Closed","Closed",IF(OR(H104&gt;=Mapping_Rules!$B$7,I104&gt;=Mapping_Rules!$B$8),"High Risk",IF(I104&gt;30,"Monitor","Normal")))</f>
        <v>Normal</v>
      </c>
      <c r="N104" s="41" t="str">
        <f t="shared" si="5"/>
        <v>Keep monitoring</v>
      </c>
    </row>
    <row r="105" spans="1:14" ht="27.6">
      <c r="A105" s="55" t="s">
        <v>1804</v>
      </c>
      <c r="B105" s="55" t="s">
        <v>81</v>
      </c>
      <c r="C105" s="55" t="s">
        <v>220</v>
      </c>
      <c r="D105" s="56">
        <v>45987</v>
      </c>
      <c r="E105" s="56">
        <v>46002</v>
      </c>
      <c r="F105" s="57">
        <v>7357.75</v>
      </c>
      <c r="G105" s="57">
        <v>0</v>
      </c>
      <c r="H105" s="57">
        <f t="shared" si="3"/>
        <v>7357.75</v>
      </c>
      <c r="I105" s="58">
        <f>MAX(0,Mapping_Rules!$B$6-E105)</f>
        <v>51</v>
      </c>
      <c r="J105" s="59" t="str">
        <f t="shared" si="4"/>
        <v>31-60</v>
      </c>
      <c r="K105" s="55" t="s">
        <v>103</v>
      </c>
      <c r="L105" s="55" t="s">
        <v>73</v>
      </c>
      <c r="M105" s="59" t="str">
        <f>IF(L105="Closed","Closed",IF(OR(H105&gt;=Mapping_Rules!$B$7,I105&gt;=Mapping_Rules!$B$8),"High Risk",IF(I105&gt;30,"Monitor","Normal")))</f>
        <v>High Risk</v>
      </c>
      <c r="N105" s="59" t="str">
        <f t="shared" si="5"/>
        <v>Call customer/vendor and escalate</v>
      </c>
    </row>
    <row r="106" spans="1:14">
      <c r="A106" s="23" t="s">
        <v>1805</v>
      </c>
      <c r="B106" s="23" t="s">
        <v>72</v>
      </c>
      <c r="C106" s="23" t="s">
        <v>204</v>
      </c>
      <c r="D106" s="31">
        <v>46041</v>
      </c>
      <c r="E106" s="31">
        <v>46086</v>
      </c>
      <c r="F106" s="32">
        <v>878.92</v>
      </c>
      <c r="G106" s="32">
        <v>0</v>
      </c>
      <c r="H106" s="32">
        <f t="shared" si="3"/>
        <v>878.92</v>
      </c>
      <c r="I106" s="40">
        <f>MAX(0,Mapping_Rules!$B$6-E106)</f>
        <v>0</v>
      </c>
      <c r="J106" s="41" t="str">
        <f t="shared" si="4"/>
        <v>Current</v>
      </c>
      <c r="K106" s="23" t="s">
        <v>77</v>
      </c>
      <c r="L106" s="23" t="s">
        <v>73</v>
      </c>
      <c r="M106" s="41" t="str">
        <f>IF(L106="Closed","Closed",IF(OR(H106&gt;=Mapping_Rules!$B$7,I106&gt;=Mapping_Rules!$B$8),"High Risk",IF(I106&gt;30,"Monitor","Normal")))</f>
        <v>Normal</v>
      </c>
      <c r="N106" s="41" t="str">
        <f t="shared" si="5"/>
        <v>Keep monitoring</v>
      </c>
    </row>
    <row r="107" spans="1:14" ht="27.6">
      <c r="A107" s="55" t="s">
        <v>1806</v>
      </c>
      <c r="B107" s="55" t="s">
        <v>81</v>
      </c>
      <c r="C107" s="55" t="s">
        <v>173</v>
      </c>
      <c r="D107" s="56">
        <v>46045</v>
      </c>
      <c r="E107" s="56">
        <v>46105</v>
      </c>
      <c r="F107" s="57">
        <v>13936.8</v>
      </c>
      <c r="G107" s="57">
        <v>0</v>
      </c>
      <c r="H107" s="57">
        <f t="shared" si="3"/>
        <v>13936.8</v>
      </c>
      <c r="I107" s="58">
        <f>MAX(0,Mapping_Rules!$B$6-E107)</f>
        <v>0</v>
      </c>
      <c r="J107" s="59" t="str">
        <f t="shared" si="4"/>
        <v>Current</v>
      </c>
      <c r="K107" s="55" t="s">
        <v>103</v>
      </c>
      <c r="L107" s="55" t="s">
        <v>100</v>
      </c>
      <c r="M107" s="59" t="str">
        <f>IF(L107="Closed","Closed",IF(OR(H107&gt;=Mapping_Rules!$B$7,I107&gt;=Mapping_Rules!$B$8),"High Risk",IF(I107&gt;30,"Monitor","Normal")))</f>
        <v>High Risk</v>
      </c>
      <c r="N107" s="59" t="str">
        <f t="shared" si="5"/>
        <v>Call customer/vendor and escalate</v>
      </c>
    </row>
    <row r="108" spans="1:14" ht="27.6">
      <c r="A108" s="23" t="s">
        <v>1807</v>
      </c>
      <c r="B108" s="23" t="s">
        <v>81</v>
      </c>
      <c r="C108" s="23" t="s">
        <v>214</v>
      </c>
      <c r="D108" s="31">
        <v>46033</v>
      </c>
      <c r="E108" s="31">
        <v>46093</v>
      </c>
      <c r="F108" s="32">
        <v>12357.09</v>
      </c>
      <c r="G108" s="32">
        <v>0</v>
      </c>
      <c r="H108" s="32">
        <f t="shared" si="3"/>
        <v>12357.09</v>
      </c>
      <c r="I108" s="40">
        <f>MAX(0,Mapping_Rules!$B$6-E108)</f>
        <v>0</v>
      </c>
      <c r="J108" s="41" t="str">
        <f t="shared" si="4"/>
        <v>Current</v>
      </c>
      <c r="K108" s="23" t="s">
        <v>77</v>
      </c>
      <c r="L108" s="23" t="s">
        <v>100</v>
      </c>
      <c r="M108" s="41" t="str">
        <f>IF(L108="Closed","Closed",IF(OR(H108&gt;=Mapping_Rules!$B$7,I108&gt;=Mapping_Rules!$B$8),"High Risk",IF(I108&gt;30,"Monitor","Normal")))</f>
        <v>High Risk</v>
      </c>
      <c r="N108" s="41" t="str">
        <f t="shared" si="5"/>
        <v>Call customer/vendor and escalate</v>
      </c>
    </row>
    <row r="109" spans="1:14" ht="27.6">
      <c r="A109" s="55" t="s">
        <v>1808</v>
      </c>
      <c r="B109" s="55" t="s">
        <v>72</v>
      </c>
      <c r="C109" s="55" t="s">
        <v>204</v>
      </c>
      <c r="D109" s="56">
        <v>45967</v>
      </c>
      <c r="E109" s="56">
        <v>45982</v>
      </c>
      <c r="F109" s="57">
        <v>12541.68</v>
      </c>
      <c r="G109" s="57">
        <v>0</v>
      </c>
      <c r="H109" s="57">
        <f t="shared" si="3"/>
        <v>12541.68</v>
      </c>
      <c r="I109" s="58">
        <f>MAX(0,Mapping_Rules!$B$6-E109)</f>
        <v>71</v>
      </c>
      <c r="J109" s="59" t="str">
        <f t="shared" si="4"/>
        <v>61-90</v>
      </c>
      <c r="K109" s="55" t="s">
        <v>86</v>
      </c>
      <c r="L109" s="55" t="s">
        <v>73</v>
      </c>
      <c r="M109" s="59" t="str">
        <f>IF(L109="Closed","Closed",IF(OR(H109&gt;=Mapping_Rules!$B$7,I109&gt;=Mapping_Rules!$B$8),"High Risk",IF(I109&gt;30,"Monitor","Normal")))</f>
        <v>High Risk</v>
      </c>
      <c r="N109" s="59" t="str">
        <f t="shared" si="5"/>
        <v>Call customer/vendor and escalate</v>
      </c>
    </row>
    <row r="110" spans="1:14">
      <c r="A110" s="23" t="s">
        <v>1809</v>
      </c>
      <c r="B110" s="23" t="s">
        <v>81</v>
      </c>
      <c r="C110" s="23" t="s">
        <v>220</v>
      </c>
      <c r="D110" s="31">
        <v>45991</v>
      </c>
      <c r="E110" s="31">
        <v>46051</v>
      </c>
      <c r="F110" s="32">
        <v>2963.49</v>
      </c>
      <c r="G110" s="32">
        <v>923.71</v>
      </c>
      <c r="H110" s="32">
        <f t="shared" si="3"/>
        <v>2039.7799999999997</v>
      </c>
      <c r="I110" s="40">
        <f>MAX(0,Mapping_Rules!$B$6-E110)</f>
        <v>2</v>
      </c>
      <c r="J110" s="41" t="str">
        <f t="shared" si="4"/>
        <v>1-30</v>
      </c>
      <c r="K110" s="23" t="s">
        <v>86</v>
      </c>
      <c r="L110" s="23" t="s">
        <v>82</v>
      </c>
      <c r="M110" s="41" t="str">
        <f>IF(L110="Closed","Closed",IF(OR(H110&gt;=Mapping_Rules!$B$7,I110&gt;=Mapping_Rules!$B$8),"High Risk",IF(I110&gt;30,"Monitor","Normal")))</f>
        <v>Normal</v>
      </c>
      <c r="N110" s="41" t="str">
        <f t="shared" si="5"/>
        <v>Keep monitoring</v>
      </c>
    </row>
    <row r="111" spans="1:14" ht="27.6">
      <c r="A111" s="55" t="s">
        <v>1810</v>
      </c>
      <c r="B111" s="55" t="s">
        <v>72</v>
      </c>
      <c r="C111" s="55" t="s">
        <v>126</v>
      </c>
      <c r="D111" s="56">
        <v>45975</v>
      </c>
      <c r="E111" s="56">
        <v>46020</v>
      </c>
      <c r="F111" s="57">
        <v>10166.209999999999</v>
      </c>
      <c r="G111" s="57">
        <v>0</v>
      </c>
      <c r="H111" s="57">
        <f t="shared" si="3"/>
        <v>10166.209999999999</v>
      </c>
      <c r="I111" s="58">
        <f>MAX(0,Mapping_Rules!$B$6-E111)</f>
        <v>33</v>
      </c>
      <c r="J111" s="59" t="str">
        <f t="shared" si="4"/>
        <v>31-60</v>
      </c>
      <c r="K111" s="55" t="s">
        <v>103</v>
      </c>
      <c r="L111" s="55" t="s">
        <v>91</v>
      </c>
      <c r="M111" s="59" t="str">
        <f>IF(L111="Closed","Closed",IF(OR(H111&gt;=Mapping_Rules!$B$7,I111&gt;=Mapping_Rules!$B$8),"High Risk",IF(I111&gt;30,"Monitor","Normal")))</f>
        <v>High Risk</v>
      </c>
      <c r="N111" s="59" t="str">
        <f t="shared" si="5"/>
        <v>Call customer/vendor and escalate</v>
      </c>
    </row>
    <row r="112" spans="1:14">
      <c r="A112" s="23" t="s">
        <v>1811</v>
      </c>
      <c r="B112" s="23" t="s">
        <v>81</v>
      </c>
      <c r="C112" s="23" t="s">
        <v>173</v>
      </c>
      <c r="D112" s="31">
        <v>45985</v>
      </c>
      <c r="E112" s="31">
        <v>46045</v>
      </c>
      <c r="F112" s="32">
        <v>7644.69</v>
      </c>
      <c r="G112" s="32">
        <v>3799.68</v>
      </c>
      <c r="H112" s="32">
        <f t="shared" si="3"/>
        <v>3845.0099999999998</v>
      </c>
      <c r="I112" s="40">
        <f>MAX(0,Mapping_Rules!$B$6-E112)</f>
        <v>8</v>
      </c>
      <c r="J112" s="41" t="str">
        <f t="shared" si="4"/>
        <v>1-30</v>
      </c>
      <c r="K112" s="23" t="s">
        <v>103</v>
      </c>
      <c r="L112" s="23" t="s">
        <v>82</v>
      </c>
      <c r="M112" s="41" t="str">
        <f>IF(L112="Closed","Closed",IF(OR(H112&gt;=Mapping_Rules!$B$7,I112&gt;=Mapping_Rules!$B$8),"High Risk",IF(I112&gt;30,"Monitor","Normal")))</f>
        <v>Normal</v>
      </c>
      <c r="N112" s="41" t="str">
        <f t="shared" si="5"/>
        <v>Keep monitoring</v>
      </c>
    </row>
    <row r="113" spans="1:14" ht="27.6">
      <c r="A113" s="55" t="s">
        <v>1812</v>
      </c>
      <c r="B113" s="55" t="s">
        <v>72</v>
      </c>
      <c r="C113" s="55" t="s">
        <v>208</v>
      </c>
      <c r="D113" s="56">
        <v>46032</v>
      </c>
      <c r="E113" s="56">
        <v>46077</v>
      </c>
      <c r="F113" s="57">
        <v>12696.08</v>
      </c>
      <c r="G113" s="57">
        <v>0</v>
      </c>
      <c r="H113" s="57">
        <f t="shared" si="3"/>
        <v>12696.08</v>
      </c>
      <c r="I113" s="58">
        <f>MAX(0,Mapping_Rules!$B$6-E113)</f>
        <v>0</v>
      </c>
      <c r="J113" s="59" t="str">
        <f t="shared" si="4"/>
        <v>Current</v>
      </c>
      <c r="K113" s="55" t="s">
        <v>103</v>
      </c>
      <c r="L113" s="55" t="s">
        <v>73</v>
      </c>
      <c r="M113" s="59" t="str">
        <f>IF(L113="Closed","Closed",IF(OR(H113&gt;=Mapping_Rules!$B$7,I113&gt;=Mapping_Rules!$B$8),"High Risk",IF(I113&gt;30,"Monitor","Normal")))</f>
        <v>High Risk</v>
      </c>
      <c r="N113" s="59" t="str">
        <f t="shared" si="5"/>
        <v>Call customer/vendor and escalate</v>
      </c>
    </row>
    <row r="114" spans="1:14">
      <c r="A114" s="23" t="s">
        <v>1813</v>
      </c>
      <c r="B114" s="23" t="s">
        <v>72</v>
      </c>
      <c r="C114" s="23" t="s">
        <v>204</v>
      </c>
      <c r="D114" s="31">
        <v>45992</v>
      </c>
      <c r="E114" s="31">
        <v>46022</v>
      </c>
      <c r="F114" s="32">
        <v>5719.69</v>
      </c>
      <c r="G114" s="32">
        <v>3626.15</v>
      </c>
      <c r="H114" s="32">
        <f t="shared" si="3"/>
        <v>2093.5399999999995</v>
      </c>
      <c r="I114" s="40">
        <f>MAX(0,Mapping_Rules!$B$6-E114)</f>
        <v>31</v>
      </c>
      <c r="J114" s="41" t="str">
        <f t="shared" si="4"/>
        <v>31-60</v>
      </c>
      <c r="K114" s="23" t="s">
        <v>95</v>
      </c>
      <c r="L114" s="23" t="s">
        <v>82</v>
      </c>
      <c r="M114" s="41" t="str">
        <f>IF(L114="Closed","Closed",IF(OR(H114&gt;=Mapping_Rules!$B$7,I114&gt;=Mapping_Rules!$B$8),"High Risk",IF(I114&gt;30,"Monitor","Normal")))</f>
        <v>Monitor</v>
      </c>
      <c r="N114" s="41" t="str">
        <f t="shared" si="5"/>
        <v>Send follow-up email</v>
      </c>
    </row>
    <row r="115" spans="1:14">
      <c r="A115" s="55" t="s">
        <v>1814</v>
      </c>
      <c r="B115" s="55" t="s">
        <v>72</v>
      </c>
      <c r="C115" s="55" t="s">
        <v>150</v>
      </c>
      <c r="D115" s="56">
        <v>46012</v>
      </c>
      <c r="E115" s="56">
        <v>46027</v>
      </c>
      <c r="F115" s="57">
        <v>10935.75</v>
      </c>
      <c r="G115" s="57">
        <v>10935.75</v>
      </c>
      <c r="H115" s="57">
        <f t="shared" si="3"/>
        <v>0</v>
      </c>
      <c r="I115" s="58">
        <f>MAX(0,Mapping_Rules!$B$6-E115)</f>
        <v>26</v>
      </c>
      <c r="J115" s="59" t="str">
        <f t="shared" si="4"/>
        <v>1-30</v>
      </c>
      <c r="K115" s="55" t="s">
        <v>77</v>
      </c>
      <c r="L115" s="55" t="s">
        <v>104</v>
      </c>
      <c r="M115" s="59" t="str">
        <f>IF(L115="Closed","Closed",IF(OR(H115&gt;=Mapping_Rules!$B$7,I115&gt;=Mapping_Rules!$B$8),"High Risk",IF(I115&gt;30,"Monitor","Normal")))</f>
        <v>Closed</v>
      </c>
      <c r="N115" s="59" t="str">
        <f t="shared" si="5"/>
        <v>No action</v>
      </c>
    </row>
    <row r="116" spans="1:14" ht="27.6">
      <c r="A116" s="23" t="s">
        <v>1815</v>
      </c>
      <c r="B116" s="23" t="s">
        <v>81</v>
      </c>
      <c r="C116" s="23" t="s">
        <v>214</v>
      </c>
      <c r="D116" s="31">
        <v>45962</v>
      </c>
      <c r="E116" s="31">
        <v>46007</v>
      </c>
      <c r="F116" s="32">
        <v>14768.26</v>
      </c>
      <c r="G116" s="32">
        <v>0</v>
      </c>
      <c r="H116" s="32">
        <f t="shared" si="3"/>
        <v>14768.26</v>
      </c>
      <c r="I116" s="40">
        <f>MAX(0,Mapping_Rules!$B$6-E116)</f>
        <v>46</v>
      </c>
      <c r="J116" s="41" t="str">
        <f t="shared" si="4"/>
        <v>31-60</v>
      </c>
      <c r="K116" s="23" t="s">
        <v>95</v>
      </c>
      <c r="L116" s="23" t="s">
        <v>73</v>
      </c>
      <c r="M116" s="41" t="str">
        <f>IF(L116="Closed","Closed",IF(OR(H116&gt;=Mapping_Rules!$B$7,I116&gt;=Mapping_Rules!$B$8),"High Risk",IF(I116&gt;30,"Monitor","Normal")))</f>
        <v>High Risk</v>
      </c>
      <c r="N116" s="41" t="str">
        <f t="shared" si="5"/>
        <v>Call customer/vendor and escalate</v>
      </c>
    </row>
    <row r="117" spans="1:14">
      <c r="A117" s="55" t="s">
        <v>1816</v>
      </c>
      <c r="B117" s="55" t="s">
        <v>81</v>
      </c>
      <c r="C117" s="55" t="s">
        <v>155</v>
      </c>
      <c r="D117" s="56">
        <v>45997</v>
      </c>
      <c r="E117" s="56">
        <v>46027</v>
      </c>
      <c r="F117" s="57">
        <v>1550.16</v>
      </c>
      <c r="G117" s="57">
        <v>0</v>
      </c>
      <c r="H117" s="57">
        <f t="shared" si="3"/>
        <v>1550.16</v>
      </c>
      <c r="I117" s="58">
        <f>MAX(0,Mapping_Rules!$B$6-E117)</f>
        <v>26</v>
      </c>
      <c r="J117" s="59" t="str">
        <f t="shared" si="4"/>
        <v>1-30</v>
      </c>
      <c r="K117" s="55" t="s">
        <v>86</v>
      </c>
      <c r="L117" s="55" t="s">
        <v>73</v>
      </c>
      <c r="M117" s="59" t="str">
        <f>IF(L117="Closed","Closed",IF(OR(H117&gt;=Mapping_Rules!$B$7,I117&gt;=Mapping_Rules!$B$8),"High Risk",IF(I117&gt;30,"Monitor","Normal")))</f>
        <v>Normal</v>
      </c>
      <c r="N117" s="59" t="str">
        <f t="shared" si="5"/>
        <v>Keep monitoring</v>
      </c>
    </row>
    <row r="118" spans="1:14">
      <c r="A118" s="23" t="s">
        <v>1817</v>
      </c>
      <c r="B118" s="23" t="s">
        <v>81</v>
      </c>
      <c r="C118" s="23" t="s">
        <v>214</v>
      </c>
      <c r="D118" s="31">
        <v>46008</v>
      </c>
      <c r="E118" s="31">
        <v>46038</v>
      </c>
      <c r="F118" s="32">
        <v>3609.96</v>
      </c>
      <c r="G118" s="32">
        <v>0</v>
      </c>
      <c r="H118" s="32">
        <f t="shared" si="3"/>
        <v>3609.96</v>
      </c>
      <c r="I118" s="40">
        <f>MAX(0,Mapping_Rules!$B$6-E118)</f>
        <v>15</v>
      </c>
      <c r="J118" s="41" t="str">
        <f t="shared" si="4"/>
        <v>1-30</v>
      </c>
      <c r="K118" s="23" t="s">
        <v>77</v>
      </c>
      <c r="L118" s="23" t="s">
        <v>100</v>
      </c>
      <c r="M118" s="41" t="str">
        <f>IF(L118="Closed","Closed",IF(OR(H118&gt;=Mapping_Rules!$B$7,I118&gt;=Mapping_Rules!$B$8),"High Risk",IF(I118&gt;30,"Monitor","Normal")))</f>
        <v>Normal</v>
      </c>
      <c r="N118" s="41" t="str">
        <f t="shared" si="5"/>
        <v>Keep monitoring</v>
      </c>
    </row>
    <row r="119" spans="1:14" ht="27.6">
      <c r="A119" s="55" t="s">
        <v>1818</v>
      </c>
      <c r="B119" s="55" t="s">
        <v>72</v>
      </c>
      <c r="C119" s="55" t="s">
        <v>204</v>
      </c>
      <c r="D119" s="56">
        <v>45989</v>
      </c>
      <c r="E119" s="56">
        <v>46004</v>
      </c>
      <c r="F119" s="57">
        <v>10895.17</v>
      </c>
      <c r="G119" s="57">
        <v>0</v>
      </c>
      <c r="H119" s="57">
        <f t="shared" si="3"/>
        <v>10895.17</v>
      </c>
      <c r="I119" s="58">
        <f>MAX(0,Mapping_Rules!$B$6-E119)</f>
        <v>49</v>
      </c>
      <c r="J119" s="59" t="str">
        <f t="shared" si="4"/>
        <v>31-60</v>
      </c>
      <c r="K119" s="55" t="s">
        <v>86</v>
      </c>
      <c r="L119" s="55" t="s">
        <v>100</v>
      </c>
      <c r="M119" s="59" t="str">
        <f>IF(L119="Closed","Closed",IF(OR(H119&gt;=Mapping_Rules!$B$7,I119&gt;=Mapping_Rules!$B$8),"High Risk",IF(I119&gt;30,"Monitor","Normal")))</f>
        <v>High Risk</v>
      </c>
      <c r="N119" s="59" t="str">
        <f t="shared" si="5"/>
        <v>Call customer/vendor and escalate</v>
      </c>
    </row>
    <row r="120" spans="1:14" ht="27.6">
      <c r="A120" s="23" t="s">
        <v>1819</v>
      </c>
      <c r="B120" s="23" t="s">
        <v>72</v>
      </c>
      <c r="C120" s="23" t="s">
        <v>139</v>
      </c>
      <c r="D120" s="31">
        <v>46050</v>
      </c>
      <c r="E120" s="31">
        <v>46065</v>
      </c>
      <c r="F120" s="32">
        <v>8989.18</v>
      </c>
      <c r="G120" s="32">
        <v>0</v>
      </c>
      <c r="H120" s="32">
        <f t="shared" si="3"/>
        <v>8989.18</v>
      </c>
      <c r="I120" s="40">
        <f>MAX(0,Mapping_Rules!$B$6-E120)</f>
        <v>0</v>
      </c>
      <c r="J120" s="41" t="str">
        <f t="shared" si="4"/>
        <v>Current</v>
      </c>
      <c r="K120" s="23" t="s">
        <v>103</v>
      </c>
      <c r="L120" s="23" t="s">
        <v>73</v>
      </c>
      <c r="M120" s="41" t="str">
        <f>IF(L120="Closed","Closed",IF(OR(H120&gt;=Mapping_Rules!$B$7,I120&gt;=Mapping_Rules!$B$8),"High Risk",IF(I120&gt;30,"Monitor","Normal")))</f>
        <v>High Risk</v>
      </c>
      <c r="N120" s="41" t="str">
        <f t="shared" si="5"/>
        <v>Call customer/vendor and escalate</v>
      </c>
    </row>
    <row r="121" spans="1:14" ht="27.6">
      <c r="A121" s="55" t="s">
        <v>1820</v>
      </c>
      <c r="B121" s="55" t="s">
        <v>81</v>
      </c>
      <c r="C121" s="55" t="s">
        <v>220</v>
      </c>
      <c r="D121" s="56">
        <v>46004</v>
      </c>
      <c r="E121" s="56">
        <v>46049</v>
      </c>
      <c r="F121" s="57">
        <v>13214.92</v>
      </c>
      <c r="G121" s="57">
        <v>0</v>
      </c>
      <c r="H121" s="57">
        <f t="shared" si="3"/>
        <v>13214.92</v>
      </c>
      <c r="I121" s="58">
        <f>MAX(0,Mapping_Rules!$B$6-E121)</f>
        <v>4</v>
      </c>
      <c r="J121" s="59" t="str">
        <f t="shared" si="4"/>
        <v>1-30</v>
      </c>
      <c r="K121" s="55" t="s">
        <v>77</v>
      </c>
      <c r="L121" s="55" t="s">
        <v>73</v>
      </c>
      <c r="M121" s="59" t="str">
        <f>IF(L121="Closed","Closed",IF(OR(H121&gt;=Mapping_Rules!$B$7,I121&gt;=Mapping_Rules!$B$8),"High Risk",IF(I121&gt;30,"Monitor","Normal")))</f>
        <v>High Risk</v>
      </c>
      <c r="N121" s="59" t="str">
        <f t="shared" si="5"/>
        <v>Call customer/vendor and escalate</v>
      </c>
    </row>
    <row r="122" spans="1:14" ht="27.6">
      <c r="A122" s="23" t="s">
        <v>1821</v>
      </c>
      <c r="B122" s="23" t="s">
        <v>81</v>
      </c>
      <c r="C122" s="23" t="s">
        <v>155</v>
      </c>
      <c r="D122" s="31">
        <v>46045</v>
      </c>
      <c r="E122" s="31">
        <v>46060</v>
      </c>
      <c r="F122" s="32">
        <v>9563.2199999999993</v>
      </c>
      <c r="G122" s="32">
        <v>1770.95</v>
      </c>
      <c r="H122" s="32">
        <f t="shared" si="3"/>
        <v>7792.2699999999995</v>
      </c>
      <c r="I122" s="40">
        <f>MAX(0,Mapping_Rules!$B$6-E122)</f>
        <v>0</v>
      </c>
      <c r="J122" s="41" t="str">
        <f t="shared" si="4"/>
        <v>Current</v>
      </c>
      <c r="K122" s="23" t="s">
        <v>77</v>
      </c>
      <c r="L122" s="23" t="s">
        <v>82</v>
      </c>
      <c r="M122" s="41" t="str">
        <f>IF(L122="Closed","Closed",IF(OR(H122&gt;=Mapping_Rules!$B$7,I122&gt;=Mapping_Rules!$B$8),"High Risk",IF(I122&gt;30,"Monitor","Normal")))</f>
        <v>High Risk</v>
      </c>
      <c r="N122" s="41" t="str">
        <f t="shared" si="5"/>
        <v>Call customer/vendor and escalate</v>
      </c>
    </row>
    <row r="123" spans="1:14">
      <c r="A123" s="55" t="s">
        <v>1822</v>
      </c>
      <c r="B123" s="55" t="s">
        <v>72</v>
      </c>
      <c r="C123" s="55" t="s">
        <v>204</v>
      </c>
      <c r="D123" s="56">
        <v>46034</v>
      </c>
      <c r="E123" s="56">
        <v>46064</v>
      </c>
      <c r="F123" s="57">
        <v>5003.45</v>
      </c>
      <c r="G123" s="57">
        <v>1248.75</v>
      </c>
      <c r="H123" s="57">
        <f t="shared" si="3"/>
        <v>3754.7</v>
      </c>
      <c r="I123" s="58">
        <f>MAX(0,Mapping_Rules!$B$6-E123)</f>
        <v>0</v>
      </c>
      <c r="J123" s="59" t="str">
        <f t="shared" si="4"/>
        <v>Current</v>
      </c>
      <c r="K123" s="55" t="s">
        <v>103</v>
      </c>
      <c r="L123" s="55" t="s">
        <v>82</v>
      </c>
      <c r="M123" s="59" t="str">
        <f>IF(L123="Closed","Closed",IF(OR(H123&gt;=Mapping_Rules!$B$7,I123&gt;=Mapping_Rules!$B$8),"High Risk",IF(I123&gt;30,"Monitor","Normal")))</f>
        <v>Normal</v>
      </c>
      <c r="N123" s="59" t="str">
        <f t="shared" si="5"/>
        <v>Keep monitoring</v>
      </c>
    </row>
    <row r="124" spans="1:14">
      <c r="A124" s="23" t="s">
        <v>1823</v>
      </c>
      <c r="B124" s="23" t="s">
        <v>72</v>
      </c>
      <c r="C124" s="23" t="s">
        <v>139</v>
      </c>
      <c r="D124" s="31">
        <v>46038</v>
      </c>
      <c r="E124" s="31">
        <v>46053</v>
      </c>
      <c r="F124" s="32">
        <v>3447.97</v>
      </c>
      <c r="G124" s="32">
        <v>0</v>
      </c>
      <c r="H124" s="32">
        <f t="shared" si="3"/>
        <v>3447.97</v>
      </c>
      <c r="I124" s="40">
        <f>MAX(0,Mapping_Rules!$B$6-E124)</f>
        <v>0</v>
      </c>
      <c r="J124" s="41" t="str">
        <f t="shared" si="4"/>
        <v>Current</v>
      </c>
      <c r="K124" s="23" t="s">
        <v>103</v>
      </c>
      <c r="L124" s="23" t="s">
        <v>73</v>
      </c>
      <c r="M124" s="41" t="str">
        <f>IF(L124="Closed","Closed",IF(OR(H124&gt;=Mapping_Rules!$B$7,I124&gt;=Mapping_Rules!$B$8),"High Risk",IF(I124&gt;30,"Monitor","Normal")))</f>
        <v>Normal</v>
      </c>
      <c r="N124" s="41" t="str">
        <f t="shared" si="5"/>
        <v>Keep monitoring</v>
      </c>
    </row>
    <row r="125" spans="1:14" ht="27.6">
      <c r="A125" s="55" t="s">
        <v>1824</v>
      </c>
      <c r="B125" s="55" t="s">
        <v>81</v>
      </c>
      <c r="C125" s="55" t="s">
        <v>173</v>
      </c>
      <c r="D125" s="56">
        <v>46005</v>
      </c>
      <c r="E125" s="56">
        <v>46020</v>
      </c>
      <c r="F125" s="57">
        <v>7216.44</v>
      </c>
      <c r="G125" s="57">
        <v>0</v>
      </c>
      <c r="H125" s="57">
        <f t="shared" si="3"/>
        <v>7216.44</v>
      </c>
      <c r="I125" s="58">
        <f>MAX(0,Mapping_Rules!$B$6-E125)</f>
        <v>33</v>
      </c>
      <c r="J125" s="59" t="str">
        <f t="shared" si="4"/>
        <v>31-60</v>
      </c>
      <c r="K125" s="55" t="s">
        <v>103</v>
      </c>
      <c r="L125" s="55" t="s">
        <v>91</v>
      </c>
      <c r="M125" s="59" t="str">
        <f>IF(L125="Closed","Closed",IF(OR(H125&gt;=Mapping_Rules!$B$7,I125&gt;=Mapping_Rules!$B$8),"High Risk",IF(I125&gt;30,"Monitor","Normal")))</f>
        <v>High Risk</v>
      </c>
      <c r="N125" s="59" t="str">
        <f t="shared" si="5"/>
        <v>Call customer/vendor and escalate</v>
      </c>
    </row>
    <row r="126" spans="1:14" ht="27.6">
      <c r="A126" s="23" t="s">
        <v>1825</v>
      </c>
      <c r="B126" s="23" t="s">
        <v>72</v>
      </c>
      <c r="C126" s="23" t="s">
        <v>144</v>
      </c>
      <c r="D126" s="31">
        <v>46013</v>
      </c>
      <c r="E126" s="31">
        <v>46073</v>
      </c>
      <c r="F126" s="32">
        <v>11641.3</v>
      </c>
      <c r="G126" s="32">
        <v>0</v>
      </c>
      <c r="H126" s="32">
        <f t="shared" si="3"/>
        <v>11641.3</v>
      </c>
      <c r="I126" s="40">
        <f>MAX(0,Mapping_Rules!$B$6-E126)</f>
        <v>0</v>
      </c>
      <c r="J126" s="41" t="str">
        <f t="shared" si="4"/>
        <v>Current</v>
      </c>
      <c r="K126" s="23" t="s">
        <v>86</v>
      </c>
      <c r="L126" s="23" t="s">
        <v>73</v>
      </c>
      <c r="M126" s="41" t="str">
        <f>IF(L126="Closed","Closed",IF(OR(H126&gt;=Mapping_Rules!$B$7,I126&gt;=Mapping_Rules!$B$8),"High Risk",IF(I126&gt;30,"Monitor","Normal")))</f>
        <v>High Risk</v>
      </c>
      <c r="N126" s="41" t="str">
        <f t="shared" si="5"/>
        <v>Call customer/vendor and escalate</v>
      </c>
    </row>
    <row r="127" spans="1:14">
      <c r="A127" s="55" t="s">
        <v>1826</v>
      </c>
      <c r="B127" s="55" t="s">
        <v>72</v>
      </c>
      <c r="C127" s="55" t="s">
        <v>204</v>
      </c>
      <c r="D127" s="56">
        <v>45987</v>
      </c>
      <c r="E127" s="56">
        <v>46047</v>
      </c>
      <c r="F127" s="57">
        <v>6020.48</v>
      </c>
      <c r="G127" s="57">
        <v>3099.1</v>
      </c>
      <c r="H127" s="57">
        <f t="shared" si="3"/>
        <v>2921.3799999999997</v>
      </c>
      <c r="I127" s="58">
        <f>MAX(0,Mapping_Rules!$B$6-E127)</f>
        <v>6</v>
      </c>
      <c r="J127" s="59" t="str">
        <f t="shared" si="4"/>
        <v>1-30</v>
      </c>
      <c r="K127" s="55" t="s">
        <v>86</v>
      </c>
      <c r="L127" s="55" t="s">
        <v>82</v>
      </c>
      <c r="M127" s="59" t="str">
        <f>IF(L127="Closed","Closed",IF(OR(H127&gt;=Mapping_Rules!$B$7,I127&gt;=Mapping_Rules!$B$8),"High Risk",IF(I127&gt;30,"Monitor","Normal")))</f>
        <v>Normal</v>
      </c>
      <c r="N127" s="59" t="str">
        <f t="shared" si="5"/>
        <v>Keep monitoring</v>
      </c>
    </row>
    <row r="128" spans="1:14">
      <c r="A128" s="23" t="s">
        <v>1827</v>
      </c>
      <c r="B128" s="23" t="s">
        <v>81</v>
      </c>
      <c r="C128" s="23" t="s">
        <v>220</v>
      </c>
      <c r="D128" s="31">
        <v>45996</v>
      </c>
      <c r="E128" s="31">
        <v>46056</v>
      </c>
      <c r="F128" s="32">
        <v>4952.66</v>
      </c>
      <c r="G128" s="32">
        <v>4952.66</v>
      </c>
      <c r="H128" s="32">
        <f t="shared" si="3"/>
        <v>0</v>
      </c>
      <c r="I128" s="40">
        <f>MAX(0,Mapping_Rules!$B$6-E128)</f>
        <v>0</v>
      </c>
      <c r="J128" s="41" t="str">
        <f t="shared" si="4"/>
        <v>Current</v>
      </c>
      <c r="K128" s="23" t="s">
        <v>77</v>
      </c>
      <c r="L128" s="23" t="s">
        <v>104</v>
      </c>
      <c r="M128" s="41" t="str">
        <f>IF(L128="Closed","Closed",IF(OR(H128&gt;=Mapping_Rules!$B$7,I128&gt;=Mapping_Rules!$B$8),"High Risk",IF(I128&gt;30,"Monitor","Normal")))</f>
        <v>Closed</v>
      </c>
      <c r="N128" s="41" t="str">
        <f t="shared" si="5"/>
        <v>No action</v>
      </c>
    </row>
    <row r="129" spans="1:14" ht="27.6">
      <c r="A129" s="55" t="s">
        <v>1828</v>
      </c>
      <c r="B129" s="55" t="s">
        <v>81</v>
      </c>
      <c r="C129" s="55" t="s">
        <v>155</v>
      </c>
      <c r="D129" s="56">
        <v>46014</v>
      </c>
      <c r="E129" s="56">
        <v>46074</v>
      </c>
      <c r="F129" s="57">
        <v>5574.22</v>
      </c>
      <c r="G129" s="57">
        <v>0</v>
      </c>
      <c r="H129" s="57">
        <f t="shared" si="3"/>
        <v>5574.22</v>
      </c>
      <c r="I129" s="58">
        <f>MAX(0,Mapping_Rules!$B$6-E129)</f>
        <v>0</v>
      </c>
      <c r="J129" s="59" t="str">
        <f t="shared" si="4"/>
        <v>Current</v>
      </c>
      <c r="K129" s="55" t="s">
        <v>95</v>
      </c>
      <c r="L129" s="55" t="s">
        <v>73</v>
      </c>
      <c r="M129" s="59" t="str">
        <f>IF(L129="Closed","Closed",IF(OR(H129&gt;=Mapping_Rules!$B$7,I129&gt;=Mapping_Rules!$B$8),"High Risk",IF(I129&gt;30,"Monitor","Normal")))</f>
        <v>High Risk</v>
      </c>
      <c r="N129" s="59" t="str">
        <f t="shared" si="5"/>
        <v>Call customer/vendor and escalate</v>
      </c>
    </row>
    <row r="130" spans="1:14">
      <c r="A130" s="23" t="s">
        <v>1829</v>
      </c>
      <c r="B130" s="23" t="s">
        <v>81</v>
      </c>
      <c r="C130" s="23" t="s">
        <v>214</v>
      </c>
      <c r="D130" s="31">
        <v>45983</v>
      </c>
      <c r="E130" s="31">
        <v>46028</v>
      </c>
      <c r="F130" s="32">
        <v>9300.8799999999992</v>
      </c>
      <c r="G130" s="32">
        <v>9300.8799999999992</v>
      </c>
      <c r="H130" s="32">
        <f t="shared" si="3"/>
        <v>0</v>
      </c>
      <c r="I130" s="40">
        <f>MAX(0,Mapping_Rules!$B$6-E130)</f>
        <v>25</v>
      </c>
      <c r="J130" s="41" t="str">
        <f t="shared" si="4"/>
        <v>1-30</v>
      </c>
      <c r="K130" s="23" t="s">
        <v>103</v>
      </c>
      <c r="L130" s="23" t="s">
        <v>104</v>
      </c>
      <c r="M130" s="41" t="str">
        <f>IF(L130="Closed","Closed",IF(OR(H130&gt;=Mapping_Rules!$B$7,I130&gt;=Mapping_Rules!$B$8),"High Risk",IF(I130&gt;30,"Monitor","Normal")))</f>
        <v>Closed</v>
      </c>
      <c r="N130" s="41" t="str">
        <f t="shared" si="5"/>
        <v>No action</v>
      </c>
    </row>
    <row r="131" spans="1:14">
      <c r="A131" s="55" t="s">
        <v>1830</v>
      </c>
      <c r="B131" s="55" t="s">
        <v>81</v>
      </c>
      <c r="C131" s="55" t="s">
        <v>163</v>
      </c>
      <c r="D131" s="56">
        <v>45967</v>
      </c>
      <c r="E131" s="56">
        <v>45997</v>
      </c>
      <c r="F131" s="57">
        <v>3115.33</v>
      </c>
      <c r="G131" s="57">
        <v>0</v>
      </c>
      <c r="H131" s="57">
        <f t="shared" si="3"/>
        <v>3115.33</v>
      </c>
      <c r="I131" s="58">
        <f>MAX(0,Mapping_Rules!$B$6-E131)</f>
        <v>56</v>
      </c>
      <c r="J131" s="59" t="str">
        <f t="shared" si="4"/>
        <v>31-60</v>
      </c>
      <c r="K131" s="55" t="s">
        <v>77</v>
      </c>
      <c r="L131" s="55" t="s">
        <v>73</v>
      </c>
      <c r="M131" s="59" t="str">
        <f>IF(L131="Closed","Closed",IF(OR(H131&gt;=Mapping_Rules!$B$7,I131&gt;=Mapping_Rules!$B$8),"High Risk",IF(I131&gt;30,"Monitor","Normal")))</f>
        <v>Monitor</v>
      </c>
      <c r="N131" s="59" t="str">
        <f t="shared" si="5"/>
        <v>Send follow-up email</v>
      </c>
    </row>
    <row r="132" spans="1:14">
      <c r="A132" s="23" t="s">
        <v>1831</v>
      </c>
      <c r="B132" s="23" t="s">
        <v>81</v>
      </c>
      <c r="C132" s="23" t="s">
        <v>155</v>
      </c>
      <c r="D132" s="31">
        <v>45968</v>
      </c>
      <c r="E132" s="31">
        <v>45998</v>
      </c>
      <c r="F132" s="32">
        <v>14241.77</v>
      </c>
      <c r="G132" s="32">
        <v>14241.77</v>
      </c>
      <c r="H132" s="32">
        <f t="shared" ref="H132:H195" si="6">F132-G132</f>
        <v>0</v>
      </c>
      <c r="I132" s="40">
        <f>MAX(0,Mapping_Rules!$B$6-E132)</f>
        <v>55</v>
      </c>
      <c r="J132" s="41" t="str">
        <f t="shared" ref="J132:J195" si="7">IF(I132=0,"Current",IF(I132&lt;=30,"1-30",IF(I132&lt;=60,"31-60",IF(I132&lt;=90,"61-90","90+"))))</f>
        <v>31-60</v>
      </c>
      <c r="K132" s="23" t="s">
        <v>95</v>
      </c>
      <c r="L132" s="23" t="s">
        <v>104</v>
      </c>
      <c r="M132" s="41" t="str">
        <f>IF(L132="Closed","Closed",IF(OR(H132&gt;=Mapping_Rules!$B$7,I132&gt;=Mapping_Rules!$B$8),"High Risk",IF(I132&gt;30,"Monitor","Normal")))</f>
        <v>Closed</v>
      </c>
      <c r="N132" s="41" t="str">
        <f t="shared" ref="N132:N195" si="8">IF(M132="Closed","No action",IF(M132="High Risk","Call customer/vendor and escalate",IF(M132="Monitor","Send follow-up email","Keep monitoring")))</f>
        <v>No action</v>
      </c>
    </row>
    <row r="133" spans="1:14">
      <c r="A133" s="55" t="s">
        <v>1832</v>
      </c>
      <c r="B133" s="55" t="s">
        <v>81</v>
      </c>
      <c r="C133" s="55" t="s">
        <v>214</v>
      </c>
      <c r="D133" s="56">
        <v>46050</v>
      </c>
      <c r="E133" s="56">
        <v>46065</v>
      </c>
      <c r="F133" s="57">
        <v>4681</v>
      </c>
      <c r="G133" s="57">
        <v>0</v>
      </c>
      <c r="H133" s="57">
        <f t="shared" si="6"/>
        <v>4681</v>
      </c>
      <c r="I133" s="58">
        <f>MAX(0,Mapping_Rules!$B$6-E133)</f>
        <v>0</v>
      </c>
      <c r="J133" s="59" t="str">
        <f t="shared" si="7"/>
        <v>Current</v>
      </c>
      <c r="K133" s="55" t="s">
        <v>95</v>
      </c>
      <c r="L133" s="55" t="s">
        <v>73</v>
      </c>
      <c r="M133" s="59" t="str">
        <f>IF(L133="Closed","Closed",IF(OR(H133&gt;=Mapping_Rules!$B$7,I133&gt;=Mapping_Rules!$B$8),"High Risk",IF(I133&gt;30,"Monitor","Normal")))</f>
        <v>Normal</v>
      </c>
      <c r="N133" s="59" t="str">
        <f t="shared" si="8"/>
        <v>Keep monitoring</v>
      </c>
    </row>
    <row r="134" spans="1:14">
      <c r="A134" s="23" t="s">
        <v>1833</v>
      </c>
      <c r="B134" s="23" t="s">
        <v>81</v>
      </c>
      <c r="C134" s="23" t="s">
        <v>155</v>
      </c>
      <c r="D134" s="31">
        <v>46030</v>
      </c>
      <c r="E134" s="31">
        <v>46060</v>
      </c>
      <c r="F134" s="32">
        <v>3176.45</v>
      </c>
      <c r="G134" s="32">
        <v>1010.52</v>
      </c>
      <c r="H134" s="32">
        <f t="shared" si="6"/>
        <v>2165.9299999999998</v>
      </c>
      <c r="I134" s="40">
        <f>MAX(0,Mapping_Rules!$B$6-E134)</f>
        <v>0</v>
      </c>
      <c r="J134" s="41" t="str">
        <f t="shared" si="7"/>
        <v>Current</v>
      </c>
      <c r="K134" s="23" t="s">
        <v>103</v>
      </c>
      <c r="L134" s="23" t="s">
        <v>82</v>
      </c>
      <c r="M134" s="41" t="str">
        <f>IF(L134="Closed","Closed",IF(OR(H134&gt;=Mapping_Rules!$B$7,I134&gt;=Mapping_Rules!$B$8),"High Risk",IF(I134&gt;30,"Monitor","Normal")))</f>
        <v>Normal</v>
      </c>
      <c r="N134" s="41" t="str">
        <f t="shared" si="8"/>
        <v>Keep monitoring</v>
      </c>
    </row>
    <row r="135" spans="1:14">
      <c r="A135" s="55" t="s">
        <v>1834</v>
      </c>
      <c r="B135" s="55" t="s">
        <v>81</v>
      </c>
      <c r="C135" s="55" t="s">
        <v>155</v>
      </c>
      <c r="D135" s="56">
        <v>46051</v>
      </c>
      <c r="E135" s="56">
        <v>46066</v>
      </c>
      <c r="F135" s="57">
        <v>5742.61</v>
      </c>
      <c r="G135" s="57">
        <v>5742.61</v>
      </c>
      <c r="H135" s="57">
        <f t="shared" si="6"/>
        <v>0</v>
      </c>
      <c r="I135" s="58">
        <f>MAX(0,Mapping_Rules!$B$6-E135)</f>
        <v>0</v>
      </c>
      <c r="J135" s="59" t="str">
        <f t="shared" si="7"/>
        <v>Current</v>
      </c>
      <c r="K135" s="55" t="s">
        <v>77</v>
      </c>
      <c r="L135" s="55" t="s">
        <v>104</v>
      </c>
      <c r="M135" s="59" t="str">
        <f>IF(L135="Closed","Closed",IF(OR(H135&gt;=Mapping_Rules!$B$7,I135&gt;=Mapping_Rules!$B$8),"High Risk",IF(I135&gt;30,"Monitor","Normal")))</f>
        <v>Closed</v>
      </c>
      <c r="N135" s="59" t="str">
        <f t="shared" si="8"/>
        <v>No action</v>
      </c>
    </row>
    <row r="136" spans="1:14">
      <c r="A136" s="23" t="s">
        <v>1835</v>
      </c>
      <c r="B136" s="23" t="s">
        <v>72</v>
      </c>
      <c r="C136" s="23" t="s">
        <v>133</v>
      </c>
      <c r="D136" s="31">
        <v>45969</v>
      </c>
      <c r="E136" s="31">
        <v>46014</v>
      </c>
      <c r="F136" s="32">
        <v>3130.34</v>
      </c>
      <c r="G136" s="32">
        <v>1021.53</v>
      </c>
      <c r="H136" s="32">
        <f t="shared" si="6"/>
        <v>2108.8100000000004</v>
      </c>
      <c r="I136" s="40">
        <f>MAX(0,Mapping_Rules!$B$6-E136)</f>
        <v>39</v>
      </c>
      <c r="J136" s="41" t="str">
        <f t="shared" si="7"/>
        <v>31-60</v>
      </c>
      <c r="K136" s="23" t="s">
        <v>103</v>
      </c>
      <c r="L136" s="23" t="s">
        <v>82</v>
      </c>
      <c r="M136" s="41" t="str">
        <f>IF(L136="Closed","Closed",IF(OR(H136&gt;=Mapping_Rules!$B$7,I136&gt;=Mapping_Rules!$B$8),"High Risk",IF(I136&gt;30,"Monitor","Normal")))</f>
        <v>Monitor</v>
      </c>
      <c r="N136" s="41" t="str">
        <f t="shared" si="8"/>
        <v>Send follow-up email</v>
      </c>
    </row>
    <row r="137" spans="1:14">
      <c r="A137" s="55" t="s">
        <v>1836</v>
      </c>
      <c r="B137" s="55" t="s">
        <v>81</v>
      </c>
      <c r="C137" s="55" t="s">
        <v>220</v>
      </c>
      <c r="D137" s="56">
        <v>46011</v>
      </c>
      <c r="E137" s="56">
        <v>46056</v>
      </c>
      <c r="F137" s="57">
        <v>9995.2800000000007</v>
      </c>
      <c r="G137" s="57">
        <v>9995.2800000000007</v>
      </c>
      <c r="H137" s="57">
        <f t="shared" si="6"/>
        <v>0</v>
      </c>
      <c r="I137" s="58">
        <f>MAX(0,Mapping_Rules!$B$6-E137)</f>
        <v>0</v>
      </c>
      <c r="J137" s="59" t="str">
        <f t="shared" si="7"/>
        <v>Current</v>
      </c>
      <c r="K137" s="55" t="s">
        <v>95</v>
      </c>
      <c r="L137" s="55" t="s">
        <v>104</v>
      </c>
      <c r="M137" s="59" t="str">
        <f>IF(L137="Closed","Closed",IF(OR(H137&gt;=Mapping_Rules!$B$7,I137&gt;=Mapping_Rules!$B$8),"High Risk",IF(I137&gt;30,"Monitor","Normal")))</f>
        <v>Closed</v>
      </c>
      <c r="N137" s="59" t="str">
        <f t="shared" si="8"/>
        <v>No action</v>
      </c>
    </row>
    <row r="138" spans="1:14">
      <c r="A138" s="23" t="s">
        <v>1837</v>
      </c>
      <c r="B138" s="23" t="s">
        <v>81</v>
      </c>
      <c r="C138" s="23" t="s">
        <v>220</v>
      </c>
      <c r="D138" s="31">
        <v>45999</v>
      </c>
      <c r="E138" s="31">
        <v>46059</v>
      </c>
      <c r="F138" s="32">
        <v>3582.85</v>
      </c>
      <c r="G138" s="32">
        <v>0</v>
      </c>
      <c r="H138" s="32">
        <f t="shared" si="6"/>
        <v>3582.85</v>
      </c>
      <c r="I138" s="40">
        <f>MAX(0,Mapping_Rules!$B$6-E138)</f>
        <v>0</v>
      </c>
      <c r="J138" s="41" t="str">
        <f t="shared" si="7"/>
        <v>Current</v>
      </c>
      <c r="K138" s="23" t="s">
        <v>77</v>
      </c>
      <c r="L138" s="23" t="s">
        <v>73</v>
      </c>
      <c r="M138" s="41" t="str">
        <f>IF(L138="Closed","Closed",IF(OR(H138&gt;=Mapping_Rules!$B$7,I138&gt;=Mapping_Rules!$B$8),"High Risk",IF(I138&gt;30,"Monitor","Normal")))</f>
        <v>Normal</v>
      </c>
      <c r="N138" s="41" t="str">
        <f t="shared" si="8"/>
        <v>Keep monitoring</v>
      </c>
    </row>
    <row r="139" spans="1:14">
      <c r="A139" s="55" t="s">
        <v>1838</v>
      </c>
      <c r="B139" s="55" t="s">
        <v>72</v>
      </c>
      <c r="C139" s="55" t="s">
        <v>150</v>
      </c>
      <c r="D139" s="56">
        <v>46038</v>
      </c>
      <c r="E139" s="56">
        <v>46053</v>
      </c>
      <c r="F139" s="57">
        <v>2918.3</v>
      </c>
      <c r="G139" s="57">
        <v>1306.5</v>
      </c>
      <c r="H139" s="57">
        <f t="shared" si="6"/>
        <v>1611.8000000000002</v>
      </c>
      <c r="I139" s="58">
        <f>MAX(0,Mapping_Rules!$B$6-E139)</f>
        <v>0</v>
      </c>
      <c r="J139" s="59" t="str">
        <f t="shared" si="7"/>
        <v>Current</v>
      </c>
      <c r="K139" s="55" t="s">
        <v>77</v>
      </c>
      <c r="L139" s="55" t="s">
        <v>82</v>
      </c>
      <c r="M139" s="59" t="str">
        <f>IF(L139="Closed","Closed",IF(OR(H139&gt;=Mapping_Rules!$B$7,I139&gt;=Mapping_Rules!$B$8),"High Risk",IF(I139&gt;30,"Monitor","Normal")))</f>
        <v>Normal</v>
      </c>
      <c r="N139" s="59" t="str">
        <f t="shared" si="8"/>
        <v>Keep monitoring</v>
      </c>
    </row>
    <row r="140" spans="1:14" ht="27.6">
      <c r="A140" s="23" t="s">
        <v>1839</v>
      </c>
      <c r="B140" s="23" t="s">
        <v>81</v>
      </c>
      <c r="C140" s="23" t="s">
        <v>173</v>
      </c>
      <c r="D140" s="31">
        <v>46029</v>
      </c>
      <c r="E140" s="31">
        <v>46074</v>
      </c>
      <c r="F140" s="32">
        <v>5103.51</v>
      </c>
      <c r="G140" s="32">
        <v>0</v>
      </c>
      <c r="H140" s="32">
        <f t="shared" si="6"/>
        <v>5103.51</v>
      </c>
      <c r="I140" s="40">
        <f>MAX(0,Mapping_Rules!$B$6-E140)</f>
        <v>0</v>
      </c>
      <c r="J140" s="41" t="str">
        <f t="shared" si="7"/>
        <v>Current</v>
      </c>
      <c r="K140" s="23" t="s">
        <v>86</v>
      </c>
      <c r="L140" s="23" t="s">
        <v>73</v>
      </c>
      <c r="M140" s="41" t="str">
        <f>IF(L140="Closed","Closed",IF(OR(H140&gt;=Mapping_Rules!$B$7,I140&gt;=Mapping_Rules!$B$8),"High Risk",IF(I140&gt;30,"Monitor","Normal")))</f>
        <v>High Risk</v>
      </c>
      <c r="N140" s="41" t="str">
        <f t="shared" si="8"/>
        <v>Call customer/vendor and escalate</v>
      </c>
    </row>
    <row r="141" spans="1:14" ht="27.6">
      <c r="A141" s="55" t="s">
        <v>1840</v>
      </c>
      <c r="B141" s="55" t="s">
        <v>81</v>
      </c>
      <c r="C141" s="55" t="s">
        <v>214</v>
      </c>
      <c r="D141" s="56">
        <v>46049</v>
      </c>
      <c r="E141" s="56">
        <v>46094</v>
      </c>
      <c r="F141" s="57">
        <v>5427.37</v>
      </c>
      <c r="G141" s="57">
        <v>0</v>
      </c>
      <c r="H141" s="57">
        <f t="shared" si="6"/>
        <v>5427.37</v>
      </c>
      <c r="I141" s="58">
        <f>MAX(0,Mapping_Rules!$B$6-E141)</f>
        <v>0</v>
      </c>
      <c r="J141" s="59" t="str">
        <f t="shared" si="7"/>
        <v>Current</v>
      </c>
      <c r="K141" s="55" t="s">
        <v>95</v>
      </c>
      <c r="L141" s="55" t="s">
        <v>73</v>
      </c>
      <c r="M141" s="59" t="str">
        <f>IF(L141="Closed","Closed",IF(OR(H141&gt;=Mapping_Rules!$B$7,I141&gt;=Mapping_Rules!$B$8),"High Risk",IF(I141&gt;30,"Monitor","Normal")))</f>
        <v>High Risk</v>
      </c>
      <c r="N141" s="59" t="str">
        <f t="shared" si="8"/>
        <v>Call customer/vendor and escalate</v>
      </c>
    </row>
    <row r="142" spans="1:14" ht="27.6">
      <c r="A142" s="23" t="s">
        <v>1841</v>
      </c>
      <c r="B142" s="23" t="s">
        <v>81</v>
      </c>
      <c r="C142" s="23" t="s">
        <v>155</v>
      </c>
      <c r="D142" s="31">
        <v>45994</v>
      </c>
      <c r="E142" s="31">
        <v>46054</v>
      </c>
      <c r="F142" s="32">
        <v>13372.47</v>
      </c>
      <c r="G142" s="32">
        <v>0</v>
      </c>
      <c r="H142" s="32">
        <f t="shared" si="6"/>
        <v>13372.47</v>
      </c>
      <c r="I142" s="40">
        <f>MAX(0,Mapping_Rules!$B$6-E142)</f>
        <v>0</v>
      </c>
      <c r="J142" s="41" t="str">
        <f t="shared" si="7"/>
        <v>Current</v>
      </c>
      <c r="K142" s="23" t="s">
        <v>77</v>
      </c>
      <c r="L142" s="23" t="s">
        <v>100</v>
      </c>
      <c r="M142" s="41" t="str">
        <f>IF(L142="Closed","Closed",IF(OR(H142&gt;=Mapping_Rules!$B$7,I142&gt;=Mapping_Rules!$B$8),"High Risk",IF(I142&gt;30,"Monitor","Normal")))</f>
        <v>High Risk</v>
      </c>
      <c r="N142" s="41" t="str">
        <f t="shared" si="8"/>
        <v>Call customer/vendor and escalate</v>
      </c>
    </row>
    <row r="143" spans="1:14" ht="27.6">
      <c r="A143" s="55" t="s">
        <v>1842</v>
      </c>
      <c r="B143" s="55" t="s">
        <v>72</v>
      </c>
      <c r="C143" s="55" t="s">
        <v>133</v>
      </c>
      <c r="D143" s="56">
        <v>45981</v>
      </c>
      <c r="E143" s="56">
        <v>46026</v>
      </c>
      <c r="F143" s="57">
        <v>13473.05</v>
      </c>
      <c r="G143" s="57">
        <v>2789.82</v>
      </c>
      <c r="H143" s="57">
        <f t="shared" si="6"/>
        <v>10683.23</v>
      </c>
      <c r="I143" s="58">
        <f>MAX(0,Mapping_Rules!$B$6-E143)</f>
        <v>27</v>
      </c>
      <c r="J143" s="59" t="str">
        <f t="shared" si="7"/>
        <v>1-30</v>
      </c>
      <c r="K143" s="55" t="s">
        <v>103</v>
      </c>
      <c r="L143" s="55" t="s">
        <v>82</v>
      </c>
      <c r="M143" s="59" t="str">
        <f>IF(L143="Closed","Closed",IF(OR(H143&gt;=Mapping_Rules!$B$7,I143&gt;=Mapping_Rules!$B$8),"High Risk",IF(I143&gt;30,"Monitor","Normal")))</f>
        <v>High Risk</v>
      </c>
      <c r="N143" s="59" t="str">
        <f t="shared" si="8"/>
        <v>Call customer/vendor and escalate</v>
      </c>
    </row>
    <row r="144" spans="1:14" ht="27.6">
      <c r="A144" s="23" t="s">
        <v>1843</v>
      </c>
      <c r="B144" s="23" t="s">
        <v>81</v>
      </c>
      <c r="C144" s="23" t="s">
        <v>163</v>
      </c>
      <c r="D144" s="31">
        <v>45992</v>
      </c>
      <c r="E144" s="31">
        <v>46022</v>
      </c>
      <c r="F144" s="32">
        <v>6483.01</v>
      </c>
      <c r="G144" s="32">
        <v>0</v>
      </c>
      <c r="H144" s="32">
        <f t="shared" si="6"/>
        <v>6483.01</v>
      </c>
      <c r="I144" s="40">
        <f>MAX(0,Mapping_Rules!$B$6-E144)</f>
        <v>31</v>
      </c>
      <c r="J144" s="41" t="str">
        <f t="shared" si="7"/>
        <v>31-60</v>
      </c>
      <c r="K144" s="23" t="s">
        <v>95</v>
      </c>
      <c r="L144" s="23" t="s">
        <v>73</v>
      </c>
      <c r="M144" s="41" t="str">
        <f>IF(L144="Closed","Closed",IF(OR(H144&gt;=Mapping_Rules!$B$7,I144&gt;=Mapping_Rules!$B$8),"High Risk",IF(I144&gt;30,"Monitor","Normal")))</f>
        <v>High Risk</v>
      </c>
      <c r="N144" s="41" t="str">
        <f t="shared" si="8"/>
        <v>Call customer/vendor and escalate</v>
      </c>
    </row>
    <row r="145" spans="1:14">
      <c r="A145" s="55" t="s">
        <v>1844</v>
      </c>
      <c r="B145" s="55" t="s">
        <v>72</v>
      </c>
      <c r="C145" s="55" t="s">
        <v>204</v>
      </c>
      <c r="D145" s="56">
        <v>45978</v>
      </c>
      <c r="E145" s="56">
        <v>46008</v>
      </c>
      <c r="F145" s="57">
        <v>9839.2199999999993</v>
      </c>
      <c r="G145" s="57">
        <v>5850.71</v>
      </c>
      <c r="H145" s="57">
        <f t="shared" si="6"/>
        <v>3988.5099999999993</v>
      </c>
      <c r="I145" s="58">
        <f>MAX(0,Mapping_Rules!$B$6-E145)</f>
        <v>45</v>
      </c>
      <c r="J145" s="59" t="str">
        <f t="shared" si="7"/>
        <v>31-60</v>
      </c>
      <c r="K145" s="55" t="s">
        <v>86</v>
      </c>
      <c r="L145" s="55" t="s">
        <v>82</v>
      </c>
      <c r="M145" s="59" t="str">
        <f>IF(L145="Closed","Closed",IF(OR(H145&gt;=Mapping_Rules!$B$7,I145&gt;=Mapping_Rules!$B$8),"High Risk",IF(I145&gt;30,"Monitor","Normal")))</f>
        <v>Monitor</v>
      </c>
      <c r="N145" s="59" t="str">
        <f t="shared" si="8"/>
        <v>Send follow-up email</v>
      </c>
    </row>
    <row r="146" spans="1:14">
      <c r="A146" s="23" t="s">
        <v>1845</v>
      </c>
      <c r="B146" s="23" t="s">
        <v>81</v>
      </c>
      <c r="C146" s="23" t="s">
        <v>214</v>
      </c>
      <c r="D146" s="31">
        <v>46050</v>
      </c>
      <c r="E146" s="31">
        <v>46080</v>
      </c>
      <c r="F146" s="32">
        <v>6536.45</v>
      </c>
      <c r="G146" s="32">
        <v>6536.45</v>
      </c>
      <c r="H146" s="32">
        <f t="shared" si="6"/>
        <v>0</v>
      </c>
      <c r="I146" s="40">
        <f>MAX(0,Mapping_Rules!$B$6-E146)</f>
        <v>0</v>
      </c>
      <c r="J146" s="41" t="str">
        <f t="shared" si="7"/>
        <v>Current</v>
      </c>
      <c r="K146" s="23" t="s">
        <v>86</v>
      </c>
      <c r="L146" s="23" t="s">
        <v>104</v>
      </c>
      <c r="M146" s="41" t="str">
        <f>IF(L146="Closed","Closed",IF(OR(H146&gt;=Mapping_Rules!$B$7,I146&gt;=Mapping_Rules!$B$8),"High Risk",IF(I146&gt;30,"Monitor","Normal")))</f>
        <v>Closed</v>
      </c>
      <c r="N146" s="41" t="str">
        <f t="shared" si="8"/>
        <v>No action</v>
      </c>
    </row>
    <row r="147" spans="1:14" ht="27.6">
      <c r="A147" s="55" t="s">
        <v>1846</v>
      </c>
      <c r="B147" s="55" t="s">
        <v>81</v>
      </c>
      <c r="C147" s="55" t="s">
        <v>214</v>
      </c>
      <c r="D147" s="56">
        <v>45970</v>
      </c>
      <c r="E147" s="56">
        <v>45985</v>
      </c>
      <c r="F147" s="57">
        <v>2884.41</v>
      </c>
      <c r="G147" s="57">
        <v>0</v>
      </c>
      <c r="H147" s="57">
        <f t="shared" si="6"/>
        <v>2884.41</v>
      </c>
      <c r="I147" s="58">
        <f>MAX(0,Mapping_Rules!$B$6-E147)</f>
        <v>68</v>
      </c>
      <c r="J147" s="59" t="str">
        <f t="shared" si="7"/>
        <v>61-90</v>
      </c>
      <c r="K147" s="55" t="s">
        <v>86</v>
      </c>
      <c r="L147" s="55" t="s">
        <v>100</v>
      </c>
      <c r="M147" s="59" t="str">
        <f>IF(L147="Closed","Closed",IF(OR(H147&gt;=Mapping_Rules!$B$7,I147&gt;=Mapping_Rules!$B$8),"High Risk",IF(I147&gt;30,"Monitor","Normal")))</f>
        <v>High Risk</v>
      </c>
      <c r="N147" s="59" t="str">
        <f t="shared" si="8"/>
        <v>Call customer/vendor and escalate</v>
      </c>
    </row>
    <row r="148" spans="1:14">
      <c r="A148" s="23" t="s">
        <v>1847</v>
      </c>
      <c r="B148" s="23" t="s">
        <v>81</v>
      </c>
      <c r="C148" s="23" t="s">
        <v>214</v>
      </c>
      <c r="D148" s="31">
        <v>46014</v>
      </c>
      <c r="E148" s="31">
        <v>46074</v>
      </c>
      <c r="F148" s="32">
        <v>4654.72</v>
      </c>
      <c r="G148" s="32">
        <v>0</v>
      </c>
      <c r="H148" s="32">
        <f t="shared" si="6"/>
        <v>4654.72</v>
      </c>
      <c r="I148" s="40">
        <f>MAX(0,Mapping_Rules!$B$6-E148)</f>
        <v>0</v>
      </c>
      <c r="J148" s="41" t="str">
        <f t="shared" si="7"/>
        <v>Current</v>
      </c>
      <c r="K148" s="23" t="s">
        <v>95</v>
      </c>
      <c r="L148" s="23" t="s">
        <v>91</v>
      </c>
      <c r="M148" s="41" t="str">
        <f>IF(L148="Closed","Closed",IF(OR(H148&gt;=Mapping_Rules!$B$7,I148&gt;=Mapping_Rules!$B$8),"High Risk",IF(I148&gt;30,"Monitor","Normal")))</f>
        <v>Normal</v>
      </c>
      <c r="N148" s="41" t="str">
        <f t="shared" si="8"/>
        <v>Keep monitoring</v>
      </c>
    </row>
    <row r="149" spans="1:14">
      <c r="A149" s="55" t="s">
        <v>1848</v>
      </c>
      <c r="B149" s="55" t="s">
        <v>81</v>
      </c>
      <c r="C149" s="55" t="s">
        <v>173</v>
      </c>
      <c r="D149" s="56">
        <v>45975</v>
      </c>
      <c r="E149" s="56">
        <v>46005</v>
      </c>
      <c r="F149" s="57">
        <v>2893.49</v>
      </c>
      <c r="G149" s="57">
        <v>0</v>
      </c>
      <c r="H149" s="57">
        <f t="shared" si="6"/>
        <v>2893.49</v>
      </c>
      <c r="I149" s="58">
        <f>MAX(0,Mapping_Rules!$B$6-E149)</f>
        <v>48</v>
      </c>
      <c r="J149" s="59" t="str">
        <f t="shared" si="7"/>
        <v>31-60</v>
      </c>
      <c r="K149" s="55" t="s">
        <v>95</v>
      </c>
      <c r="L149" s="55" t="s">
        <v>91</v>
      </c>
      <c r="M149" s="59" t="str">
        <f>IF(L149="Closed","Closed",IF(OR(H149&gt;=Mapping_Rules!$B$7,I149&gt;=Mapping_Rules!$B$8),"High Risk",IF(I149&gt;30,"Monitor","Normal")))</f>
        <v>Monitor</v>
      </c>
      <c r="N149" s="59" t="str">
        <f t="shared" si="8"/>
        <v>Send follow-up email</v>
      </c>
    </row>
    <row r="150" spans="1:14" ht="27.6">
      <c r="A150" s="23" t="s">
        <v>1849</v>
      </c>
      <c r="B150" s="23" t="s">
        <v>81</v>
      </c>
      <c r="C150" s="23" t="s">
        <v>167</v>
      </c>
      <c r="D150" s="31">
        <v>45991</v>
      </c>
      <c r="E150" s="31">
        <v>46021</v>
      </c>
      <c r="F150" s="32">
        <v>10357.56</v>
      </c>
      <c r="G150" s="32">
        <v>0</v>
      </c>
      <c r="H150" s="32">
        <f t="shared" si="6"/>
        <v>10357.56</v>
      </c>
      <c r="I150" s="40">
        <f>MAX(0,Mapping_Rules!$B$6-E150)</f>
        <v>32</v>
      </c>
      <c r="J150" s="41" t="str">
        <f t="shared" si="7"/>
        <v>31-60</v>
      </c>
      <c r="K150" s="23" t="s">
        <v>103</v>
      </c>
      <c r="L150" s="23" t="s">
        <v>73</v>
      </c>
      <c r="M150" s="41" t="str">
        <f>IF(L150="Closed","Closed",IF(OR(H150&gt;=Mapping_Rules!$B$7,I150&gt;=Mapping_Rules!$B$8),"High Risk",IF(I150&gt;30,"Monitor","Normal")))</f>
        <v>High Risk</v>
      </c>
      <c r="N150" s="41" t="str">
        <f t="shared" si="8"/>
        <v>Call customer/vendor and escalate</v>
      </c>
    </row>
    <row r="151" spans="1:14" ht="27.6">
      <c r="A151" s="55" t="s">
        <v>1850</v>
      </c>
      <c r="B151" s="55" t="s">
        <v>81</v>
      </c>
      <c r="C151" s="55" t="s">
        <v>167</v>
      </c>
      <c r="D151" s="56">
        <v>46039</v>
      </c>
      <c r="E151" s="56">
        <v>46099</v>
      </c>
      <c r="F151" s="57">
        <v>10723.48</v>
      </c>
      <c r="G151" s="57">
        <v>0</v>
      </c>
      <c r="H151" s="57">
        <f t="shared" si="6"/>
        <v>10723.48</v>
      </c>
      <c r="I151" s="58">
        <f>MAX(0,Mapping_Rules!$B$6-E151)</f>
        <v>0</v>
      </c>
      <c r="J151" s="59" t="str">
        <f t="shared" si="7"/>
        <v>Current</v>
      </c>
      <c r="K151" s="55" t="s">
        <v>103</v>
      </c>
      <c r="L151" s="55" t="s">
        <v>73</v>
      </c>
      <c r="M151" s="59" t="str">
        <f>IF(L151="Closed","Closed",IF(OR(H151&gt;=Mapping_Rules!$B$7,I151&gt;=Mapping_Rules!$B$8),"High Risk",IF(I151&gt;30,"Monitor","Normal")))</f>
        <v>High Risk</v>
      </c>
      <c r="N151" s="59" t="str">
        <f t="shared" si="8"/>
        <v>Call customer/vendor and escalate</v>
      </c>
    </row>
    <row r="152" spans="1:14">
      <c r="A152" s="23" t="s">
        <v>1851</v>
      </c>
      <c r="B152" s="23" t="s">
        <v>72</v>
      </c>
      <c r="C152" s="23" t="s">
        <v>150</v>
      </c>
      <c r="D152" s="31">
        <v>45979</v>
      </c>
      <c r="E152" s="31">
        <v>46009</v>
      </c>
      <c r="F152" s="32">
        <v>3019.91</v>
      </c>
      <c r="G152" s="32">
        <v>0</v>
      </c>
      <c r="H152" s="32">
        <f t="shared" si="6"/>
        <v>3019.91</v>
      </c>
      <c r="I152" s="40">
        <f>MAX(0,Mapping_Rules!$B$6-E152)</f>
        <v>44</v>
      </c>
      <c r="J152" s="41" t="str">
        <f t="shared" si="7"/>
        <v>31-60</v>
      </c>
      <c r="K152" s="23" t="s">
        <v>77</v>
      </c>
      <c r="L152" s="23" t="s">
        <v>73</v>
      </c>
      <c r="M152" s="41" t="str">
        <f>IF(L152="Closed","Closed",IF(OR(H152&gt;=Mapping_Rules!$B$7,I152&gt;=Mapping_Rules!$B$8),"High Risk",IF(I152&gt;30,"Monitor","Normal")))</f>
        <v>Monitor</v>
      </c>
      <c r="N152" s="41" t="str">
        <f t="shared" si="8"/>
        <v>Send follow-up email</v>
      </c>
    </row>
    <row r="153" spans="1:14" ht="27.6">
      <c r="A153" s="55" t="s">
        <v>1852</v>
      </c>
      <c r="B153" s="55" t="s">
        <v>72</v>
      </c>
      <c r="C153" s="55" t="s">
        <v>150</v>
      </c>
      <c r="D153" s="56">
        <v>45990</v>
      </c>
      <c r="E153" s="56">
        <v>46020</v>
      </c>
      <c r="F153" s="57">
        <v>11402.98</v>
      </c>
      <c r="G153" s="57">
        <v>0</v>
      </c>
      <c r="H153" s="57">
        <f t="shared" si="6"/>
        <v>11402.98</v>
      </c>
      <c r="I153" s="58">
        <f>MAX(0,Mapping_Rules!$B$6-E153)</f>
        <v>33</v>
      </c>
      <c r="J153" s="59" t="str">
        <f t="shared" si="7"/>
        <v>31-60</v>
      </c>
      <c r="K153" s="55" t="s">
        <v>103</v>
      </c>
      <c r="L153" s="55" t="s">
        <v>73</v>
      </c>
      <c r="M153" s="59" t="str">
        <f>IF(L153="Closed","Closed",IF(OR(H153&gt;=Mapping_Rules!$B$7,I153&gt;=Mapping_Rules!$B$8),"High Risk",IF(I153&gt;30,"Monitor","Normal")))</f>
        <v>High Risk</v>
      </c>
      <c r="N153" s="59" t="str">
        <f t="shared" si="8"/>
        <v>Call customer/vendor and escalate</v>
      </c>
    </row>
    <row r="154" spans="1:14" ht="27.6">
      <c r="A154" s="23" t="s">
        <v>1853</v>
      </c>
      <c r="B154" s="23" t="s">
        <v>72</v>
      </c>
      <c r="C154" s="23" t="s">
        <v>126</v>
      </c>
      <c r="D154" s="31">
        <v>46003</v>
      </c>
      <c r="E154" s="31">
        <v>46063</v>
      </c>
      <c r="F154" s="32">
        <v>13330.67</v>
      </c>
      <c r="G154" s="32">
        <v>0</v>
      </c>
      <c r="H154" s="32">
        <f t="shared" si="6"/>
        <v>13330.67</v>
      </c>
      <c r="I154" s="40">
        <f>MAX(0,Mapping_Rules!$B$6-E154)</f>
        <v>0</v>
      </c>
      <c r="J154" s="41" t="str">
        <f t="shared" si="7"/>
        <v>Current</v>
      </c>
      <c r="K154" s="23" t="s">
        <v>77</v>
      </c>
      <c r="L154" s="23" t="s">
        <v>73</v>
      </c>
      <c r="M154" s="41" t="str">
        <f>IF(L154="Closed","Closed",IF(OR(H154&gt;=Mapping_Rules!$B$7,I154&gt;=Mapping_Rules!$B$8),"High Risk",IF(I154&gt;30,"Monitor","Normal")))</f>
        <v>High Risk</v>
      </c>
      <c r="N154" s="41" t="str">
        <f t="shared" si="8"/>
        <v>Call customer/vendor and escalate</v>
      </c>
    </row>
    <row r="155" spans="1:14" ht="27.6">
      <c r="A155" s="55" t="s">
        <v>1854</v>
      </c>
      <c r="B155" s="55" t="s">
        <v>72</v>
      </c>
      <c r="C155" s="55" t="s">
        <v>126</v>
      </c>
      <c r="D155" s="56">
        <v>46002</v>
      </c>
      <c r="E155" s="56">
        <v>46062</v>
      </c>
      <c r="F155" s="57">
        <v>9230.85</v>
      </c>
      <c r="G155" s="57">
        <v>0</v>
      </c>
      <c r="H155" s="57">
        <f t="shared" si="6"/>
        <v>9230.85</v>
      </c>
      <c r="I155" s="58">
        <f>MAX(0,Mapping_Rules!$B$6-E155)</f>
        <v>0</v>
      </c>
      <c r="J155" s="59" t="str">
        <f t="shared" si="7"/>
        <v>Current</v>
      </c>
      <c r="K155" s="55" t="s">
        <v>77</v>
      </c>
      <c r="L155" s="55" t="s">
        <v>91</v>
      </c>
      <c r="M155" s="59" t="str">
        <f>IF(L155="Closed","Closed",IF(OR(H155&gt;=Mapping_Rules!$B$7,I155&gt;=Mapping_Rules!$B$8),"High Risk",IF(I155&gt;30,"Monitor","Normal")))</f>
        <v>High Risk</v>
      </c>
      <c r="N155" s="59" t="str">
        <f t="shared" si="8"/>
        <v>Call customer/vendor and escalate</v>
      </c>
    </row>
    <row r="156" spans="1:14" ht="27.6">
      <c r="A156" s="23" t="s">
        <v>1855</v>
      </c>
      <c r="B156" s="23" t="s">
        <v>81</v>
      </c>
      <c r="C156" s="23" t="s">
        <v>163</v>
      </c>
      <c r="D156" s="31">
        <v>46020</v>
      </c>
      <c r="E156" s="31">
        <v>46035</v>
      </c>
      <c r="F156" s="32">
        <v>13185.03</v>
      </c>
      <c r="G156" s="32">
        <v>0</v>
      </c>
      <c r="H156" s="32">
        <f t="shared" si="6"/>
        <v>13185.03</v>
      </c>
      <c r="I156" s="40">
        <f>MAX(0,Mapping_Rules!$B$6-E156)</f>
        <v>18</v>
      </c>
      <c r="J156" s="41" t="str">
        <f t="shared" si="7"/>
        <v>1-30</v>
      </c>
      <c r="K156" s="23" t="s">
        <v>103</v>
      </c>
      <c r="L156" s="23" t="s">
        <v>73</v>
      </c>
      <c r="M156" s="41" t="str">
        <f>IF(L156="Closed","Closed",IF(OR(H156&gt;=Mapping_Rules!$B$7,I156&gt;=Mapping_Rules!$B$8),"High Risk",IF(I156&gt;30,"Monitor","Normal")))</f>
        <v>High Risk</v>
      </c>
      <c r="N156" s="41" t="str">
        <f t="shared" si="8"/>
        <v>Call customer/vendor and escalate</v>
      </c>
    </row>
    <row r="157" spans="1:14">
      <c r="A157" s="55" t="s">
        <v>1856</v>
      </c>
      <c r="B157" s="55" t="s">
        <v>81</v>
      </c>
      <c r="C157" s="55" t="s">
        <v>167</v>
      </c>
      <c r="D157" s="56">
        <v>46011</v>
      </c>
      <c r="E157" s="56">
        <v>46026</v>
      </c>
      <c r="F157" s="57">
        <v>2969.28</v>
      </c>
      <c r="G157" s="57">
        <v>0</v>
      </c>
      <c r="H157" s="57">
        <f t="shared" si="6"/>
        <v>2969.28</v>
      </c>
      <c r="I157" s="58">
        <f>MAX(0,Mapping_Rules!$B$6-E157)</f>
        <v>27</v>
      </c>
      <c r="J157" s="59" t="str">
        <f t="shared" si="7"/>
        <v>1-30</v>
      </c>
      <c r="K157" s="55" t="s">
        <v>95</v>
      </c>
      <c r="L157" s="55" t="s">
        <v>73</v>
      </c>
      <c r="M157" s="59" t="str">
        <f>IF(L157="Closed","Closed",IF(OR(H157&gt;=Mapping_Rules!$B$7,I157&gt;=Mapping_Rules!$B$8),"High Risk",IF(I157&gt;30,"Monitor","Normal")))</f>
        <v>Normal</v>
      </c>
      <c r="N157" s="59" t="str">
        <f t="shared" si="8"/>
        <v>Keep monitoring</v>
      </c>
    </row>
    <row r="158" spans="1:14">
      <c r="A158" s="23" t="s">
        <v>1857</v>
      </c>
      <c r="B158" s="23" t="s">
        <v>72</v>
      </c>
      <c r="C158" s="23" t="s">
        <v>150</v>
      </c>
      <c r="D158" s="31">
        <v>45983</v>
      </c>
      <c r="E158" s="31">
        <v>46043</v>
      </c>
      <c r="F158" s="32">
        <v>4522.13</v>
      </c>
      <c r="G158" s="32">
        <v>4522.13</v>
      </c>
      <c r="H158" s="32">
        <f t="shared" si="6"/>
        <v>0</v>
      </c>
      <c r="I158" s="40">
        <f>MAX(0,Mapping_Rules!$B$6-E158)</f>
        <v>10</v>
      </c>
      <c r="J158" s="41" t="str">
        <f t="shared" si="7"/>
        <v>1-30</v>
      </c>
      <c r="K158" s="23" t="s">
        <v>86</v>
      </c>
      <c r="L158" s="23" t="s">
        <v>104</v>
      </c>
      <c r="M158" s="41" t="str">
        <f>IF(L158="Closed","Closed",IF(OR(H158&gt;=Mapping_Rules!$B$7,I158&gt;=Mapping_Rules!$B$8),"High Risk",IF(I158&gt;30,"Monitor","Normal")))</f>
        <v>Closed</v>
      </c>
      <c r="N158" s="41" t="str">
        <f t="shared" si="8"/>
        <v>No action</v>
      </c>
    </row>
    <row r="159" spans="1:14">
      <c r="A159" s="55" t="s">
        <v>1858</v>
      </c>
      <c r="B159" s="55" t="s">
        <v>72</v>
      </c>
      <c r="C159" s="55" t="s">
        <v>139</v>
      </c>
      <c r="D159" s="56">
        <v>46044</v>
      </c>
      <c r="E159" s="56">
        <v>46104</v>
      </c>
      <c r="F159" s="57">
        <v>1493.05</v>
      </c>
      <c r="G159" s="57">
        <v>398.42</v>
      </c>
      <c r="H159" s="57">
        <f t="shared" si="6"/>
        <v>1094.6299999999999</v>
      </c>
      <c r="I159" s="58">
        <f>MAX(0,Mapping_Rules!$B$6-E159)</f>
        <v>0</v>
      </c>
      <c r="J159" s="59" t="str">
        <f t="shared" si="7"/>
        <v>Current</v>
      </c>
      <c r="K159" s="55" t="s">
        <v>86</v>
      </c>
      <c r="L159" s="55" t="s">
        <v>82</v>
      </c>
      <c r="M159" s="59" t="str">
        <f>IF(L159="Closed","Closed",IF(OR(H159&gt;=Mapping_Rules!$B$7,I159&gt;=Mapping_Rules!$B$8),"High Risk",IF(I159&gt;30,"Monitor","Normal")))</f>
        <v>Normal</v>
      </c>
      <c r="N159" s="59" t="str">
        <f t="shared" si="8"/>
        <v>Keep monitoring</v>
      </c>
    </row>
    <row r="160" spans="1:14">
      <c r="A160" s="23" t="s">
        <v>1859</v>
      </c>
      <c r="B160" s="23" t="s">
        <v>72</v>
      </c>
      <c r="C160" s="23" t="s">
        <v>150</v>
      </c>
      <c r="D160" s="31">
        <v>46003</v>
      </c>
      <c r="E160" s="31">
        <v>46063</v>
      </c>
      <c r="F160" s="32">
        <v>519.94000000000005</v>
      </c>
      <c r="G160" s="32">
        <v>0</v>
      </c>
      <c r="H160" s="32">
        <f t="shared" si="6"/>
        <v>519.94000000000005</v>
      </c>
      <c r="I160" s="40">
        <f>MAX(0,Mapping_Rules!$B$6-E160)</f>
        <v>0</v>
      </c>
      <c r="J160" s="41" t="str">
        <f t="shared" si="7"/>
        <v>Current</v>
      </c>
      <c r="K160" s="23" t="s">
        <v>86</v>
      </c>
      <c r="L160" s="23" t="s">
        <v>73</v>
      </c>
      <c r="M160" s="41" t="str">
        <f>IF(L160="Closed","Closed",IF(OR(H160&gt;=Mapping_Rules!$B$7,I160&gt;=Mapping_Rules!$B$8),"High Risk",IF(I160&gt;30,"Monitor","Normal")))</f>
        <v>Normal</v>
      </c>
      <c r="N160" s="41" t="str">
        <f t="shared" si="8"/>
        <v>Keep monitoring</v>
      </c>
    </row>
    <row r="161" spans="1:14">
      <c r="A161" s="55" t="s">
        <v>1860</v>
      </c>
      <c r="B161" s="55" t="s">
        <v>72</v>
      </c>
      <c r="C161" s="55" t="s">
        <v>144</v>
      </c>
      <c r="D161" s="56">
        <v>45994</v>
      </c>
      <c r="E161" s="56">
        <v>46039</v>
      </c>
      <c r="F161" s="57">
        <v>10422</v>
      </c>
      <c r="G161" s="57">
        <v>10422</v>
      </c>
      <c r="H161" s="57">
        <f t="shared" si="6"/>
        <v>0</v>
      </c>
      <c r="I161" s="58">
        <f>MAX(0,Mapping_Rules!$B$6-E161)</f>
        <v>14</v>
      </c>
      <c r="J161" s="59" t="str">
        <f t="shared" si="7"/>
        <v>1-30</v>
      </c>
      <c r="K161" s="55" t="s">
        <v>86</v>
      </c>
      <c r="L161" s="55" t="s">
        <v>104</v>
      </c>
      <c r="M161" s="59" t="str">
        <f>IF(L161="Closed","Closed",IF(OR(H161&gt;=Mapping_Rules!$B$7,I161&gt;=Mapping_Rules!$B$8),"High Risk",IF(I161&gt;30,"Monitor","Normal")))</f>
        <v>Closed</v>
      </c>
      <c r="N161" s="59" t="str">
        <f t="shared" si="8"/>
        <v>No action</v>
      </c>
    </row>
    <row r="162" spans="1:14" ht="27.6">
      <c r="A162" s="23" t="s">
        <v>1861</v>
      </c>
      <c r="B162" s="23" t="s">
        <v>81</v>
      </c>
      <c r="C162" s="23" t="s">
        <v>220</v>
      </c>
      <c r="D162" s="31">
        <v>45976</v>
      </c>
      <c r="E162" s="31">
        <v>46036</v>
      </c>
      <c r="F162" s="32">
        <v>9565.98</v>
      </c>
      <c r="G162" s="32">
        <v>0</v>
      </c>
      <c r="H162" s="32">
        <f t="shared" si="6"/>
        <v>9565.98</v>
      </c>
      <c r="I162" s="40">
        <f>MAX(0,Mapping_Rules!$B$6-E162)</f>
        <v>17</v>
      </c>
      <c r="J162" s="41" t="str">
        <f t="shared" si="7"/>
        <v>1-30</v>
      </c>
      <c r="K162" s="23" t="s">
        <v>103</v>
      </c>
      <c r="L162" s="23" t="s">
        <v>73</v>
      </c>
      <c r="M162" s="41" t="str">
        <f>IF(L162="Closed","Closed",IF(OR(H162&gt;=Mapping_Rules!$B$7,I162&gt;=Mapping_Rules!$B$8),"High Risk",IF(I162&gt;30,"Monitor","Normal")))</f>
        <v>High Risk</v>
      </c>
      <c r="N162" s="41" t="str">
        <f t="shared" si="8"/>
        <v>Call customer/vendor and escalate</v>
      </c>
    </row>
    <row r="163" spans="1:14">
      <c r="A163" s="55" t="s">
        <v>1862</v>
      </c>
      <c r="B163" s="55" t="s">
        <v>81</v>
      </c>
      <c r="C163" s="55" t="s">
        <v>163</v>
      </c>
      <c r="D163" s="56">
        <v>46032</v>
      </c>
      <c r="E163" s="56">
        <v>46092</v>
      </c>
      <c r="F163" s="57">
        <v>802.01</v>
      </c>
      <c r="G163" s="57">
        <v>0</v>
      </c>
      <c r="H163" s="57">
        <f t="shared" si="6"/>
        <v>802.01</v>
      </c>
      <c r="I163" s="58">
        <f>MAX(0,Mapping_Rules!$B$6-E163)</f>
        <v>0</v>
      </c>
      <c r="J163" s="59" t="str">
        <f t="shared" si="7"/>
        <v>Current</v>
      </c>
      <c r="K163" s="55" t="s">
        <v>95</v>
      </c>
      <c r="L163" s="55" t="s">
        <v>73</v>
      </c>
      <c r="M163" s="59" t="str">
        <f>IF(L163="Closed","Closed",IF(OR(H163&gt;=Mapping_Rules!$B$7,I163&gt;=Mapping_Rules!$B$8),"High Risk",IF(I163&gt;30,"Monitor","Normal")))</f>
        <v>Normal</v>
      </c>
      <c r="N163" s="59" t="str">
        <f t="shared" si="8"/>
        <v>Keep monitoring</v>
      </c>
    </row>
    <row r="164" spans="1:14" ht="27.6">
      <c r="A164" s="23" t="s">
        <v>1863</v>
      </c>
      <c r="B164" s="23" t="s">
        <v>81</v>
      </c>
      <c r="C164" s="23" t="s">
        <v>173</v>
      </c>
      <c r="D164" s="31">
        <v>45980</v>
      </c>
      <c r="E164" s="31">
        <v>46010</v>
      </c>
      <c r="F164" s="32">
        <v>11571.98</v>
      </c>
      <c r="G164" s="32">
        <v>0</v>
      </c>
      <c r="H164" s="32">
        <f t="shared" si="6"/>
        <v>11571.98</v>
      </c>
      <c r="I164" s="40">
        <f>MAX(0,Mapping_Rules!$B$6-E164)</f>
        <v>43</v>
      </c>
      <c r="J164" s="41" t="str">
        <f t="shared" si="7"/>
        <v>31-60</v>
      </c>
      <c r="K164" s="23" t="s">
        <v>95</v>
      </c>
      <c r="L164" s="23" t="s">
        <v>73</v>
      </c>
      <c r="M164" s="41" t="str">
        <f>IF(L164="Closed","Closed",IF(OR(H164&gt;=Mapping_Rules!$B$7,I164&gt;=Mapping_Rules!$B$8),"High Risk",IF(I164&gt;30,"Monitor","Normal")))</f>
        <v>High Risk</v>
      </c>
      <c r="N164" s="41" t="str">
        <f t="shared" si="8"/>
        <v>Call customer/vendor and escalate</v>
      </c>
    </row>
    <row r="165" spans="1:14" ht="27.6">
      <c r="A165" s="55" t="s">
        <v>1864</v>
      </c>
      <c r="B165" s="55" t="s">
        <v>72</v>
      </c>
      <c r="C165" s="55" t="s">
        <v>126</v>
      </c>
      <c r="D165" s="56">
        <v>46019</v>
      </c>
      <c r="E165" s="56">
        <v>46064</v>
      </c>
      <c r="F165" s="57">
        <v>9452.82</v>
      </c>
      <c r="G165" s="57">
        <v>0</v>
      </c>
      <c r="H165" s="57">
        <f t="shared" si="6"/>
        <v>9452.82</v>
      </c>
      <c r="I165" s="58">
        <f>MAX(0,Mapping_Rules!$B$6-E165)</f>
        <v>0</v>
      </c>
      <c r="J165" s="59" t="str">
        <f t="shared" si="7"/>
        <v>Current</v>
      </c>
      <c r="K165" s="55" t="s">
        <v>86</v>
      </c>
      <c r="L165" s="55" t="s">
        <v>73</v>
      </c>
      <c r="M165" s="59" t="str">
        <f>IF(L165="Closed","Closed",IF(OR(H165&gt;=Mapping_Rules!$B$7,I165&gt;=Mapping_Rules!$B$8),"High Risk",IF(I165&gt;30,"Monitor","Normal")))</f>
        <v>High Risk</v>
      </c>
      <c r="N165" s="59" t="str">
        <f t="shared" si="8"/>
        <v>Call customer/vendor and escalate</v>
      </c>
    </row>
    <row r="166" spans="1:14">
      <c r="A166" s="23" t="s">
        <v>1865</v>
      </c>
      <c r="B166" s="23" t="s">
        <v>81</v>
      </c>
      <c r="C166" s="23" t="s">
        <v>220</v>
      </c>
      <c r="D166" s="31">
        <v>46041</v>
      </c>
      <c r="E166" s="31">
        <v>46086</v>
      </c>
      <c r="F166" s="32">
        <v>331.29</v>
      </c>
      <c r="G166" s="32">
        <v>0</v>
      </c>
      <c r="H166" s="32">
        <f t="shared" si="6"/>
        <v>331.29</v>
      </c>
      <c r="I166" s="40">
        <f>MAX(0,Mapping_Rules!$B$6-E166)</f>
        <v>0</v>
      </c>
      <c r="J166" s="41" t="str">
        <f t="shared" si="7"/>
        <v>Current</v>
      </c>
      <c r="K166" s="23" t="s">
        <v>103</v>
      </c>
      <c r="L166" s="23" t="s">
        <v>73</v>
      </c>
      <c r="M166" s="41" t="str">
        <f>IF(L166="Closed","Closed",IF(OR(H166&gt;=Mapping_Rules!$B$7,I166&gt;=Mapping_Rules!$B$8),"High Risk",IF(I166&gt;30,"Monitor","Normal")))</f>
        <v>Normal</v>
      </c>
      <c r="N166" s="41" t="str">
        <f t="shared" si="8"/>
        <v>Keep monitoring</v>
      </c>
    </row>
    <row r="167" spans="1:14">
      <c r="A167" s="55" t="s">
        <v>1866</v>
      </c>
      <c r="B167" s="55" t="s">
        <v>81</v>
      </c>
      <c r="C167" s="55" t="s">
        <v>167</v>
      </c>
      <c r="D167" s="56">
        <v>46025</v>
      </c>
      <c r="E167" s="56">
        <v>46055</v>
      </c>
      <c r="F167" s="57">
        <v>3370.58</v>
      </c>
      <c r="G167" s="57">
        <v>1499.67</v>
      </c>
      <c r="H167" s="57">
        <f t="shared" si="6"/>
        <v>1870.9099999999999</v>
      </c>
      <c r="I167" s="58">
        <f>MAX(0,Mapping_Rules!$B$6-E167)</f>
        <v>0</v>
      </c>
      <c r="J167" s="59" t="str">
        <f t="shared" si="7"/>
        <v>Current</v>
      </c>
      <c r="K167" s="55" t="s">
        <v>103</v>
      </c>
      <c r="L167" s="55" t="s">
        <v>82</v>
      </c>
      <c r="M167" s="59" t="str">
        <f>IF(L167="Closed","Closed",IF(OR(H167&gt;=Mapping_Rules!$B$7,I167&gt;=Mapping_Rules!$B$8),"High Risk",IF(I167&gt;30,"Monitor","Normal")))</f>
        <v>Normal</v>
      </c>
      <c r="N167" s="59" t="str">
        <f t="shared" si="8"/>
        <v>Keep monitoring</v>
      </c>
    </row>
    <row r="168" spans="1:14">
      <c r="A168" s="23" t="s">
        <v>1867</v>
      </c>
      <c r="B168" s="23" t="s">
        <v>81</v>
      </c>
      <c r="C168" s="23" t="s">
        <v>167</v>
      </c>
      <c r="D168" s="31">
        <v>46038</v>
      </c>
      <c r="E168" s="31">
        <v>46053</v>
      </c>
      <c r="F168" s="32">
        <v>3783.99</v>
      </c>
      <c r="G168" s="32">
        <v>2091.9699999999998</v>
      </c>
      <c r="H168" s="32">
        <f t="shared" si="6"/>
        <v>1692.02</v>
      </c>
      <c r="I168" s="40">
        <f>MAX(0,Mapping_Rules!$B$6-E168)</f>
        <v>0</v>
      </c>
      <c r="J168" s="41" t="str">
        <f t="shared" si="7"/>
        <v>Current</v>
      </c>
      <c r="K168" s="23" t="s">
        <v>86</v>
      </c>
      <c r="L168" s="23" t="s">
        <v>82</v>
      </c>
      <c r="M168" s="41" t="str">
        <f>IF(L168="Closed","Closed",IF(OR(H168&gt;=Mapping_Rules!$B$7,I168&gt;=Mapping_Rules!$B$8),"High Risk",IF(I168&gt;30,"Monitor","Normal")))</f>
        <v>Normal</v>
      </c>
      <c r="N168" s="41" t="str">
        <f t="shared" si="8"/>
        <v>Keep monitoring</v>
      </c>
    </row>
    <row r="169" spans="1:14" ht="27.6">
      <c r="A169" s="55" t="s">
        <v>1868</v>
      </c>
      <c r="B169" s="55" t="s">
        <v>81</v>
      </c>
      <c r="C169" s="55" t="s">
        <v>173</v>
      </c>
      <c r="D169" s="56">
        <v>45980</v>
      </c>
      <c r="E169" s="56">
        <v>45995</v>
      </c>
      <c r="F169" s="57">
        <v>9851.16</v>
      </c>
      <c r="G169" s="57">
        <v>0</v>
      </c>
      <c r="H169" s="57">
        <f t="shared" si="6"/>
        <v>9851.16</v>
      </c>
      <c r="I169" s="58">
        <f>MAX(0,Mapping_Rules!$B$6-E169)</f>
        <v>58</v>
      </c>
      <c r="J169" s="59" t="str">
        <f t="shared" si="7"/>
        <v>31-60</v>
      </c>
      <c r="K169" s="55" t="s">
        <v>77</v>
      </c>
      <c r="L169" s="55" t="s">
        <v>73</v>
      </c>
      <c r="M169" s="59" t="str">
        <f>IF(L169="Closed","Closed",IF(OR(H169&gt;=Mapping_Rules!$B$7,I169&gt;=Mapping_Rules!$B$8),"High Risk",IF(I169&gt;30,"Monitor","Normal")))</f>
        <v>High Risk</v>
      </c>
      <c r="N169" s="59" t="str">
        <f t="shared" si="8"/>
        <v>Call customer/vendor and escalate</v>
      </c>
    </row>
    <row r="170" spans="1:14">
      <c r="A170" s="23" t="s">
        <v>1869</v>
      </c>
      <c r="B170" s="23" t="s">
        <v>72</v>
      </c>
      <c r="C170" s="23" t="s">
        <v>208</v>
      </c>
      <c r="D170" s="31">
        <v>45973</v>
      </c>
      <c r="E170" s="31">
        <v>45988</v>
      </c>
      <c r="F170" s="32">
        <v>1766.98</v>
      </c>
      <c r="G170" s="32">
        <v>1766.98</v>
      </c>
      <c r="H170" s="32">
        <f t="shared" si="6"/>
        <v>0</v>
      </c>
      <c r="I170" s="40">
        <f>MAX(0,Mapping_Rules!$B$6-E170)</f>
        <v>65</v>
      </c>
      <c r="J170" s="41" t="str">
        <f t="shared" si="7"/>
        <v>61-90</v>
      </c>
      <c r="K170" s="23" t="s">
        <v>86</v>
      </c>
      <c r="L170" s="23" t="s">
        <v>104</v>
      </c>
      <c r="M170" s="41" t="str">
        <f>IF(L170="Closed","Closed",IF(OR(H170&gt;=Mapping_Rules!$B$7,I170&gt;=Mapping_Rules!$B$8),"High Risk",IF(I170&gt;30,"Monitor","Normal")))</f>
        <v>Closed</v>
      </c>
      <c r="N170" s="41" t="str">
        <f t="shared" si="8"/>
        <v>No action</v>
      </c>
    </row>
    <row r="171" spans="1:14" ht="27.6">
      <c r="A171" s="55" t="s">
        <v>1870</v>
      </c>
      <c r="B171" s="55" t="s">
        <v>72</v>
      </c>
      <c r="C171" s="55" t="s">
        <v>204</v>
      </c>
      <c r="D171" s="56">
        <v>46046</v>
      </c>
      <c r="E171" s="56">
        <v>46076</v>
      </c>
      <c r="F171" s="57">
        <v>14499.45</v>
      </c>
      <c r="G171" s="57">
        <v>0</v>
      </c>
      <c r="H171" s="57">
        <f t="shared" si="6"/>
        <v>14499.45</v>
      </c>
      <c r="I171" s="58">
        <f>MAX(0,Mapping_Rules!$B$6-E171)</f>
        <v>0</v>
      </c>
      <c r="J171" s="59" t="str">
        <f t="shared" si="7"/>
        <v>Current</v>
      </c>
      <c r="K171" s="55" t="s">
        <v>95</v>
      </c>
      <c r="L171" s="55" t="s">
        <v>91</v>
      </c>
      <c r="M171" s="59" t="str">
        <f>IF(L171="Closed","Closed",IF(OR(H171&gt;=Mapping_Rules!$B$7,I171&gt;=Mapping_Rules!$B$8),"High Risk",IF(I171&gt;30,"Monitor","Normal")))</f>
        <v>High Risk</v>
      </c>
      <c r="N171" s="59" t="str">
        <f t="shared" si="8"/>
        <v>Call customer/vendor and escalate</v>
      </c>
    </row>
    <row r="172" spans="1:14" ht="27.6">
      <c r="A172" s="23" t="s">
        <v>1871</v>
      </c>
      <c r="B172" s="23" t="s">
        <v>81</v>
      </c>
      <c r="C172" s="23" t="s">
        <v>220</v>
      </c>
      <c r="D172" s="31">
        <v>46000</v>
      </c>
      <c r="E172" s="31">
        <v>46045</v>
      </c>
      <c r="F172" s="32">
        <v>5623.26</v>
      </c>
      <c r="G172" s="32">
        <v>0</v>
      </c>
      <c r="H172" s="32">
        <f t="shared" si="6"/>
        <v>5623.26</v>
      </c>
      <c r="I172" s="40">
        <f>MAX(0,Mapping_Rules!$B$6-E172)</f>
        <v>8</v>
      </c>
      <c r="J172" s="41" t="str">
        <f t="shared" si="7"/>
        <v>1-30</v>
      </c>
      <c r="K172" s="23" t="s">
        <v>77</v>
      </c>
      <c r="L172" s="23" t="s">
        <v>73</v>
      </c>
      <c r="M172" s="41" t="str">
        <f>IF(L172="Closed","Closed",IF(OR(H172&gt;=Mapping_Rules!$B$7,I172&gt;=Mapping_Rules!$B$8),"High Risk",IF(I172&gt;30,"Monitor","Normal")))</f>
        <v>High Risk</v>
      </c>
      <c r="N172" s="41" t="str">
        <f t="shared" si="8"/>
        <v>Call customer/vendor and escalate</v>
      </c>
    </row>
    <row r="173" spans="1:14">
      <c r="A173" s="55" t="s">
        <v>1872</v>
      </c>
      <c r="B173" s="55" t="s">
        <v>72</v>
      </c>
      <c r="C173" s="55" t="s">
        <v>139</v>
      </c>
      <c r="D173" s="56">
        <v>46032</v>
      </c>
      <c r="E173" s="56">
        <v>46047</v>
      </c>
      <c r="F173" s="57">
        <v>4498.57</v>
      </c>
      <c r="G173" s="57">
        <v>0</v>
      </c>
      <c r="H173" s="57">
        <f t="shared" si="6"/>
        <v>4498.57</v>
      </c>
      <c r="I173" s="58">
        <f>MAX(0,Mapping_Rules!$B$6-E173)</f>
        <v>6</v>
      </c>
      <c r="J173" s="59" t="str">
        <f t="shared" si="7"/>
        <v>1-30</v>
      </c>
      <c r="K173" s="55" t="s">
        <v>95</v>
      </c>
      <c r="L173" s="55" t="s">
        <v>73</v>
      </c>
      <c r="M173" s="59" t="str">
        <f>IF(L173="Closed","Closed",IF(OR(H173&gt;=Mapping_Rules!$B$7,I173&gt;=Mapping_Rules!$B$8),"High Risk",IF(I173&gt;30,"Monitor","Normal")))</f>
        <v>Normal</v>
      </c>
      <c r="N173" s="59" t="str">
        <f t="shared" si="8"/>
        <v>Keep monitoring</v>
      </c>
    </row>
    <row r="174" spans="1:14" ht="27.6">
      <c r="A174" s="23" t="s">
        <v>1873</v>
      </c>
      <c r="B174" s="23" t="s">
        <v>72</v>
      </c>
      <c r="C174" s="23" t="s">
        <v>204</v>
      </c>
      <c r="D174" s="31">
        <v>46014</v>
      </c>
      <c r="E174" s="31">
        <v>46044</v>
      </c>
      <c r="F174" s="32">
        <v>10483.07</v>
      </c>
      <c r="G174" s="32">
        <v>2317.25</v>
      </c>
      <c r="H174" s="32">
        <f t="shared" si="6"/>
        <v>8165.82</v>
      </c>
      <c r="I174" s="40">
        <f>MAX(0,Mapping_Rules!$B$6-E174)</f>
        <v>9</v>
      </c>
      <c r="J174" s="41" t="str">
        <f t="shared" si="7"/>
        <v>1-30</v>
      </c>
      <c r="K174" s="23" t="s">
        <v>77</v>
      </c>
      <c r="L174" s="23" t="s">
        <v>82</v>
      </c>
      <c r="M174" s="41" t="str">
        <f>IF(L174="Closed","Closed",IF(OR(H174&gt;=Mapping_Rules!$B$7,I174&gt;=Mapping_Rules!$B$8),"High Risk",IF(I174&gt;30,"Monitor","Normal")))</f>
        <v>High Risk</v>
      </c>
      <c r="N174" s="41" t="str">
        <f t="shared" si="8"/>
        <v>Call customer/vendor and escalate</v>
      </c>
    </row>
    <row r="175" spans="1:14" ht="27.6">
      <c r="A175" s="55" t="s">
        <v>1874</v>
      </c>
      <c r="B175" s="55" t="s">
        <v>72</v>
      </c>
      <c r="C175" s="55" t="s">
        <v>126</v>
      </c>
      <c r="D175" s="56">
        <v>46050</v>
      </c>
      <c r="E175" s="56">
        <v>46095</v>
      </c>
      <c r="F175" s="57">
        <v>6491.75</v>
      </c>
      <c r="G175" s="57">
        <v>0</v>
      </c>
      <c r="H175" s="57">
        <f t="shared" si="6"/>
        <v>6491.75</v>
      </c>
      <c r="I175" s="58">
        <f>MAX(0,Mapping_Rules!$B$6-E175)</f>
        <v>0</v>
      </c>
      <c r="J175" s="59" t="str">
        <f t="shared" si="7"/>
        <v>Current</v>
      </c>
      <c r="K175" s="55" t="s">
        <v>95</v>
      </c>
      <c r="L175" s="55" t="s">
        <v>100</v>
      </c>
      <c r="M175" s="59" t="str">
        <f>IF(L175="Closed","Closed",IF(OR(H175&gt;=Mapping_Rules!$B$7,I175&gt;=Mapping_Rules!$B$8),"High Risk",IF(I175&gt;30,"Monitor","Normal")))</f>
        <v>High Risk</v>
      </c>
      <c r="N175" s="59" t="str">
        <f t="shared" si="8"/>
        <v>Call customer/vendor and escalate</v>
      </c>
    </row>
    <row r="176" spans="1:14">
      <c r="A176" s="23" t="s">
        <v>1875</v>
      </c>
      <c r="B176" s="23" t="s">
        <v>72</v>
      </c>
      <c r="C176" s="23" t="s">
        <v>133</v>
      </c>
      <c r="D176" s="31">
        <v>46040</v>
      </c>
      <c r="E176" s="31">
        <v>46100</v>
      </c>
      <c r="F176" s="32">
        <v>7867.63</v>
      </c>
      <c r="G176" s="32">
        <v>3698.79</v>
      </c>
      <c r="H176" s="32">
        <f t="shared" si="6"/>
        <v>4168.84</v>
      </c>
      <c r="I176" s="40">
        <f>MAX(0,Mapping_Rules!$B$6-E176)</f>
        <v>0</v>
      </c>
      <c r="J176" s="41" t="str">
        <f t="shared" si="7"/>
        <v>Current</v>
      </c>
      <c r="K176" s="23" t="s">
        <v>86</v>
      </c>
      <c r="L176" s="23" t="s">
        <v>82</v>
      </c>
      <c r="M176" s="41" t="str">
        <f>IF(L176="Closed","Closed",IF(OR(H176&gt;=Mapping_Rules!$B$7,I176&gt;=Mapping_Rules!$B$8),"High Risk",IF(I176&gt;30,"Monitor","Normal")))</f>
        <v>Normal</v>
      </c>
      <c r="N176" s="41" t="str">
        <f t="shared" si="8"/>
        <v>Keep monitoring</v>
      </c>
    </row>
    <row r="177" spans="1:14">
      <c r="A177" s="55" t="s">
        <v>1876</v>
      </c>
      <c r="B177" s="55" t="s">
        <v>81</v>
      </c>
      <c r="C177" s="55" t="s">
        <v>155</v>
      </c>
      <c r="D177" s="56">
        <v>45999</v>
      </c>
      <c r="E177" s="56">
        <v>46029</v>
      </c>
      <c r="F177" s="57">
        <v>173.48</v>
      </c>
      <c r="G177" s="57">
        <v>0</v>
      </c>
      <c r="H177" s="57">
        <f t="shared" si="6"/>
        <v>173.48</v>
      </c>
      <c r="I177" s="58">
        <f>MAX(0,Mapping_Rules!$B$6-E177)</f>
        <v>24</v>
      </c>
      <c r="J177" s="59" t="str">
        <f t="shared" si="7"/>
        <v>1-30</v>
      </c>
      <c r="K177" s="55" t="s">
        <v>77</v>
      </c>
      <c r="L177" s="55" t="s">
        <v>73</v>
      </c>
      <c r="M177" s="59" t="str">
        <f>IF(L177="Closed","Closed",IF(OR(H177&gt;=Mapping_Rules!$B$7,I177&gt;=Mapping_Rules!$B$8),"High Risk",IF(I177&gt;30,"Monitor","Normal")))</f>
        <v>Normal</v>
      </c>
      <c r="N177" s="59" t="str">
        <f t="shared" si="8"/>
        <v>Keep monitoring</v>
      </c>
    </row>
    <row r="178" spans="1:14">
      <c r="A178" s="23" t="s">
        <v>1877</v>
      </c>
      <c r="B178" s="23" t="s">
        <v>81</v>
      </c>
      <c r="C178" s="23" t="s">
        <v>167</v>
      </c>
      <c r="D178" s="31">
        <v>46015</v>
      </c>
      <c r="E178" s="31">
        <v>46075</v>
      </c>
      <c r="F178" s="32">
        <v>825.56</v>
      </c>
      <c r="G178" s="32">
        <v>0</v>
      </c>
      <c r="H178" s="32">
        <f t="shared" si="6"/>
        <v>825.56</v>
      </c>
      <c r="I178" s="40">
        <f>MAX(0,Mapping_Rules!$B$6-E178)</f>
        <v>0</v>
      </c>
      <c r="J178" s="41" t="str">
        <f t="shared" si="7"/>
        <v>Current</v>
      </c>
      <c r="K178" s="23" t="s">
        <v>86</v>
      </c>
      <c r="L178" s="23" t="s">
        <v>73</v>
      </c>
      <c r="M178" s="41" t="str">
        <f>IF(L178="Closed","Closed",IF(OR(H178&gt;=Mapping_Rules!$B$7,I178&gt;=Mapping_Rules!$B$8),"High Risk",IF(I178&gt;30,"Monitor","Normal")))</f>
        <v>Normal</v>
      </c>
      <c r="N178" s="41" t="str">
        <f t="shared" si="8"/>
        <v>Keep monitoring</v>
      </c>
    </row>
    <row r="179" spans="1:14">
      <c r="A179" s="55" t="s">
        <v>1878</v>
      </c>
      <c r="B179" s="55" t="s">
        <v>81</v>
      </c>
      <c r="C179" s="55" t="s">
        <v>155</v>
      </c>
      <c r="D179" s="56">
        <v>45987</v>
      </c>
      <c r="E179" s="56">
        <v>46032</v>
      </c>
      <c r="F179" s="57">
        <v>3928.1</v>
      </c>
      <c r="G179" s="57">
        <v>0</v>
      </c>
      <c r="H179" s="57">
        <f t="shared" si="6"/>
        <v>3928.1</v>
      </c>
      <c r="I179" s="58">
        <f>MAX(0,Mapping_Rules!$B$6-E179)</f>
        <v>21</v>
      </c>
      <c r="J179" s="59" t="str">
        <f t="shared" si="7"/>
        <v>1-30</v>
      </c>
      <c r="K179" s="55" t="s">
        <v>95</v>
      </c>
      <c r="L179" s="55" t="s">
        <v>73</v>
      </c>
      <c r="M179" s="59" t="str">
        <f>IF(L179="Closed","Closed",IF(OR(H179&gt;=Mapping_Rules!$B$7,I179&gt;=Mapping_Rules!$B$8),"High Risk",IF(I179&gt;30,"Monitor","Normal")))</f>
        <v>Normal</v>
      </c>
      <c r="N179" s="59" t="str">
        <f t="shared" si="8"/>
        <v>Keep monitoring</v>
      </c>
    </row>
    <row r="180" spans="1:14" ht="27.6">
      <c r="A180" s="23" t="s">
        <v>1879</v>
      </c>
      <c r="B180" s="23" t="s">
        <v>72</v>
      </c>
      <c r="C180" s="23" t="s">
        <v>139</v>
      </c>
      <c r="D180" s="31">
        <v>45962</v>
      </c>
      <c r="E180" s="31">
        <v>45977</v>
      </c>
      <c r="F180" s="32">
        <v>10334.66</v>
      </c>
      <c r="G180" s="32">
        <v>0</v>
      </c>
      <c r="H180" s="32">
        <f t="shared" si="6"/>
        <v>10334.66</v>
      </c>
      <c r="I180" s="40">
        <f>MAX(0,Mapping_Rules!$B$6-E180)</f>
        <v>76</v>
      </c>
      <c r="J180" s="41" t="str">
        <f t="shared" si="7"/>
        <v>61-90</v>
      </c>
      <c r="K180" s="23" t="s">
        <v>77</v>
      </c>
      <c r="L180" s="23" t="s">
        <v>73</v>
      </c>
      <c r="M180" s="41" t="str">
        <f>IF(L180="Closed","Closed",IF(OR(H180&gt;=Mapping_Rules!$B$7,I180&gt;=Mapping_Rules!$B$8),"High Risk",IF(I180&gt;30,"Monitor","Normal")))</f>
        <v>High Risk</v>
      </c>
      <c r="N180" s="41" t="str">
        <f t="shared" si="8"/>
        <v>Call customer/vendor and escalate</v>
      </c>
    </row>
    <row r="181" spans="1:14" ht="27.6">
      <c r="A181" s="55" t="s">
        <v>1880</v>
      </c>
      <c r="B181" s="55" t="s">
        <v>81</v>
      </c>
      <c r="C181" s="55" t="s">
        <v>173</v>
      </c>
      <c r="D181" s="56">
        <v>46004</v>
      </c>
      <c r="E181" s="56">
        <v>46049</v>
      </c>
      <c r="F181" s="57">
        <v>13845.85</v>
      </c>
      <c r="G181" s="57">
        <v>0</v>
      </c>
      <c r="H181" s="57">
        <f t="shared" si="6"/>
        <v>13845.85</v>
      </c>
      <c r="I181" s="58">
        <f>MAX(0,Mapping_Rules!$B$6-E181)</f>
        <v>4</v>
      </c>
      <c r="J181" s="59" t="str">
        <f t="shared" si="7"/>
        <v>1-30</v>
      </c>
      <c r="K181" s="55" t="s">
        <v>103</v>
      </c>
      <c r="L181" s="55" t="s">
        <v>73</v>
      </c>
      <c r="M181" s="59" t="str">
        <f>IF(L181="Closed","Closed",IF(OR(H181&gt;=Mapping_Rules!$B$7,I181&gt;=Mapping_Rules!$B$8),"High Risk",IF(I181&gt;30,"Monitor","Normal")))</f>
        <v>High Risk</v>
      </c>
      <c r="N181" s="59" t="str">
        <f t="shared" si="8"/>
        <v>Call customer/vendor and escalate</v>
      </c>
    </row>
    <row r="182" spans="1:14">
      <c r="A182" s="23" t="s">
        <v>1881</v>
      </c>
      <c r="B182" s="23" t="s">
        <v>81</v>
      </c>
      <c r="C182" s="23" t="s">
        <v>155</v>
      </c>
      <c r="D182" s="31">
        <v>45979</v>
      </c>
      <c r="E182" s="31">
        <v>46039</v>
      </c>
      <c r="F182" s="32">
        <v>2457.4899999999998</v>
      </c>
      <c r="G182" s="32">
        <v>0</v>
      </c>
      <c r="H182" s="32">
        <f t="shared" si="6"/>
        <v>2457.4899999999998</v>
      </c>
      <c r="I182" s="40">
        <f>MAX(0,Mapping_Rules!$B$6-E182)</f>
        <v>14</v>
      </c>
      <c r="J182" s="41" t="str">
        <f t="shared" si="7"/>
        <v>1-30</v>
      </c>
      <c r="K182" s="23" t="s">
        <v>95</v>
      </c>
      <c r="L182" s="23" t="s">
        <v>73</v>
      </c>
      <c r="M182" s="41" t="str">
        <f>IF(L182="Closed","Closed",IF(OR(H182&gt;=Mapping_Rules!$B$7,I182&gt;=Mapping_Rules!$B$8),"High Risk",IF(I182&gt;30,"Monitor","Normal")))</f>
        <v>Normal</v>
      </c>
      <c r="N182" s="41" t="str">
        <f t="shared" si="8"/>
        <v>Keep monitoring</v>
      </c>
    </row>
    <row r="183" spans="1:14" ht="27.6">
      <c r="A183" s="55" t="s">
        <v>1882</v>
      </c>
      <c r="B183" s="55" t="s">
        <v>72</v>
      </c>
      <c r="C183" s="55" t="s">
        <v>139</v>
      </c>
      <c r="D183" s="56">
        <v>46014</v>
      </c>
      <c r="E183" s="56">
        <v>46029</v>
      </c>
      <c r="F183" s="57">
        <v>12551.32</v>
      </c>
      <c r="G183" s="57">
        <v>0</v>
      </c>
      <c r="H183" s="57">
        <f t="shared" si="6"/>
        <v>12551.32</v>
      </c>
      <c r="I183" s="58">
        <f>MAX(0,Mapping_Rules!$B$6-E183)</f>
        <v>24</v>
      </c>
      <c r="J183" s="59" t="str">
        <f t="shared" si="7"/>
        <v>1-30</v>
      </c>
      <c r="K183" s="55" t="s">
        <v>95</v>
      </c>
      <c r="L183" s="55" t="s">
        <v>73</v>
      </c>
      <c r="M183" s="59" t="str">
        <f>IF(L183="Closed","Closed",IF(OR(H183&gt;=Mapping_Rules!$B$7,I183&gt;=Mapping_Rules!$B$8),"High Risk",IF(I183&gt;30,"Monitor","Normal")))</f>
        <v>High Risk</v>
      </c>
      <c r="N183" s="59" t="str">
        <f t="shared" si="8"/>
        <v>Call customer/vendor and escalate</v>
      </c>
    </row>
    <row r="184" spans="1:14">
      <c r="A184" s="23" t="s">
        <v>1883</v>
      </c>
      <c r="B184" s="23" t="s">
        <v>81</v>
      </c>
      <c r="C184" s="23" t="s">
        <v>173</v>
      </c>
      <c r="D184" s="31">
        <v>46035</v>
      </c>
      <c r="E184" s="31">
        <v>46080</v>
      </c>
      <c r="F184" s="32">
        <v>12023.1</v>
      </c>
      <c r="G184" s="32">
        <v>12023.1</v>
      </c>
      <c r="H184" s="32">
        <f t="shared" si="6"/>
        <v>0</v>
      </c>
      <c r="I184" s="40">
        <f>MAX(0,Mapping_Rules!$B$6-E184)</f>
        <v>0</v>
      </c>
      <c r="J184" s="41" t="str">
        <f t="shared" si="7"/>
        <v>Current</v>
      </c>
      <c r="K184" s="23" t="s">
        <v>95</v>
      </c>
      <c r="L184" s="23" t="s">
        <v>104</v>
      </c>
      <c r="M184" s="41" t="str">
        <f>IF(L184="Closed","Closed",IF(OR(H184&gt;=Mapping_Rules!$B$7,I184&gt;=Mapping_Rules!$B$8),"High Risk",IF(I184&gt;30,"Monitor","Normal")))</f>
        <v>Closed</v>
      </c>
      <c r="N184" s="41" t="str">
        <f t="shared" si="8"/>
        <v>No action</v>
      </c>
    </row>
    <row r="185" spans="1:14" ht="27.6">
      <c r="A185" s="55" t="s">
        <v>1884</v>
      </c>
      <c r="B185" s="55" t="s">
        <v>81</v>
      </c>
      <c r="C185" s="55" t="s">
        <v>173</v>
      </c>
      <c r="D185" s="56">
        <v>45997</v>
      </c>
      <c r="E185" s="56">
        <v>46012</v>
      </c>
      <c r="F185" s="57">
        <v>5186.41</v>
      </c>
      <c r="G185" s="57">
        <v>0</v>
      </c>
      <c r="H185" s="57">
        <f t="shared" si="6"/>
        <v>5186.41</v>
      </c>
      <c r="I185" s="58">
        <f>MAX(0,Mapping_Rules!$B$6-E185)</f>
        <v>41</v>
      </c>
      <c r="J185" s="59" t="str">
        <f t="shared" si="7"/>
        <v>31-60</v>
      </c>
      <c r="K185" s="55" t="s">
        <v>86</v>
      </c>
      <c r="L185" s="55" t="s">
        <v>73</v>
      </c>
      <c r="M185" s="59" t="str">
        <f>IF(L185="Closed","Closed",IF(OR(H185&gt;=Mapping_Rules!$B$7,I185&gt;=Mapping_Rules!$B$8),"High Risk",IF(I185&gt;30,"Monitor","Normal")))</f>
        <v>High Risk</v>
      </c>
      <c r="N185" s="59" t="str">
        <f t="shared" si="8"/>
        <v>Call customer/vendor and escalate</v>
      </c>
    </row>
    <row r="186" spans="1:14" ht="27.6">
      <c r="A186" s="23" t="s">
        <v>1885</v>
      </c>
      <c r="B186" s="23" t="s">
        <v>72</v>
      </c>
      <c r="C186" s="23" t="s">
        <v>133</v>
      </c>
      <c r="D186" s="31">
        <v>46038</v>
      </c>
      <c r="E186" s="31">
        <v>46053</v>
      </c>
      <c r="F186" s="32">
        <v>12989.22</v>
      </c>
      <c r="G186" s="32">
        <v>0</v>
      </c>
      <c r="H186" s="32">
        <f t="shared" si="6"/>
        <v>12989.22</v>
      </c>
      <c r="I186" s="40">
        <f>MAX(0,Mapping_Rules!$B$6-E186)</f>
        <v>0</v>
      </c>
      <c r="J186" s="41" t="str">
        <f t="shared" si="7"/>
        <v>Current</v>
      </c>
      <c r="K186" s="23" t="s">
        <v>95</v>
      </c>
      <c r="L186" s="23" t="s">
        <v>91</v>
      </c>
      <c r="M186" s="41" t="str">
        <f>IF(L186="Closed","Closed",IF(OR(H186&gt;=Mapping_Rules!$B$7,I186&gt;=Mapping_Rules!$B$8),"High Risk",IF(I186&gt;30,"Monitor","Normal")))</f>
        <v>High Risk</v>
      </c>
      <c r="N186" s="41" t="str">
        <f t="shared" si="8"/>
        <v>Call customer/vendor and escalate</v>
      </c>
    </row>
    <row r="187" spans="1:14" ht="27.6">
      <c r="A187" s="55" t="s">
        <v>1886</v>
      </c>
      <c r="B187" s="55" t="s">
        <v>81</v>
      </c>
      <c r="C187" s="55" t="s">
        <v>214</v>
      </c>
      <c r="D187" s="56">
        <v>46014</v>
      </c>
      <c r="E187" s="56">
        <v>46029</v>
      </c>
      <c r="F187" s="57">
        <v>7531.26</v>
      </c>
      <c r="G187" s="57">
        <v>0</v>
      </c>
      <c r="H187" s="57">
        <f t="shared" si="6"/>
        <v>7531.26</v>
      </c>
      <c r="I187" s="58">
        <f>MAX(0,Mapping_Rules!$B$6-E187)</f>
        <v>24</v>
      </c>
      <c r="J187" s="59" t="str">
        <f t="shared" si="7"/>
        <v>1-30</v>
      </c>
      <c r="K187" s="55" t="s">
        <v>103</v>
      </c>
      <c r="L187" s="55" t="s">
        <v>73</v>
      </c>
      <c r="M187" s="59" t="str">
        <f>IF(L187="Closed","Closed",IF(OR(H187&gt;=Mapping_Rules!$B$7,I187&gt;=Mapping_Rules!$B$8),"High Risk",IF(I187&gt;30,"Monitor","Normal")))</f>
        <v>High Risk</v>
      </c>
      <c r="N187" s="59" t="str">
        <f t="shared" si="8"/>
        <v>Call customer/vendor and escalate</v>
      </c>
    </row>
    <row r="188" spans="1:14">
      <c r="A188" s="23" t="s">
        <v>1887</v>
      </c>
      <c r="B188" s="23" t="s">
        <v>72</v>
      </c>
      <c r="C188" s="23" t="s">
        <v>133</v>
      </c>
      <c r="D188" s="31">
        <v>46029</v>
      </c>
      <c r="E188" s="31">
        <v>46074</v>
      </c>
      <c r="F188" s="32">
        <v>2748.94</v>
      </c>
      <c r="G188" s="32">
        <v>0</v>
      </c>
      <c r="H188" s="32">
        <f t="shared" si="6"/>
        <v>2748.94</v>
      </c>
      <c r="I188" s="40">
        <f>MAX(0,Mapping_Rules!$B$6-E188)</f>
        <v>0</v>
      </c>
      <c r="J188" s="41" t="str">
        <f t="shared" si="7"/>
        <v>Current</v>
      </c>
      <c r="K188" s="23" t="s">
        <v>77</v>
      </c>
      <c r="L188" s="23" t="s">
        <v>73</v>
      </c>
      <c r="M188" s="41" t="str">
        <f>IF(L188="Closed","Closed",IF(OR(H188&gt;=Mapping_Rules!$B$7,I188&gt;=Mapping_Rules!$B$8),"High Risk",IF(I188&gt;30,"Monitor","Normal")))</f>
        <v>Normal</v>
      </c>
      <c r="N188" s="41" t="str">
        <f t="shared" si="8"/>
        <v>Keep monitoring</v>
      </c>
    </row>
    <row r="189" spans="1:14">
      <c r="A189" s="55" t="s">
        <v>1888</v>
      </c>
      <c r="B189" s="55" t="s">
        <v>81</v>
      </c>
      <c r="C189" s="55" t="s">
        <v>220</v>
      </c>
      <c r="D189" s="56">
        <v>46018</v>
      </c>
      <c r="E189" s="56">
        <v>46033</v>
      </c>
      <c r="F189" s="57">
        <v>12015.53</v>
      </c>
      <c r="G189" s="57">
        <v>12015.53</v>
      </c>
      <c r="H189" s="57">
        <f t="shared" si="6"/>
        <v>0</v>
      </c>
      <c r="I189" s="58">
        <f>MAX(0,Mapping_Rules!$B$6-E189)</f>
        <v>20</v>
      </c>
      <c r="J189" s="59" t="str">
        <f t="shared" si="7"/>
        <v>1-30</v>
      </c>
      <c r="K189" s="55" t="s">
        <v>86</v>
      </c>
      <c r="L189" s="55" t="s">
        <v>104</v>
      </c>
      <c r="M189" s="59" t="str">
        <f>IF(L189="Closed","Closed",IF(OR(H189&gt;=Mapping_Rules!$B$7,I189&gt;=Mapping_Rules!$B$8),"High Risk",IF(I189&gt;30,"Monitor","Normal")))</f>
        <v>Closed</v>
      </c>
      <c r="N189" s="59" t="str">
        <f t="shared" si="8"/>
        <v>No action</v>
      </c>
    </row>
    <row r="190" spans="1:14" ht="27.6">
      <c r="A190" s="23" t="s">
        <v>1889</v>
      </c>
      <c r="B190" s="23" t="s">
        <v>81</v>
      </c>
      <c r="C190" s="23" t="s">
        <v>214</v>
      </c>
      <c r="D190" s="31">
        <v>46023</v>
      </c>
      <c r="E190" s="31">
        <v>46068</v>
      </c>
      <c r="F190" s="32">
        <v>11666.67</v>
      </c>
      <c r="G190" s="32">
        <v>0</v>
      </c>
      <c r="H190" s="32">
        <f t="shared" si="6"/>
        <v>11666.67</v>
      </c>
      <c r="I190" s="40">
        <f>MAX(0,Mapping_Rules!$B$6-E190)</f>
        <v>0</v>
      </c>
      <c r="J190" s="41" t="str">
        <f t="shared" si="7"/>
        <v>Current</v>
      </c>
      <c r="K190" s="23" t="s">
        <v>77</v>
      </c>
      <c r="L190" s="23" t="s">
        <v>73</v>
      </c>
      <c r="M190" s="41" t="str">
        <f>IF(L190="Closed","Closed",IF(OR(H190&gt;=Mapping_Rules!$B$7,I190&gt;=Mapping_Rules!$B$8),"High Risk",IF(I190&gt;30,"Monitor","Normal")))</f>
        <v>High Risk</v>
      </c>
      <c r="N190" s="41" t="str">
        <f t="shared" si="8"/>
        <v>Call customer/vendor and escalate</v>
      </c>
    </row>
    <row r="191" spans="1:14" ht="27.6">
      <c r="A191" s="55" t="s">
        <v>1890</v>
      </c>
      <c r="B191" s="55" t="s">
        <v>81</v>
      </c>
      <c r="C191" s="55" t="s">
        <v>173</v>
      </c>
      <c r="D191" s="56">
        <v>45966</v>
      </c>
      <c r="E191" s="56">
        <v>46026</v>
      </c>
      <c r="F191" s="57">
        <v>5905.69</v>
      </c>
      <c r="G191" s="57">
        <v>0</v>
      </c>
      <c r="H191" s="57">
        <f t="shared" si="6"/>
        <v>5905.69</v>
      </c>
      <c r="I191" s="58">
        <f>MAX(0,Mapping_Rules!$B$6-E191)</f>
        <v>27</v>
      </c>
      <c r="J191" s="59" t="str">
        <f t="shared" si="7"/>
        <v>1-30</v>
      </c>
      <c r="K191" s="55" t="s">
        <v>77</v>
      </c>
      <c r="L191" s="55" t="s">
        <v>100</v>
      </c>
      <c r="M191" s="59" t="str">
        <f>IF(L191="Closed","Closed",IF(OR(H191&gt;=Mapping_Rules!$B$7,I191&gt;=Mapping_Rules!$B$8),"High Risk",IF(I191&gt;30,"Monitor","Normal")))</f>
        <v>High Risk</v>
      </c>
      <c r="N191" s="59" t="str">
        <f t="shared" si="8"/>
        <v>Call customer/vendor and escalate</v>
      </c>
    </row>
    <row r="192" spans="1:14">
      <c r="A192" s="23" t="s">
        <v>1891</v>
      </c>
      <c r="B192" s="23" t="s">
        <v>81</v>
      </c>
      <c r="C192" s="23" t="s">
        <v>214</v>
      </c>
      <c r="D192" s="31">
        <v>45967</v>
      </c>
      <c r="E192" s="31">
        <v>45982</v>
      </c>
      <c r="F192" s="32">
        <v>5099.3500000000004</v>
      </c>
      <c r="G192" s="32">
        <v>5099.3500000000004</v>
      </c>
      <c r="H192" s="32">
        <f t="shared" si="6"/>
        <v>0</v>
      </c>
      <c r="I192" s="40">
        <f>MAX(0,Mapping_Rules!$B$6-E192)</f>
        <v>71</v>
      </c>
      <c r="J192" s="41" t="str">
        <f t="shared" si="7"/>
        <v>61-90</v>
      </c>
      <c r="K192" s="23" t="s">
        <v>77</v>
      </c>
      <c r="L192" s="23" t="s">
        <v>104</v>
      </c>
      <c r="M192" s="41" t="str">
        <f>IF(L192="Closed","Closed",IF(OR(H192&gt;=Mapping_Rules!$B$7,I192&gt;=Mapping_Rules!$B$8),"High Risk",IF(I192&gt;30,"Monitor","Normal")))</f>
        <v>Closed</v>
      </c>
      <c r="N192" s="41" t="str">
        <f t="shared" si="8"/>
        <v>No action</v>
      </c>
    </row>
    <row r="193" spans="1:14" ht="27.6">
      <c r="A193" s="55" t="s">
        <v>1892</v>
      </c>
      <c r="B193" s="55" t="s">
        <v>72</v>
      </c>
      <c r="C193" s="55" t="s">
        <v>144</v>
      </c>
      <c r="D193" s="56">
        <v>46035</v>
      </c>
      <c r="E193" s="56">
        <v>46080</v>
      </c>
      <c r="F193" s="57">
        <v>9636.94</v>
      </c>
      <c r="G193" s="57">
        <v>0</v>
      </c>
      <c r="H193" s="57">
        <f t="shared" si="6"/>
        <v>9636.94</v>
      </c>
      <c r="I193" s="58">
        <f>MAX(0,Mapping_Rules!$B$6-E193)</f>
        <v>0</v>
      </c>
      <c r="J193" s="59" t="str">
        <f t="shared" si="7"/>
        <v>Current</v>
      </c>
      <c r="K193" s="55" t="s">
        <v>86</v>
      </c>
      <c r="L193" s="55" t="s">
        <v>73</v>
      </c>
      <c r="M193" s="59" t="str">
        <f>IF(L193="Closed","Closed",IF(OR(H193&gt;=Mapping_Rules!$B$7,I193&gt;=Mapping_Rules!$B$8),"High Risk",IF(I193&gt;30,"Monitor","Normal")))</f>
        <v>High Risk</v>
      </c>
      <c r="N193" s="59" t="str">
        <f t="shared" si="8"/>
        <v>Call customer/vendor and escalate</v>
      </c>
    </row>
    <row r="194" spans="1:14" ht="27.6">
      <c r="A194" s="23" t="s">
        <v>1893</v>
      </c>
      <c r="B194" s="23" t="s">
        <v>81</v>
      </c>
      <c r="C194" s="23" t="s">
        <v>214</v>
      </c>
      <c r="D194" s="31">
        <v>45997</v>
      </c>
      <c r="E194" s="31">
        <v>46042</v>
      </c>
      <c r="F194" s="32">
        <v>11625.89</v>
      </c>
      <c r="G194" s="32">
        <v>3804.28</v>
      </c>
      <c r="H194" s="32">
        <f t="shared" si="6"/>
        <v>7821.6099999999988</v>
      </c>
      <c r="I194" s="40">
        <f>MAX(0,Mapping_Rules!$B$6-E194)</f>
        <v>11</v>
      </c>
      <c r="J194" s="41" t="str">
        <f t="shared" si="7"/>
        <v>1-30</v>
      </c>
      <c r="K194" s="23" t="s">
        <v>86</v>
      </c>
      <c r="L194" s="23" t="s">
        <v>82</v>
      </c>
      <c r="M194" s="41" t="str">
        <f>IF(L194="Closed","Closed",IF(OR(H194&gt;=Mapping_Rules!$B$7,I194&gt;=Mapping_Rules!$B$8),"High Risk",IF(I194&gt;30,"Monitor","Normal")))</f>
        <v>High Risk</v>
      </c>
      <c r="N194" s="41" t="str">
        <f t="shared" si="8"/>
        <v>Call customer/vendor and escalate</v>
      </c>
    </row>
    <row r="195" spans="1:14" ht="27.6">
      <c r="A195" s="55" t="s">
        <v>1894</v>
      </c>
      <c r="B195" s="55" t="s">
        <v>72</v>
      </c>
      <c r="C195" s="55" t="s">
        <v>144</v>
      </c>
      <c r="D195" s="56">
        <v>45963</v>
      </c>
      <c r="E195" s="56">
        <v>45978</v>
      </c>
      <c r="F195" s="57">
        <v>3217.67</v>
      </c>
      <c r="G195" s="57">
        <v>0</v>
      </c>
      <c r="H195" s="57">
        <f t="shared" si="6"/>
        <v>3217.67</v>
      </c>
      <c r="I195" s="58">
        <f>MAX(0,Mapping_Rules!$B$6-E195)</f>
        <v>75</v>
      </c>
      <c r="J195" s="59" t="str">
        <f t="shared" si="7"/>
        <v>61-90</v>
      </c>
      <c r="K195" s="55" t="s">
        <v>95</v>
      </c>
      <c r="L195" s="55" t="s">
        <v>73</v>
      </c>
      <c r="M195" s="59" t="str">
        <f>IF(L195="Closed","Closed",IF(OR(H195&gt;=Mapping_Rules!$B$7,I195&gt;=Mapping_Rules!$B$8),"High Risk",IF(I195&gt;30,"Monitor","Normal")))</f>
        <v>High Risk</v>
      </c>
      <c r="N195" s="59" t="str">
        <f t="shared" si="8"/>
        <v>Call customer/vendor and escalate</v>
      </c>
    </row>
    <row r="196" spans="1:14" ht="27.6">
      <c r="A196" s="23" t="s">
        <v>1895</v>
      </c>
      <c r="B196" s="23" t="s">
        <v>72</v>
      </c>
      <c r="C196" s="23" t="s">
        <v>133</v>
      </c>
      <c r="D196" s="31">
        <v>46052</v>
      </c>
      <c r="E196" s="31">
        <v>46097</v>
      </c>
      <c r="F196" s="32">
        <v>8675.1299999999992</v>
      </c>
      <c r="G196" s="32">
        <v>0</v>
      </c>
      <c r="H196" s="32">
        <f t="shared" ref="H196:H223" si="9">F196-G196</f>
        <v>8675.1299999999992</v>
      </c>
      <c r="I196" s="40">
        <f>MAX(0,Mapping_Rules!$B$6-E196)</f>
        <v>0</v>
      </c>
      <c r="J196" s="41" t="str">
        <f t="shared" ref="J196:J223" si="10">IF(I196=0,"Current",IF(I196&lt;=30,"1-30",IF(I196&lt;=60,"31-60",IF(I196&lt;=90,"61-90","90+"))))</f>
        <v>Current</v>
      </c>
      <c r="K196" s="23" t="s">
        <v>95</v>
      </c>
      <c r="L196" s="23" t="s">
        <v>73</v>
      </c>
      <c r="M196" s="41" t="str">
        <f>IF(L196="Closed","Closed",IF(OR(H196&gt;=Mapping_Rules!$B$7,I196&gt;=Mapping_Rules!$B$8),"High Risk",IF(I196&gt;30,"Monitor","Normal")))</f>
        <v>High Risk</v>
      </c>
      <c r="N196" s="41" t="str">
        <f t="shared" ref="N196:N223" si="11">IF(M196="Closed","No action",IF(M196="High Risk","Call customer/vendor and escalate",IF(M196="Monitor","Send follow-up email","Keep monitoring")))</f>
        <v>Call customer/vendor and escalate</v>
      </c>
    </row>
    <row r="197" spans="1:14">
      <c r="A197" s="55" t="s">
        <v>1896</v>
      </c>
      <c r="B197" s="55" t="s">
        <v>72</v>
      </c>
      <c r="C197" s="55" t="s">
        <v>204</v>
      </c>
      <c r="D197" s="56">
        <v>46018</v>
      </c>
      <c r="E197" s="56">
        <v>46033</v>
      </c>
      <c r="F197" s="57">
        <v>2081.6</v>
      </c>
      <c r="G197" s="57">
        <v>0</v>
      </c>
      <c r="H197" s="57">
        <f t="shared" si="9"/>
        <v>2081.6</v>
      </c>
      <c r="I197" s="58">
        <f>MAX(0,Mapping_Rules!$B$6-E197)</f>
        <v>20</v>
      </c>
      <c r="J197" s="59" t="str">
        <f t="shared" si="10"/>
        <v>1-30</v>
      </c>
      <c r="K197" s="55" t="s">
        <v>77</v>
      </c>
      <c r="L197" s="55" t="s">
        <v>73</v>
      </c>
      <c r="M197" s="59" t="str">
        <f>IF(L197="Closed","Closed",IF(OR(H197&gt;=Mapping_Rules!$B$7,I197&gt;=Mapping_Rules!$B$8),"High Risk",IF(I197&gt;30,"Monitor","Normal")))</f>
        <v>Normal</v>
      </c>
      <c r="N197" s="59" t="str">
        <f t="shared" si="11"/>
        <v>Keep monitoring</v>
      </c>
    </row>
    <row r="198" spans="1:14" ht="27.6">
      <c r="A198" s="23" t="s">
        <v>1897</v>
      </c>
      <c r="B198" s="23" t="s">
        <v>81</v>
      </c>
      <c r="C198" s="23" t="s">
        <v>163</v>
      </c>
      <c r="D198" s="31">
        <v>45968</v>
      </c>
      <c r="E198" s="31">
        <v>45983</v>
      </c>
      <c r="F198" s="32">
        <v>6483.02</v>
      </c>
      <c r="G198" s="32">
        <v>0</v>
      </c>
      <c r="H198" s="32">
        <f t="shared" si="9"/>
        <v>6483.02</v>
      </c>
      <c r="I198" s="40">
        <f>MAX(0,Mapping_Rules!$B$6-E198)</f>
        <v>70</v>
      </c>
      <c r="J198" s="41" t="str">
        <f t="shared" si="10"/>
        <v>61-90</v>
      </c>
      <c r="K198" s="23" t="s">
        <v>103</v>
      </c>
      <c r="L198" s="23" t="s">
        <v>73</v>
      </c>
      <c r="M198" s="41" t="str">
        <f>IF(L198="Closed","Closed",IF(OR(H198&gt;=Mapping_Rules!$B$7,I198&gt;=Mapping_Rules!$B$8),"High Risk",IF(I198&gt;30,"Monitor","Normal")))</f>
        <v>High Risk</v>
      </c>
      <c r="N198" s="41" t="str">
        <f t="shared" si="11"/>
        <v>Call customer/vendor and escalate</v>
      </c>
    </row>
    <row r="199" spans="1:14" ht="27.6">
      <c r="A199" s="55" t="s">
        <v>1898</v>
      </c>
      <c r="B199" s="55" t="s">
        <v>72</v>
      </c>
      <c r="C199" s="55" t="s">
        <v>208</v>
      </c>
      <c r="D199" s="56">
        <v>46004</v>
      </c>
      <c r="E199" s="56">
        <v>46034</v>
      </c>
      <c r="F199" s="57">
        <v>10736.55</v>
      </c>
      <c r="G199" s="57">
        <v>5333.54</v>
      </c>
      <c r="H199" s="57">
        <f t="shared" si="9"/>
        <v>5403.0099999999993</v>
      </c>
      <c r="I199" s="58">
        <f>MAX(0,Mapping_Rules!$B$6-E199)</f>
        <v>19</v>
      </c>
      <c r="J199" s="59" t="str">
        <f t="shared" si="10"/>
        <v>1-30</v>
      </c>
      <c r="K199" s="55" t="s">
        <v>103</v>
      </c>
      <c r="L199" s="55" t="s">
        <v>82</v>
      </c>
      <c r="M199" s="59" t="str">
        <f>IF(L199="Closed","Closed",IF(OR(H199&gt;=Mapping_Rules!$B$7,I199&gt;=Mapping_Rules!$B$8),"High Risk",IF(I199&gt;30,"Monitor","Normal")))</f>
        <v>High Risk</v>
      </c>
      <c r="N199" s="59" t="str">
        <f t="shared" si="11"/>
        <v>Call customer/vendor and escalate</v>
      </c>
    </row>
    <row r="200" spans="1:14">
      <c r="A200" s="23" t="s">
        <v>1899</v>
      </c>
      <c r="B200" s="23" t="s">
        <v>81</v>
      </c>
      <c r="C200" s="23" t="s">
        <v>220</v>
      </c>
      <c r="D200" s="31">
        <v>46051</v>
      </c>
      <c r="E200" s="31">
        <v>46111</v>
      </c>
      <c r="F200" s="32">
        <v>1594.36</v>
      </c>
      <c r="G200" s="32">
        <v>0</v>
      </c>
      <c r="H200" s="32">
        <f t="shared" si="9"/>
        <v>1594.36</v>
      </c>
      <c r="I200" s="40">
        <f>MAX(0,Mapping_Rules!$B$6-E200)</f>
        <v>0</v>
      </c>
      <c r="J200" s="41" t="str">
        <f t="shared" si="10"/>
        <v>Current</v>
      </c>
      <c r="K200" s="23" t="s">
        <v>103</v>
      </c>
      <c r="L200" s="23" t="s">
        <v>73</v>
      </c>
      <c r="M200" s="41" t="str">
        <f>IF(L200="Closed","Closed",IF(OR(H200&gt;=Mapping_Rules!$B$7,I200&gt;=Mapping_Rules!$B$8),"High Risk",IF(I200&gt;30,"Monitor","Normal")))</f>
        <v>Normal</v>
      </c>
      <c r="N200" s="41" t="str">
        <f t="shared" si="11"/>
        <v>Keep monitoring</v>
      </c>
    </row>
    <row r="201" spans="1:14">
      <c r="A201" s="55" t="s">
        <v>1900</v>
      </c>
      <c r="B201" s="55" t="s">
        <v>72</v>
      </c>
      <c r="C201" s="55" t="s">
        <v>133</v>
      </c>
      <c r="D201" s="56">
        <v>45990</v>
      </c>
      <c r="E201" s="56">
        <v>46020</v>
      </c>
      <c r="F201" s="57">
        <v>12937.28</v>
      </c>
      <c r="G201" s="57">
        <v>9617.06</v>
      </c>
      <c r="H201" s="57">
        <f t="shared" si="9"/>
        <v>3320.2200000000012</v>
      </c>
      <c r="I201" s="58">
        <f>MAX(0,Mapping_Rules!$B$6-E201)</f>
        <v>33</v>
      </c>
      <c r="J201" s="59" t="str">
        <f t="shared" si="10"/>
        <v>31-60</v>
      </c>
      <c r="K201" s="55" t="s">
        <v>103</v>
      </c>
      <c r="L201" s="55" t="s">
        <v>82</v>
      </c>
      <c r="M201" s="59" t="str">
        <f>IF(L201="Closed","Closed",IF(OR(H201&gt;=Mapping_Rules!$B$7,I201&gt;=Mapping_Rules!$B$8),"High Risk",IF(I201&gt;30,"Monitor","Normal")))</f>
        <v>Monitor</v>
      </c>
      <c r="N201" s="59" t="str">
        <f t="shared" si="11"/>
        <v>Send follow-up email</v>
      </c>
    </row>
    <row r="202" spans="1:14">
      <c r="A202" s="23" t="s">
        <v>1901</v>
      </c>
      <c r="B202" s="23" t="s">
        <v>81</v>
      </c>
      <c r="C202" s="23" t="s">
        <v>155</v>
      </c>
      <c r="D202" s="31">
        <v>46047</v>
      </c>
      <c r="E202" s="31">
        <v>46092</v>
      </c>
      <c r="F202" s="32">
        <v>11863.36</v>
      </c>
      <c r="G202" s="32">
        <v>11863.36</v>
      </c>
      <c r="H202" s="32">
        <f t="shared" si="9"/>
        <v>0</v>
      </c>
      <c r="I202" s="40">
        <f>MAX(0,Mapping_Rules!$B$6-E202)</f>
        <v>0</v>
      </c>
      <c r="J202" s="41" t="str">
        <f t="shared" si="10"/>
        <v>Current</v>
      </c>
      <c r="K202" s="23" t="s">
        <v>103</v>
      </c>
      <c r="L202" s="23" t="s">
        <v>104</v>
      </c>
      <c r="M202" s="41" t="str">
        <f>IF(L202="Closed","Closed",IF(OR(H202&gt;=Mapping_Rules!$B$7,I202&gt;=Mapping_Rules!$B$8),"High Risk",IF(I202&gt;30,"Monitor","Normal")))</f>
        <v>Closed</v>
      </c>
      <c r="N202" s="41" t="str">
        <f t="shared" si="11"/>
        <v>No action</v>
      </c>
    </row>
    <row r="203" spans="1:14">
      <c r="A203" s="55" t="s">
        <v>1902</v>
      </c>
      <c r="B203" s="55" t="s">
        <v>72</v>
      </c>
      <c r="C203" s="55" t="s">
        <v>144</v>
      </c>
      <c r="D203" s="56">
        <v>45970</v>
      </c>
      <c r="E203" s="56">
        <v>46030</v>
      </c>
      <c r="F203" s="57">
        <v>1826.37</v>
      </c>
      <c r="G203" s="57">
        <v>0</v>
      </c>
      <c r="H203" s="57">
        <f t="shared" si="9"/>
        <v>1826.37</v>
      </c>
      <c r="I203" s="58">
        <f>MAX(0,Mapping_Rules!$B$6-E203)</f>
        <v>23</v>
      </c>
      <c r="J203" s="59" t="str">
        <f t="shared" si="10"/>
        <v>1-30</v>
      </c>
      <c r="K203" s="55" t="s">
        <v>86</v>
      </c>
      <c r="L203" s="55" t="s">
        <v>73</v>
      </c>
      <c r="M203" s="59" t="str">
        <f>IF(L203="Closed","Closed",IF(OR(H203&gt;=Mapping_Rules!$B$7,I203&gt;=Mapping_Rules!$B$8),"High Risk",IF(I203&gt;30,"Monitor","Normal")))</f>
        <v>Normal</v>
      </c>
      <c r="N203" s="59" t="str">
        <f t="shared" si="11"/>
        <v>Keep monitoring</v>
      </c>
    </row>
    <row r="204" spans="1:14" ht="27.6">
      <c r="A204" s="23" t="s">
        <v>1903</v>
      </c>
      <c r="B204" s="23" t="s">
        <v>72</v>
      </c>
      <c r="C204" s="23" t="s">
        <v>139</v>
      </c>
      <c r="D204" s="31">
        <v>46006</v>
      </c>
      <c r="E204" s="31">
        <v>46036</v>
      </c>
      <c r="F204" s="32">
        <v>7693.05</v>
      </c>
      <c r="G204" s="32">
        <v>0</v>
      </c>
      <c r="H204" s="32">
        <f t="shared" si="9"/>
        <v>7693.05</v>
      </c>
      <c r="I204" s="40">
        <f>MAX(0,Mapping_Rules!$B$6-E204)</f>
        <v>17</v>
      </c>
      <c r="J204" s="41" t="str">
        <f t="shared" si="10"/>
        <v>1-30</v>
      </c>
      <c r="K204" s="23" t="s">
        <v>77</v>
      </c>
      <c r="L204" s="23" t="s">
        <v>73</v>
      </c>
      <c r="M204" s="41" t="str">
        <f>IF(L204="Closed","Closed",IF(OR(H204&gt;=Mapping_Rules!$B$7,I204&gt;=Mapping_Rules!$B$8),"High Risk",IF(I204&gt;30,"Monitor","Normal")))</f>
        <v>High Risk</v>
      </c>
      <c r="N204" s="41" t="str">
        <f t="shared" si="11"/>
        <v>Call customer/vendor and escalate</v>
      </c>
    </row>
    <row r="205" spans="1:14" ht="27.6">
      <c r="A205" s="55" t="s">
        <v>1904</v>
      </c>
      <c r="B205" s="55" t="s">
        <v>72</v>
      </c>
      <c r="C205" s="55" t="s">
        <v>204</v>
      </c>
      <c r="D205" s="56">
        <v>46045</v>
      </c>
      <c r="E205" s="56">
        <v>46060</v>
      </c>
      <c r="F205" s="57">
        <v>11917.6</v>
      </c>
      <c r="G205" s="57">
        <v>4892.54</v>
      </c>
      <c r="H205" s="57">
        <f t="shared" si="9"/>
        <v>7025.06</v>
      </c>
      <c r="I205" s="58">
        <f>MAX(0,Mapping_Rules!$B$6-E205)</f>
        <v>0</v>
      </c>
      <c r="J205" s="59" t="str">
        <f t="shared" si="10"/>
        <v>Current</v>
      </c>
      <c r="K205" s="55" t="s">
        <v>103</v>
      </c>
      <c r="L205" s="55" t="s">
        <v>82</v>
      </c>
      <c r="M205" s="59" t="str">
        <f>IF(L205="Closed","Closed",IF(OR(H205&gt;=Mapping_Rules!$B$7,I205&gt;=Mapping_Rules!$B$8),"High Risk",IF(I205&gt;30,"Monitor","Normal")))</f>
        <v>High Risk</v>
      </c>
      <c r="N205" s="59" t="str">
        <f t="shared" si="11"/>
        <v>Call customer/vendor and escalate</v>
      </c>
    </row>
    <row r="206" spans="1:14" ht="27.6">
      <c r="A206" s="23" t="s">
        <v>1905</v>
      </c>
      <c r="B206" s="23" t="s">
        <v>81</v>
      </c>
      <c r="C206" s="23" t="s">
        <v>167</v>
      </c>
      <c r="D206" s="31">
        <v>45993</v>
      </c>
      <c r="E206" s="31">
        <v>46023</v>
      </c>
      <c r="F206" s="32">
        <v>14612.29</v>
      </c>
      <c r="G206" s="32">
        <v>0</v>
      </c>
      <c r="H206" s="32">
        <f t="shared" si="9"/>
        <v>14612.29</v>
      </c>
      <c r="I206" s="40">
        <f>MAX(0,Mapping_Rules!$B$6-E206)</f>
        <v>30</v>
      </c>
      <c r="J206" s="41" t="str">
        <f t="shared" si="10"/>
        <v>1-30</v>
      </c>
      <c r="K206" s="23" t="s">
        <v>95</v>
      </c>
      <c r="L206" s="23" t="s">
        <v>73</v>
      </c>
      <c r="M206" s="41" t="str">
        <f>IF(L206="Closed","Closed",IF(OR(H206&gt;=Mapping_Rules!$B$7,I206&gt;=Mapping_Rules!$B$8),"High Risk",IF(I206&gt;30,"Monitor","Normal")))</f>
        <v>High Risk</v>
      </c>
      <c r="N206" s="41" t="str">
        <f t="shared" si="11"/>
        <v>Call customer/vendor and escalate</v>
      </c>
    </row>
    <row r="207" spans="1:14" ht="27.6">
      <c r="A207" s="55" t="s">
        <v>1906</v>
      </c>
      <c r="B207" s="55" t="s">
        <v>81</v>
      </c>
      <c r="C207" s="55" t="s">
        <v>155</v>
      </c>
      <c r="D207" s="56">
        <v>46037</v>
      </c>
      <c r="E207" s="56">
        <v>46097</v>
      </c>
      <c r="F207" s="57">
        <v>11797.06</v>
      </c>
      <c r="G207" s="57">
        <v>0</v>
      </c>
      <c r="H207" s="57">
        <f t="shared" si="9"/>
        <v>11797.06</v>
      </c>
      <c r="I207" s="58">
        <f>MAX(0,Mapping_Rules!$B$6-E207)</f>
        <v>0</v>
      </c>
      <c r="J207" s="59" t="str">
        <f t="shared" si="10"/>
        <v>Current</v>
      </c>
      <c r="K207" s="55" t="s">
        <v>95</v>
      </c>
      <c r="L207" s="55" t="s">
        <v>73</v>
      </c>
      <c r="M207" s="59" t="str">
        <f>IF(L207="Closed","Closed",IF(OR(H207&gt;=Mapping_Rules!$B$7,I207&gt;=Mapping_Rules!$B$8),"High Risk",IF(I207&gt;30,"Monitor","Normal")))</f>
        <v>High Risk</v>
      </c>
      <c r="N207" s="59" t="str">
        <f t="shared" si="11"/>
        <v>Call customer/vendor and escalate</v>
      </c>
    </row>
    <row r="208" spans="1:14" ht="27.6">
      <c r="A208" s="23" t="s">
        <v>1907</v>
      </c>
      <c r="B208" s="23" t="s">
        <v>81</v>
      </c>
      <c r="C208" s="23" t="s">
        <v>173</v>
      </c>
      <c r="D208" s="31">
        <v>46046</v>
      </c>
      <c r="E208" s="31">
        <v>46061</v>
      </c>
      <c r="F208" s="32">
        <v>11129.6</v>
      </c>
      <c r="G208" s="32">
        <v>0</v>
      </c>
      <c r="H208" s="32">
        <f t="shared" si="9"/>
        <v>11129.6</v>
      </c>
      <c r="I208" s="40">
        <f>MAX(0,Mapping_Rules!$B$6-E208)</f>
        <v>0</v>
      </c>
      <c r="J208" s="41" t="str">
        <f t="shared" si="10"/>
        <v>Current</v>
      </c>
      <c r="K208" s="23" t="s">
        <v>103</v>
      </c>
      <c r="L208" s="23" t="s">
        <v>91</v>
      </c>
      <c r="M208" s="41" t="str">
        <f>IF(L208="Closed","Closed",IF(OR(H208&gt;=Mapping_Rules!$B$7,I208&gt;=Mapping_Rules!$B$8),"High Risk",IF(I208&gt;30,"Monitor","Normal")))</f>
        <v>High Risk</v>
      </c>
      <c r="N208" s="41" t="str">
        <f t="shared" si="11"/>
        <v>Call customer/vendor and escalate</v>
      </c>
    </row>
    <row r="209" spans="1:14">
      <c r="A209" s="55" t="s">
        <v>1908</v>
      </c>
      <c r="B209" s="55" t="s">
        <v>81</v>
      </c>
      <c r="C209" s="55" t="s">
        <v>167</v>
      </c>
      <c r="D209" s="56">
        <v>46038</v>
      </c>
      <c r="E209" s="56">
        <v>46098</v>
      </c>
      <c r="F209" s="57">
        <v>4981.8599999999997</v>
      </c>
      <c r="G209" s="57">
        <v>0</v>
      </c>
      <c r="H209" s="57">
        <f t="shared" si="9"/>
        <v>4981.8599999999997</v>
      </c>
      <c r="I209" s="58">
        <f>MAX(0,Mapping_Rules!$B$6-E209)</f>
        <v>0</v>
      </c>
      <c r="J209" s="59" t="str">
        <f t="shared" si="10"/>
        <v>Current</v>
      </c>
      <c r="K209" s="55" t="s">
        <v>103</v>
      </c>
      <c r="L209" s="55" t="s">
        <v>73</v>
      </c>
      <c r="M209" s="59" t="str">
        <f>IF(L209="Closed","Closed",IF(OR(H209&gt;=Mapping_Rules!$B$7,I209&gt;=Mapping_Rules!$B$8),"High Risk",IF(I209&gt;30,"Monitor","Normal")))</f>
        <v>Normal</v>
      </c>
      <c r="N209" s="59" t="str">
        <f t="shared" si="11"/>
        <v>Keep monitoring</v>
      </c>
    </row>
    <row r="210" spans="1:14">
      <c r="A210" s="23" t="s">
        <v>1909</v>
      </c>
      <c r="B210" s="23" t="s">
        <v>81</v>
      </c>
      <c r="C210" s="23" t="s">
        <v>214</v>
      </c>
      <c r="D210" s="31">
        <v>46013</v>
      </c>
      <c r="E210" s="31">
        <v>46028</v>
      </c>
      <c r="F210" s="32">
        <v>9034.15</v>
      </c>
      <c r="G210" s="32">
        <v>4857.33</v>
      </c>
      <c r="H210" s="32">
        <f t="shared" si="9"/>
        <v>4176.82</v>
      </c>
      <c r="I210" s="40">
        <f>MAX(0,Mapping_Rules!$B$6-E210)</f>
        <v>25</v>
      </c>
      <c r="J210" s="41" t="str">
        <f t="shared" si="10"/>
        <v>1-30</v>
      </c>
      <c r="K210" s="23" t="s">
        <v>103</v>
      </c>
      <c r="L210" s="23" t="s">
        <v>82</v>
      </c>
      <c r="M210" s="41" t="str">
        <f>IF(L210="Closed","Closed",IF(OR(H210&gt;=Mapping_Rules!$B$7,I210&gt;=Mapping_Rules!$B$8),"High Risk",IF(I210&gt;30,"Monitor","Normal")))</f>
        <v>Normal</v>
      </c>
      <c r="N210" s="41" t="str">
        <f t="shared" si="11"/>
        <v>Keep monitoring</v>
      </c>
    </row>
    <row r="211" spans="1:14">
      <c r="A211" s="55" t="s">
        <v>1910</v>
      </c>
      <c r="B211" s="55" t="s">
        <v>72</v>
      </c>
      <c r="C211" s="55" t="s">
        <v>150</v>
      </c>
      <c r="D211" s="56">
        <v>46044</v>
      </c>
      <c r="E211" s="56">
        <v>46059</v>
      </c>
      <c r="F211" s="57">
        <v>1494.42</v>
      </c>
      <c r="G211" s="57">
        <v>0</v>
      </c>
      <c r="H211" s="57">
        <f t="shared" si="9"/>
        <v>1494.42</v>
      </c>
      <c r="I211" s="58">
        <f>MAX(0,Mapping_Rules!$B$6-E211)</f>
        <v>0</v>
      </c>
      <c r="J211" s="59" t="str">
        <f t="shared" si="10"/>
        <v>Current</v>
      </c>
      <c r="K211" s="55" t="s">
        <v>77</v>
      </c>
      <c r="L211" s="55" t="s">
        <v>100</v>
      </c>
      <c r="M211" s="59" t="str">
        <f>IF(L211="Closed","Closed",IF(OR(H211&gt;=Mapping_Rules!$B$7,I211&gt;=Mapping_Rules!$B$8),"High Risk",IF(I211&gt;30,"Monitor","Normal")))</f>
        <v>Normal</v>
      </c>
      <c r="N211" s="59" t="str">
        <f t="shared" si="11"/>
        <v>Keep monitoring</v>
      </c>
    </row>
    <row r="212" spans="1:14" ht="27.6">
      <c r="A212" s="23" t="s">
        <v>1911</v>
      </c>
      <c r="B212" s="23" t="s">
        <v>81</v>
      </c>
      <c r="C212" s="23" t="s">
        <v>155</v>
      </c>
      <c r="D212" s="31">
        <v>45981</v>
      </c>
      <c r="E212" s="31">
        <v>46041</v>
      </c>
      <c r="F212" s="32">
        <v>8039.15</v>
      </c>
      <c r="G212" s="32">
        <v>0</v>
      </c>
      <c r="H212" s="32">
        <f t="shared" si="9"/>
        <v>8039.15</v>
      </c>
      <c r="I212" s="40">
        <f>MAX(0,Mapping_Rules!$B$6-E212)</f>
        <v>12</v>
      </c>
      <c r="J212" s="41" t="str">
        <f t="shared" si="10"/>
        <v>1-30</v>
      </c>
      <c r="K212" s="23" t="s">
        <v>103</v>
      </c>
      <c r="L212" s="23" t="s">
        <v>73</v>
      </c>
      <c r="M212" s="41" t="str">
        <f>IF(L212="Closed","Closed",IF(OR(H212&gt;=Mapping_Rules!$B$7,I212&gt;=Mapping_Rules!$B$8),"High Risk",IF(I212&gt;30,"Monitor","Normal")))</f>
        <v>High Risk</v>
      </c>
      <c r="N212" s="41" t="str">
        <f t="shared" si="11"/>
        <v>Call customer/vendor and escalate</v>
      </c>
    </row>
    <row r="213" spans="1:14">
      <c r="A213" s="55" t="s">
        <v>1912</v>
      </c>
      <c r="B213" s="55" t="s">
        <v>81</v>
      </c>
      <c r="C213" s="55" t="s">
        <v>173</v>
      </c>
      <c r="D213" s="56">
        <v>46049</v>
      </c>
      <c r="E213" s="56">
        <v>46094</v>
      </c>
      <c r="F213" s="57">
        <v>4601.07</v>
      </c>
      <c r="G213" s="57">
        <v>0</v>
      </c>
      <c r="H213" s="57">
        <f t="shared" si="9"/>
        <v>4601.07</v>
      </c>
      <c r="I213" s="58">
        <f>MAX(0,Mapping_Rules!$B$6-E213)</f>
        <v>0</v>
      </c>
      <c r="J213" s="59" t="str">
        <f t="shared" si="10"/>
        <v>Current</v>
      </c>
      <c r="K213" s="55" t="s">
        <v>95</v>
      </c>
      <c r="L213" s="55" t="s">
        <v>100</v>
      </c>
      <c r="M213" s="59" t="str">
        <f>IF(L213="Closed","Closed",IF(OR(H213&gt;=Mapping_Rules!$B$7,I213&gt;=Mapping_Rules!$B$8),"High Risk",IF(I213&gt;30,"Monitor","Normal")))</f>
        <v>Normal</v>
      </c>
      <c r="N213" s="59" t="str">
        <f t="shared" si="11"/>
        <v>Keep monitoring</v>
      </c>
    </row>
    <row r="214" spans="1:14">
      <c r="A214" s="23" t="s">
        <v>1913</v>
      </c>
      <c r="B214" s="23" t="s">
        <v>72</v>
      </c>
      <c r="C214" s="23" t="s">
        <v>126</v>
      </c>
      <c r="D214" s="31">
        <v>46006</v>
      </c>
      <c r="E214" s="31">
        <v>46021</v>
      </c>
      <c r="F214" s="32">
        <v>8803.5</v>
      </c>
      <c r="G214" s="32">
        <v>4241.3100000000004</v>
      </c>
      <c r="H214" s="32">
        <f t="shared" si="9"/>
        <v>4562.1899999999996</v>
      </c>
      <c r="I214" s="40">
        <f>MAX(0,Mapping_Rules!$B$6-E214)</f>
        <v>32</v>
      </c>
      <c r="J214" s="41" t="str">
        <f t="shared" si="10"/>
        <v>31-60</v>
      </c>
      <c r="K214" s="23" t="s">
        <v>86</v>
      </c>
      <c r="L214" s="23" t="s">
        <v>82</v>
      </c>
      <c r="M214" s="41" t="str">
        <f>IF(L214="Closed","Closed",IF(OR(H214&gt;=Mapping_Rules!$B$7,I214&gt;=Mapping_Rules!$B$8),"High Risk",IF(I214&gt;30,"Monitor","Normal")))</f>
        <v>Monitor</v>
      </c>
      <c r="N214" s="41" t="str">
        <f t="shared" si="11"/>
        <v>Send follow-up email</v>
      </c>
    </row>
    <row r="215" spans="1:14">
      <c r="A215" s="55" t="s">
        <v>1914</v>
      </c>
      <c r="B215" s="55" t="s">
        <v>72</v>
      </c>
      <c r="C215" s="55" t="s">
        <v>144</v>
      </c>
      <c r="D215" s="56">
        <v>46009</v>
      </c>
      <c r="E215" s="56">
        <v>46024</v>
      </c>
      <c r="F215" s="57">
        <v>162.52000000000001</v>
      </c>
      <c r="G215" s="57">
        <v>127.77</v>
      </c>
      <c r="H215" s="57">
        <f t="shared" si="9"/>
        <v>34.750000000000014</v>
      </c>
      <c r="I215" s="58">
        <f>MAX(0,Mapping_Rules!$B$6-E215)</f>
        <v>29</v>
      </c>
      <c r="J215" s="59" t="str">
        <f t="shared" si="10"/>
        <v>1-30</v>
      </c>
      <c r="K215" s="55" t="s">
        <v>77</v>
      </c>
      <c r="L215" s="55" t="s">
        <v>82</v>
      </c>
      <c r="M215" s="59" t="str">
        <f>IF(L215="Closed","Closed",IF(OR(H215&gt;=Mapping_Rules!$B$7,I215&gt;=Mapping_Rules!$B$8),"High Risk",IF(I215&gt;30,"Monitor","Normal")))</f>
        <v>Normal</v>
      </c>
      <c r="N215" s="59" t="str">
        <f t="shared" si="11"/>
        <v>Keep monitoring</v>
      </c>
    </row>
    <row r="216" spans="1:14">
      <c r="A216" s="23" t="s">
        <v>1915</v>
      </c>
      <c r="B216" s="23" t="s">
        <v>72</v>
      </c>
      <c r="C216" s="23" t="s">
        <v>139</v>
      </c>
      <c r="D216" s="31">
        <v>45965</v>
      </c>
      <c r="E216" s="31">
        <v>45995</v>
      </c>
      <c r="F216" s="32">
        <v>6560.98</v>
      </c>
      <c r="G216" s="32">
        <v>3650.46</v>
      </c>
      <c r="H216" s="32">
        <f t="shared" si="9"/>
        <v>2910.5199999999995</v>
      </c>
      <c r="I216" s="40">
        <f>MAX(0,Mapping_Rules!$B$6-E216)</f>
        <v>58</v>
      </c>
      <c r="J216" s="41" t="str">
        <f t="shared" si="10"/>
        <v>31-60</v>
      </c>
      <c r="K216" s="23" t="s">
        <v>103</v>
      </c>
      <c r="L216" s="23" t="s">
        <v>82</v>
      </c>
      <c r="M216" s="41" t="str">
        <f>IF(L216="Closed","Closed",IF(OR(H216&gt;=Mapping_Rules!$B$7,I216&gt;=Mapping_Rules!$B$8),"High Risk",IF(I216&gt;30,"Monitor","Normal")))</f>
        <v>Monitor</v>
      </c>
      <c r="N216" s="41" t="str">
        <f t="shared" si="11"/>
        <v>Send follow-up email</v>
      </c>
    </row>
    <row r="217" spans="1:14" ht="27.6">
      <c r="A217" s="55" t="s">
        <v>1916</v>
      </c>
      <c r="B217" s="55" t="s">
        <v>72</v>
      </c>
      <c r="C217" s="55" t="s">
        <v>150</v>
      </c>
      <c r="D217" s="56">
        <v>46017</v>
      </c>
      <c r="E217" s="56">
        <v>46047</v>
      </c>
      <c r="F217" s="57">
        <v>9987.94</v>
      </c>
      <c r="G217" s="57">
        <v>0</v>
      </c>
      <c r="H217" s="57">
        <f t="shared" si="9"/>
        <v>9987.94</v>
      </c>
      <c r="I217" s="58">
        <f>MAX(0,Mapping_Rules!$B$6-E217)</f>
        <v>6</v>
      </c>
      <c r="J217" s="59" t="str">
        <f t="shared" si="10"/>
        <v>1-30</v>
      </c>
      <c r="K217" s="55" t="s">
        <v>86</v>
      </c>
      <c r="L217" s="55" t="s">
        <v>73</v>
      </c>
      <c r="M217" s="59" t="str">
        <f>IF(L217="Closed","Closed",IF(OR(H217&gt;=Mapping_Rules!$B$7,I217&gt;=Mapping_Rules!$B$8),"High Risk",IF(I217&gt;30,"Monitor","Normal")))</f>
        <v>High Risk</v>
      </c>
      <c r="N217" s="59" t="str">
        <f t="shared" si="11"/>
        <v>Call customer/vendor and escalate</v>
      </c>
    </row>
    <row r="218" spans="1:14">
      <c r="A218" s="23" t="s">
        <v>1917</v>
      </c>
      <c r="B218" s="23" t="s">
        <v>72</v>
      </c>
      <c r="C218" s="23" t="s">
        <v>139</v>
      </c>
      <c r="D218" s="31">
        <v>46008</v>
      </c>
      <c r="E218" s="31">
        <v>46068</v>
      </c>
      <c r="F218" s="32">
        <v>2440.87</v>
      </c>
      <c r="G218" s="32">
        <v>2440.87</v>
      </c>
      <c r="H218" s="32">
        <f t="shared" si="9"/>
        <v>0</v>
      </c>
      <c r="I218" s="40">
        <f>MAX(0,Mapping_Rules!$B$6-E218)</f>
        <v>0</v>
      </c>
      <c r="J218" s="41" t="str">
        <f t="shared" si="10"/>
        <v>Current</v>
      </c>
      <c r="K218" s="23" t="s">
        <v>86</v>
      </c>
      <c r="L218" s="23" t="s">
        <v>104</v>
      </c>
      <c r="M218" s="41" t="str">
        <f>IF(L218="Closed","Closed",IF(OR(H218&gt;=Mapping_Rules!$B$7,I218&gt;=Mapping_Rules!$B$8),"High Risk",IF(I218&gt;30,"Monitor","Normal")))</f>
        <v>Closed</v>
      </c>
      <c r="N218" s="41" t="str">
        <f t="shared" si="11"/>
        <v>No action</v>
      </c>
    </row>
    <row r="219" spans="1:14">
      <c r="A219" s="55" t="s">
        <v>1918</v>
      </c>
      <c r="B219" s="55" t="s">
        <v>81</v>
      </c>
      <c r="C219" s="55" t="s">
        <v>220</v>
      </c>
      <c r="D219" s="56">
        <v>45971</v>
      </c>
      <c r="E219" s="56">
        <v>45986</v>
      </c>
      <c r="F219" s="57">
        <v>2288.34</v>
      </c>
      <c r="G219" s="57">
        <v>2288.34</v>
      </c>
      <c r="H219" s="57">
        <f t="shared" si="9"/>
        <v>0</v>
      </c>
      <c r="I219" s="58">
        <f>MAX(0,Mapping_Rules!$B$6-E219)</f>
        <v>67</v>
      </c>
      <c r="J219" s="59" t="str">
        <f t="shared" si="10"/>
        <v>61-90</v>
      </c>
      <c r="K219" s="55" t="s">
        <v>103</v>
      </c>
      <c r="L219" s="55" t="s">
        <v>104</v>
      </c>
      <c r="M219" s="59" t="str">
        <f>IF(L219="Closed","Closed",IF(OR(H219&gt;=Mapping_Rules!$B$7,I219&gt;=Mapping_Rules!$B$8),"High Risk",IF(I219&gt;30,"Monitor","Normal")))</f>
        <v>Closed</v>
      </c>
      <c r="N219" s="59" t="str">
        <f t="shared" si="11"/>
        <v>No action</v>
      </c>
    </row>
    <row r="220" spans="1:14">
      <c r="A220" s="23" t="s">
        <v>1919</v>
      </c>
      <c r="B220" s="23" t="s">
        <v>81</v>
      </c>
      <c r="C220" s="23" t="s">
        <v>220</v>
      </c>
      <c r="D220" s="31">
        <v>45979</v>
      </c>
      <c r="E220" s="31">
        <v>46039</v>
      </c>
      <c r="F220" s="32">
        <v>12923.27</v>
      </c>
      <c r="G220" s="32">
        <v>12923.27</v>
      </c>
      <c r="H220" s="32">
        <f t="shared" si="9"/>
        <v>0</v>
      </c>
      <c r="I220" s="40">
        <f>MAX(0,Mapping_Rules!$B$6-E220)</f>
        <v>14</v>
      </c>
      <c r="J220" s="41" t="str">
        <f t="shared" si="10"/>
        <v>1-30</v>
      </c>
      <c r="K220" s="23" t="s">
        <v>103</v>
      </c>
      <c r="L220" s="23" t="s">
        <v>104</v>
      </c>
      <c r="M220" s="41" t="str">
        <f>IF(L220="Closed","Closed",IF(OR(H220&gt;=Mapping_Rules!$B$7,I220&gt;=Mapping_Rules!$B$8),"High Risk",IF(I220&gt;30,"Monitor","Normal")))</f>
        <v>Closed</v>
      </c>
      <c r="N220" s="41" t="str">
        <f t="shared" si="11"/>
        <v>No action</v>
      </c>
    </row>
    <row r="221" spans="1:14" ht="27.6">
      <c r="A221" s="55" t="s">
        <v>1920</v>
      </c>
      <c r="B221" s="55" t="s">
        <v>81</v>
      </c>
      <c r="C221" s="55" t="s">
        <v>163</v>
      </c>
      <c r="D221" s="56">
        <v>46027</v>
      </c>
      <c r="E221" s="56">
        <v>46087</v>
      </c>
      <c r="F221" s="57">
        <v>8347.94</v>
      </c>
      <c r="G221" s="57">
        <v>0</v>
      </c>
      <c r="H221" s="57">
        <f t="shared" si="9"/>
        <v>8347.94</v>
      </c>
      <c r="I221" s="58">
        <f>MAX(0,Mapping_Rules!$B$6-E221)</f>
        <v>0</v>
      </c>
      <c r="J221" s="59" t="str">
        <f t="shared" si="10"/>
        <v>Current</v>
      </c>
      <c r="K221" s="55" t="s">
        <v>95</v>
      </c>
      <c r="L221" s="55" t="s">
        <v>73</v>
      </c>
      <c r="M221" s="59" t="str">
        <f>IF(L221="Closed","Closed",IF(OR(H221&gt;=Mapping_Rules!$B$7,I221&gt;=Mapping_Rules!$B$8),"High Risk",IF(I221&gt;30,"Monitor","Normal")))</f>
        <v>High Risk</v>
      </c>
      <c r="N221" s="59" t="str">
        <f t="shared" si="11"/>
        <v>Call customer/vendor and escalate</v>
      </c>
    </row>
    <row r="222" spans="1:14" ht="27.6">
      <c r="A222" s="23" t="s">
        <v>1921</v>
      </c>
      <c r="B222" s="23" t="s">
        <v>81</v>
      </c>
      <c r="C222" s="23" t="s">
        <v>173</v>
      </c>
      <c r="D222" s="31">
        <v>46016</v>
      </c>
      <c r="E222" s="31">
        <v>46031</v>
      </c>
      <c r="F222" s="32">
        <v>8732.39</v>
      </c>
      <c r="G222" s="32">
        <v>0</v>
      </c>
      <c r="H222" s="32">
        <f t="shared" si="9"/>
        <v>8732.39</v>
      </c>
      <c r="I222" s="40">
        <f>MAX(0,Mapping_Rules!$B$6-E222)</f>
        <v>22</v>
      </c>
      <c r="J222" s="41" t="str">
        <f t="shared" si="10"/>
        <v>1-30</v>
      </c>
      <c r="K222" s="23" t="s">
        <v>86</v>
      </c>
      <c r="L222" s="23" t="s">
        <v>100</v>
      </c>
      <c r="M222" s="41" t="str">
        <f>IF(L222="Closed","Closed",IF(OR(H222&gt;=Mapping_Rules!$B$7,I222&gt;=Mapping_Rules!$B$8),"High Risk",IF(I222&gt;30,"Monitor","Normal")))</f>
        <v>High Risk</v>
      </c>
      <c r="N222" s="41" t="str">
        <f t="shared" si="11"/>
        <v>Call customer/vendor and escalate</v>
      </c>
    </row>
    <row r="223" spans="1:14">
      <c r="A223" s="55" t="s">
        <v>1922</v>
      </c>
      <c r="B223" s="55" t="s">
        <v>72</v>
      </c>
      <c r="C223" s="55" t="s">
        <v>150</v>
      </c>
      <c r="D223" s="56">
        <v>46031</v>
      </c>
      <c r="E223" s="56">
        <v>46076</v>
      </c>
      <c r="F223" s="57">
        <v>646.91</v>
      </c>
      <c r="G223" s="57">
        <v>0</v>
      </c>
      <c r="H223" s="57">
        <f t="shared" si="9"/>
        <v>646.91</v>
      </c>
      <c r="I223" s="58">
        <f>MAX(0,Mapping_Rules!$B$6-E223)</f>
        <v>0</v>
      </c>
      <c r="J223" s="59" t="str">
        <f t="shared" si="10"/>
        <v>Current</v>
      </c>
      <c r="K223" s="55" t="s">
        <v>103</v>
      </c>
      <c r="L223" s="55" t="s">
        <v>73</v>
      </c>
      <c r="M223" s="59" t="str">
        <f>IF(L223="Closed","Closed",IF(OR(H223&gt;=Mapping_Rules!$B$7,I223&gt;=Mapping_Rules!$B$8),"High Risk",IF(I223&gt;30,"Monitor","Normal")))</f>
        <v>Normal</v>
      </c>
      <c r="N223" s="59" t="str">
        <f t="shared" si="11"/>
        <v>Keep monitoring</v>
      </c>
    </row>
  </sheetData>
  <mergeCells count="1">
    <mergeCell ref="A1:N1"/>
  </mergeCell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34495E"/>
  </sheetPr>
  <dimension ref="A1:R21"/>
  <sheetViews>
    <sheetView workbookViewId="0">
      <pane ySplit="3" topLeftCell="A4" activePane="bottomLeft" state="frozen"/>
      <selection pane="bottomLeft" sqref="A1:R1"/>
    </sheetView>
  </sheetViews>
  <sheetFormatPr defaultRowHeight="13.8"/>
  <cols>
    <col min="1" max="3" width="28" customWidth="1"/>
    <col min="4" max="4" width="16" customWidth="1"/>
    <col min="5" max="5" width="23" customWidth="1"/>
    <col min="6" max="6" width="28" customWidth="1"/>
    <col min="7" max="7" width="16" customWidth="1"/>
    <col min="8" max="8" width="14" customWidth="1"/>
    <col min="9" max="9" width="28" customWidth="1"/>
    <col min="10" max="10" width="16" customWidth="1"/>
    <col min="11" max="11" width="11" customWidth="1"/>
    <col min="12" max="12" width="28" customWidth="1"/>
    <col min="13" max="13" width="16" customWidth="1"/>
    <col min="14" max="14" width="12" customWidth="1"/>
    <col min="15" max="15" width="28" customWidth="1"/>
    <col min="16" max="18" width="16" customWidth="1"/>
  </cols>
  <sheetData>
    <row r="1" spans="1:18" ht="24" customHeight="1">
      <c r="A1" s="109" t="s">
        <v>1923</v>
      </c>
      <c r="B1" s="110"/>
      <c r="C1" s="110"/>
      <c r="D1" s="110"/>
      <c r="E1" s="110"/>
      <c r="F1" s="110"/>
      <c r="G1" s="110"/>
      <c r="H1" s="110"/>
      <c r="I1" s="110"/>
      <c r="J1" s="110"/>
      <c r="K1" s="110"/>
      <c r="L1" s="110"/>
      <c r="M1" s="110"/>
      <c r="N1" s="110"/>
      <c r="O1" s="110"/>
      <c r="P1" s="110"/>
      <c r="Q1" s="110"/>
      <c r="R1" s="110"/>
    </row>
    <row r="2" spans="1:18" ht="22.05" customHeight="1">
      <c r="A2" s="60"/>
      <c r="B2" s="60"/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</row>
    <row r="3" spans="1:18" ht="22.05" customHeight="1">
      <c r="A3" s="61" t="s">
        <v>1924</v>
      </c>
      <c r="B3" s="61" t="s">
        <v>60</v>
      </c>
      <c r="C3" s="61" t="s">
        <v>1925</v>
      </c>
      <c r="D3" s="61"/>
      <c r="E3" s="61" t="s">
        <v>1926</v>
      </c>
      <c r="F3" s="61" t="s">
        <v>1927</v>
      </c>
      <c r="G3" s="61"/>
      <c r="H3" s="61" t="s">
        <v>67</v>
      </c>
      <c r="I3" s="61" t="s">
        <v>1928</v>
      </c>
      <c r="J3" s="61"/>
      <c r="K3" s="61" t="s">
        <v>114</v>
      </c>
      <c r="L3" s="61" t="s">
        <v>1929</v>
      </c>
      <c r="M3" s="61"/>
      <c r="N3" s="61" t="s">
        <v>69</v>
      </c>
      <c r="O3" s="61" t="s">
        <v>1927</v>
      </c>
      <c r="P3" s="61"/>
      <c r="Q3" s="61"/>
      <c r="R3" s="61"/>
    </row>
    <row r="4" spans="1:18">
      <c r="A4" s="9" t="s">
        <v>1930</v>
      </c>
      <c r="B4" s="62">
        <f>COUNTA(ERP_Transactions!$A$4:$A$503)</f>
        <v>500</v>
      </c>
      <c r="C4" s="13" t="s">
        <v>1931</v>
      </c>
      <c r="D4" s="12"/>
      <c r="E4" s="13" t="s">
        <v>1932</v>
      </c>
      <c r="F4" s="63">
        <f ca="1">COUNTIF(Reconciliation!$K$4:$K$503,E4)</f>
        <v>0</v>
      </c>
      <c r="G4" s="12"/>
      <c r="H4" s="13" t="s">
        <v>76</v>
      </c>
      <c r="I4" s="64">
        <f>SUMIF(Open_Invoices!$J$4:$J$223,H4,Open_Invoices!$H$4:$H$223)</f>
        <v>618175.07999999984</v>
      </c>
      <c r="J4" s="12"/>
      <c r="K4" s="13" t="s">
        <v>72</v>
      </c>
      <c r="L4" s="64">
        <f>SUMIFS(ERP_Transactions!$H$4:$H$503,ERP_Transactions!$D$4:$D$503,K4)+SUMIFS(ERP_Transactions!$I$4:$I$503,ERP_Transactions!$D$4:$D$503,K4)</f>
        <v>556583.98000000033</v>
      </c>
      <c r="M4" s="12"/>
      <c r="N4" s="13" t="s">
        <v>104</v>
      </c>
      <c r="O4" s="63">
        <f>COUNTIF(Open_Invoices!$M$4:$M$223,N4)</f>
        <v>25</v>
      </c>
      <c r="P4" s="12"/>
      <c r="Q4" s="12"/>
      <c r="R4" s="12"/>
    </row>
    <row r="5" spans="1:18">
      <c r="A5" s="65" t="s">
        <v>1933</v>
      </c>
      <c r="B5" s="66">
        <f>COUNTA(Bank_Statement!$A$4:$A$448)</f>
        <v>445</v>
      </c>
      <c r="C5" s="67" t="s">
        <v>1934</v>
      </c>
      <c r="D5" s="68"/>
      <c r="E5" s="67" t="s">
        <v>1935</v>
      </c>
      <c r="F5" s="60">
        <f ca="1">COUNTIF(Reconciliation!$K$4:$K$503,E5)</f>
        <v>0</v>
      </c>
      <c r="G5" s="68"/>
      <c r="H5" s="67" t="s">
        <v>85</v>
      </c>
      <c r="I5" s="69">
        <f>SUMIF(Open_Invoices!$J$4:$J$223,H5,Open_Invoices!$H$4:$H$223)</f>
        <v>364527.08000000007</v>
      </c>
      <c r="J5" s="68"/>
      <c r="K5" s="67" t="s">
        <v>81</v>
      </c>
      <c r="L5" s="69">
        <f>SUMIFS(ERP_Transactions!$H$4:$H$503,ERP_Transactions!$D$4:$D$503,K5)+SUMIFS(ERP_Transactions!$I$4:$I$503,ERP_Transactions!$D$4:$D$503,K5)</f>
        <v>619709.64999999991</v>
      </c>
      <c r="M5" s="68"/>
      <c r="N5" s="67" t="s">
        <v>96</v>
      </c>
      <c r="O5" s="60">
        <f>COUNTIF(Open_Invoices!$M$4:$M$223,N5)</f>
        <v>118</v>
      </c>
      <c r="P5" s="68"/>
      <c r="Q5" s="68"/>
      <c r="R5" s="68"/>
    </row>
    <row r="6" spans="1:18">
      <c r="A6" s="9" t="s">
        <v>1936</v>
      </c>
      <c r="B6" s="70">
        <f ca="1">COUNTIF(Reconciliation!$K$4:$K$503,"Matched")</f>
        <v>0</v>
      </c>
      <c r="C6" s="13" t="s">
        <v>1937</v>
      </c>
      <c r="D6" s="12"/>
      <c r="E6" s="13" t="s">
        <v>1938</v>
      </c>
      <c r="F6" s="63">
        <f ca="1">COUNTIF(Reconciliation!$K$4:$K$503,E6)</f>
        <v>500</v>
      </c>
      <c r="G6" s="12"/>
      <c r="H6" s="13" t="s">
        <v>94</v>
      </c>
      <c r="I6" s="64">
        <f>SUMIF(Open_Invoices!$J$4:$J$223,H6,Open_Invoices!$H$4:$H$223)</f>
        <v>237433.66000000003</v>
      </c>
      <c r="J6" s="12"/>
      <c r="K6" s="13" t="s">
        <v>90</v>
      </c>
      <c r="L6" s="64">
        <f>SUMIFS(ERP_Transactions!$H$4:$H$503,ERP_Transactions!$D$4:$D$503,K6)+SUMIFS(ERP_Transactions!$I$4:$I$503,ERP_Transactions!$D$4:$D$503,K6)</f>
        <v>167237.63999999998</v>
      </c>
      <c r="M6" s="12"/>
      <c r="N6" s="13" t="s">
        <v>87</v>
      </c>
      <c r="O6" s="63">
        <f>COUNTIF(Open_Invoices!$M$4:$M$223,N6)</f>
        <v>15</v>
      </c>
      <c r="P6" s="12"/>
      <c r="Q6" s="12"/>
      <c r="R6" s="12"/>
    </row>
    <row r="7" spans="1:18">
      <c r="A7" s="65" t="s">
        <v>1939</v>
      </c>
      <c r="B7" s="71">
        <f ca="1">COUNTIF(Reconciliation!$K$4:$K$503,"Review")</f>
        <v>0</v>
      </c>
      <c r="C7" s="67" t="s">
        <v>1940</v>
      </c>
      <c r="D7" s="68"/>
      <c r="E7" s="68"/>
      <c r="F7" s="68"/>
      <c r="G7" s="68"/>
      <c r="H7" s="67" t="s">
        <v>102</v>
      </c>
      <c r="I7" s="69">
        <f>SUMIF(Open_Invoices!$J$4:$J$223,H7,Open_Invoices!$H$4:$H$223)</f>
        <v>77430.94</v>
      </c>
      <c r="J7" s="68"/>
      <c r="K7" s="67" t="s">
        <v>99</v>
      </c>
      <c r="L7" s="69">
        <f>SUMIFS(ERP_Transactions!$H$4:$H$503,ERP_Transactions!$D$4:$D$503,K7)+SUMIFS(ERP_Transactions!$I$4:$I$503,ERP_Transactions!$D$4:$D$503,K7)</f>
        <v>640667.22000000009</v>
      </c>
      <c r="M7" s="68"/>
      <c r="N7" s="67" t="s">
        <v>78</v>
      </c>
      <c r="O7" s="60">
        <f>COUNTIF(Open_Invoices!$M$4:$M$223,N7)</f>
        <v>62</v>
      </c>
      <c r="P7" s="68"/>
      <c r="Q7" s="68"/>
      <c r="R7" s="68"/>
    </row>
    <row r="8" spans="1:18">
      <c r="A8" s="9" t="s">
        <v>1941</v>
      </c>
      <c r="B8" s="70">
        <f ca="1">COUNTIF(Reconciliation!$K$4:$K$503,"Unmatched ERP")</f>
        <v>500</v>
      </c>
      <c r="C8" s="13" t="s">
        <v>1942</v>
      </c>
      <c r="D8" s="12"/>
      <c r="E8" s="12"/>
      <c r="F8" s="12"/>
      <c r="G8" s="12"/>
      <c r="H8" s="13" t="s">
        <v>109</v>
      </c>
      <c r="I8" s="64">
        <f>SUMIF(Open_Invoices!$J$4:$J$223,H8,Open_Invoices!$H$4:$H$223)</f>
        <v>0</v>
      </c>
      <c r="J8" s="12"/>
      <c r="K8" s="13" t="s">
        <v>107</v>
      </c>
      <c r="L8" s="64">
        <f>SUMIFS(ERP_Transactions!$H$4:$H$503,ERP_Transactions!$D$4:$D$503,K8)+SUMIFS(ERP_Transactions!$I$4:$I$503,ERP_Transactions!$D$4:$D$503,K8)</f>
        <v>2350.7700000000004</v>
      </c>
      <c r="M8" s="12"/>
      <c r="N8" s="12"/>
      <c r="O8" s="12"/>
      <c r="P8" s="12"/>
      <c r="Q8" s="12"/>
      <c r="R8" s="12"/>
    </row>
    <row r="9" spans="1:18">
      <c r="A9" s="65" t="s">
        <v>1943</v>
      </c>
      <c r="B9" s="72">
        <f ca="1">IFERROR(B6/B4,0)</f>
        <v>0</v>
      </c>
      <c r="C9" s="67" t="s">
        <v>1944</v>
      </c>
      <c r="D9" s="68"/>
      <c r="E9" s="68"/>
      <c r="F9" s="68"/>
      <c r="G9" s="68"/>
      <c r="H9" s="68"/>
      <c r="I9" s="68"/>
      <c r="J9" s="68"/>
      <c r="K9" s="68"/>
      <c r="L9" s="68"/>
      <c r="M9" s="68"/>
      <c r="N9" s="68"/>
      <c r="O9" s="68"/>
      <c r="P9" s="68"/>
      <c r="Q9" s="68"/>
      <c r="R9" s="68"/>
    </row>
    <row r="10" spans="1:18">
      <c r="A10" s="9" t="s">
        <v>1945</v>
      </c>
      <c r="B10" s="70">
        <f>COUNTIF(Bank_Statement!$H$4:$H$448,"Needs ERP Review")</f>
        <v>34</v>
      </c>
      <c r="C10" s="13" t="s">
        <v>1946</v>
      </c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</row>
    <row r="11" spans="1:18">
      <c r="A11" s="65" t="s">
        <v>1947</v>
      </c>
      <c r="B11" s="73">
        <f>SUM(Open_Invoices!$H$4:$H$223)</f>
        <v>1297566.7600000002</v>
      </c>
      <c r="C11" s="67" t="s">
        <v>1948</v>
      </c>
      <c r="D11" s="68"/>
      <c r="E11" s="68"/>
      <c r="F11" s="68"/>
      <c r="G11" s="68"/>
      <c r="H11" s="68"/>
      <c r="I11" s="68"/>
      <c r="J11" s="68"/>
      <c r="K11" s="68"/>
      <c r="L11" s="68"/>
      <c r="M11" s="68"/>
      <c r="N11" s="68"/>
      <c r="O11" s="68"/>
      <c r="P11" s="68"/>
      <c r="Q11" s="68"/>
      <c r="R11" s="68"/>
    </row>
    <row r="12" spans="1:18">
      <c r="A12" s="9" t="s">
        <v>1949</v>
      </c>
      <c r="B12" s="70">
        <f>COUNTIF(Open_Invoices!$M$4:$M$223,"High Risk")</f>
        <v>118</v>
      </c>
      <c r="C12" s="13" t="s">
        <v>1950</v>
      </c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</row>
    <row r="13" spans="1:18">
      <c r="A13" s="65" t="s">
        <v>1951</v>
      </c>
      <c r="B13" s="66">
        <f>COUNTA(Exception_Log!$A$4:$A$83)</f>
        <v>80</v>
      </c>
      <c r="C13" s="67" t="s">
        <v>1952</v>
      </c>
      <c r="D13" s="68"/>
      <c r="E13" s="68"/>
      <c r="F13" s="68"/>
      <c r="G13" s="68"/>
      <c r="H13" s="68"/>
      <c r="I13" s="68"/>
      <c r="J13" s="68"/>
      <c r="K13" s="68"/>
      <c r="L13" s="68"/>
      <c r="M13" s="68"/>
      <c r="N13" s="68"/>
      <c r="O13" s="68"/>
      <c r="P13" s="68"/>
      <c r="Q13" s="68"/>
      <c r="R13" s="68"/>
    </row>
    <row r="14" spans="1:18">
      <c r="A14" s="12"/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</row>
    <row r="15" spans="1:18">
      <c r="A15" s="68"/>
      <c r="B15" s="68"/>
      <c r="C15" s="68"/>
      <c r="D15" s="68"/>
      <c r="E15" s="68"/>
      <c r="F15" s="68"/>
      <c r="G15" s="68"/>
      <c r="H15" s="68"/>
      <c r="I15" s="68"/>
      <c r="J15" s="68"/>
      <c r="K15" s="68"/>
      <c r="L15" s="68"/>
      <c r="M15" s="68"/>
      <c r="N15" s="68"/>
      <c r="O15" s="68"/>
      <c r="P15" s="68"/>
      <c r="Q15" s="68"/>
      <c r="R15" s="68"/>
    </row>
    <row r="16" spans="1:18">
      <c r="A16" s="107" t="s">
        <v>1953</v>
      </c>
      <c r="B16" s="108"/>
      <c r="C16" s="108"/>
      <c r="D16" s="108"/>
      <c r="E16" s="108"/>
      <c r="F16" s="108"/>
      <c r="G16" s="108"/>
      <c r="H16" s="108"/>
      <c r="I16" s="108"/>
      <c r="J16" s="108"/>
      <c r="K16" s="108"/>
      <c r="L16" s="108"/>
      <c r="M16" s="108"/>
      <c r="N16" s="108"/>
      <c r="O16" s="108"/>
      <c r="P16" s="108"/>
      <c r="Q16" s="108"/>
      <c r="R16" s="108"/>
    </row>
    <row r="17" spans="1:18">
      <c r="A17" s="65" t="s">
        <v>1954</v>
      </c>
      <c r="B17" s="74" t="s">
        <v>1955</v>
      </c>
      <c r="C17" s="74" t="s">
        <v>1956</v>
      </c>
      <c r="D17" s="68"/>
      <c r="E17" s="68"/>
      <c r="F17" s="68"/>
      <c r="G17" s="68"/>
      <c r="H17" s="68"/>
      <c r="I17" s="68"/>
      <c r="J17" s="68"/>
      <c r="K17" s="68"/>
      <c r="L17" s="68"/>
      <c r="M17" s="68"/>
      <c r="N17" s="68"/>
      <c r="O17" s="68"/>
      <c r="P17" s="68"/>
      <c r="Q17" s="68"/>
      <c r="R17" s="68"/>
    </row>
    <row r="18" spans="1:18" ht="41.4">
      <c r="A18" s="9" t="s">
        <v>1957</v>
      </c>
      <c r="B18" s="11" t="s">
        <v>1958</v>
      </c>
      <c r="C18" s="13" t="s">
        <v>1959</v>
      </c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</row>
    <row r="19" spans="1:18" ht="69">
      <c r="A19" s="65" t="s">
        <v>1960</v>
      </c>
      <c r="B19" s="75" t="s">
        <v>1961</v>
      </c>
      <c r="C19" s="67" t="s">
        <v>1962</v>
      </c>
      <c r="D19" s="68"/>
      <c r="E19" s="68"/>
      <c r="F19" s="68"/>
      <c r="G19" s="68"/>
      <c r="H19" s="68"/>
      <c r="I19" s="68"/>
      <c r="J19" s="68"/>
      <c r="K19" s="68"/>
      <c r="L19" s="68"/>
      <c r="M19" s="68"/>
      <c r="N19" s="68"/>
      <c r="O19" s="68"/>
      <c r="P19" s="68"/>
      <c r="Q19" s="68"/>
      <c r="R19" s="68"/>
    </row>
    <row r="20" spans="1:18" ht="41.4">
      <c r="A20" s="9" t="s">
        <v>1963</v>
      </c>
      <c r="B20" s="11" t="s">
        <v>1964</v>
      </c>
      <c r="C20" s="13" t="s">
        <v>1965</v>
      </c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</row>
    <row r="21" spans="1:18" ht="69">
      <c r="A21" s="65" t="s">
        <v>1966</v>
      </c>
      <c r="B21" s="75" t="s">
        <v>1967</v>
      </c>
      <c r="C21" s="67" t="s">
        <v>1968</v>
      </c>
      <c r="D21" s="68"/>
      <c r="E21" s="68"/>
      <c r="F21" s="68"/>
      <c r="G21" s="68"/>
      <c r="H21" s="68"/>
      <c r="I21" s="68"/>
      <c r="J21" s="68"/>
      <c r="K21" s="68"/>
      <c r="L21" s="68"/>
      <c r="M21" s="68"/>
      <c r="N21" s="68"/>
      <c r="O21" s="68"/>
      <c r="P21" s="68"/>
      <c r="Q21" s="68"/>
      <c r="R21" s="68"/>
    </row>
  </sheetData>
  <mergeCells count="2">
    <mergeCell ref="A16:R16"/>
    <mergeCell ref="A1:R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C0392B"/>
  </sheetPr>
  <dimension ref="A1:J83"/>
  <sheetViews>
    <sheetView tabSelected="1" workbookViewId="0">
      <pane ySplit="3" topLeftCell="A4" activePane="bottomLeft" state="frozen"/>
      <selection pane="bottomLeft" sqref="A1:J1"/>
    </sheetView>
  </sheetViews>
  <sheetFormatPr defaultRowHeight="13.8"/>
  <cols>
    <col min="1" max="1" width="28" customWidth="1"/>
    <col min="2" max="2" width="16" customWidth="1"/>
    <col min="3" max="3" width="14" customWidth="1"/>
    <col min="4" max="4" width="21" customWidth="1"/>
    <col min="5" max="5" width="25" customWidth="1"/>
    <col min="6" max="6" width="11" customWidth="1"/>
    <col min="7" max="7" width="19" customWidth="1"/>
    <col min="8" max="8" width="10" customWidth="1"/>
    <col min="9" max="9" width="23" customWidth="1"/>
    <col min="10" max="10" width="28" customWidth="1"/>
  </cols>
  <sheetData>
    <row r="1" spans="1:10" ht="24" customHeight="1">
      <c r="A1" s="93" t="s">
        <v>1969</v>
      </c>
      <c r="B1" s="94"/>
      <c r="C1" s="94"/>
      <c r="D1" s="94"/>
      <c r="E1" s="94"/>
      <c r="F1" s="94"/>
      <c r="G1" s="94"/>
      <c r="H1" s="94"/>
      <c r="I1" s="94"/>
      <c r="J1" s="94"/>
    </row>
    <row r="2" spans="1:10" ht="22.05" customHeight="1">
      <c r="A2" s="76"/>
      <c r="B2" s="76"/>
      <c r="C2" s="76"/>
      <c r="D2" s="76"/>
      <c r="E2" s="76"/>
      <c r="F2" s="76"/>
      <c r="G2" s="76"/>
      <c r="H2" s="76"/>
      <c r="I2" s="76"/>
      <c r="J2" s="76"/>
    </row>
    <row r="3" spans="1:10" ht="22.05" customHeight="1">
      <c r="A3" s="77" t="s">
        <v>1970</v>
      </c>
      <c r="B3" s="77" t="s">
        <v>1971</v>
      </c>
      <c r="C3" s="77" t="s">
        <v>117</v>
      </c>
      <c r="D3" s="77" t="s">
        <v>1972</v>
      </c>
      <c r="E3" s="77" t="s">
        <v>1973</v>
      </c>
      <c r="F3" s="77" t="s">
        <v>1974</v>
      </c>
      <c r="G3" s="77" t="s">
        <v>1683</v>
      </c>
      <c r="H3" s="77" t="s">
        <v>65</v>
      </c>
      <c r="I3" s="77" t="s">
        <v>1685</v>
      </c>
      <c r="J3" s="77" t="s">
        <v>1684</v>
      </c>
    </row>
    <row r="4" spans="1:10">
      <c r="A4" s="23" t="s">
        <v>1975</v>
      </c>
      <c r="B4" s="23" t="s">
        <v>1976</v>
      </c>
      <c r="C4" s="23" t="s">
        <v>1749</v>
      </c>
      <c r="D4" s="31">
        <v>45977</v>
      </c>
      <c r="E4" s="23" t="s">
        <v>204</v>
      </c>
      <c r="F4" s="32">
        <v>12742.96</v>
      </c>
      <c r="G4" s="23" t="s">
        <v>108</v>
      </c>
      <c r="H4" s="23" t="s">
        <v>74</v>
      </c>
      <c r="I4" s="23" t="s">
        <v>77</v>
      </c>
      <c r="J4" s="23" t="s">
        <v>1977</v>
      </c>
    </row>
    <row r="5" spans="1:10">
      <c r="A5" s="78" t="s">
        <v>1978</v>
      </c>
      <c r="B5" s="78" t="s">
        <v>1976</v>
      </c>
      <c r="C5" s="78" t="s">
        <v>1879</v>
      </c>
      <c r="D5" s="79">
        <v>45977</v>
      </c>
      <c r="E5" s="78" t="s">
        <v>139</v>
      </c>
      <c r="F5" s="80">
        <v>10334.66</v>
      </c>
      <c r="G5" s="78" t="s">
        <v>108</v>
      </c>
      <c r="H5" s="78" t="s">
        <v>74</v>
      </c>
      <c r="I5" s="78" t="s">
        <v>77</v>
      </c>
      <c r="J5" s="78" t="s">
        <v>1977</v>
      </c>
    </row>
    <row r="6" spans="1:10">
      <c r="A6" s="23" t="s">
        <v>1979</v>
      </c>
      <c r="B6" s="23" t="s">
        <v>1976</v>
      </c>
      <c r="C6" s="23" t="s">
        <v>1776</v>
      </c>
      <c r="D6" s="31">
        <v>45978</v>
      </c>
      <c r="E6" s="23" t="s">
        <v>214</v>
      </c>
      <c r="F6" s="32">
        <v>7921.25</v>
      </c>
      <c r="G6" s="23" t="s">
        <v>108</v>
      </c>
      <c r="H6" s="23" t="s">
        <v>74</v>
      </c>
      <c r="I6" s="23" t="s">
        <v>86</v>
      </c>
      <c r="J6" s="23" t="s">
        <v>1977</v>
      </c>
    </row>
    <row r="7" spans="1:10">
      <c r="A7" s="78" t="s">
        <v>1980</v>
      </c>
      <c r="B7" s="78" t="s">
        <v>1976</v>
      </c>
      <c r="C7" s="78" t="s">
        <v>1788</v>
      </c>
      <c r="D7" s="79">
        <v>45978</v>
      </c>
      <c r="E7" s="78" t="s">
        <v>139</v>
      </c>
      <c r="F7" s="80">
        <v>14622.79</v>
      </c>
      <c r="G7" s="78" t="s">
        <v>108</v>
      </c>
      <c r="H7" s="78" t="s">
        <v>74</v>
      </c>
      <c r="I7" s="78" t="s">
        <v>77</v>
      </c>
      <c r="J7" s="78" t="s">
        <v>1977</v>
      </c>
    </row>
    <row r="8" spans="1:10">
      <c r="A8" s="23" t="s">
        <v>1981</v>
      </c>
      <c r="B8" s="23" t="s">
        <v>1976</v>
      </c>
      <c r="C8" s="23" t="s">
        <v>1894</v>
      </c>
      <c r="D8" s="31">
        <v>45978</v>
      </c>
      <c r="E8" s="23" t="s">
        <v>144</v>
      </c>
      <c r="F8" s="32">
        <v>3217.67</v>
      </c>
      <c r="G8" s="23" t="s">
        <v>108</v>
      </c>
      <c r="H8" s="23" t="s">
        <v>74</v>
      </c>
      <c r="I8" s="23" t="s">
        <v>77</v>
      </c>
      <c r="J8" s="23" t="s">
        <v>1977</v>
      </c>
    </row>
    <row r="9" spans="1:10">
      <c r="A9" s="78" t="s">
        <v>1982</v>
      </c>
      <c r="B9" s="78" t="s">
        <v>1976</v>
      </c>
      <c r="C9" s="78" t="s">
        <v>1808</v>
      </c>
      <c r="D9" s="79">
        <v>45982</v>
      </c>
      <c r="E9" s="78" t="s">
        <v>204</v>
      </c>
      <c r="F9" s="80">
        <v>12541.68</v>
      </c>
      <c r="G9" s="78" t="s">
        <v>108</v>
      </c>
      <c r="H9" s="78" t="s">
        <v>74</v>
      </c>
      <c r="I9" s="78" t="s">
        <v>77</v>
      </c>
      <c r="J9" s="78" t="s">
        <v>1977</v>
      </c>
    </row>
    <row r="10" spans="1:10">
      <c r="A10" s="23" t="s">
        <v>1983</v>
      </c>
      <c r="B10" s="23" t="s">
        <v>1976</v>
      </c>
      <c r="C10" s="23" t="s">
        <v>1897</v>
      </c>
      <c r="D10" s="31">
        <v>45983</v>
      </c>
      <c r="E10" s="23" t="s">
        <v>163</v>
      </c>
      <c r="F10" s="32">
        <v>6483.02</v>
      </c>
      <c r="G10" s="23" t="s">
        <v>108</v>
      </c>
      <c r="H10" s="23" t="s">
        <v>74</v>
      </c>
      <c r="I10" s="23" t="s">
        <v>86</v>
      </c>
      <c r="J10" s="23" t="s">
        <v>1977</v>
      </c>
    </row>
    <row r="11" spans="1:10">
      <c r="A11" s="78" t="s">
        <v>1984</v>
      </c>
      <c r="B11" s="78" t="s">
        <v>1976</v>
      </c>
      <c r="C11" s="78" t="s">
        <v>1846</v>
      </c>
      <c r="D11" s="79">
        <v>45985</v>
      </c>
      <c r="E11" s="78" t="s">
        <v>214</v>
      </c>
      <c r="F11" s="80">
        <v>2884.41</v>
      </c>
      <c r="G11" s="78" t="s">
        <v>108</v>
      </c>
      <c r="H11" s="78" t="s">
        <v>74</v>
      </c>
      <c r="I11" s="78" t="s">
        <v>86</v>
      </c>
      <c r="J11" s="78" t="s">
        <v>1977</v>
      </c>
    </row>
    <row r="12" spans="1:10">
      <c r="A12" s="23" t="s">
        <v>1985</v>
      </c>
      <c r="B12" s="23" t="s">
        <v>1976</v>
      </c>
      <c r="C12" s="23" t="s">
        <v>1712</v>
      </c>
      <c r="D12" s="31">
        <v>45992</v>
      </c>
      <c r="E12" s="23" t="s">
        <v>204</v>
      </c>
      <c r="F12" s="32">
        <v>6682.5</v>
      </c>
      <c r="G12" s="23" t="s">
        <v>108</v>
      </c>
      <c r="H12" s="23" t="s">
        <v>74</v>
      </c>
      <c r="I12" s="23" t="s">
        <v>77</v>
      </c>
      <c r="J12" s="23" t="s">
        <v>1977</v>
      </c>
    </row>
    <row r="13" spans="1:10">
      <c r="A13" s="78" t="s">
        <v>1986</v>
      </c>
      <c r="B13" s="78" t="s">
        <v>1976</v>
      </c>
      <c r="C13" s="78" t="s">
        <v>1759</v>
      </c>
      <c r="D13" s="79">
        <v>45993</v>
      </c>
      <c r="E13" s="78" t="s">
        <v>139</v>
      </c>
      <c r="F13" s="80">
        <v>6409.58</v>
      </c>
      <c r="G13" s="78" t="s">
        <v>108</v>
      </c>
      <c r="H13" s="78" t="s">
        <v>74</v>
      </c>
      <c r="I13" s="78" t="s">
        <v>77</v>
      </c>
      <c r="J13" s="78" t="s">
        <v>1977</v>
      </c>
    </row>
    <row r="14" spans="1:10">
      <c r="A14" s="23" t="s">
        <v>1987</v>
      </c>
      <c r="B14" s="23" t="s">
        <v>1976</v>
      </c>
      <c r="C14" s="23" t="s">
        <v>1868</v>
      </c>
      <c r="D14" s="31">
        <v>45995</v>
      </c>
      <c r="E14" s="23" t="s">
        <v>173</v>
      </c>
      <c r="F14" s="32">
        <v>9851.16</v>
      </c>
      <c r="G14" s="23" t="s">
        <v>108</v>
      </c>
      <c r="H14" s="23" t="s">
        <v>74</v>
      </c>
      <c r="I14" s="23" t="s">
        <v>86</v>
      </c>
      <c r="J14" s="23" t="s">
        <v>1977</v>
      </c>
    </row>
    <row r="15" spans="1:10">
      <c r="A15" s="78" t="s">
        <v>1988</v>
      </c>
      <c r="B15" s="78" t="s">
        <v>1976</v>
      </c>
      <c r="C15" s="78" t="s">
        <v>1789</v>
      </c>
      <c r="D15" s="79">
        <v>45996</v>
      </c>
      <c r="E15" s="78" t="s">
        <v>133</v>
      </c>
      <c r="F15" s="80">
        <v>6993.39</v>
      </c>
      <c r="G15" s="78" t="s">
        <v>108</v>
      </c>
      <c r="H15" s="78" t="s">
        <v>74</v>
      </c>
      <c r="I15" s="78" t="s">
        <v>77</v>
      </c>
      <c r="J15" s="78" t="s">
        <v>1977</v>
      </c>
    </row>
    <row r="16" spans="1:10">
      <c r="A16" s="23" t="s">
        <v>1989</v>
      </c>
      <c r="B16" s="23" t="s">
        <v>1976</v>
      </c>
      <c r="C16" s="23" t="s">
        <v>1804</v>
      </c>
      <c r="D16" s="31">
        <v>46002</v>
      </c>
      <c r="E16" s="23" t="s">
        <v>220</v>
      </c>
      <c r="F16" s="32">
        <v>7357.75</v>
      </c>
      <c r="G16" s="23" t="s">
        <v>108</v>
      </c>
      <c r="H16" s="23" t="s">
        <v>74</v>
      </c>
      <c r="I16" s="23" t="s">
        <v>86</v>
      </c>
      <c r="J16" s="23" t="s">
        <v>1977</v>
      </c>
    </row>
    <row r="17" spans="1:10">
      <c r="A17" s="78" t="s">
        <v>1990</v>
      </c>
      <c r="B17" s="78" t="s">
        <v>1976</v>
      </c>
      <c r="C17" s="78" t="s">
        <v>1721</v>
      </c>
      <c r="D17" s="79">
        <v>46004</v>
      </c>
      <c r="E17" s="78" t="s">
        <v>167</v>
      </c>
      <c r="F17" s="80">
        <v>5951.05</v>
      </c>
      <c r="G17" s="78" t="s">
        <v>108</v>
      </c>
      <c r="H17" s="78" t="s">
        <v>74</v>
      </c>
      <c r="I17" s="78" t="s">
        <v>86</v>
      </c>
      <c r="J17" s="78" t="s">
        <v>1977</v>
      </c>
    </row>
    <row r="18" spans="1:10">
      <c r="A18" s="23" t="s">
        <v>1991</v>
      </c>
      <c r="B18" s="23" t="s">
        <v>1976</v>
      </c>
      <c r="C18" s="23" t="s">
        <v>1818</v>
      </c>
      <c r="D18" s="31">
        <v>46004</v>
      </c>
      <c r="E18" s="23" t="s">
        <v>204</v>
      </c>
      <c r="F18" s="32">
        <v>10895.17</v>
      </c>
      <c r="G18" s="23" t="s">
        <v>108</v>
      </c>
      <c r="H18" s="23" t="s">
        <v>74</v>
      </c>
      <c r="I18" s="23" t="s">
        <v>77</v>
      </c>
      <c r="J18" s="23" t="s">
        <v>1977</v>
      </c>
    </row>
    <row r="19" spans="1:10">
      <c r="A19" s="78" t="s">
        <v>1992</v>
      </c>
      <c r="B19" s="78" t="s">
        <v>1976</v>
      </c>
      <c r="C19" s="78" t="s">
        <v>1775</v>
      </c>
      <c r="D19" s="79">
        <v>46006</v>
      </c>
      <c r="E19" s="78" t="s">
        <v>204</v>
      </c>
      <c r="F19" s="80">
        <v>6711.63</v>
      </c>
      <c r="G19" s="78" t="s">
        <v>108</v>
      </c>
      <c r="H19" s="78" t="s">
        <v>74</v>
      </c>
      <c r="I19" s="78" t="s">
        <v>77</v>
      </c>
      <c r="J19" s="78" t="s">
        <v>1977</v>
      </c>
    </row>
    <row r="20" spans="1:10">
      <c r="A20" s="23" t="s">
        <v>1993</v>
      </c>
      <c r="B20" s="23" t="s">
        <v>1976</v>
      </c>
      <c r="C20" s="23" t="s">
        <v>1815</v>
      </c>
      <c r="D20" s="31">
        <v>46007</v>
      </c>
      <c r="E20" s="23" t="s">
        <v>214</v>
      </c>
      <c r="F20" s="32">
        <v>14768.26</v>
      </c>
      <c r="G20" s="23" t="s">
        <v>108</v>
      </c>
      <c r="H20" s="23" t="s">
        <v>74</v>
      </c>
      <c r="I20" s="23" t="s">
        <v>86</v>
      </c>
      <c r="J20" s="23" t="s">
        <v>1977</v>
      </c>
    </row>
    <row r="21" spans="1:10">
      <c r="A21" s="78" t="s">
        <v>1994</v>
      </c>
      <c r="B21" s="78" t="s">
        <v>1976</v>
      </c>
      <c r="C21" s="78" t="s">
        <v>1793</v>
      </c>
      <c r="D21" s="79">
        <v>46008</v>
      </c>
      <c r="E21" s="78" t="s">
        <v>163</v>
      </c>
      <c r="F21" s="80">
        <v>5829.59</v>
      </c>
      <c r="G21" s="78" t="s">
        <v>108</v>
      </c>
      <c r="H21" s="78" t="s">
        <v>74</v>
      </c>
      <c r="I21" s="78" t="s">
        <v>86</v>
      </c>
      <c r="J21" s="78" t="s">
        <v>1977</v>
      </c>
    </row>
    <row r="22" spans="1:10">
      <c r="A22" s="23" t="s">
        <v>1995</v>
      </c>
      <c r="B22" s="23" t="s">
        <v>1976</v>
      </c>
      <c r="C22" s="23" t="s">
        <v>1780</v>
      </c>
      <c r="D22" s="31">
        <v>46010</v>
      </c>
      <c r="E22" s="23" t="s">
        <v>133</v>
      </c>
      <c r="F22" s="32">
        <v>6420.25</v>
      </c>
      <c r="G22" s="23" t="s">
        <v>108</v>
      </c>
      <c r="H22" s="23" t="s">
        <v>74</v>
      </c>
      <c r="I22" s="23" t="s">
        <v>77</v>
      </c>
      <c r="J22" s="23" t="s">
        <v>1977</v>
      </c>
    </row>
    <row r="23" spans="1:10">
      <c r="A23" s="78" t="s">
        <v>1996</v>
      </c>
      <c r="B23" s="78" t="s">
        <v>1976</v>
      </c>
      <c r="C23" s="78" t="s">
        <v>1863</v>
      </c>
      <c r="D23" s="79">
        <v>46010</v>
      </c>
      <c r="E23" s="78" t="s">
        <v>173</v>
      </c>
      <c r="F23" s="80">
        <v>11571.98</v>
      </c>
      <c r="G23" s="78" t="s">
        <v>108</v>
      </c>
      <c r="H23" s="78" t="s">
        <v>74</v>
      </c>
      <c r="I23" s="78" t="s">
        <v>86</v>
      </c>
      <c r="J23" s="78" t="s">
        <v>1977</v>
      </c>
    </row>
    <row r="24" spans="1:10">
      <c r="A24" s="23" t="s">
        <v>1997</v>
      </c>
      <c r="B24" s="23" t="s">
        <v>1976</v>
      </c>
      <c r="C24" s="23" t="s">
        <v>1884</v>
      </c>
      <c r="D24" s="31">
        <v>46012</v>
      </c>
      <c r="E24" s="23" t="s">
        <v>173</v>
      </c>
      <c r="F24" s="32">
        <v>5186.41</v>
      </c>
      <c r="G24" s="23" t="s">
        <v>108</v>
      </c>
      <c r="H24" s="23" t="s">
        <v>74</v>
      </c>
      <c r="I24" s="23" t="s">
        <v>86</v>
      </c>
      <c r="J24" s="23" t="s">
        <v>1977</v>
      </c>
    </row>
    <row r="25" spans="1:10">
      <c r="A25" s="78" t="s">
        <v>1998</v>
      </c>
      <c r="B25" s="78" t="s">
        <v>1976</v>
      </c>
      <c r="C25" s="78" t="s">
        <v>1713</v>
      </c>
      <c r="D25" s="79">
        <v>46015</v>
      </c>
      <c r="E25" s="78" t="s">
        <v>173</v>
      </c>
      <c r="F25" s="80">
        <v>5529.01</v>
      </c>
      <c r="G25" s="78" t="s">
        <v>108</v>
      </c>
      <c r="H25" s="78" t="s">
        <v>74</v>
      </c>
      <c r="I25" s="78" t="s">
        <v>86</v>
      </c>
      <c r="J25" s="78" t="s">
        <v>1977</v>
      </c>
    </row>
    <row r="26" spans="1:10">
      <c r="A26" s="23" t="s">
        <v>1999</v>
      </c>
      <c r="B26" s="23" t="s">
        <v>1976</v>
      </c>
      <c r="C26" s="23" t="s">
        <v>1747</v>
      </c>
      <c r="D26" s="31">
        <v>46017</v>
      </c>
      <c r="E26" s="23" t="s">
        <v>126</v>
      </c>
      <c r="F26" s="32">
        <v>11071.12</v>
      </c>
      <c r="G26" s="23" t="s">
        <v>108</v>
      </c>
      <c r="H26" s="23" t="s">
        <v>74</v>
      </c>
      <c r="I26" s="23" t="s">
        <v>77</v>
      </c>
      <c r="J26" s="23" t="s">
        <v>1977</v>
      </c>
    </row>
    <row r="27" spans="1:10">
      <c r="A27" s="78" t="s">
        <v>2000</v>
      </c>
      <c r="B27" s="78" t="s">
        <v>1976</v>
      </c>
      <c r="C27" s="78" t="s">
        <v>1714</v>
      </c>
      <c r="D27" s="79">
        <v>46019</v>
      </c>
      <c r="E27" s="78" t="s">
        <v>163</v>
      </c>
      <c r="F27" s="80">
        <v>7300.52</v>
      </c>
      <c r="G27" s="78" t="s">
        <v>108</v>
      </c>
      <c r="H27" s="78" t="s">
        <v>74</v>
      </c>
      <c r="I27" s="78" t="s">
        <v>86</v>
      </c>
      <c r="J27" s="78" t="s">
        <v>1977</v>
      </c>
    </row>
    <row r="28" spans="1:10">
      <c r="A28" s="23" t="s">
        <v>2001</v>
      </c>
      <c r="B28" s="23" t="s">
        <v>1976</v>
      </c>
      <c r="C28" s="23" t="s">
        <v>1754</v>
      </c>
      <c r="D28" s="31">
        <v>46019</v>
      </c>
      <c r="E28" s="23" t="s">
        <v>204</v>
      </c>
      <c r="F28" s="32">
        <v>5519.79</v>
      </c>
      <c r="G28" s="23" t="s">
        <v>108</v>
      </c>
      <c r="H28" s="23" t="s">
        <v>74</v>
      </c>
      <c r="I28" s="23" t="s">
        <v>77</v>
      </c>
      <c r="J28" s="23" t="s">
        <v>1977</v>
      </c>
    </row>
    <row r="29" spans="1:10">
      <c r="A29" s="78" t="s">
        <v>2002</v>
      </c>
      <c r="B29" s="78" t="s">
        <v>1976</v>
      </c>
      <c r="C29" s="78" t="s">
        <v>1810</v>
      </c>
      <c r="D29" s="79">
        <v>46020</v>
      </c>
      <c r="E29" s="78" t="s">
        <v>126</v>
      </c>
      <c r="F29" s="80">
        <v>10166.209999999999</v>
      </c>
      <c r="G29" s="78" t="s">
        <v>108</v>
      </c>
      <c r="H29" s="78" t="s">
        <v>74</v>
      </c>
      <c r="I29" s="78" t="s">
        <v>77</v>
      </c>
      <c r="J29" s="78" t="s">
        <v>1977</v>
      </c>
    </row>
    <row r="30" spans="1:10">
      <c r="A30" s="23" t="s">
        <v>2003</v>
      </c>
      <c r="B30" s="23" t="s">
        <v>1976</v>
      </c>
      <c r="C30" s="23" t="s">
        <v>1824</v>
      </c>
      <c r="D30" s="31">
        <v>46020</v>
      </c>
      <c r="E30" s="23" t="s">
        <v>173</v>
      </c>
      <c r="F30" s="32">
        <v>7216.44</v>
      </c>
      <c r="G30" s="23" t="s">
        <v>108</v>
      </c>
      <c r="H30" s="23" t="s">
        <v>74</v>
      </c>
      <c r="I30" s="23" t="s">
        <v>86</v>
      </c>
      <c r="J30" s="23" t="s">
        <v>1977</v>
      </c>
    </row>
    <row r="31" spans="1:10">
      <c r="A31" s="78" t="s">
        <v>2004</v>
      </c>
      <c r="B31" s="78" t="s">
        <v>1976</v>
      </c>
      <c r="C31" s="78" t="s">
        <v>1852</v>
      </c>
      <c r="D31" s="79">
        <v>46020</v>
      </c>
      <c r="E31" s="78" t="s">
        <v>150</v>
      </c>
      <c r="F31" s="80">
        <v>11402.98</v>
      </c>
      <c r="G31" s="78" t="s">
        <v>108</v>
      </c>
      <c r="H31" s="78" t="s">
        <v>74</v>
      </c>
      <c r="I31" s="78" t="s">
        <v>77</v>
      </c>
      <c r="J31" s="78" t="s">
        <v>1977</v>
      </c>
    </row>
    <row r="32" spans="1:10">
      <c r="A32" s="23" t="s">
        <v>2005</v>
      </c>
      <c r="B32" s="23" t="s">
        <v>1976</v>
      </c>
      <c r="C32" s="23" t="s">
        <v>1849</v>
      </c>
      <c r="D32" s="31">
        <v>46021</v>
      </c>
      <c r="E32" s="23" t="s">
        <v>167</v>
      </c>
      <c r="F32" s="32">
        <v>10357.56</v>
      </c>
      <c r="G32" s="23" t="s">
        <v>108</v>
      </c>
      <c r="H32" s="23" t="s">
        <v>74</v>
      </c>
      <c r="I32" s="23" t="s">
        <v>86</v>
      </c>
      <c r="J32" s="23" t="s">
        <v>1977</v>
      </c>
    </row>
    <row r="33" spans="1:10">
      <c r="A33" s="78" t="s">
        <v>2006</v>
      </c>
      <c r="B33" s="78" t="s">
        <v>1976</v>
      </c>
      <c r="C33" s="78" t="s">
        <v>1726</v>
      </c>
      <c r="D33" s="79">
        <v>46022</v>
      </c>
      <c r="E33" s="78" t="s">
        <v>167</v>
      </c>
      <c r="F33" s="80">
        <v>6362.84</v>
      </c>
      <c r="G33" s="78" t="s">
        <v>108</v>
      </c>
      <c r="H33" s="78" t="s">
        <v>74</v>
      </c>
      <c r="I33" s="78" t="s">
        <v>86</v>
      </c>
      <c r="J33" s="78" t="s">
        <v>1977</v>
      </c>
    </row>
    <row r="34" spans="1:10">
      <c r="A34" s="23" t="s">
        <v>2007</v>
      </c>
      <c r="B34" s="23" t="s">
        <v>1976</v>
      </c>
      <c r="C34" s="23" t="s">
        <v>1744</v>
      </c>
      <c r="D34" s="31">
        <v>46022</v>
      </c>
      <c r="E34" s="23" t="s">
        <v>150</v>
      </c>
      <c r="F34" s="32">
        <v>10557.16</v>
      </c>
      <c r="G34" s="23" t="s">
        <v>108</v>
      </c>
      <c r="H34" s="23" t="s">
        <v>74</v>
      </c>
      <c r="I34" s="23" t="s">
        <v>77</v>
      </c>
      <c r="J34" s="23" t="s">
        <v>1977</v>
      </c>
    </row>
    <row r="35" spans="1:10">
      <c r="A35" s="78" t="s">
        <v>2008</v>
      </c>
      <c r="B35" s="78" t="s">
        <v>1976</v>
      </c>
      <c r="C35" s="78" t="s">
        <v>1843</v>
      </c>
      <c r="D35" s="79">
        <v>46022</v>
      </c>
      <c r="E35" s="78" t="s">
        <v>163</v>
      </c>
      <c r="F35" s="80">
        <v>6483.01</v>
      </c>
      <c r="G35" s="78" t="s">
        <v>108</v>
      </c>
      <c r="H35" s="78" t="s">
        <v>74</v>
      </c>
      <c r="I35" s="78" t="s">
        <v>86</v>
      </c>
      <c r="J35" s="78" t="s">
        <v>1977</v>
      </c>
    </row>
    <row r="36" spans="1:10">
      <c r="A36" s="23" t="s">
        <v>2009</v>
      </c>
      <c r="B36" s="23" t="s">
        <v>1976</v>
      </c>
      <c r="C36" s="23" t="s">
        <v>1905</v>
      </c>
      <c r="D36" s="31">
        <v>46023</v>
      </c>
      <c r="E36" s="23" t="s">
        <v>167</v>
      </c>
      <c r="F36" s="32">
        <v>14612.29</v>
      </c>
      <c r="G36" s="23" t="s">
        <v>108</v>
      </c>
      <c r="H36" s="23" t="s">
        <v>74</v>
      </c>
      <c r="I36" s="23" t="s">
        <v>86</v>
      </c>
      <c r="J36" s="23" t="s">
        <v>1977</v>
      </c>
    </row>
    <row r="37" spans="1:10">
      <c r="A37" s="78" t="s">
        <v>2010</v>
      </c>
      <c r="B37" s="78" t="s">
        <v>2011</v>
      </c>
      <c r="C37" s="78" t="s">
        <v>925</v>
      </c>
      <c r="D37" s="79">
        <v>46024</v>
      </c>
      <c r="E37" s="78" t="s">
        <v>182</v>
      </c>
      <c r="F37" s="80">
        <v>-16747.22</v>
      </c>
      <c r="G37" s="78" t="s">
        <v>75</v>
      </c>
      <c r="H37" s="78" t="s">
        <v>74</v>
      </c>
      <c r="I37" s="78" t="s">
        <v>95</v>
      </c>
      <c r="J37" s="78" t="s">
        <v>2012</v>
      </c>
    </row>
    <row r="38" spans="1:10">
      <c r="A38" s="23" t="s">
        <v>2013</v>
      </c>
      <c r="B38" s="23" t="s">
        <v>1976</v>
      </c>
      <c r="C38" s="23" t="s">
        <v>1842</v>
      </c>
      <c r="D38" s="31">
        <v>46026</v>
      </c>
      <c r="E38" s="23" t="s">
        <v>133</v>
      </c>
      <c r="F38" s="32">
        <v>10683.23</v>
      </c>
      <c r="G38" s="23" t="s">
        <v>108</v>
      </c>
      <c r="H38" s="23" t="s">
        <v>74</v>
      </c>
      <c r="I38" s="23" t="s">
        <v>77</v>
      </c>
      <c r="J38" s="23" t="s">
        <v>1977</v>
      </c>
    </row>
    <row r="39" spans="1:10">
      <c r="A39" s="78" t="s">
        <v>2014</v>
      </c>
      <c r="B39" s="78" t="s">
        <v>1976</v>
      </c>
      <c r="C39" s="78" t="s">
        <v>1890</v>
      </c>
      <c r="D39" s="79">
        <v>46026</v>
      </c>
      <c r="E39" s="78" t="s">
        <v>173</v>
      </c>
      <c r="F39" s="80">
        <v>5905.69</v>
      </c>
      <c r="G39" s="78" t="s">
        <v>108</v>
      </c>
      <c r="H39" s="78" t="s">
        <v>74</v>
      </c>
      <c r="I39" s="78" t="s">
        <v>86</v>
      </c>
      <c r="J39" s="78" t="s">
        <v>1977</v>
      </c>
    </row>
    <row r="40" spans="1:10">
      <c r="A40" s="23" t="s">
        <v>2015</v>
      </c>
      <c r="B40" s="23" t="s">
        <v>2011</v>
      </c>
      <c r="C40" s="23" t="s">
        <v>712</v>
      </c>
      <c r="D40" s="31">
        <v>46027</v>
      </c>
      <c r="E40" s="23" t="s">
        <v>182</v>
      </c>
      <c r="F40" s="32">
        <v>-15763.75</v>
      </c>
      <c r="G40" s="23" t="s">
        <v>75</v>
      </c>
      <c r="H40" s="23" t="s">
        <v>74</v>
      </c>
      <c r="I40" s="23" t="s">
        <v>95</v>
      </c>
      <c r="J40" s="23" t="s">
        <v>2012</v>
      </c>
    </row>
    <row r="41" spans="1:10">
      <c r="A41" s="78" t="s">
        <v>2016</v>
      </c>
      <c r="B41" s="78" t="s">
        <v>1976</v>
      </c>
      <c r="C41" s="78" t="s">
        <v>1739</v>
      </c>
      <c r="D41" s="79">
        <v>46027</v>
      </c>
      <c r="E41" s="78" t="s">
        <v>139</v>
      </c>
      <c r="F41" s="80">
        <v>9154.5</v>
      </c>
      <c r="G41" s="78" t="s">
        <v>108</v>
      </c>
      <c r="H41" s="78" t="s">
        <v>74</v>
      </c>
      <c r="I41" s="78" t="s">
        <v>77</v>
      </c>
      <c r="J41" s="78" t="s">
        <v>1977</v>
      </c>
    </row>
    <row r="42" spans="1:10">
      <c r="A42" s="23" t="s">
        <v>2017</v>
      </c>
      <c r="B42" s="23" t="s">
        <v>1976</v>
      </c>
      <c r="C42" s="23" t="s">
        <v>1787</v>
      </c>
      <c r="D42" s="31">
        <v>46027</v>
      </c>
      <c r="E42" s="23" t="s">
        <v>214</v>
      </c>
      <c r="F42" s="32">
        <v>8216.4</v>
      </c>
      <c r="G42" s="23" t="s">
        <v>108</v>
      </c>
      <c r="H42" s="23" t="s">
        <v>74</v>
      </c>
      <c r="I42" s="23" t="s">
        <v>86</v>
      </c>
      <c r="J42" s="23" t="s">
        <v>1977</v>
      </c>
    </row>
    <row r="43" spans="1:10">
      <c r="A43" s="78" t="s">
        <v>2018</v>
      </c>
      <c r="B43" s="78" t="s">
        <v>2011</v>
      </c>
      <c r="C43" s="78" t="s">
        <v>297</v>
      </c>
      <c r="D43" s="79">
        <v>46029</v>
      </c>
      <c r="E43" s="78" t="s">
        <v>182</v>
      </c>
      <c r="F43" s="80">
        <v>-8147.41</v>
      </c>
      <c r="G43" s="78" t="s">
        <v>75</v>
      </c>
      <c r="H43" s="78" t="s">
        <v>74</v>
      </c>
      <c r="I43" s="78" t="s">
        <v>95</v>
      </c>
      <c r="J43" s="78" t="s">
        <v>2012</v>
      </c>
    </row>
    <row r="44" spans="1:10">
      <c r="A44" s="23" t="s">
        <v>2019</v>
      </c>
      <c r="B44" s="23" t="s">
        <v>1976</v>
      </c>
      <c r="C44" s="23" t="s">
        <v>1882</v>
      </c>
      <c r="D44" s="31">
        <v>46029</v>
      </c>
      <c r="E44" s="23" t="s">
        <v>139</v>
      </c>
      <c r="F44" s="32">
        <v>12551.32</v>
      </c>
      <c r="G44" s="23" t="s">
        <v>108</v>
      </c>
      <c r="H44" s="23" t="s">
        <v>74</v>
      </c>
      <c r="I44" s="23" t="s">
        <v>77</v>
      </c>
      <c r="J44" s="23" t="s">
        <v>1977</v>
      </c>
    </row>
    <row r="45" spans="1:10">
      <c r="A45" s="78" t="s">
        <v>2020</v>
      </c>
      <c r="B45" s="78" t="s">
        <v>1976</v>
      </c>
      <c r="C45" s="78" t="s">
        <v>1886</v>
      </c>
      <c r="D45" s="79">
        <v>46029</v>
      </c>
      <c r="E45" s="78" t="s">
        <v>214</v>
      </c>
      <c r="F45" s="80">
        <v>7531.26</v>
      </c>
      <c r="G45" s="78" t="s">
        <v>108</v>
      </c>
      <c r="H45" s="78" t="s">
        <v>74</v>
      </c>
      <c r="I45" s="78" t="s">
        <v>86</v>
      </c>
      <c r="J45" s="78" t="s">
        <v>1977</v>
      </c>
    </row>
    <row r="46" spans="1:10">
      <c r="A46" s="23" t="s">
        <v>2021</v>
      </c>
      <c r="B46" s="23" t="s">
        <v>2011</v>
      </c>
      <c r="C46" s="23" t="s">
        <v>486</v>
      </c>
      <c r="D46" s="31">
        <v>46030</v>
      </c>
      <c r="E46" s="23" t="s">
        <v>155</v>
      </c>
      <c r="F46" s="32">
        <v>6881.77</v>
      </c>
      <c r="G46" s="23" t="s">
        <v>75</v>
      </c>
      <c r="H46" s="23" t="s">
        <v>74</v>
      </c>
      <c r="I46" s="23" t="s">
        <v>86</v>
      </c>
      <c r="J46" s="23" t="s">
        <v>2012</v>
      </c>
    </row>
    <row r="47" spans="1:10">
      <c r="A47" s="78" t="s">
        <v>2022</v>
      </c>
      <c r="B47" s="78" t="s">
        <v>1976</v>
      </c>
      <c r="C47" s="78" t="s">
        <v>1921</v>
      </c>
      <c r="D47" s="79">
        <v>46031</v>
      </c>
      <c r="E47" s="78" t="s">
        <v>173</v>
      </c>
      <c r="F47" s="80">
        <v>8732.39</v>
      </c>
      <c r="G47" s="78" t="s">
        <v>108</v>
      </c>
      <c r="H47" s="78" t="s">
        <v>74</v>
      </c>
      <c r="I47" s="78" t="s">
        <v>86</v>
      </c>
      <c r="J47" s="78" t="s">
        <v>1977</v>
      </c>
    </row>
    <row r="48" spans="1:10">
      <c r="A48" s="23" t="s">
        <v>2023</v>
      </c>
      <c r="B48" s="23" t="s">
        <v>2011</v>
      </c>
      <c r="C48" s="23" t="s">
        <v>369</v>
      </c>
      <c r="D48" s="31">
        <v>46033</v>
      </c>
      <c r="E48" s="23" t="s">
        <v>144</v>
      </c>
      <c r="F48" s="32">
        <v>-6017.53</v>
      </c>
      <c r="G48" s="23" t="s">
        <v>75</v>
      </c>
      <c r="H48" s="23" t="s">
        <v>74</v>
      </c>
      <c r="I48" s="23" t="s">
        <v>77</v>
      </c>
      <c r="J48" s="23" t="s">
        <v>2012</v>
      </c>
    </row>
    <row r="49" spans="1:10">
      <c r="A49" s="78" t="s">
        <v>2024</v>
      </c>
      <c r="B49" s="78" t="s">
        <v>2011</v>
      </c>
      <c r="C49" s="78" t="s">
        <v>421</v>
      </c>
      <c r="D49" s="79">
        <v>46034</v>
      </c>
      <c r="E49" s="78" t="s">
        <v>214</v>
      </c>
      <c r="F49" s="80">
        <v>7084.45</v>
      </c>
      <c r="G49" s="78" t="s">
        <v>75</v>
      </c>
      <c r="H49" s="78" t="s">
        <v>74</v>
      </c>
      <c r="I49" s="78" t="s">
        <v>86</v>
      </c>
      <c r="J49" s="78" t="s">
        <v>2012</v>
      </c>
    </row>
    <row r="50" spans="1:10">
      <c r="A50" s="23" t="s">
        <v>2025</v>
      </c>
      <c r="B50" s="23" t="s">
        <v>1976</v>
      </c>
      <c r="C50" s="23" t="s">
        <v>1764</v>
      </c>
      <c r="D50" s="31">
        <v>46034</v>
      </c>
      <c r="E50" s="23" t="s">
        <v>139</v>
      </c>
      <c r="F50" s="32">
        <v>5808.9</v>
      </c>
      <c r="G50" s="23" t="s">
        <v>108</v>
      </c>
      <c r="H50" s="23" t="s">
        <v>74</v>
      </c>
      <c r="I50" s="23" t="s">
        <v>77</v>
      </c>
      <c r="J50" s="23" t="s">
        <v>1977</v>
      </c>
    </row>
    <row r="51" spans="1:10">
      <c r="A51" s="78" t="s">
        <v>2026</v>
      </c>
      <c r="B51" s="78" t="s">
        <v>1976</v>
      </c>
      <c r="C51" s="78" t="s">
        <v>1785</v>
      </c>
      <c r="D51" s="79">
        <v>46034</v>
      </c>
      <c r="E51" s="78" t="s">
        <v>163</v>
      </c>
      <c r="F51" s="80">
        <v>6390.61</v>
      </c>
      <c r="G51" s="78" t="s">
        <v>108</v>
      </c>
      <c r="H51" s="78" t="s">
        <v>74</v>
      </c>
      <c r="I51" s="78" t="s">
        <v>86</v>
      </c>
      <c r="J51" s="78" t="s">
        <v>1977</v>
      </c>
    </row>
    <row r="52" spans="1:10">
      <c r="A52" s="23" t="s">
        <v>2027</v>
      </c>
      <c r="B52" s="23" t="s">
        <v>1976</v>
      </c>
      <c r="C52" s="23" t="s">
        <v>1898</v>
      </c>
      <c r="D52" s="31">
        <v>46034</v>
      </c>
      <c r="E52" s="23" t="s">
        <v>208</v>
      </c>
      <c r="F52" s="32">
        <v>5403.01</v>
      </c>
      <c r="G52" s="23" t="s">
        <v>108</v>
      </c>
      <c r="H52" s="23" t="s">
        <v>74</v>
      </c>
      <c r="I52" s="23" t="s">
        <v>77</v>
      </c>
      <c r="J52" s="23" t="s">
        <v>1977</v>
      </c>
    </row>
    <row r="53" spans="1:10">
      <c r="A53" s="78" t="s">
        <v>2028</v>
      </c>
      <c r="B53" s="78" t="s">
        <v>1976</v>
      </c>
      <c r="C53" s="78" t="s">
        <v>1855</v>
      </c>
      <c r="D53" s="79">
        <v>46035</v>
      </c>
      <c r="E53" s="78" t="s">
        <v>163</v>
      </c>
      <c r="F53" s="80">
        <v>13185.03</v>
      </c>
      <c r="G53" s="78" t="s">
        <v>108</v>
      </c>
      <c r="H53" s="78" t="s">
        <v>74</v>
      </c>
      <c r="I53" s="78" t="s">
        <v>86</v>
      </c>
      <c r="J53" s="78" t="s">
        <v>1977</v>
      </c>
    </row>
    <row r="54" spans="1:10">
      <c r="A54" s="23" t="s">
        <v>2029</v>
      </c>
      <c r="B54" s="23" t="s">
        <v>1976</v>
      </c>
      <c r="C54" s="23" t="s">
        <v>1782</v>
      </c>
      <c r="D54" s="31">
        <v>46036</v>
      </c>
      <c r="E54" s="23" t="s">
        <v>214</v>
      </c>
      <c r="F54" s="32">
        <v>9323.2800000000007</v>
      </c>
      <c r="G54" s="23" t="s">
        <v>108</v>
      </c>
      <c r="H54" s="23" t="s">
        <v>74</v>
      </c>
      <c r="I54" s="23" t="s">
        <v>86</v>
      </c>
      <c r="J54" s="23" t="s">
        <v>1977</v>
      </c>
    </row>
    <row r="55" spans="1:10">
      <c r="A55" s="78" t="s">
        <v>2030</v>
      </c>
      <c r="B55" s="78" t="s">
        <v>1976</v>
      </c>
      <c r="C55" s="78" t="s">
        <v>1861</v>
      </c>
      <c r="D55" s="79">
        <v>46036</v>
      </c>
      <c r="E55" s="78" t="s">
        <v>220</v>
      </c>
      <c r="F55" s="80">
        <v>9565.98</v>
      </c>
      <c r="G55" s="78" t="s">
        <v>108</v>
      </c>
      <c r="H55" s="78" t="s">
        <v>74</v>
      </c>
      <c r="I55" s="78" t="s">
        <v>86</v>
      </c>
      <c r="J55" s="78" t="s">
        <v>1977</v>
      </c>
    </row>
    <row r="56" spans="1:10">
      <c r="A56" s="23" t="s">
        <v>2031</v>
      </c>
      <c r="B56" s="23" t="s">
        <v>1976</v>
      </c>
      <c r="C56" s="23" t="s">
        <v>1903</v>
      </c>
      <c r="D56" s="31">
        <v>46036</v>
      </c>
      <c r="E56" s="23" t="s">
        <v>139</v>
      </c>
      <c r="F56" s="32">
        <v>7693.05</v>
      </c>
      <c r="G56" s="23" t="s">
        <v>108</v>
      </c>
      <c r="H56" s="23" t="s">
        <v>74</v>
      </c>
      <c r="I56" s="23" t="s">
        <v>77</v>
      </c>
      <c r="J56" s="23" t="s">
        <v>1977</v>
      </c>
    </row>
    <row r="57" spans="1:10">
      <c r="A57" s="78" t="s">
        <v>2032</v>
      </c>
      <c r="B57" s="78" t="s">
        <v>2011</v>
      </c>
      <c r="C57" s="78" t="s">
        <v>570</v>
      </c>
      <c r="D57" s="79">
        <v>46037</v>
      </c>
      <c r="E57" s="78" t="s">
        <v>220</v>
      </c>
      <c r="F57" s="80">
        <v>6218.9</v>
      </c>
      <c r="G57" s="78" t="s">
        <v>75</v>
      </c>
      <c r="H57" s="78" t="s">
        <v>74</v>
      </c>
      <c r="I57" s="78" t="s">
        <v>86</v>
      </c>
      <c r="J57" s="78" t="s">
        <v>2012</v>
      </c>
    </row>
    <row r="58" spans="1:10">
      <c r="A58" s="23" t="s">
        <v>2033</v>
      </c>
      <c r="B58" s="23" t="s">
        <v>1976</v>
      </c>
      <c r="C58" s="23" t="s">
        <v>1768</v>
      </c>
      <c r="D58" s="31">
        <v>46037</v>
      </c>
      <c r="E58" s="23" t="s">
        <v>155</v>
      </c>
      <c r="F58" s="32">
        <v>14115.49</v>
      </c>
      <c r="G58" s="23" t="s">
        <v>108</v>
      </c>
      <c r="H58" s="23" t="s">
        <v>74</v>
      </c>
      <c r="I58" s="23" t="s">
        <v>86</v>
      </c>
      <c r="J58" s="23" t="s">
        <v>1977</v>
      </c>
    </row>
    <row r="59" spans="1:10">
      <c r="A59" s="78" t="s">
        <v>2034</v>
      </c>
      <c r="B59" s="78" t="s">
        <v>1976</v>
      </c>
      <c r="C59" s="78" t="s">
        <v>1777</v>
      </c>
      <c r="D59" s="79">
        <v>46037</v>
      </c>
      <c r="E59" s="78" t="s">
        <v>208</v>
      </c>
      <c r="F59" s="80">
        <v>10363.379999999999</v>
      </c>
      <c r="G59" s="78" t="s">
        <v>108</v>
      </c>
      <c r="H59" s="78" t="s">
        <v>74</v>
      </c>
      <c r="I59" s="78" t="s">
        <v>77</v>
      </c>
      <c r="J59" s="78" t="s">
        <v>1977</v>
      </c>
    </row>
    <row r="60" spans="1:10">
      <c r="A60" s="23" t="s">
        <v>2035</v>
      </c>
      <c r="B60" s="23" t="s">
        <v>1976</v>
      </c>
      <c r="C60" s="23" t="s">
        <v>1795</v>
      </c>
      <c r="D60" s="31">
        <v>46037</v>
      </c>
      <c r="E60" s="23" t="s">
        <v>220</v>
      </c>
      <c r="F60" s="32">
        <v>10564.72</v>
      </c>
      <c r="G60" s="23" t="s">
        <v>108</v>
      </c>
      <c r="H60" s="23" t="s">
        <v>74</v>
      </c>
      <c r="I60" s="23" t="s">
        <v>86</v>
      </c>
      <c r="J60" s="23" t="s">
        <v>1977</v>
      </c>
    </row>
    <row r="61" spans="1:10">
      <c r="A61" s="78" t="s">
        <v>2036</v>
      </c>
      <c r="B61" s="78" t="s">
        <v>1976</v>
      </c>
      <c r="C61" s="78" t="s">
        <v>1771</v>
      </c>
      <c r="D61" s="79">
        <v>46038</v>
      </c>
      <c r="E61" s="78" t="s">
        <v>133</v>
      </c>
      <c r="F61" s="80">
        <v>6730.93</v>
      </c>
      <c r="G61" s="78" t="s">
        <v>108</v>
      </c>
      <c r="H61" s="78" t="s">
        <v>74</v>
      </c>
      <c r="I61" s="78" t="s">
        <v>77</v>
      </c>
      <c r="J61" s="78" t="s">
        <v>1977</v>
      </c>
    </row>
    <row r="62" spans="1:10">
      <c r="A62" s="23" t="s">
        <v>2037</v>
      </c>
      <c r="B62" s="23" t="s">
        <v>1976</v>
      </c>
      <c r="C62" s="23" t="s">
        <v>1784</v>
      </c>
      <c r="D62" s="31">
        <v>46038</v>
      </c>
      <c r="E62" s="23" t="s">
        <v>208</v>
      </c>
      <c r="F62" s="32">
        <v>10947.54</v>
      </c>
      <c r="G62" s="23" t="s">
        <v>108</v>
      </c>
      <c r="H62" s="23" t="s">
        <v>74</v>
      </c>
      <c r="I62" s="23" t="s">
        <v>77</v>
      </c>
      <c r="J62" s="23" t="s">
        <v>1977</v>
      </c>
    </row>
    <row r="63" spans="1:10">
      <c r="A63" s="78" t="s">
        <v>2038</v>
      </c>
      <c r="B63" s="78" t="s">
        <v>2011</v>
      </c>
      <c r="C63" s="78" t="s">
        <v>997</v>
      </c>
      <c r="D63" s="79">
        <v>46040</v>
      </c>
      <c r="E63" s="78" t="s">
        <v>214</v>
      </c>
      <c r="F63" s="80">
        <v>7302.81</v>
      </c>
      <c r="G63" s="78" t="s">
        <v>75</v>
      </c>
      <c r="H63" s="78" t="s">
        <v>74</v>
      </c>
      <c r="I63" s="78" t="s">
        <v>86</v>
      </c>
      <c r="J63" s="78" t="s">
        <v>2012</v>
      </c>
    </row>
    <row r="64" spans="1:10">
      <c r="A64" s="23" t="s">
        <v>2039</v>
      </c>
      <c r="B64" s="23" t="s">
        <v>2011</v>
      </c>
      <c r="C64" s="23" t="s">
        <v>508</v>
      </c>
      <c r="D64" s="31">
        <v>46041</v>
      </c>
      <c r="E64" s="23" t="s">
        <v>214</v>
      </c>
      <c r="F64" s="32">
        <v>5201.8</v>
      </c>
      <c r="G64" s="23" t="s">
        <v>75</v>
      </c>
      <c r="H64" s="23" t="s">
        <v>74</v>
      </c>
      <c r="I64" s="23" t="s">
        <v>86</v>
      </c>
      <c r="J64" s="23" t="s">
        <v>2012</v>
      </c>
    </row>
    <row r="65" spans="1:10">
      <c r="A65" s="78" t="s">
        <v>2040</v>
      </c>
      <c r="B65" s="78" t="s">
        <v>2011</v>
      </c>
      <c r="C65" s="78" t="s">
        <v>752</v>
      </c>
      <c r="D65" s="79">
        <v>46041</v>
      </c>
      <c r="E65" s="78" t="s">
        <v>173</v>
      </c>
      <c r="F65" s="80">
        <v>7905.2</v>
      </c>
      <c r="G65" s="78" t="s">
        <v>75</v>
      </c>
      <c r="H65" s="78" t="s">
        <v>74</v>
      </c>
      <c r="I65" s="78" t="s">
        <v>86</v>
      </c>
      <c r="J65" s="78" t="s">
        <v>2012</v>
      </c>
    </row>
    <row r="66" spans="1:10">
      <c r="A66" s="23" t="s">
        <v>2041</v>
      </c>
      <c r="B66" s="23" t="s">
        <v>1976</v>
      </c>
      <c r="C66" s="23" t="s">
        <v>1911</v>
      </c>
      <c r="D66" s="31">
        <v>46041</v>
      </c>
      <c r="E66" s="23" t="s">
        <v>155</v>
      </c>
      <c r="F66" s="32">
        <v>8039.15</v>
      </c>
      <c r="G66" s="23" t="s">
        <v>108</v>
      </c>
      <c r="H66" s="23" t="s">
        <v>74</v>
      </c>
      <c r="I66" s="23" t="s">
        <v>86</v>
      </c>
      <c r="J66" s="23" t="s">
        <v>1977</v>
      </c>
    </row>
    <row r="67" spans="1:10">
      <c r="A67" s="78" t="s">
        <v>2042</v>
      </c>
      <c r="B67" s="78" t="s">
        <v>2011</v>
      </c>
      <c r="C67" s="78" t="s">
        <v>1025</v>
      </c>
      <c r="D67" s="79">
        <v>46042</v>
      </c>
      <c r="E67" s="78" t="s">
        <v>182</v>
      </c>
      <c r="F67" s="80">
        <v>-6929.17</v>
      </c>
      <c r="G67" s="78" t="s">
        <v>75</v>
      </c>
      <c r="H67" s="78" t="s">
        <v>74</v>
      </c>
      <c r="I67" s="78" t="s">
        <v>95</v>
      </c>
      <c r="J67" s="78" t="s">
        <v>2012</v>
      </c>
    </row>
    <row r="68" spans="1:10">
      <c r="A68" s="23" t="s">
        <v>2043</v>
      </c>
      <c r="B68" s="23" t="s">
        <v>2011</v>
      </c>
      <c r="C68" s="23" t="s">
        <v>1091</v>
      </c>
      <c r="D68" s="31">
        <v>46042</v>
      </c>
      <c r="E68" s="23" t="s">
        <v>126</v>
      </c>
      <c r="F68" s="32">
        <v>-5465.3</v>
      </c>
      <c r="G68" s="23" t="s">
        <v>75</v>
      </c>
      <c r="H68" s="23" t="s">
        <v>74</v>
      </c>
      <c r="I68" s="23" t="s">
        <v>77</v>
      </c>
      <c r="J68" s="23" t="s">
        <v>2012</v>
      </c>
    </row>
    <row r="69" spans="1:10">
      <c r="A69" s="78" t="s">
        <v>2044</v>
      </c>
      <c r="B69" s="78" t="s">
        <v>1976</v>
      </c>
      <c r="C69" s="78" t="s">
        <v>1716</v>
      </c>
      <c r="D69" s="79">
        <v>46042</v>
      </c>
      <c r="E69" s="78" t="s">
        <v>155</v>
      </c>
      <c r="F69" s="80">
        <v>13378.35</v>
      </c>
      <c r="G69" s="78" t="s">
        <v>108</v>
      </c>
      <c r="H69" s="78" t="s">
        <v>74</v>
      </c>
      <c r="I69" s="78" t="s">
        <v>86</v>
      </c>
      <c r="J69" s="78" t="s">
        <v>1977</v>
      </c>
    </row>
    <row r="70" spans="1:10">
      <c r="A70" s="23" t="s">
        <v>2045</v>
      </c>
      <c r="B70" s="23" t="s">
        <v>1976</v>
      </c>
      <c r="C70" s="23" t="s">
        <v>1893</v>
      </c>
      <c r="D70" s="31">
        <v>46042</v>
      </c>
      <c r="E70" s="23" t="s">
        <v>214</v>
      </c>
      <c r="F70" s="32">
        <v>7821.61</v>
      </c>
      <c r="G70" s="23" t="s">
        <v>108</v>
      </c>
      <c r="H70" s="23" t="s">
        <v>74</v>
      </c>
      <c r="I70" s="23" t="s">
        <v>86</v>
      </c>
      <c r="J70" s="23" t="s">
        <v>1977</v>
      </c>
    </row>
    <row r="71" spans="1:10">
      <c r="A71" s="78" t="s">
        <v>2046</v>
      </c>
      <c r="B71" s="78" t="s">
        <v>1976</v>
      </c>
      <c r="C71" s="78" t="s">
        <v>1873</v>
      </c>
      <c r="D71" s="79">
        <v>46044</v>
      </c>
      <c r="E71" s="78" t="s">
        <v>204</v>
      </c>
      <c r="F71" s="80">
        <v>8165.82</v>
      </c>
      <c r="G71" s="78" t="s">
        <v>108</v>
      </c>
      <c r="H71" s="78" t="s">
        <v>74</v>
      </c>
      <c r="I71" s="78" t="s">
        <v>77</v>
      </c>
      <c r="J71" s="78" t="s">
        <v>1977</v>
      </c>
    </row>
    <row r="72" spans="1:10">
      <c r="A72" s="23" t="s">
        <v>2047</v>
      </c>
      <c r="B72" s="23" t="s">
        <v>2011</v>
      </c>
      <c r="C72" s="23" t="s">
        <v>395</v>
      </c>
      <c r="D72" s="31">
        <v>46045</v>
      </c>
      <c r="E72" s="23" t="s">
        <v>220</v>
      </c>
      <c r="F72" s="32">
        <v>7262.24</v>
      </c>
      <c r="G72" s="23" t="s">
        <v>75</v>
      </c>
      <c r="H72" s="23" t="s">
        <v>74</v>
      </c>
      <c r="I72" s="23" t="s">
        <v>86</v>
      </c>
      <c r="J72" s="23" t="s">
        <v>2012</v>
      </c>
    </row>
    <row r="73" spans="1:10">
      <c r="A73" s="78" t="s">
        <v>2048</v>
      </c>
      <c r="B73" s="78" t="s">
        <v>1976</v>
      </c>
      <c r="C73" s="78" t="s">
        <v>1871</v>
      </c>
      <c r="D73" s="79">
        <v>46045</v>
      </c>
      <c r="E73" s="78" t="s">
        <v>220</v>
      </c>
      <c r="F73" s="80">
        <v>5623.26</v>
      </c>
      <c r="G73" s="78" t="s">
        <v>108</v>
      </c>
      <c r="H73" s="78" t="s">
        <v>74</v>
      </c>
      <c r="I73" s="78" t="s">
        <v>86</v>
      </c>
      <c r="J73" s="78" t="s">
        <v>1977</v>
      </c>
    </row>
    <row r="74" spans="1:10">
      <c r="A74" s="23" t="s">
        <v>2049</v>
      </c>
      <c r="B74" s="23" t="s">
        <v>2011</v>
      </c>
      <c r="C74" s="23" t="s">
        <v>1163</v>
      </c>
      <c r="D74" s="31">
        <v>46047</v>
      </c>
      <c r="E74" s="23" t="s">
        <v>220</v>
      </c>
      <c r="F74" s="32">
        <v>5384.89</v>
      </c>
      <c r="G74" s="23" t="s">
        <v>75</v>
      </c>
      <c r="H74" s="23" t="s">
        <v>74</v>
      </c>
      <c r="I74" s="23" t="s">
        <v>86</v>
      </c>
      <c r="J74" s="23" t="s">
        <v>2012</v>
      </c>
    </row>
    <row r="75" spans="1:10">
      <c r="A75" s="78" t="s">
        <v>2050</v>
      </c>
      <c r="B75" s="78" t="s">
        <v>1976</v>
      </c>
      <c r="C75" s="78" t="s">
        <v>1796</v>
      </c>
      <c r="D75" s="79">
        <v>46047</v>
      </c>
      <c r="E75" s="78" t="s">
        <v>133</v>
      </c>
      <c r="F75" s="80">
        <v>12112.05</v>
      </c>
      <c r="G75" s="78" t="s">
        <v>108</v>
      </c>
      <c r="H75" s="78" t="s">
        <v>74</v>
      </c>
      <c r="I75" s="78" t="s">
        <v>77</v>
      </c>
      <c r="J75" s="78" t="s">
        <v>1977</v>
      </c>
    </row>
    <row r="76" spans="1:10">
      <c r="A76" s="23" t="s">
        <v>2051</v>
      </c>
      <c r="B76" s="23" t="s">
        <v>1976</v>
      </c>
      <c r="C76" s="23" t="s">
        <v>1916</v>
      </c>
      <c r="D76" s="31">
        <v>46047</v>
      </c>
      <c r="E76" s="23" t="s">
        <v>150</v>
      </c>
      <c r="F76" s="32">
        <v>9987.94</v>
      </c>
      <c r="G76" s="23" t="s">
        <v>108</v>
      </c>
      <c r="H76" s="23" t="s">
        <v>74</v>
      </c>
      <c r="I76" s="23" t="s">
        <v>77</v>
      </c>
      <c r="J76" s="23" t="s">
        <v>1977</v>
      </c>
    </row>
    <row r="77" spans="1:10">
      <c r="A77" s="78" t="s">
        <v>2052</v>
      </c>
      <c r="B77" s="78" t="s">
        <v>2011</v>
      </c>
      <c r="C77" s="78" t="s">
        <v>389</v>
      </c>
      <c r="D77" s="79">
        <v>46048</v>
      </c>
      <c r="E77" s="78" t="s">
        <v>155</v>
      </c>
      <c r="F77" s="80">
        <v>6766.49</v>
      </c>
      <c r="G77" s="78" t="s">
        <v>75</v>
      </c>
      <c r="H77" s="78" t="s">
        <v>74</v>
      </c>
      <c r="I77" s="78" t="s">
        <v>86</v>
      </c>
      <c r="J77" s="78" t="s">
        <v>2012</v>
      </c>
    </row>
    <row r="78" spans="1:10">
      <c r="A78" s="23" t="s">
        <v>2053</v>
      </c>
      <c r="B78" s="23" t="s">
        <v>2011</v>
      </c>
      <c r="C78" s="23" t="s">
        <v>897</v>
      </c>
      <c r="D78" s="31">
        <v>46048</v>
      </c>
      <c r="E78" s="23" t="s">
        <v>220</v>
      </c>
      <c r="F78" s="32">
        <v>8116.56</v>
      </c>
      <c r="G78" s="23" t="s">
        <v>75</v>
      </c>
      <c r="H78" s="23" t="s">
        <v>74</v>
      </c>
      <c r="I78" s="23" t="s">
        <v>86</v>
      </c>
      <c r="J78" s="23" t="s">
        <v>2012</v>
      </c>
    </row>
    <row r="79" spans="1:10">
      <c r="A79" s="78" t="s">
        <v>2054</v>
      </c>
      <c r="B79" s="78" t="s">
        <v>1976</v>
      </c>
      <c r="C79" s="78" t="s">
        <v>1728</v>
      </c>
      <c r="D79" s="79">
        <v>46048</v>
      </c>
      <c r="E79" s="78" t="s">
        <v>139</v>
      </c>
      <c r="F79" s="80">
        <v>6126.59</v>
      </c>
      <c r="G79" s="78" t="s">
        <v>108</v>
      </c>
      <c r="H79" s="78" t="s">
        <v>74</v>
      </c>
      <c r="I79" s="78" t="s">
        <v>77</v>
      </c>
      <c r="J79" s="78" t="s">
        <v>1977</v>
      </c>
    </row>
    <row r="80" spans="1:10">
      <c r="A80" s="23" t="s">
        <v>2055</v>
      </c>
      <c r="B80" s="23" t="s">
        <v>1976</v>
      </c>
      <c r="C80" s="23" t="s">
        <v>1756</v>
      </c>
      <c r="D80" s="31">
        <v>46048</v>
      </c>
      <c r="E80" s="23" t="s">
        <v>150</v>
      </c>
      <c r="F80" s="32">
        <v>10555.58</v>
      </c>
      <c r="G80" s="23" t="s">
        <v>108</v>
      </c>
      <c r="H80" s="23" t="s">
        <v>74</v>
      </c>
      <c r="I80" s="23" t="s">
        <v>77</v>
      </c>
      <c r="J80" s="23" t="s">
        <v>1977</v>
      </c>
    </row>
    <row r="81" spans="1:10">
      <c r="A81" s="78" t="s">
        <v>2056</v>
      </c>
      <c r="B81" s="78" t="s">
        <v>1976</v>
      </c>
      <c r="C81" s="78" t="s">
        <v>1820</v>
      </c>
      <c r="D81" s="79">
        <v>46049</v>
      </c>
      <c r="E81" s="78" t="s">
        <v>220</v>
      </c>
      <c r="F81" s="80">
        <v>13214.92</v>
      </c>
      <c r="G81" s="78" t="s">
        <v>108</v>
      </c>
      <c r="H81" s="78" t="s">
        <v>74</v>
      </c>
      <c r="I81" s="78" t="s">
        <v>86</v>
      </c>
      <c r="J81" s="78" t="s">
        <v>1977</v>
      </c>
    </row>
    <row r="82" spans="1:10">
      <c r="A82" s="23" t="s">
        <v>2057</v>
      </c>
      <c r="B82" s="23" t="s">
        <v>1976</v>
      </c>
      <c r="C82" s="23" t="s">
        <v>1880</v>
      </c>
      <c r="D82" s="31">
        <v>46049</v>
      </c>
      <c r="E82" s="23" t="s">
        <v>173</v>
      </c>
      <c r="F82" s="32">
        <v>13845.85</v>
      </c>
      <c r="G82" s="23" t="s">
        <v>108</v>
      </c>
      <c r="H82" s="23" t="s">
        <v>74</v>
      </c>
      <c r="I82" s="23" t="s">
        <v>86</v>
      </c>
      <c r="J82" s="23" t="s">
        <v>1977</v>
      </c>
    </row>
    <row r="83" spans="1:10">
      <c r="A83" s="78" t="s">
        <v>2058</v>
      </c>
      <c r="B83" s="78" t="s">
        <v>2011</v>
      </c>
      <c r="C83" s="78" t="s">
        <v>257</v>
      </c>
      <c r="D83" s="79">
        <v>46051</v>
      </c>
      <c r="E83" s="78" t="s">
        <v>182</v>
      </c>
      <c r="F83" s="80">
        <v>-16620.64</v>
      </c>
      <c r="G83" s="78" t="s">
        <v>75</v>
      </c>
      <c r="H83" s="78" t="s">
        <v>74</v>
      </c>
      <c r="I83" s="78" t="s">
        <v>95</v>
      </c>
      <c r="J83" s="78" t="s">
        <v>2012</v>
      </c>
    </row>
  </sheetData>
  <mergeCells count="1">
    <mergeCell ref="A1:J1"/>
  </mergeCell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5D6D7E"/>
  </sheetPr>
  <dimension ref="A1:F10"/>
  <sheetViews>
    <sheetView workbookViewId="0">
      <pane ySplit="3" topLeftCell="A4" activePane="bottomLeft" state="frozen"/>
      <selection pane="bottomLeft"/>
    </sheetView>
  </sheetViews>
  <sheetFormatPr defaultRowHeight="13.8"/>
  <cols>
    <col min="1" max="1" width="28" customWidth="1"/>
    <col min="2" max="2" width="23" customWidth="1"/>
    <col min="3" max="3" width="20" customWidth="1"/>
    <col min="4" max="4" width="28" customWidth="1"/>
    <col min="5" max="5" width="18" customWidth="1"/>
    <col min="6" max="6" width="28" customWidth="1"/>
  </cols>
  <sheetData>
    <row r="1" spans="1:6" ht="24" customHeight="1">
      <c r="A1" s="111" t="s">
        <v>2059</v>
      </c>
      <c r="B1" s="112"/>
      <c r="C1" s="112"/>
      <c r="D1" s="112"/>
      <c r="E1" s="112"/>
      <c r="F1" s="112"/>
    </row>
    <row r="2" spans="1:6" ht="22.05" customHeight="1">
      <c r="A2" s="81"/>
      <c r="B2" s="81"/>
      <c r="C2" s="81"/>
      <c r="D2" s="81"/>
      <c r="E2" s="81"/>
      <c r="F2" s="81"/>
    </row>
    <row r="3" spans="1:6" ht="22.05" customHeight="1">
      <c r="A3" s="82" t="s">
        <v>2060</v>
      </c>
      <c r="B3" s="82" t="s">
        <v>2061</v>
      </c>
      <c r="C3" s="82" t="s">
        <v>1971</v>
      </c>
      <c r="D3" s="82" t="s">
        <v>2062</v>
      </c>
      <c r="E3" s="82" t="s">
        <v>2063</v>
      </c>
      <c r="F3" s="82" t="s">
        <v>2</v>
      </c>
    </row>
    <row r="4" spans="1:6" ht="27.6">
      <c r="A4" s="83">
        <v>1</v>
      </c>
      <c r="B4" s="13" t="s">
        <v>2064</v>
      </c>
      <c r="C4" s="13" t="s">
        <v>2065</v>
      </c>
      <c r="D4" s="11" t="s">
        <v>2066</v>
      </c>
      <c r="E4" s="13" t="s">
        <v>2067</v>
      </c>
      <c r="F4" s="13" t="s">
        <v>2068</v>
      </c>
    </row>
    <row r="5" spans="1:6" ht="27.6">
      <c r="A5" s="84">
        <v>2</v>
      </c>
      <c r="B5" s="85" t="s">
        <v>2069</v>
      </c>
      <c r="C5" s="85" t="s">
        <v>2070</v>
      </c>
      <c r="D5" s="86" t="s">
        <v>2071</v>
      </c>
      <c r="E5" s="85" t="s">
        <v>2072</v>
      </c>
      <c r="F5" s="85" t="s">
        <v>2073</v>
      </c>
    </row>
    <row r="6" spans="1:6">
      <c r="A6" s="83">
        <v>3</v>
      </c>
      <c r="B6" s="13" t="s">
        <v>2074</v>
      </c>
      <c r="C6" s="13" t="s">
        <v>2075</v>
      </c>
      <c r="D6" s="13" t="s">
        <v>2076</v>
      </c>
      <c r="E6" s="13" t="s">
        <v>2011</v>
      </c>
      <c r="F6" s="13" t="s">
        <v>2077</v>
      </c>
    </row>
    <row r="7" spans="1:6" ht="27.6">
      <c r="A7" s="84">
        <v>4</v>
      </c>
      <c r="B7" s="85" t="s">
        <v>2078</v>
      </c>
      <c r="C7" s="85" t="s">
        <v>2079</v>
      </c>
      <c r="D7" s="86" t="s">
        <v>2080</v>
      </c>
      <c r="E7" s="85" t="s">
        <v>2081</v>
      </c>
      <c r="F7" s="85" t="s">
        <v>2082</v>
      </c>
    </row>
    <row r="8" spans="1:6">
      <c r="A8" s="83">
        <v>5</v>
      </c>
      <c r="B8" s="13" t="s">
        <v>2083</v>
      </c>
      <c r="C8" s="13" t="s">
        <v>2084</v>
      </c>
      <c r="D8" s="13" t="s">
        <v>2085</v>
      </c>
      <c r="E8" s="13" t="s">
        <v>2086</v>
      </c>
      <c r="F8" s="13" t="s">
        <v>2087</v>
      </c>
    </row>
    <row r="9" spans="1:6">
      <c r="A9" s="84">
        <v>6</v>
      </c>
      <c r="B9" s="85" t="s">
        <v>2088</v>
      </c>
      <c r="C9" s="85" t="s">
        <v>2089</v>
      </c>
      <c r="D9" s="85" t="s">
        <v>2090</v>
      </c>
      <c r="E9" s="85" t="s">
        <v>2091</v>
      </c>
      <c r="F9" s="85" t="s">
        <v>2092</v>
      </c>
    </row>
    <row r="10" spans="1:6">
      <c r="A10" s="83">
        <v>7</v>
      </c>
      <c r="B10" s="13" t="s">
        <v>2093</v>
      </c>
      <c r="C10" s="13" t="s">
        <v>2094</v>
      </c>
      <c r="D10" s="13" t="s">
        <v>2095</v>
      </c>
      <c r="E10" s="13" t="s">
        <v>2096</v>
      </c>
      <c r="F10" s="13" t="s">
        <v>2097</v>
      </c>
    </row>
  </sheetData>
  <mergeCells count="1">
    <mergeCell ref="A1:F1"/>
  </mergeCell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1F4E78"/>
  </sheetPr>
  <dimension ref="A1:G35"/>
  <sheetViews>
    <sheetView workbookViewId="0">
      <pane ySplit="3" topLeftCell="A4" activePane="bottomLeft" state="frozen"/>
      <selection pane="bottomLeft"/>
    </sheetView>
  </sheetViews>
  <sheetFormatPr defaultRowHeight="13.8"/>
  <cols>
    <col min="1" max="3" width="28" customWidth="1"/>
    <col min="4" max="4" width="20" customWidth="1"/>
    <col min="5" max="5" width="28" customWidth="1"/>
    <col min="6" max="7" width="17" customWidth="1"/>
  </cols>
  <sheetData>
    <row r="1" spans="1:7" ht="24" customHeight="1">
      <c r="A1" s="115" t="s">
        <v>2098</v>
      </c>
      <c r="B1" s="116"/>
      <c r="C1" s="116"/>
      <c r="D1" s="116"/>
      <c r="E1" s="116"/>
      <c r="F1" s="116"/>
      <c r="G1" s="116"/>
    </row>
    <row r="2" spans="1:7" ht="22.05" customHeight="1">
      <c r="A2" s="118" t="s">
        <v>2099</v>
      </c>
      <c r="B2" s="119"/>
      <c r="C2" s="119"/>
      <c r="D2" s="119"/>
      <c r="E2" s="119"/>
      <c r="F2" s="119"/>
      <c r="G2" s="119"/>
    </row>
    <row r="3" spans="1:7" ht="22.05" customHeight="1">
      <c r="A3" s="87"/>
      <c r="B3" s="87"/>
      <c r="C3" s="87"/>
      <c r="D3" s="87"/>
      <c r="E3" s="87"/>
      <c r="F3" s="87"/>
      <c r="G3" s="87"/>
    </row>
    <row r="4" spans="1:7" ht="24" customHeight="1">
      <c r="A4" s="113" t="str">
        <f ca="1">"Match Rate: "&amp;TEXT(Analysis_Model!B9,"0.0%")</f>
        <v>Match Rate: 0.0%</v>
      </c>
      <c r="B4" s="114"/>
      <c r="C4" s="113" t="str">
        <f ca="1">"Unmatched ERP: "&amp;TEXT(Analysis_Model!B8,"#,##0")</f>
        <v>Unmatched ERP: 500</v>
      </c>
      <c r="D4" s="114"/>
      <c r="E4" s="113" t="str">
        <f>"Bank-only Items: "&amp;TEXT(Analysis_Model!B10,"#,##0")</f>
        <v>Bank-only Items: 34</v>
      </c>
      <c r="F4" s="114"/>
      <c r="G4" s="1"/>
    </row>
    <row r="5" spans="1:7" ht="37.950000000000003" customHeight="1">
      <c r="A5" s="114"/>
      <c r="B5" s="114"/>
      <c r="C5" s="114"/>
      <c r="D5" s="114"/>
      <c r="E5" s="114"/>
      <c r="F5" s="114"/>
      <c r="G5" s="1"/>
    </row>
    <row r="6" spans="1:7">
      <c r="A6" s="1"/>
      <c r="B6" s="1"/>
      <c r="C6" s="1"/>
      <c r="D6" s="1"/>
      <c r="E6" s="1"/>
      <c r="F6" s="1"/>
      <c r="G6" s="1"/>
    </row>
    <row r="7" spans="1:7" ht="24" customHeight="1">
      <c r="A7" s="113" t="str">
        <f>"Open Invoice Amount: "&amp;TEXT(Analysis_Model!B11,"$#,##0")</f>
        <v>Open Invoice Amount: $1,297,567</v>
      </c>
      <c r="B7" s="114"/>
      <c r="C7" s="113" t="str">
        <f>"High-risk Invoices: "&amp;TEXT(Analysis_Model!B12,"#,##0")</f>
        <v>High-risk Invoices: 118</v>
      </c>
      <c r="D7" s="114"/>
      <c r="E7" s="113" t="str">
        <f>"Total Exceptions: "&amp;TEXT(Analysis_Model!B13,"#,##0")</f>
        <v>Total Exceptions: 80</v>
      </c>
      <c r="F7" s="114"/>
      <c r="G7" s="1"/>
    </row>
    <row r="8" spans="1:7" ht="37.950000000000003" customHeight="1">
      <c r="A8" s="114"/>
      <c r="B8" s="114"/>
      <c r="C8" s="114"/>
      <c r="D8" s="114"/>
      <c r="E8" s="114"/>
      <c r="F8" s="114"/>
      <c r="G8" s="1"/>
    </row>
    <row r="9" spans="1:7">
      <c r="A9" s="1"/>
      <c r="B9" s="1"/>
      <c r="C9" s="1"/>
      <c r="D9" s="1"/>
      <c r="E9" s="1"/>
      <c r="F9" s="1"/>
      <c r="G9" s="1"/>
    </row>
    <row r="10" spans="1:7">
      <c r="A10" s="1"/>
      <c r="B10" s="1"/>
      <c r="C10" s="1"/>
      <c r="D10" s="1"/>
      <c r="E10" s="1"/>
      <c r="F10" s="1"/>
      <c r="G10" s="1"/>
    </row>
    <row r="11" spans="1:7">
      <c r="A11" s="88" t="s">
        <v>1926</v>
      </c>
      <c r="B11" s="88" t="s">
        <v>1927</v>
      </c>
      <c r="C11" s="1"/>
      <c r="D11" s="88" t="s">
        <v>67</v>
      </c>
      <c r="E11" s="88" t="s">
        <v>1928</v>
      </c>
      <c r="F11" s="1"/>
      <c r="G11" s="1"/>
    </row>
    <row r="12" spans="1:7">
      <c r="A12" s="89" t="s">
        <v>1932</v>
      </c>
      <c r="B12" s="90">
        <f ca="1">Analysis_Model!F4</f>
        <v>0</v>
      </c>
      <c r="C12" s="1"/>
      <c r="D12" s="90" t="str">
        <f>Analysis_Model!H4</f>
        <v>Current</v>
      </c>
      <c r="E12" s="91">
        <f>Analysis_Model!I4</f>
        <v>618175.07999999984</v>
      </c>
      <c r="F12" s="1"/>
      <c r="G12" s="1"/>
    </row>
    <row r="13" spans="1:7">
      <c r="A13" s="89" t="s">
        <v>1935</v>
      </c>
      <c r="B13" s="90">
        <f ca="1">Analysis_Model!F5</f>
        <v>0</v>
      </c>
      <c r="C13" s="1"/>
      <c r="D13" s="90" t="str">
        <f>Analysis_Model!H5</f>
        <v>1-30</v>
      </c>
      <c r="E13" s="91">
        <f>Analysis_Model!I5</f>
        <v>364527.08000000007</v>
      </c>
      <c r="F13" s="1"/>
      <c r="G13" s="1"/>
    </row>
    <row r="14" spans="1:7">
      <c r="A14" s="89" t="s">
        <v>1938</v>
      </c>
      <c r="B14" s="90">
        <f ca="1">Analysis_Model!F6</f>
        <v>500</v>
      </c>
      <c r="C14" s="1"/>
      <c r="D14" s="90" t="str">
        <f>Analysis_Model!H6</f>
        <v>31-60</v>
      </c>
      <c r="E14" s="91">
        <f>Analysis_Model!I6</f>
        <v>237433.66000000003</v>
      </c>
      <c r="F14" s="1"/>
      <c r="G14" s="1"/>
    </row>
    <row r="15" spans="1:7">
      <c r="A15" s="1"/>
      <c r="B15" s="1"/>
      <c r="C15" s="1"/>
      <c r="D15" s="90" t="str">
        <f>Analysis_Model!H7</f>
        <v>61-90</v>
      </c>
      <c r="E15" s="91">
        <f>Analysis_Model!I7</f>
        <v>77430.94</v>
      </c>
      <c r="F15" s="1"/>
      <c r="G15" s="1"/>
    </row>
    <row r="16" spans="1:7">
      <c r="A16" s="1"/>
      <c r="B16" s="1"/>
      <c r="C16" s="1"/>
      <c r="D16" s="90" t="str">
        <f>Analysis_Model!H8</f>
        <v>90+</v>
      </c>
      <c r="E16" s="91">
        <f>Analysis_Model!I8</f>
        <v>0</v>
      </c>
      <c r="F16" s="1"/>
      <c r="G16" s="1"/>
    </row>
    <row r="17" spans="1:7">
      <c r="A17" s="1"/>
      <c r="B17" s="1"/>
      <c r="C17" s="1"/>
      <c r="D17" s="1"/>
      <c r="E17" s="1"/>
      <c r="F17" s="1"/>
      <c r="G17" s="1"/>
    </row>
    <row r="18" spans="1:7">
      <c r="A18" s="117" t="s">
        <v>2100</v>
      </c>
      <c r="B18" s="114"/>
      <c r="C18" s="114"/>
      <c r="D18" s="114"/>
      <c r="E18" s="114"/>
      <c r="F18" s="114"/>
      <c r="G18" s="114"/>
    </row>
    <row r="19" spans="1:7" ht="27.6">
      <c r="A19" s="89" t="s">
        <v>2101</v>
      </c>
      <c r="B19" s="92" t="s">
        <v>2102</v>
      </c>
      <c r="C19" s="1"/>
      <c r="D19" s="1"/>
      <c r="E19" s="1"/>
      <c r="F19" s="1"/>
      <c r="G19" s="1"/>
    </row>
    <row r="20" spans="1:7" ht="27.6">
      <c r="A20" s="89" t="s">
        <v>2103</v>
      </c>
      <c r="B20" s="92" t="s">
        <v>2104</v>
      </c>
      <c r="C20" s="1"/>
      <c r="D20" s="1"/>
      <c r="E20" s="1"/>
      <c r="F20" s="1"/>
      <c r="G20" s="1"/>
    </row>
    <row r="21" spans="1:7" ht="41.4">
      <c r="A21" s="89" t="s">
        <v>2105</v>
      </c>
      <c r="B21" s="92" t="s">
        <v>2106</v>
      </c>
      <c r="C21" s="1"/>
      <c r="D21" s="1"/>
      <c r="E21" s="1"/>
      <c r="F21" s="1"/>
      <c r="G21" s="1"/>
    </row>
    <row r="22" spans="1:7" ht="27.6">
      <c r="A22" s="89" t="s">
        <v>2107</v>
      </c>
      <c r="B22" s="92" t="s">
        <v>2108</v>
      </c>
      <c r="C22" s="1"/>
      <c r="D22" s="1"/>
      <c r="E22" s="1"/>
      <c r="F22" s="1"/>
      <c r="G22" s="1"/>
    </row>
    <row r="23" spans="1:7">
      <c r="A23" s="1"/>
      <c r="B23" s="1"/>
      <c r="C23" s="1"/>
      <c r="D23" s="1"/>
      <c r="E23" s="1"/>
      <c r="F23" s="1"/>
      <c r="G23" s="1"/>
    </row>
    <row r="24" spans="1:7">
      <c r="A24" s="1"/>
      <c r="B24" s="1"/>
      <c r="C24" s="1"/>
      <c r="D24" s="1"/>
      <c r="E24" s="1"/>
      <c r="F24" s="1"/>
      <c r="G24" s="1"/>
    </row>
    <row r="25" spans="1:7">
      <c r="A25" s="1"/>
      <c r="B25" s="1"/>
      <c r="C25" s="1"/>
      <c r="D25" s="1"/>
      <c r="E25" s="1"/>
      <c r="F25" s="1"/>
      <c r="G25" s="1"/>
    </row>
    <row r="26" spans="1:7">
      <c r="A26" s="1"/>
      <c r="B26" s="1"/>
      <c r="C26" s="1"/>
      <c r="D26" s="1"/>
      <c r="E26" s="1"/>
      <c r="F26" s="1"/>
      <c r="G26" s="1"/>
    </row>
    <row r="27" spans="1:7">
      <c r="A27" s="1"/>
      <c r="B27" s="1"/>
      <c r="C27" s="1"/>
      <c r="D27" s="1"/>
      <c r="E27" s="1"/>
      <c r="F27" s="1"/>
      <c r="G27" s="1"/>
    </row>
    <row r="28" spans="1:7">
      <c r="A28" s="1"/>
      <c r="B28" s="1"/>
      <c r="C28" s="1"/>
      <c r="D28" s="1"/>
      <c r="E28" s="1"/>
      <c r="F28" s="1"/>
      <c r="G28" s="1"/>
    </row>
    <row r="29" spans="1:7">
      <c r="A29" s="1"/>
      <c r="B29" s="1"/>
      <c r="C29" s="1"/>
      <c r="D29" s="1"/>
      <c r="E29" s="1"/>
      <c r="F29" s="1"/>
      <c r="G29" s="1"/>
    </row>
    <row r="30" spans="1:7">
      <c r="A30" s="88" t="s">
        <v>114</v>
      </c>
      <c r="B30" s="88" t="s">
        <v>1929</v>
      </c>
      <c r="C30" s="1"/>
      <c r="D30" s="88" t="s">
        <v>69</v>
      </c>
      <c r="E30" s="88" t="s">
        <v>1927</v>
      </c>
      <c r="F30" s="1"/>
      <c r="G30" s="1"/>
    </row>
    <row r="31" spans="1:7">
      <c r="A31" s="90" t="str">
        <f>Analysis_Model!K4</f>
        <v>AP</v>
      </c>
      <c r="B31" s="91">
        <f>Analysis_Model!L4</f>
        <v>556583.98000000033</v>
      </c>
      <c r="C31" s="1"/>
      <c r="D31" s="90" t="str">
        <f>Analysis_Model!N4</f>
        <v>Closed</v>
      </c>
      <c r="E31" s="90">
        <f>Analysis_Model!O4</f>
        <v>25</v>
      </c>
      <c r="F31" s="1"/>
      <c r="G31" s="1"/>
    </row>
    <row r="32" spans="1:7">
      <c r="A32" s="90" t="str">
        <f>Analysis_Model!K5</f>
        <v>AR</v>
      </c>
      <c r="B32" s="91">
        <f>Analysis_Model!L5</f>
        <v>619709.64999999991</v>
      </c>
      <c r="C32" s="1"/>
      <c r="D32" s="90" t="str">
        <f>Analysis_Model!N5</f>
        <v>High Risk</v>
      </c>
      <c r="E32" s="90">
        <f>Analysis_Model!O5</f>
        <v>118</v>
      </c>
      <c r="F32" s="1"/>
      <c r="G32" s="1"/>
    </row>
    <row r="33" spans="1:7">
      <c r="A33" s="90" t="str">
        <f>Analysis_Model!K6</f>
        <v>GL</v>
      </c>
      <c r="B33" s="91">
        <f>Analysis_Model!L6</f>
        <v>167237.63999999998</v>
      </c>
      <c r="C33" s="1"/>
      <c r="D33" s="90" t="str">
        <f>Analysis_Model!N6</f>
        <v>Monitor</v>
      </c>
      <c r="E33" s="90">
        <f>Analysis_Model!O6</f>
        <v>15</v>
      </c>
      <c r="F33" s="1"/>
      <c r="G33" s="1"/>
    </row>
    <row r="34" spans="1:7">
      <c r="A34" s="90" t="str">
        <f>Analysis_Model!K7</f>
        <v>Payroll</v>
      </c>
      <c r="B34" s="91">
        <f>Analysis_Model!L7</f>
        <v>640667.22000000009</v>
      </c>
      <c r="C34" s="1"/>
      <c r="D34" s="90" t="str">
        <f>Analysis_Model!N7</f>
        <v>Normal</v>
      </c>
      <c r="E34" s="90">
        <f>Analysis_Model!O7</f>
        <v>62</v>
      </c>
      <c r="F34" s="1"/>
      <c r="G34" s="1"/>
    </row>
    <row r="35" spans="1:7">
      <c r="A35" s="90" t="str">
        <f>Analysis_Model!K8</f>
        <v>Bank Fees</v>
      </c>
      <c r="B35" s="91">
        <f>Analysis_Model!L8</f>
        <v>2350.7700000000004</v>
      </c>
      <c r="C35" s="1"/>
      <c r="D35" s="1"/>
      <c r="E35" s="1"/>
      <c r="F35" s="1"/>
      <c r="G35" s="1"/>
    </row>
  </sheetData>
  <mergeCells count="9">
    <mergeCell ref="C4:D5"/>
    <mergeCell ref="A4:B5"/>
    <mergeCell ref="A1:G1"/>
    <mergeCell ref="E4:F5"/>
    <mergeCell ref="A18:G18"/>
    <mergeCell ref="C7:D8"/>
    <mergeCell ref="A7:B8"/>
    <mergeCell ref="E7:F8"/>
    <mergeCell ref="A2:G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README</vt:lpstr>
      <vt:lpstr>Mapping_Rules</vt:lpstr>
      <vt:lpstr>ERP_Transactions</vt:lpstr>
      <vt:lpstr>Bank_Statement</vt:lpstr>
      <vt:lpstr>Reconciliation</vt:lpstr>
      <vt:lpstr>Open_Invoices</vt:lpstr>
      <vt:lpstr>Analysis_Model</vt:lpstr>
      <vt:lpstr>Exception_Log</vt:lpstr>
      <vt:lpstr>Power_Query_Blueprint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Alireza Alireza</cp:lastModifiedBy>
  <dcterms:created xsi:type="dcterms:W3CDTF">2026-06-13T11:48:11Z</dcterms:created>
  <dcterms:modified xsi:type="dcterms:W3CDTF">2026-06-13T20:46:55Z</dcterms:modified>
</cp:coreProperties>
</file>