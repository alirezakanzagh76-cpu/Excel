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355be9af842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56163c1f3454c3c"/>
    <x:sheet xmlns:r="http://schemas.openxmlformats.org/officeDocument/2006/relationships" name="Data" sheetId="2" r:id="R7ab8524a0e3e43d7"/>
    <x:sheet xmlns:r="http://schemas.openxmlformats.org/officeDocument/2006/relationships" name="Exceptions" sheetId="3" r:id="Rbe942800ec5146f5"/>
    <x:sheet xmlns:r="http://schemas.openxmlformats.org/officeDocument/2006/relationships" name="Dashboard" sheetId="4" r:id="Ra5ab6bf4b80241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.00"/>
    <x:numFmt numFmtId="202" formatCode="0"/>
    <x:numFmt numFmtId="203" formatCode="$#,##0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E2F0D9"/>
      </x:patternFill>
    </x:fill>
    <x:fill>
      <x:patternFill patternType="solid">
        <x:fgColor rgb="FFC00000"/>
      </x:patternFill>
    </x:fill>
    <x:fill>
      <x:patternFill patternType="solid">
        <x:fgColor rgb="FFF2F2F2"/>
      </x:patternFill>
    </x:fill>
  </x:fills>
  <x:borders count="20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1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15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2" fontId="4" fillId="0" borderId="0" xfId="0" applyNumberFormat="1" applyFont="1" applyFill="1" applyBorder="1" applyAlignment="1">
      <x:alignment horizontal="right"/>
    </x:xf>
    <x:xf numFmtId="203" fontId="4" fillId="0" borderId="0" xfId="0" applyNumberFormat="1" applyFont="1" applyFill="1" applyBorder="1" applyAlignment="1">
      <x:alignment horizontal="right"/>
    </x:xf>
    <x:xf numFmtId="202" fontId="4" fillId="0" borderId="1" xfId="0" applyNumberFormat="1" applyFont="1" applyFill="1" applyBorder="1"/>
    <x:xf numFmtId="203" fontId="4" fillId="0" borderId="1" xfId="0" applyNumberFormat="1" applyFont="1" applyFill="1" applyBorder="1"/>
    <x:xf numFmtId="202" fontId="4" fillId="0" borderId="1" xfId="0" applyNumberFormat="1" applyFont="1" applyFill="1" applyBorder="1" applyAlignment="1">
      <x:alignment horizontal="right"/>
    </x:xf>
    <x:xf numFmtId="203" fontId="4" fillId="0" borderId="1" xfId="0" applyNumberFormat="1" applyFont="1" applyFill="1" applyBorder="1" applyAlignment="1">
      <x:alignment horizontal="right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491791de034f90" /><Relationship Type="http://schemas.openxmlformats.org/officeDocument/2006/relationships/theme" Target="/xl/theme/theme1.xml" Id="R83b6f745761f4243" /><Relationship Type="http://schemas.openxmlformats.org/officeDocument/2006/relationships/sharedStrings" Target="/xl/sharedStrings.xml" Id="R09247848a0474705" /><Relationship Type="http://schemas.openxmlformats.org/officeDocument/2006/relationships/worksheet" Target="/xl/worksheets/sheet1.xml" Id="Re56163c1f3454c3c" /><Relationship Type="http://schemas.openxmlformats.org/officeDocument/2006/relationships/worksheet" Target="/xl/worksheets/sheet2.xml" Id="R7ab8524a0e3e43d7" /><Relationship Type="http://schemas.openxmlformats.org/officeDocument/2006/relationships/worksheet" Target="/xl/worksheets/sheet3.xml" Id="Rbe942800ec5146f5" /><Relationship Type="http://schemas.openxmlformats.org/officeDocument/2006/relationships/worksheet" Target="/xl/worksheets/sheet4.xml" Id="Ra5ab6bf4b80241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49705d438e5425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'Dashboard'!$D$5:$D$8</c:f>
              <c:strCache>
                <c:ptCount val="0"/>
              </c:strCache>
            </c:strRef>
          </c:cat>
          <c:val>
            <c:numRef>
              <c:f>'Dashboard'!$E$5:$E$8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9705d438e5425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d9c9ae3bf5a43fc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28" customHeight="1">
      <x:c r="A1" s="5" t="str">
        <x:v>AP Invoice Automation &amp; Discrepancy Engine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3" t="str">
        <x:v>Self-directed portfolio project with realistic sample data, formulas, controls, and dashboard</x:v>
      </x:c>
      <x:c r="B2" s="13"/>
      <x:c r="C2" s="13"/>
      <x:c r="D2" s="13"/>
      <x:c r="E2" s="13"/>
      <x:c r="F2" s="13"/>
      <x:c r="G2" s="13"/>
      <x:c r="H2" s="13"/>
      <x:c r="I2" s="13"/>
    </x:row>
    <x:row r="4" ht="30" customHeight="1">
      <x:c r="A4" s="22" t="str">
        <x:v>Section</x:v>
      </x:c>
      <x:c r="B4" s="22" t="str">
        <x:v>Details</x:v>
      </x:c>
    </x:row>
    <x:row r="5" ht="52" customHeight="1">
      <x:c r="A5" s="30" t="str">
        <x:v>Business Problem</x:v>
      </x:c>
      <x:c r="B5" s="35" t="str">
        <x:v>AP teams need to match invoices to PO numbers, verify tax, prevent duplicate payments, and flag overdue or unapproved invoices.</x:v>
      </x:c>
    </x:row>
    <x:row r="6" ht="52" customHeight="1">
      <x:c r="A6" s="30" t="str">
        <x:v>How to Use</x:v>
      </x:c>
      <x:c r="B6" s="35" t="str">
        <x:v>Replace the sample data with company exports, refresh formulas, review the Exceptions sheet, then present the Dashboard KPIs.</x:v>
      </x:c>
    </x:row>
    <x:row r="7" ht="52" customHeight="1">
      <x:c r="A7" s="30" t="str">
        <x:v>Excel / Finance Skills Shown</x:v>
      </x:c>
      <x:c r="B7" s="35" t="str">
        <x:v>COUNTIFS duplicate checks, PO validation, tax checking, overdue aging, risk scoring, exceptions, dashboard KPIs, data validation.</x:v>
      </x:c>
    </x:row>
    <x:row r="8" ht="52" customHeight="1">
      <x:c r="A8" s="30" t="str">
        <x:v>Workbook Sheets</x:v>
      </x:c>
      <x:c r="B8" s="35" t="str">
        <x:v>README, Data, Exceptions, Dashboard</x:v>
      </x:c>
    </x:row>
    <x:row r="9" ht="52" customHeight="1">
      <x:c r="A9" s="30" t="str">
        <x:v>Interview Talking Points</x:v>
      </x:c>
      <x:c r="B9" s="35" t="str">
        <x:v>Show how the workbook reduces duplicate payment risk and gives AP staff a clear exception list before payment.</x:v>
      </x:c>
    </x:row>
    <x:row r="10" ht="52" customHeight="1">
      <x:c r="A10" s="30" t="str">
        <x:v>Important Note</x:v>
      </x:c>
      <x:c r="B10" s="35" t="str">
        <x:v>This file uses realistic sample data and is designed as a portfolio project. It is not confidential company data.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2" hidden="0" customWidth="1"/>
    <x:col min="5" max="5" width="13" hidden="0" customWidth="1"/>
    <x:col min="6" max="6" width="13" hidden="0" customWidth="1"/>
    <x:col min="7" max="7" width="12" hidden="0" customWidth="1"/>
    <x:col min="8" max="8" width="11" hidden="0" customWidth="1"/>
    <x:col min="9" max="9" width="12" hidden="0" customWidth="1"/>
    <x:col min="10" max="10" width="14" hidden="0" customWidth="1"/>
    <x:col min="11" max="11" width="14" hidden="0" customWidth="1"/>
    <x:col min="12" max="12" width="16" hidden="0" customWidth="1"/>
    <x:col min="13" max="13" width="14" hidden="0" customWidth="1"/>
    <x:col min="14" max="14" width="13" hidden="0" customWidth="1"/>
    <x:col min="15" max="15" width="13" hidden="0" customWidth="1"/>
    <x:col min="16" max="16" width="12" hidden="0" customWidth="1"/>
    <x:col min="17" max="17" width="35" hidden="0" customWidth="1"/>
  </x:cols>
  <x:sheetData>
    <x:row r="1" ht="30" customHeight="1">
      <x:c r="A1" s="46" t="str">
        <x:v>Invoice_ID</x:v>
      </x:c>
      <x:c r="B1" s="47" t="str">
        <x:v>Vendor</x:v>
      </x:c>
      <x:c r="C1" s="47" t="str">
        <x:v>Invoice_No</x:v>
      </x:c>
      <x:c r="D1" s="47" t="str">
        <x:v>PO_No</x:v>
      </x:c>
      <x:c r="E1" s="47" t="str">
        <x:v>Invoice_Date</x:v>
      </x:c>
      <x:c r="F1" s="47" t="str">
        <x:v>Due_Date</x:v>
      </x:c>
      <x:c r="G1" s="47" t="str">
        <x:v>Amount</x:v>
      </x:c>
      <x:c r="H1" s="47" t="str">
        <x:v>Tax</x:v>
      </x:c>
      <x:c r="I1" s="47" t="str">
        <x:v>Total</x:v>
      </x:c>
      <x:c r="J1" s="47" t="str">
        <x:v>Payment_Status</x:v>
      </x:c>
      <x:c r="K1" s="47" t="str">
        <x:v>Approval_Status</x:v>
      </x:c>
      <x:c r="L1" s="47" t="str">
        <x:v>Duplicate_Flag</x:v>
      </x:c>
      <x:c r="M1" s="47" t="str">
        <x:v>PO_Status</x:v>
      </x:c>
      <x:c r="N1" s="47" t="str">
        <x:v>Tax_Check</x:v>
      </x:c>
      <x:c r="O1" s="47" t="str">
        <x:v>Days_Overdue</x:v>
      </x:c>
      <x:c r="P1" s="47" t="str">
        <x:v>Risk_Level</x:v>
      </x:c>
      <x:c r="Q1" s="48" t="str">
        <x:v>Exception_Notes</x:v>
      </x:c>
    </x:row>
    <x:row r="2">
      <x:c r="A2" s="55" t="str">
        <x:v>AP-0001</x:v>
      </x:c>
      <x:c r="B2" s="56" t="str">
        <x:v>Vendor 15</x:v>
      </x:c>
      <x:c r="C2" s="56" t="str">
        <x:v>INV-21101</x:v>
      </x:c>
      <x:c r="D2" s="56" t="str"/>
      <x:c r="E2" s="76" t="n">
        <x:v>46186</x:v>
      </x:c>
      <x:c r="F2" s="76" t="n">
        <x:v>46216</x:v>
      </x:c>
      <x:c r="G2" s="80" t="n">
        <x:v>4371.77</x:v>
      </x:c>
      <x:c r="H2" s="80" t="n">
        <x:v>573.21</x:v>
      </x:c>
      <x:c r="I2" s="80" t="n">
        <x:f>G2+H2</x:f>
        <x:v>4944.9800000000005</x:v>
      </x:c>
      <x:c r="J2" s="56" t="str">
        <x:v>On Hold</x:v>
      </x:c>
      <x:c r="K2" s="56" t="str">
        <x:v>Approved</x:v>
      </x:c>
      <x:c r="L2" s="56" t="str">
        <x:f>IF(COUNTIFS($B:$B,B2,$C:$C,C2,$I:$I,I2)&gt;1,"Duplicate Risk","OK")</x:f>
        <x:v>OK</x:v>
      </x:c>
      <x:c r="M2" s="56" t="str">
        <x:f>IF(D2="","Missing PO","Matched")</x:f>
        <x:v>Missing PO</x:v>
      </x:c>
      <x:c r="N2" s="56" t="str">
        <x:f>IF(ABS(H2-G2*0.13)&lt;=1,"OK","Review Tax")</x:f>
        <x:v>Review Tax</x:v>
      </x:c>
      <x:c r="O2" s="56" t="n">
        <x:f>IF(J2="Paid",0,MAX(0,TODAY()-F2))</x:f>
        <x:v>0</x:v>
      </x:c>
      <x:c r="P2" s="56" t="str">
        <x:f>IF(OR(L2="Duplicate Risk",M2="Missing PO",N2="Review Tax",O2&gt;30,K2&lt;&gt;"Approved"),"High","Low")</x:f>
        <x:v>High</x:v>
      </x:c>
      <x:c r="Q2" s="57" t="str">
        <x:f>TEXTJOIN("; ",TRUE,IF(L2="Duplicate Risk","Duplicate risk",""),IF(M2="Missing PO","Missing PO",""),IF(N2="Review Tax","Tax variance",""),IF(O2&gt;0,"Overdue",""),IF(K2&lt;&gt;"Approved","Approval issue",""))</x:f>
        <x:v>Missing PO; Tax variance</x:v>
      </x:c>
    </x:row>
    <x:row r="3">
      <x:c r="A3" s="55" t="str">
        <x:v>AP-0002</x:v>
      </x:c>
      <x:c r="B3" s="56" t="str">
        <x:v>Vendor 1</x:v>
      </x:c>
      <x:c r="C3" s="56" t="str">
        <x:v>INV-48833</x:v>
      </x:c>
      <x:c r="D3" s="56" t="str">
        <x:v>PO-1045</x:v>
      </x:c>
      <x:c r="E3" s="76" t="n">
        <x:v>46159</x:v>
      </x:c>
      <x:c r="F3" s="76" t="n">
        <x:v>46189</x:v>
      </x:c>
      <x:c r="G3" s="80" t="n">
        <x:v>2992.52</x:v>
      </x:c>
      <x:c r="H3" s="80" t="n">
        <x:v>389.03</x:v>
      </x:c>
      <x:c r="I3" s="80" t="n">
        <x:f>G3+H3</x:f>
        <x:v>3381.55</x:v>
      </x:c>
      <x:c r="J3" s="56" t="str">
        <x:v>Unpaid</x:v>
      </x:c>
      <x:c r="K3" s="56" t="str">
        <x:v>Rejected</x:v>
      </x:c>
      <x:c r="L3" s="56" t="str">
        <x:f>IF(COUNTIFS($B:$B,B3,$C:$C,C3,$I:$I,I3)&gt;1,"Duplicate Risk","OK")</x:f>
        <x:v>OK</x:v>
      </x:c>
      <x:c r="M3" s="56" t="str">
        <x:f>IF(D3="","Missing PO","Matched")</x:f>
        <x:v>Matched</x:v>
      </x:c>
      <x:c r="N3" s="56" t="str">
        <x:f>IF(ABS(H3-G3*0.13)&lt;=1,"OK","Review Tax")</x:f>
        <x:v>OK</x:v>
      </x:c>
      <x:c r="O3" s="56" t="n">
        <x:f>IF(J3="Paid",0,MAX(0,TODAY()-F3))</x:f>
        <x:v>13</x:v>
      </x:c>
      <x:c r="P3" s="56" t="str">
        <x:f>IF(OR(L3="Duplicate Risk",M3="Missing PO",N3="Review Tax",O3&gt;30,K3&lt;&gt;"Approved"),"High","Low")</x:f>
        <x:v>High</x:v>
      </x:c>
      <x:c r="Q3" s="57" t="str">
        <x:f>TEXTJOIN("; ",TRUE,IF(L3="Duplicate Risk","Duplicate risk",""),IF(M3="Missing PO","Missing PO",""),IF(N3="Review Tax","Tax variance",""),IF(O3&gt;0,"Overdue",""),IF(K3&lt;&gt;"Approved","Approval issue",""))</x:f>
        <x:v>Overdue; Approval issue</x:v>
      </x:c>
    </x:row>
    <x:row r="4">
      <x:c r="A4" s="55" t="str">
        <x:v>AP-0003</x:v>
      </x:c>
      <x:c r="B4" s="56" t="str">
        <x:v>Vendor 3</x:v>
      </x:c>
      <x:c r="C4" s="56" t="str">
        <x:v>INV-46012</x:v>
      </x:c>
      <x:c r="D4" s="56" t="str">
        <x:v>PO-1053</x:v>
      </x:c>
      <x:c r="E4" s="76" t="n">
        <x:v>46191</x:v>
      </x:c>
      <x:c r="F4" s="76" t="n">
        <x:v>46221</x:v>
      </x:c>
      <x:c r="G4" s="80" t="n">
        <x:v>11380.52</x:v>
      </x:c>
      <x:c r="H4" s="80" t="n">
        <x:v>1479.47</x:v>
      </x:c>
      <x:c r="I4" s="80" t="n">
        <x:f>G4+H4</x:f>
        <x:v>12859.99</x:v>
      </x:c>
      <x:c r="J4" s="56" t="str">
        <x:v>On Hold</x:v>
      </x:c>
      <x:c r="K4" s="56" t="str">
        <x:v>Rejected</x:v>
      </x:c>
      <x:c r="L4" s="56" t="str">
        <x:f>IF(COUNTIFS($B:$B,B4,$C:$C,C4,$I:$I,I4)&gt;1,"Duplicate Risk","OK")</x:f>
        <x:v>OK</x:v>
      </x:c>
      <x:c r="M4" s="56" t="str">
        <x:f>IF(D4="","Missing PO","Matched")</x:f>
        <x:v>Matched</x:v>
      </x:c>
      <x:c r="N4" s="56" t="str">
        <x:f>IF(ABS(H4-G4*0.13)&lt;=1,"OK","Review Tax")</x:f>
        <x:v>OK</x:v>
      </x:c>
      <x:c r="O4" s="56" t="n">
        <x:f>IF(J4="Paid",0,MAX(0,TODAY()-F4))</x:f>
        <x:v>0</x:v>
      </x:c>
      <x:c r="P4" s="56" t="str">
        <x:f>IF(OR(L4="Duplicate Risk",M4="Missing PO",N4="Review Tax",O4&gt;30,K4&lt;&gt;"Approved"),"High","Low")</x:f>
        <x:v>High</x:v>
      </x:c>
      <x:c r="Q4" s="57" t="str">
        <x:f>TEXTJOIN("; ",TRUE,IF(L4="Duplicate Risk","Duplicate risk",""),IF(M4="Missing PO","Missing PO",""),IF(N4="Review Tax","Tax variance",""),IF(O4&gt;0,"Overdue",""),IF(K4&lt;&gt;"Approved","Approval issue",""))</x:f>
        <x:v>Approval issue</x:v>
      </x:c>
    </x:row>
    <x:row r="5">
      <x:c r="A5" s="55" t="str">
        <x:v>AP-0004</x:v>
      </x:c>
      <x:c r="B5" s="56" t="str">
        <x:v>Vendor 8</x:v>
      </x:c>
      <x:c r="C5" s="56" t="str">
        <x:v>INV-25269</x:v>
      </x:c>
      <x:c r="D5" s="56" t="str">
        <x:v>PO-1035</x:v>
      </x:c>
      <x:c r="E5" s="76" t="n">
        <x:v>46144</x:v>
      </x:c>
      <x:c r="F5" s="76" t="n">
        <x:v>46189</x:v>
      </x:c>
      <x:c r="G5" s="80" t="n">
        <x:v>958.11</x:v>
      </x:c>
      <x:c r="H5" s="80" t="n">
        <x:v>124.55</x:v>
      </x:c>
      <x:c r="I5" s="80" t="n">
        <x:f>G5+H5</x:f>
        <x:v>1082.66</x:v>
      </x:c>
      <x:c r="J5" s="56" t="str">
        <x:v>Unpaid</x:v>
      </x:c>
      <x:c r="K5" s="56" t="str">
        <x:v>Pending</x:v>
      </x:c>
      <x:c r="L5" s="56" t="str">
        <x:f>IF(COUNTIFS($B:$B,B5,$C:$C,C5,$I:$I,I5)&gt;1,"Duplicate Risk","OK")</x:f>
        <x:v>OK</x:v>
      </x:c>
      <x:c r="M5" s="56" t="str">
        <x:f>IF(D5="","Missing PO","Matched")</x:f>
        <x:v>Matched</x:v>
      </x:c>
      <x:c r="N5" s="56" t="str">
        <x:f>IF(ABS(H5-G5*0.13)&lt;=1,"OK","Review Tax")</x:f>
        <x:v>OK</x:v>
      </x:c>
      <x:c r="O5" s="56" t="n">
        <x:f>IF(J5="Paid",0,MAX(0,TODAY()-F5))</x:f>
        <x:v>13</x:v>
      </x:c>
      <x:c r="P5" s="56" t="str">
        <x:f>IF(OR(L5="Duplicate Risk",M5="Missing PO",N5="Review Tax",O5&gt;30,K5&lt;&gt;"Approved"),"High","Low")</x:f>
        <x:v>High</x:v>
      </x:c>
      <x:c r="Q5" s="57" t="str">
        <x:f>TEXTJOIN("; ",TRUE,IF(L5="Duplicate Risk","Duplicate risk",""),IF(M5="Missing PO","Missing PO",""),IF(N5="Review Tax","Tax variance",""),IF(O5&gt;0,"Overdue",""),IF(K5&lt;&gt;"Approved","Approval issue",""))</x:f>
        <x:v>Overdue; Approval issue</x:v>
      </x:c>
    </x:row>
    <x:row r="6">
      <x:c r="A6" s="55" t="str">
        <x:v>AP-0005</x:v>
      </x:c>
      <x:c r="B6" s="56" t="str">
        <x:v>Vendor 6</x:v>
      </x:c>
      <x:c r="C6" s="56" t="str">
        <x:v>INV-38175</x:v>
      </x:c>
      <x:c r="D6" s="56" t="str"/>
      <x:c r="E6" s="76" t="n">
        <x:v>46193</x:v>
      </x:c>
      <x:c r="F6" s="76" t="n">
        <x:v>46238</x:v>
      </x:c>
      <x:c r="G6" s="80" t="n">
        <x:v>1225.29</x:v>
      </x:c>
      <x:c r="H6" s="80" t="n">
        <x:v>163.97</x:v>
      </x:c>
      <x:c r="I6" s="80" t="n">
        <x:f>G6+H6</x:f>
        <x:v>1389.26</x:v>
      </x:c>
      <x:c r="J6" s="56" t="str">
        <x:v>Paid</x:v>
      </x:c>
      <x:c r="K6" s="56" t="str">
        <x:v>Rejected</x:v>
      </x:c>
      <x:c r="L6" s="56" t="str">
        <x:f>IF(COUNTIFS($B:$B,B6,$C:$C,C6,$I:$I,I6)&gt;1,"Duplicate Risk","OK")</x:f>
        <x:v>OK</x:v>
      </x:c>
      <x:c r="M6" s="56" t="str">
        <x:f>IF(D6="","Missing PO","Matched")</x:f>
        <x:v>Missing PO</x:v>
      </x:c>
      <x:c r="N6" s="56" t="str">
        <x:f>IF(ABS(H6-G6*0.13)&lt;=1,"OK","Review Tax")</x:f>
        <x:v>Review Tax</x:v>
      </x:c>
      <x:c r="O6" s="56" t="n">
        <x:f>IF(J6="Paid",0,MAX(0,TODAY()-F6))</x:f>
        <x:v>0</x:v>
      </x:c>
      <x:c r="P6" s="56" t="str">
        <x:f>IF(OR(L6="Duplicate Risk",M6="Missing PO",N6="Review Tax",O6&gt;30,K6&lt;&gt;"Approved"),"High","Low")</x:f>
        <x:v>High</x:v>
      </x:c>
      <x:c r="Q6" s="57" t="str">
        <x:f>TEXTJOIN("; ",TRUE,IF(L6="Duplicate Risk","Duplicate risk",""),IF(M6="Missing PO","Missing PO",""),IF(N6="Review Tax","Tax variance",""),IF(O6&gt;0,"Overdue",""),IF(K6&lt;&gt;"Approved","Approval issue",""))</x:f>
        <x:v>Missing PO; Tax variance; Approval issue</x:v>
      </x:c>
    </x:row>
    <x:row r="7">
      <x:c r="A7" s="55" t="str">
        <x:v>AP-0006</x:v>
      </x:c>
      <x:c r="B7" s="56" t="str">
        <x:v>Vendor 9</x:v>
      </x:c>
      <x:c r="C7" s="56" t="str">
        <x:v>INV-30016</x:v>
      </x:c>
      <x:c r="D7" s="56" t="str">
        <x:v>PO-1096</x:v>
      </x:c>
      <x:c r="E7" s="76" t="n">
        <x:v>46164</x:v>
      </x:c>
      <x:c r="F7" s="76" t="n">
        <x:v>46179</x:v>
      </x:c>
      <x:c r="G7" s="80" t="n">
        <x:v>3489.34</x:v>
      </x:c>
      <x:c r="H7" s="80" t="n">
        <x:v>453.61</x:v>
      </x:c>
      <x:c r="I7" s="80" t="n">
        <x:f>G7+H7</x:f>
        <x:v>3942.9500000000003</x:v>
      </x:c>
      <x:c r="J7" s="56" t="str">
        <x:v>Paid</x:v>
      </x:c>
      <x:c r="K7" s="56" t="str">
        <x:v>Pending</x:v>
      </x:c>
      <x:c r="L7" s="56" t="str">
        <x:f>IF(COUNTIFS($B:$B,B7,$C:$C,C7,$I:$I,I7)&gt;1,"Duplicate Risk","OK")</x:f>
        <x:v>OK</x:v>
      </x:c>
      <x:c r="M7" s="56" t="str">
        <x:f>IF(D7="","Missing PO","Matched")</x:f>
        <x:v>Matched</x:v>
      </x:c>
      <x:c r="N7" s="56" t="str">
        <x:f>IF(ABS(H7-G7*0.13)&lt;=1,"OK","Review Tax")</x:f>
        <x:v>OK</x:v>
      </x:c>
      <x:c r="O7" s="56" t="n">
        <x:f>IF(J7="Paid",0,MAX(0,TODAY()-F7))</x:f>
        <x:v>0</x:v>
      </x:c>
      <x:c r="P7" s="56" t="str">
        <x:f>IF(OR(L7="Duplicate Risk",M7="Missing PO",N7="Review Tax",O7&gt;30,K7&lt;&gt;"Approved"),"High","Low")</x:f>
        <x:v>High</x:v>
      </x:c>
      <x:c r="Q7" s="57" t="str">
        <x:f>TEXTJOIN("; ",TRUE,IF(L7="Duplicate Risk","Duplicate risk",""),IF(M7="Missing PO","Missing PO",""),IF(N7="Review Tax","Tax variance",""),IF(O7&gt;0,"Overdue",""),IF(K7&lt;&gt;"Approved","Approval issue",""))</x:f>
        <x:v>Approval issue</x:v>
      </x:c>
    </x:row>
    <x:row r="8">
      <x:c r="A8" s="55" t="str">
        <x:v>AP-0007</x:v>
      </x:c>
      <x:c r="B8" s="56" t="str">
        <x:v>Vendor 7</x:v>
      </x:c>
      <x:c r="C8" s="56" t="str">
        <x:v>INV-32892</x:v>
      </x:c>
      <x:c r="D8" s="56" t="str"/>
      <x:c r="E8" s="76" t="n">
        <x:v>46197</x:v>
      </x:c>
      <x:c r="F8" s="76" t="n">
        <x:v>46242</x:v>
      </x:c>
      <x:c r="G8" s="80" t="n">
        <x:v>4003.66</x:v>
      </x:c>
      <x:c r="H8" s="80" t="n">
        <x:v>520.74</x:v>
      </x:c>
      <x:c r="I8" s="80" t="n">
        <x:f>G8+H8</x:f>
        <x:v>4524.4</x:v>
      </x:c>
      <x:c r="J8" s="56" t="str">
        <x:v>Paid</x:v>
      </x:c>
      <x:c r="K8" s="56" t="str">
        <x:v>Rejected</x:v>
      </x:c>
      <x:c r="L8" s="56" t="str">
        <x:f>IF(COUNTIFS($B:$B,B8,$C:$C,C8,$I:$I,I8)&gt;1,"Duplicate Risk","OK")</x:f>
        <x:v>OK</x:v>
      </x:c>
      <x:c r="M8" s="56" t="str">
        <x:f>IF(D8="","Missing PO","Matched")</x:f>
        <x:v>Missing PO</x:v>
      </x:c>
      <x:c r="N8" s="56" t="str">
        <x:f>IF(ABS(H8-G8*0.13)&lt;=1,"OK","Review Tax")</x:f>
        <x:v>OK</x:v>
      </x:c>
      <x:c r="O8" s="56" t="n">
        <x:f>IF(J8="Paid",0,MAX(0,TODAY()-F8))</x:f>
        <x:v>0</x:v>
      </x:c>
      <x:c r="P8" s="56" t="str">
        <x:f>IF(OR(L8="Duplicate Risk",M8="Missing PO",N8="Review Tax",O8&gt;30,K8&lt;&gt;"Approved"),"High","Low")</x:f>
        <x:v>High</x:v>
      </x:c>
      <x:c r="Q8" s="57" t="str">
        <x:f>TEXTJOIN("; ",TRUE,IF(L8="Duplicate Risk","Duplicate risk",""),IF(M8="Missing PO","Missing PO",""),IF(N8="Review Tax","Tax variance",""),IF(O8&gt;0,"Overdue",""),IF(K8&lt;&gt;"Approved","Approval issue",""))</x:f>
        <x:v>Missing PO; Approval issue</x:v>
      </x:c>
    </x:row>
    <x:row r="9">
      <x:c r="A9" s="55" t="str">
        <x:v>AP-0008</x:v>
      </x:c>
      <x:c r="B9" s="56" t="str">
        <x:v>Vendor 12</x:v>
      </x:c>
      <x:c r="C9" s="56" t="str">
        <x:v>INV-35444</x:v>
      </x:c>
      <x:c r="D9" s="56" t="str"/>
      <x:c r="E9" s="76" t="n">
        <x:v>46152</x:v>
      </x:c>
      <x:c r="F9" s="76" t="n">
        <x:v>46182</x:v>
      </x:c>
      <x:c r="G9" s="80" t="n">
        <x:v>5272.83</x:v>
      </x:c>
      <x:c r="H9" s="80" t="n">
        <x:v>685.47</x:v>
      </x:c>
      <x:c r="I9" s="80" t="n">
        <x:f>G9+H9</x:f>
        <x:v>5958.3</x:v>
      </x:c>
      <x:c r="J9" s="56" t="str">
        <x:v>On Hold</x:v>
      </x:c>
      <x:c r="K9" s="56" t="str">
        <x:v>Rejected</x:v>
      </x:c>
      <x:c r="L9" s="56" t="str">
        <x:f>IF(COUNTIFS($B:$B,B9,$C:$C,C9,$I:$I,I9)&gt;1,"Duplicate Risk","OK")</x:f>
        <x:v>OK</x:v>
      </x:c>
      <x:c r="M9" s="56" t="str">
        <x:f>IF(D9="","Missing PO","Matched")</x:f>
        <x:v>Missing PO</x:v>
      </x:c>
      <x:c r="N9" s="56" t="str">
        <x:f>IF(ABS(H9-G9*0.13)&lt;=1,"OK","Review Tax")</x:f>
        <x:v>OK</x:v>
      </x:c>
      <x:c r="O9" s="56" t="n">
        <x:f>IF(J9="Paid",0,MAX(0,TODAY()-F9))</x:f>
        <x:v>20</x:v>
      </x:c>
      <x:c r="P9" s="56" t="str">
        <x:f>IF(OR(L9="Duplicate Risk",M9="Missing PO",N9="Review Tax",O9&gt;30,K9&lt;&gt;"Approved"),"High","Low")</x:f>
        <x:v>High</x:v>
      </x:c>
      <x:c r="Q9" s="57" t="str">
        <x:f>TEXTJOIN("; ",TRUE,IF(L9="Duplicate Risk","Duplicate risk",""),IF(M9="Missing PO","Missing PO",""),IF(N9="Review Tax","Tax variance",""),IF(O9&gt;0,"Overdue",""),IF(K9&lt;&gt;"Approved","Approval issue",""))</x:f>
        <x:v>Missing PO; Overdue; Approval issue</x:v>
      </x:c>
    </x:row>
    <x:row r="10">
      <x:c r="A10" s="55" t="str">
        <x:v>AP-0009</x:v>
      </x:c>
      <x:c r="B10" s="56" t="str">
        <x:v>Vendor 4</x:v>
      </x:c>
      <x:c r="C10" s="56" t="str">
        <x:v>INV-25723</x:v>
      </x:c>
      <x:c r="D10" s="56" t="str">
        <x:v>PO-1012</x:v>
      </x:c>
      <x:c r="E10" s="76" t="n">
        <x:v>46183</x:v>
      </x:c>
      <x:c r="F10" s="76" t="n">
        <x:v>46213</x:v>
      </x:c>
      <x:c r="G10" s="80" t="n">
        <x:v>3374.58</x:v>
      </x:c>
      <x:c r="H10" s="80" t="n">
        <x:v>438.7</x:v>
      </x:c>
      <x:c r="I10" s="80" t="n">
        <x:f>G10+H10</x:f>
        <x:v>3813.2799999999997</x:v>
      </x:c>
      <x:c r="J10" s="56" t="str">
        <x:v>Paid</x:v>
      </x:c>
      <x:c r="K10" s="56" t="str">
        <x:v>Pending</x:v>
      </x:c>
      <x:c r="L10" s="56" t="str">
        <x:f>IF(COUNTIFS($B:$B,B10,$C:$C,C10,$I:$I,I10)&gt;1,"Duplicate Risk","OK")</x:f>
        <x:v>OK</x:v>
      </x:c>
      <x:c r="M10" s="56" t="str">
        <x:f>IF(D10="","Missing PO","Matched")</x:f>
        <x:v>Matched</x:v>
      </x:c>
      <x:c r="N10" s="56" t="str">
        <x:f>IF(ABS(H10-G10*0.13)&lt;=1,"OK","Review Tax")</x:f>
        <x:v>OK</x:v>
      </x:c>
      <x:c r="O10" s="56" t="n">
        <x:f>IF(J10="Paid",0,MAX(0,TODAY()-F10))</x:f>
        <x:v>0</x:v>
      </x:c>
      <x:c r="P10" s="56" t="str">
        <x:f>IF(OR(L10="Duplicate Risk",M10="Missing PO",N10="Review Tax",O10&gt;30,K10&lt;&gt;"Approved"),"High","Low")</x:f>
        <x:v>High</x:v>
      </x:c>
      <x:c r="Q10" s="57" t="str">
        <x:f>TEXTJOIN("; ",TRUE,IF(L10="Duplicate Risk","Duplicate risk",""),IF(M10="Missing PO","Missing PO",""),IF(N10="Review Tax","Tax variance",""),IF(O10&gt;0,"Overdue",""),IF(K10&lt;&gt;"Approved","Approval issue",""))</x:f>
        <x:v>Approval issue</x:v>
      </x:c>
    </x:row>
    <x:row r="11">
      <x:c r="A11" s="55" t="str">
        <x:v>AP-0010</x:v>
      </x:c>
      <x:c r="B11" s="56" t="str">
        <x:v>Vendor 19</x:v>
      </x:c>
      <x:c r="C11" s="56" t="str">
        <x:v>INV-42575</x:v>
      </x:c>
      <x:c r="D11" s="56" t="str"/>
      <x:c r="E11" s="76" t="n">
        <x:v>46165</x:v>
      </x:c>
      <x:c r="F11" s="76" t="n">
        <x:v>46195</x:v>
      </x:c>
      <x:c r="G11" s="80" t="n">
        <x:v>174.91</x:v>
      </x:c>
      <x:c r="H11" s="80" t="n">
        <x:v>22.74</x:v>
      </x:c>
      <x:c r="I11" s="80" t="n">
        <x:f>G11+H11</x:f>
        <x:v>197.65</x:v>
      </x:c>
      <x:c r="J11" s="56" t="str">
        <x:v>Paid</x:v>
      </x:c>
      <x:c r="K11" s="56" t="str">
        <x:v>Pending</x:v>
      </x:c>
      <x:c r="L11" s="56" t="str">
        <x:f>IF(COUNTIFS($B:$B,B11,$C:$C,C11,$I:$I,I11)&gt;1,"Duplicate Risk","OK")</x:f>
        <x:v>OK</x:v>
      </x:c>
      <x:c r="M11" s="56" t="str">
        <x:f>IF(D11="","Missing PO","Matched")</x:f>
        <x:v>Missing PO</x:v>
      </x:c>
      <x:c r="N11" s="56" t="str">
        <x:f>IF(ABS(H11-G11*0.13)&lt;=1,"OK","Review Tax")</x:f>
        <x:v>OK</x:v>
      </x:c>
      <x:c r="O11" s="56" t="n">
        <x:f>IF(J11="Paid",0,MAX(0,TODAY()-F11))</x:f>
        <x:v>0</x:v>
      </x:c>
      <x:c r="P11" s="56" t="str">
        <x:f>IF(OR(L11="Duplicate Risk",M11="Missing PO",N11="Review Tax",O11&gt;30,K11&lt;&gt;"Approved"),"High","Low")</x:f>
        <x:v>High</x:v>
      </x:c>
      <x:c r="Q11" s="57" t="str">
        <x:f>TEXTJOIN("; ",TRUE,IF(L11="Duplicate Risk","Duplicate risk",""),IF(M11="Missing PO","Missing PO",""),IF(N11="Review Tax","Tax variance",""),IF(O11&gt;0,"Overdue",""),IF(K11&lt;&gt;"Approved","Approval issue",""))</x:f>
        <x:v>Missing PO; Approval issue</x:v>
      </x:c>
    </x:row>
    <x:row r="12">
      <x:c r="A12" s="55" t="str">
        <x:v>AP-0011</x:v>
      </x:c>
      <x:c r="B12" s="56" t="str">
        <x:v>Vendor 1</x:v>
      </x:c>
      <x:c r="C12" s="56" t="str">
        <x:v>INV-28447</x:v>
      </x:c>
      <x:c r="D12" s="56" t="str"/>
      <x:c r="E12" s="76" t="n">
        <x:v>46195</x:v>
      </x:c>
      <x:c r="F12" s="76" t="n">
        <x:v>46240</x:v>
      </x:c>
      <x:c r="G12" s="80" t="n">
        <x:v>7935.5</x:v>
      </x:c>
      <x:c r="H12" s="80" t="n">
        <x:v>1031.62</x:v>
      </x:c>
      <x:c r="I12" s="80" t="n">
        <x:f>G12+H12</x:f>
        <x:v>8967.119999999999</x:v>
      </x:c>
      <x:c r="J12" s="56" t="str">
        <x:v>Unpaid</x:v>
      </x:c>
      <x:c r="K12" s="56" t="str">
        <x:v>Rejected</x:v>
      </x:c>
      <x:c r="L12" s="56" t="str">
        <x:f>IF(COUNTIFS($B:$B,B12,$C:$C,C12,$I:$I,I12)&gt;1,"Duplicate Risk","OK")</x:f>
        <x:v>OK</x:v>
      </x:c>
      <x:c r="M12" s="56" t="str">
        <x:f>IF(D12="","Missing PO","Matched")</x:f>
        <x:v>Missing PO</x:v>
      </x:c>
      <x:c r="N12" s="56" t="str">
        <x:f>IF(ABS(H12-G12*0.13)&lt;=1,"OK","Review Tax")</x:f>
        <x:v>OK</x:v>
      </x:c>
      <x:c r="O12" s="56" t="n">
        <x:f>IF(J12="Paid",0,MAX(0,TODAY()-F12))</x:f>
        <x:v>0</x:v>
      </x:c>
      <x:c r="P12" s="56" t="str">
        <x:f>IF(OR(L12="Duplicate Risk",M12="Missing PO",N12="Review Tax",O12&gt;30,K12&lt;&gt;"Approved"),"High","Low")</x:f>
        <x:v>High</x:v>
      </x:c>
      <x:c r="Q12" s="57" t="str">
        <x:f>TEXTJOIN("; ",TRUE,IF(L12="Duplicate Risk","Duplicate risk",""),IF(M12="Missing PO","Missing PO",""),IF(N12="Review Tax","Tax variance",""),IF(O12&gt;0,"Overdue",""),IF(K12&lt;&gt;"Approved","Approval issue",""))</x:f>
        <x:v>Missing PO; Approval issue</x:v>
      </x:c>
    </x:row>
    <x:row r="13">
      <x:c r="A13" s="55" t="str">
        <x:v>AP-0012</x:v>
      </x:c>
      <x:c r="B13" s="56" t="str">
        <x:v>Vendor 20</x:v>
      </x:c>
      <x:c r="C13" s="56" t="str">
        <x:v>INV-20174</x:v>
      </x:c>
      <x:c r="D13" s="56" t="str"/>
      <x:c r="E13" s="76" t="n">
        <x:v>46191</x:v>
      </x:c>
      <x:c r="F13" s="76" t="n">
        <x:v>46206</x:v>
      </x:c>
      <x:c r="G13" s="80" t="n">
        <x:v>792.72</x:v>
      </x:c>
      <x:c r="H13" s="80" t="n">
        <x:v>103.05</x:v>
      </x:c>
      <x:c r="I13" s="80" t="n">
        <x:f>G13+H13</x:f>
        <x:v>895.77</x:v>
      </x:c>
      <x:c r="J13" s="56" t="str">
        <x:v>Unpaid</x:v>
      </x:c>
      <x:c r="K13" s="56" t="str">
        <x:v>Pending</x:v>
      </x:c>
      <x:c r="L13" s="56" t="str">
        <x:f>IF(COUNTIFS($B:$B,B13,$C:$C,C13,$I:$I,I13)&gt;1,"Duplicate Risk","OK")</x:f>
        <x:v>OK</x:v>
      </x:c>
      <x:c r="M13" s="56" t="str">
        <x:f>IF(D13="","Missing PO","Matched")</x:f>
        <x:v>Missing PO</x:v>
      </x:c>
      <x:c r="N13" s="56" t="str">
        <x:f>IF(ABS(H13-G13*0.13)&lt;=1,"OK","Review Tax")</x:f>
        <x:v>OK</x:v>
      </x:c>
      <x:c r="O13" s="56" t="n">
        <x:f>IF(J13="Paid",0,MAX(0,TODAY()-F13))</x:f>
        <x:v>0</x:v>
      </x:c>
      <x:c r="P13" s="56" t="str">
        <x:f>IF(OR(L13="Duplicate Risk",M13="Missing PO",N13="Review Tax",O13&gt;30,K13&lt;&gt;"Approved"),"High","Low")</x:f>
        <x:v>High</x:v>
      </x:c>
      <x:c r="Q13" s="57" t="str">
        <x:f>TEXTJOIN("; ",TRUE,IF(L13="Duplicate Risk","Duplicate risk",""),IF(M13="Missing PO","Missing PO",""),IF(N13="Review Tax","Tax variance",""),IF(O13&gt;0,"Overdue",""),IF(K13&lt;&gt;"Approved","Approval issue",""))</x:f>
        <x:v>Missing PO; Approval issue</x:v>
      </x:c>
    </x:row>
    <x:row r="14">
      <x:c r="A14" s="55" t="str">
        <x:v>AP-0013</x:v>
      </x:c>
      <x:c r="B14" s="56" t="str">
        <x:v>Vendor 29</x:v>
      </x:c>
      <x:c r="C14" s="56" t="str">
        <x:v>INV-25667</x:v>
      </x:c>
      <x:c r="D14" s="56" t="str">
        <x:v>PO-1010</x:v>
      </x:c>
      <x:c r="E14" s="76" t="n">
        <x:v>46165</x:v>
      </x:c>
      <x:c r="F14" s="76" t="n">
        <x:v>46195</x:v>
      </x:c>
      <x:c r="G14" s="80" t="n">
        <x:v>7065.18</x:v>
      </x:c>
      <x:c r="H14" s="80" t="n">
        <x:v>912.25</x:v>
      </x:c>
      <x:c r="I14" s="80" t="n">
        <x:f>G14+H14</x:f>
        <x:v>7977.43</x:v>
      </x:c>
      <x:c r="J14" s="56" t="str">
        <x:v>Unpaid</x:v>
      </x:c>
      <x:c r="K14" s="56" t="str">
        <x:v>Approved</x:v>
      </x:c>
      <x:c r="L14" s="56" t="str">
        <x:f>IF(COUNTIFS($B:$B,B14,$C:$C,C14,$I:$I,I14)&gt;1,"Duplicate Risk","OK")</x:f>
        <x:v>Duplicate Risk</x:v>
      </x:c>
      <x:c r="M14" s="56" t="str">
        <x:f>IF(D14="","Missing PO","Matched")</x:f>
        <x:v>Matched</x:v>
      </x:c>
      <x:c r="N14" s="56" t="str">
        <x:f>IF(ABS(H14-G14*0.13)&lt;=1,"OK","Review Tax")</x:f>
        <x:v>Review Tax</x:v>
      </x:c>
      <x:c r="O14" s="56" t="n">
        <x:f>IF(J14="Paid",0,MAX(0,TODAY()-F14))</x:f>
        <x:v>7</x:v>
      </x:c>
      <x:c r="P14" s="56" t="str">
        <x:f>IF(OR(L14="Duplicate Risk",M14="Missing PO",N14="Review Tax",O14&gt;30,K14&lt;&gt;"Approved"),"High","Low")</x:f>
        <x:v>High</x:v>
      </x:c>
      <x:c r="Q14" s="57" t="str">
        <x:f>TEXTJOIN("; ",TRUE,IF(L14="Duplicate Risk","Duplicate risk",""),IF(M14="Missing PO","Missing PO",""),IF(N14="Review Tax","Tax variance",""),IF(O14&gt;0,"Overdue",""),IF(K14&lt;&gt;"Approved","Approval issue",""))</x:f>
        <x:v>Duplicate risk; Tax variance; Overdue</x:v>
      </x:c>
    </x:row>
    <x:row r="15">
      <x:c r="A15" s="55" t="str">
        <x:v>AP-0014</x:v>
      </x:c>
      <x:c r="B15" s="56" t="str">
        <x:v>Vendor 4</x:v>
      </x:c>
      <x:c r="C15" s="56" t="str">
        <x:v>INV-36225</x:v>
      </x:c>
      <x:c r="D15" s="56" t="str">
        <x:v>PO-1090</x:v>
      </x:c>
      <x:c r="E15" s="76" t="n">
        <x:v>46155</x:v>
      </x:c>
      <x:c r="F15" s="76" t="n">
        <x:v>46170</x:v>
      </x:c>
      <x:c r="G15" s="80" t="n">
        <x:v>10327.81</x:v>
      </x:c>
      <x:c r="H15" s="80" t="n">
        <x:v>1340.27</x:v>
      </x:c>
      <x:c r="I15" s="80" t="n">
        <x:f>G15+H15</x:f>
        <x:v>11668.08</x:v>
      </x:c>
      <x:c r="J15" s="56" t="str">
        <x:v>On Hold</x:v>
      </x:c>
      <x:c r="K15" s="56" t="str">
        <x:v>Rejected</x:v>
      </x:c>
      <x:c r="L15" s="56" t="str">
        <x:f>IF(COUNTIFS($B:$B,B15,$C:$C,C15,$I:$I,I15)&gt;1,"Duplicate Risk","OK")</x:f>
        <x:v>OK</x:v>
      </x:c>
      <x:c r="M15" s="56" t="str">
        <x:f>IF(D15="","Missing PO","Matched")</x:f>
        <x:v>Matched</x:v>
      </x:c>
      <x:c r="N15" s="56" t="str">
        <x:f>IF(ABS(H15-G15*0.13)&lt;=1,"OK","Review Tax")</x:f>
        <x:v>Review Tax</x:v>
      </x:c>
      <x:c r="O15" s="56" t="n">
        <x:f>IF(J15="Paid",0,MAX(0,TODAY()-F15))</x:f>
        <x:v>32</x:v>
      </x:c>
      <x:c r="P15" s="56" t="str">
        <x:f>IF(OR(L15="Duplicate Risk",M15="Missing PO",N15="Review Tax",O15&gt;30,K15&lt;&gt;"Approved"),"High","Low")</x:f>
        <x:v>High</x:v>
      </x:c>
      <x:c r="Q15" s="57" t="str">
        <x:f>TEXTJOIN("; ",TRUE,IF(L15="Duplicate Risk","Duplicate risk",""),IF(M15="Missing PO","Missing PO",""),IF(N15="Review Tax","Tax variance",""),IF(O15&gt;0,"Overdue",""),IF(K15&lt;&gt;"Approved","Approval issue",""))</x:f>
        <x:v>Tax variance; Overdue; Approval issue</x:v>
      </x:c>
    </x:row>
    <x:row r="16">
      <x:c r="A16" s="55" t="str">
        <x:v>AP-0015</x:v>
      </x:c>
      <x:c r="B16" s="56" t="str">
        <x:v>Vendor 16</x:v>
      </x:c>
      <x:c r="C16" s="56" t="str">
        <x:v>INV-25969</x:v>
      </x:c>
      <x:c r="D16" s="56" t="str">
        <x:v>PO-1052</x:v>
      </x:c>
      <x:c r="E16" s="76" t="n">
        <x:v>46190</x:v>
      </x:c>
      <x:c r="F16" s="76" t="n">
        <x:v>46235</x:v>
      </x:c>
      <x:c r="G16" s="80" t="n">
        <x:v>184.79</x:v>
      </x:c>
      <x:c r="H16" s="80" t="n">
        <x:v>16.47</x:v>
      </x:c>
      <x:c r="I16" s="80" t="n">
        <x:f>G16+H16</x:f>
        <x:v>201.26</x:v>
      </x:c>
      <x:c r="J16" s="56" t="str">
        <x:v>Unpaid</x:v>
      </x:c>
      <x:c r="K16" s="56" t="str">
        <x:v>Pending</x:v>
      </x:c>
      <x:c r="L16" s="56" t="str">
        <x:f>IF(COUNTIFS($B:$B,B16,$C:$C,C16,$I:$I,I16)&gt;1,"Duplicate Risk","OK")</x:f>
        <x:v>OK</x:v>
      </x:c>
      <x:c r="M16" s="56" t="str">
        <x:f>IF(D16="","Missing PO","Matched")</x:f>
        <x:v>Matched</x:v>
      </x:c>
      <x:c r="N16" s="56" t="str">
        <x:f>IF(ABS(H16-G16*0.13)&lt;=1,"OK","Review Tax")</x:f>
        <x:v>Review Tax</x:v>
      </x:c>
      <x:c r="O16" s="56" t="n">
        <x:f>IF(J16="Paid",0,MAX(0,TODAY()-F16))</x:f>
        <x:v>0</x:v>
      </x:c>
      <x:c r="P16" s="56" t="str">
        <x:f>IF(OR(L16="Duplicate Risk",M16="Missing PO",N16="Review Tax",O16&gt;30,K16&lt;&gt;"Approved"),"High","Low")</x:f>
        <x:v>High</x:v>
      </x:c>
      <x:c r="Q16" s="57" t="str">
        <x:f>TEXTJOIN("; ",TRUE,IF(L16="Duplicate Risk","Duplicate risk",""),IF(M16="Missing PO","Missing PO",""),IF(N16="Review Tax","Tax variance",""),IF(O16&gt;0,"Overdue",""),IF(K16&lt;&gt;"Approved","Approval issue",""))</x:f>
        <x:v>Tax variance; Approval issue</x:v>
      </x:c>
    </x:row>
    <x:row r="17">
      <x:c r="A17" s="55" t="str">
        <x:v>AP-0016</x:v>
      </x:c>
      <x:c r="B17" s="56" t="str">
        <x:v>Vendor 16</x:v>
      </x:c>
      <x:c r="C17" s="56" t="str">
        <x:v>INV-36689</x:v>
      </x:c>
      <x:c r="D17" s="56" t="str"/>
      <x:c r="E17" s="76" t="n">
        <x:v>46164</x:v>
      </x:c>
      <x:c r="F17" s="76" t="n">
        <x:v>46209</x:v>
      </x:c>
      <x:c r="G17" s="80" t="n">
        <x:v>6008.44</x:v>
      </x:c>
      <x:c r="H17" s="80" t="n">
        <x:v>781.1</x:v>
      </x:c>
      <x:c r="I17" s="80" t="n">
        <x:f>G17+H17</x:f>
        <x:v>6789.54</x:v>
      </x:c>
      <x:c r="J17" s="56" t="str">
        <x:v>On Hold</x:v>
      </x:c>
      <x:c r="K17" s="56" t="str">
        <x:v>Pending</x:v>
      </x:c>
      <x:c r="L17" s="56" t="str">
        <x:f>IF(COUNTIFS($B:$B,B17,$C:$C,C17,$I:$I,I17)&gt;1,"Duplicate Risk","OK")</x:f>
        <x:v>OK</x:v>
      </x:c>
      <x:c r="M17" s="56" t="str">
        <x:f>IF(D17="","Missing PO","Matched")</x:f>
        <x:v>Missing PO</x:v>
      </x:c>
      <x:c r="N17" s="56" t="str">
        <x:f>IF(ABS(H17-G17*0.13)&lt;=1,"OK","Review Tax")</x:f>
        <x:v>OK</x:v>
      </x:c>
      <x:c r="O17" s="56" t="n">
        <x:f>IF(J17="Paid",0,MAX(0,TODAY()-F17))</x:f>
        <x:v>0</x:v>
      </x:c>
      <x:c r="P17" s="56" t="str">
        <x:f>IF(OR(L17="Duplicate Risk",M17="Missing PO",N17="Review Tax",O17&gt;30,K17&lt;&gt;"Approved"),"High","Low")</x:f>
        <x:v>High</x:v>
      </x:c>
      <x:c r="Q17" s="57" t="str">
        <x:f>TEXTJOIN("; ",TRUE,IF(L17="Duplicate Risk","Duplicate risk",""),IF(M17="Missing PO","Missing PO",""),IF(N17="Review Tax","Tax variance",""),IF(O17&gt;0,"Overdue",""),IF(K17&lt;&gt;"Approved","Approval issue",""))</x:f>
        <x:v>Missing PO; Approval issue</x:v>
      </x:c>
    </x:row>
    <x:row r="18">
      <x:c r="A18" s="55" t="str">
        <x:v>AP-0017</x:v>
      </x:c>
      <x:c r="B18" s="56" t="str">
        <x:v>Vendor 27</x:v>
      </x:c>
      <x:c r="C18" s="56" t="str">
        <x:v>INV-28030</x:v>
      </x:c>
      <x:c r="D18" s="56" t="str">
        <x:v>PO-1050</x:v>
      </x:c>
      <x:c r="E18" s="76" t="n">
        <x:v>46172</x:v>
      </x:c>
      <x:c r="F18" s="76" t="n">
        <x:v>46217</x:v>
      </x:c>
      <x:c r="G18" s="80" t="n">
        <x:v>6843.79</x:v>
      </x:c>
      <x:c r="H18" s="80" t="n">
        <x:v>889.69</x:v>
      </x:c>
      <x:c r="I18" s="80" t="n">
        <x:f>G18+H18</x:f>
        <x:v>7733.48</x:v>
      </x:c>
      <x:c r="J18" s="56" t="str">
        <x:v>Unpaid</x:v>
      </x:c>
      <x:c r="K18" s="56" t="str">
        <x:v>Pending</x:v>
      </x:c>
      <x:c r="L18" s="56" t="str">
        <x:f>IF(COUNTIFS($B:$B,B18,$C:$C,C18,$I:$I,I18)&gt;1,"Duplicate Risk","OK")</x:f>
        <x:v>OK</x:v>
      </x:c>
      <x:c r="M18" s="56" t="str">
        <x:f>IF(D18="","Missing PO","Matched")</x:f>
        <x:v>Matched</x:v>
      </x:c>
      <x:c r="N18" s="56" t="str">
        <x:f>IF(ABS(H18-G18*0.13)&lt;=1,"OK","Review Tax")</x:f>
        <x:v>OK</x:v>
      </x:c>
      <x:c r="O18" s="56" t="n">
        <x:f>IF(J18="Paid",0,MAX(0,TODAY()-F18))</x:f>
        <x:v>0</x:v>
      </x:c>
      <x:c r="P18" s="56" t="str">
        <x:f>IF(OR(L18="Duplicate Risk",M18="Missing PO",N18="Review Tax",O18&gt;30,K18&lt;&gt;"Approved"),"High","Low")</x:f>
        <x:v>High</x:v>
      </x:c>
      <x:c r="Q18" s="57" t="str">
        <x:f>TEXTJOIN("; ",TRUE,IF(L18="Duplicate Risk","Duplicate risk",""),IF(M18="Missing PO","Missing PO",""),IF(N18="Review Tax","Tax variance",""),IF(O18&gt;0,"Overdue",""),IF(K18&lt;&gt;"Approved","Approval issue",""))</x:f>
        <x:v>Approval issue</x:v>
      </x:c>
    </x:row>
    <x:row r="19">
      <x:c r="A19" s="55" t="str">
        <x:v>AP-0018</x:v>
      </x:c>
      <x:c r="B19" s="56" t="str">
        <x:v>Vendor 23</x:v>
      </x:c>
      <x:c r="C19" s="56" t="str">
        <x:v>INV-24274</x:v>
      </x:c>
      <x:c r="D19" s="56" t="str"/>
      <x:c r="E19" s="76" t="n">
        <x:v>46197</x:v>
      </x:c>
      <x:c r="F19" s="76" t="n">
        <x:v>46212</x:v>
      </x:c>
      <x:c r="G19" s="80" t="n">
        <x:v>4978.22</x:v>
      </x:c>
      <x:c r="H19" s="80" t="n">
        <x:v>647.17</x:v>
      </x:c>
      <x:c r="I19" s="80" t="n">
        <x:f>G19+H19</x:f>
        <x:v>5625.39</x:v>
      </x:c>
      <x:c r="J19" s="56" t="str">
        <x:v>On Hold</x:v>
      </x:c>
      <x:c r="K19" s="56" t="str">
        <x:v>Pending</x:v>
      </x:c>
      <x:c r="L19" s="56" t="str">
        <x:f>IF(COUNTIFS($B:$B,B19,$C:$C,C19,$I:$I,I19)&gt;1,"Duplicate Risk","OK")</x:f>
        <x:v>OK</x:v>
      </x:c>
      <x:c r="M19" s="56" t="str">
        <x:f>IF(D19="","Missing PO","Matched")</x:f>
        <x:v>Missing PO</x:v>
      </x:c>
      <x:c r="N19" s="56" t="str">
        <x:f>IF(ABS(H19-G19*0.13)&lt;=1,"OK","Review Tax")</x:f>
        <x:v>OK</x:v>
      </x:c>
      <x:c r="O19" s="56" t="n">
        <x:f>IF(J19="Paid",0,MAX(0,TODAY()-F19))</x:f>
        <x:v>0</x:v>
      </x:c>
      <x:c r="P19" s="56" t="str">
        <x:f>IF(OR(L19="Duplicate Risk",M19="Missing PO",N19="Review Tax",O19&gt;30,K19&lt;&gt;"Approved"),"High","Low")</x:f>
        <x:v>High</x:v>
      </x:c>
      <x:c r="Q19" s="57" t="str">
        <x:f>TEXTJOIN("; ",TRUE,IF(L19="Duplicate Risk","Duplicate risk",""),IF(M19="Missing PO","Missing PO",""),IF(N19="Review Tax","Tax variance",""),IF(O19&gt;0,"Overdue",""),IF(K19&lt;&gt;"Approved","Approval issue",""))</x:f>
        <x:v>Missing PO; Approval issue</x:v>
      </x:c>
    </x:row>
    <x:row r="20">
      <x:c r="A20" s="55" t="str">
        <x:v>AP-0019</x:v>
      </x:c>
      <x:c r="B20" s="56" t="str">
        <x:v>Vendor 7</x:v>
      </x:c>
      <x:c r="C20" s="56" t="str">
        <x:v>INV-48050</x:v>
      </x:c>
      <x:c r="D20" s="56" t="str"/>
      <x:c r="E20" s="76" t="n">
        <x:v>46172</x:v>
      </x:c>
      <x:c r="F20" s="76" t="n">
        <x:v>46187</x:v>
      </x:c>
      <x:c r="G20" s="80" t="n">
        <x:v>1372.08</x:v>
      </x:c>
      <x:c r="H20" s="80" t="n">
        <x:v>178.37</x:v>
      </x:c>
      <x:c r="I20" s="80" t="n">
        <x:f>G20+H20</x:f>
        <x:v>1550.4499999999998</x:v>
      </x:c>
      <x:c r="J20" s="56" t="str">
        <x:v>Unpaid</x:v>
      </x:c>
      <x:c r="K20" s="56" t="str">
        <x:v>Pending</x:v>
      </x:c>
      <x:c r="L20" s="56" t="str">
        <x:f>IF(COUNTIFS($B:$B,B20,$C:$C,C20,$I:$I,I20)&gt;1,"Duplicate Risk","OK")</x:f>
        <x:v>OK</x:v>
      </x:c>
      <x:c r="M20" s="56" t="str">
        <x:f>IF(D20="","Missing PO","Matched")</x:f>
        <x:v>Missing PO</x:v>
      </x:c>
      <x:c r="N20" s="56" t="str">
        <x:f>IF(ABS(H20-G20*0.13)&lt;=1,"OK","Review Tax")</x:f>
        <x:v>OK</x:v>
      </x:c>
      <x:c r="O20" s="56" t="n">
        <x:f>IF(J20="Paid",0,MAX(0,TODAY()-F20))</x:f>
        <x:v>15</x:v>
      </x:c>
      <x:c r="P20" s="56" t="str">
        <x:f>IF(OR(L20="Duplicate Risk",M20="Missing PO",N20="Review Tax",O20&gt;30,K20&lt;&gt;"Approved"),"High","Low")</x:f>
        <x:v>High</x:v>
      </x:c>
      <x:c r="Q20" s="57" t="str">
        <x:f>TEXTJOIN("; ",TRUE,IF(L20="Duplicate Risk","Duplicate risk",""),IF(M20="Missing PO","Missing PO",""),IF(N20="Review Tax","Tax variance",""),IF(O20&gt;0,"Overdue",""),IF(K20&lt;&gt;"Approved","Approval issue",""))</x:f>
        <x:v>Missing PO; Overdue; Approval issue</x:v>
      </x:c>
    </x:row>
    <x:row r="21">
      <x:c r="A21" s="55" t="str">
        <x:v>AP-0020</x:v>
      </x:c>
      <x:c r="B21" s="56" t="str">
        <x:v>Vendor 7</x:v>
      </x:c>
      <x:c r="C21" s="56" t="str">
        <x:v>INV-36490</x:v>
      </x:c>
      <x:c r="D21" s="56" t="str">
        <x:v>PO-1083</x:v>
      </x:c>
      <x:c r="E21" s="76" t="n">
        <x:v>46167</x:v>
      </x:c>
      <x:c r="F21" s="76" t="n">
        <x:v>46197</x:v>
      </x:c>
      <x:c r="G21" s="80" t="n">
        <x:v>7057.07</x:v>
      </x:c>
      <x:c r="H21" s="80" t="n">
        <x:v>917.42</x:v>
      </x:c>
      <x:c r="I21" s="80" t="n">
        <x:f>G21+H21</x:f>
        <x:v>7974.49</x:v>
      </x:c>
      <x:c r="J21" s="56" t="str">
        <x:v>Paid</x:v>
      </x:c>
      <x:c r="K21" s="56" t="str">
        <x:v>Pending</x:v>
      </x:c>
      <x:c r="L21" s="56" t="str">
        <x:f>IF(COUNTIFS($B:$B,B21,$C:$C,C21,$I:$I,I21)&gt;1,"Duplicate Risk","OK")</x:f>
        <x:v>OK</x:v>
      </x:c>
      <x:c r="M21" s="56" t="str">
        <x:f>IF(D21="","Missing PO","Matched")</x:f>
        <x:v>Matched</x:v>
      </x:c>
      <x:c r="N21" s="56" t="str">
        <x:f>IF(ABS(H21-G21*0.13)&lt;=1,"OK","Review Tax")</x:f>
        <x:v>OK</x:v>
      </x:c>
      <x:c r="O21" s="56" t="n">
        <x:f>IF(J21="Paid",0,MAX(0,TODAY()-F21))</x:f>
        <x:v>0</x:v>
      </x:c>
      <x:c r="P21" s="56" t="str">
        <x:f>IF(OR(L21="Duplicate Risk",M21="Missing PO",N21="Review Tax",O21&gt;30,K21&lt;&gt;"Approved"),"High","Low")</x:f>
        <x:v>High</x:v>
      </x:c>
      <x:c r="Q21" s="57" t="str">
        <x:f>TEXTJOIN("; ",TRUE,IF(L21="Duplicate Risk","Duplicate risk",""),IF(M21="Missing PO","Missing PO",""),IF(N21="Review Tax","Tax variance",""),IF(O21&gt;0,"Overdue",""),IF(K21&lt;&gt;"Approved","Approval issue",""))</x:f>
        <x:v>Approval issue</x:v>
      </x:c>
    </x:row>
    <x:row r="22">
      <x:c r="A22" s="55" t="str">
        <x:v>AP-0021</x:v>
      </x:c>
      <x:c r="B22" s="56" t="str">
        <x:v>Vendor 23</x:v>
      </x:c>
      <x:c r="C22" s="56" t="str">
        <x:v>INV-43390</x:v>
      </x:c>
      <x:c r="D22" s="56" t="str">
        <x:v>PO-1039</x:v>
      </x:c>
      <x:c r="E22" s="76" t="n">
        <x:v>46149</x:v>
      </x:c>
      <x:c r="F22" s="76" t="n">
        <x:v>46179</x:v>
      </x:c>
      <x:c r="G22" s="80" t="n">
        <x:v>10795.82</x:v>
      </x:c>
      <x:c r="H22" s="80" t="n">
        <x:v>1403.46</x:v>
      </x:c>
      <x:c r="I22" s="80" t="n">
        <x:f>G22+H22</x:f>
        <x:v>12199.279999999999</x:v>
      </x:c>
      <x:c r="J22" s="56" t="str">
        <x:v>On Hold</x:v>
      </x:c>
      <x:c r="K22" s="56" t="str">
        <x:v>Pending</x:v>
      </x:c>
      <x:c r="L22" s="56" t="str">
        <x:f>IF(COUNTIFS($B:$B,B22,$C:$C,C22,$I:$I,I22)&gt;1,"Duplicate Risk","OK")</x:f>
        <x:v>OK</x:v>
      </x:c>
      <x:c r="M22" s="56" t="str">
        <x:f>IF(D22="","Missing PO","Matched")</x:f>
        <x:v>Matched</x:v>
      </x:c>
      <x:c r="N22" s="56" t="str">
        <x:f>IF(ABS(H22-G22*0.13)&lt;=1,"OK","Review Tax")</x:f>
        <x:v>OK</x:v>
      </x:c>
      <x:c r="O22" s="56" t="n">
        <x:f>IF(J22="Paid",0,MAX(0,TODAY()-F22))</x:f>
        <x:v>23</x:v>
      </x:c>
      <x:c r="P22" s="56" t="str">
        <x:f>IF(OR(L22="Duplicate Risk",M22="Missing PO",N22="Review Tax",O22&gt;30,K22&lt;&gt;"Approved"),"High","Low")</x:f>
        <x:v>High</x:v>
      </x:c>
      <x:c r="Q22" s="57" t="str">
        <x:f>TEXTJOIN("; ",TRUE,IF(L22="Duplicate Risk","Duplicate risk",""),IF(M22="Missing PO","Missing PO",""),IF(N22="Review Tax","Tax variance",""),IF(O22&gt;0,"Overdue",""),IF(K22&lt;&gt;"Approved","Approval issue",""))</x:f>
        <x:v>Overdue; Approval issue</x:v>
      </x:c>
    </x:row>
    <x:row r="23">
      <x:c r="A23" s="55" t="str">
        <x:v>AP-0022</x:v>
      </x:c>
      <x:c r="B23" s="56" t="str">
        <x:v>Vendor 19</x:v>
      </x:c>
      <x:c r="C23" s="56" t="str">
        <x:v>INV-39550</x:v>
      </x:c>
      <x:c r="D23" s="56" t="str"/>
      <x:c r="E23" s="76" t="n">
        <x:v>46169</x:v>
      </x:c>
      <x:c r="F23" s="76" t="n">
        <x:v>46214</x:v>
      </x:c>
      <x:c r="G23" s="80" t="n">
        <x:v>11983.5</x:v>
      </x:c>
      <x:c r="H23" s="80" t="n">
        <x:v>1557.86</x:v>
      </x:c>
      <x:c r="I23" s="80" t="n">
        <x:f>G23+H23</x:f>
        <x:v>13541.36</x:v>
      </x:c>
      <x:c r="J23" s="56" t="str">
        <x:v>On Hold</x:v>
      </x:c>
      <x:c r="K23" s="56" t="str">
        <x:v>Rejected</x:v>
      </x:c>
      <x:c r="L23" s="56" t="str">
        <x:f>IF(COUNTIFS($B:$B,B23,$C:$C,C23,$I:$I,I23)&gt;1,"Duplicate Risk","OK")</x:f>
        <x:v>OK</x:v>
      </x:c>
      <x:c r="M23" s="56" t="str">
        <x:f>IF(D23="","Missing PO","Matched")</x:f>
        <x:v>Missing PO</x:v>
      </x:c>
      <x:c r="N23" s="56" t="str">
        <x:f>IF(ABS(H23-G23*0.13)&lt;=1,"OK","Review Tax")</x:f>
        <x:v>OK</x:v>
      </x:c>
      <x:c r="O23" s="56" t="n">
        <x:f>IF(J23="Paid",0,MAX(0,TODAY()-F23))</x:f>
        <x:v>0</x:v>
      </x:c>
      <x:c r="P23" s="56" t="str">
        <x:f>IF(OR(L23="Duplicate Risk",M23="Missing PO",N23="Review Tax",O23&gt;30,K23&lt;&gt;"Approved"),"High","Low")</x:f>
        <x:v>High</x:v>
      </x:c>
      <x:c r="Q23" s="57" t="str">
        <x:f>TEXTJOIN("; ",TRUE,IF(L23="Duplicate Risk","Duplicate risk",""),IF(M23="Missing PO","Missing PO",""),IF(N23="Review Tax","Tax variance",""),IF(O23&gt;0,"Overdue",""),IF(K23&lt;&gt;"Approved","Approval issue",""))</x:f>
        <x:v>Missing PO; Approval issue</x:v>
      </x:c>
    </x:row>
    <x:row r="24">
      <x:c r="A24" s="55" t="str">
        <x:v>AP-0023</x:v>
      </x:c>
      <x:c r="B24" s="56" t="str">
        <x:v>Vendor 12</x:v>
      </x:c>
      <x:c r="C24" s="56" t="str">
        <x:v>INV-46939</x:v>
      </x:c>
      <x:c r="D24" s="56" t="str"/>
      <x:c r="E24" s="76" t="n">
        <x:v>46160</x:v>
      </x:c>
      <x:c r="F24" s="76" t="n">
        <x:v>46205</x:v>
      </x:c>
      <x:c r="G24" s="80" t="n">
        <x:v>8875.78</x:v>
      </x:c>
      <x:c r="H24" s="80" t="n">
        <x:v>1153.85</x:v>
      </x:c>
      <x:c r="I24" s="80" t="n">
        <x:f>G24+H24</x:f>
        <x:v>10029.630000000001</x:v>
      </x:c>
      <x:c r="J24" s="56" t="str">
        <x:v>Paid</x:v>
      </x:c>
      <x:c r="K24" s="56" t="str">
        <x:v>Rejected</x:v>
      </x:c>
      <x:c r="L24" s="56" t="str">
        <x:f>IF(COUNTIFS($B:$B,B24,$C:$C,C24,$I:$I,I24)&gt;1,"Duplicate Risk","OK")</x:f>
        <x:v>OK</x:v>
      </x:c>
      <x:c r="M24" s="56" t="str">
        <x:f>IF(D24="","Missing PO","Matched")</x:f>
        <x:v>Missing PO</x:v>
      </x:c>
      <x:c r="N24" s="56" t="str">
        <x:f>IF(ABS(H24-G24*0.13)&lt;=1,"OK","Review Tax")</x:f>
        <x:v>OK</x:v>
      </x:c>
      <x:c r="O24" s="56" t="n">
        <x:f>IF(J24="Paid",0,MAX(0,TODAY()-F24))</x:f>
        <x:v>0</x:v>
      </x:c>
      <x:c r="P24" s="56" t="str">
        <x:f>IF(OR(L24="Duplicate Risk",M24="Missing PO",N24="Review Tax",O24&gt;30,K24&lt;&gt;"Approved"),"High","Low")</x:f>
        <x:v>High</x:v>
      </x:c>
      <x:c r="Q24" s="57" t="str">
        <x:f>TEXTJOIN("; ",TRUE,IF(L24="Duplicate Risk","Duplicate risk",""),IF(M24="Missing PO","Missing PO",""),IF(N24="Review Tax","Tax variance",""),IF(O24&gt;0,"Overdue",""),IF(K24&lt;&gt;"Approved","Approval issue",""))</x:f>
        <x:v>Missing PO; Approval issue</x:v>
      </x:c>
    </x:row>
    <x:row r="25">
      <x:c r="A25" s="55" t="str">
        <x:v>AP-0024</x:v>
      </x:c>
      <x:c r="B25" s="56" t="str">
        <x:v>Vendor 2</x:v>
      </x:c>
      <x:c r="C25" s="56" t="str">
        <x:v>INV-31914</x:v>
      </x:c>
      <x:c r="D25" s="56" t="str"/>
      <x:c r="E25" s="76" t="n">
        <x:v>46191</x:v>
      </x:c>
      <x:c r="F25" s="76" t="n">
        <x:v>46236</x:v>
      </x:c>
      <x:c r="G25" s="80" t="n">
        <x:v>2531.91</x:v>
      </x:c>
      <x:c r="H25" s="80" t="n">
        <x:v>329.15</x:v>
      </x:c>
      <x:c r="I25" s="80" t="n">
        <x:f>G25+H25</x:f>
        <x:v>2861.06</x:v>
      </x:c>
      <x:c r="J25" s="56" t="str">
        <x:v>Paid</x:v>
      </x:c>
      <x:c r="K25" s="56" t="str">
        <x:v>Approved</x:v>
      </x:c>
      <x:c r="L25" s="56" t="str">
        <x:f>IF(COUNTIFS($B:$B,B25,$C:$C,C25,$I:$I,I25)&gt;1,"Duplicate Risk","OK")</x:f>
        <x:v>OK</x:v>
      </x:c>
      <x:c r="M25" s="56" t="str">
        <x:f>IF(D25="","Missing PO","Matched")</x:f>
        <x:v>Missing PO</x:v>
      </x:c>
      <x:c r="N25" s="56" t="str">
        <x:f>IF(ABS(H25-G25*0.13)&lt;=1,"OK","Review Tax")</x:f>
        <x:v>OK</x:v>
      </x:c>
      <x:c r="O25" s="56" t="n">
        <x:f>IF(J25="Paid",0,MAX(0,TODAY()-F25))</x:f>
        <x:v>0</x:v>
      </x:c>
      <x:c r="P25" s="56" t="str">
        <x:f>IF(OR(L25="Duplicate Risk",M25="Missing PO",N25="Review Tax",O25&gt;30,K25&lt;&gt;"Approved"),"High","Low")</x:f>
        <x:v>High</x:v>
      </x:c>
      <x:c r="Q25" s="57" t="str">
        <x:f>TEXTJOIN("; ",TRUE,IF(L25="Duplicate Risk","Duplicate risk",""),IF(M25="Missing PO","Missing PO",""),IF(N25="Review Tax","Tax variance",""),IF(O25&gt;0,"Overdue",""),IF(K25&lt;&gt;"Approved","Approval issue",""))</x:f>
        <x:v>Missing PO</x:v>
      </x:c>
    </x:row>
    <x:row r="26">
      <x:c r="A26" s="55" t="str">
        <x:v>AP-0025</x:v>
      </x:c>
      <x:c r="B26" s="56" t="str">
        <x:v>Vendor 9</x:v>
      </x:c>
      <x:c r="C26" s="56" t="str">
        <x:v>INV-38128</x:v>
      </x:c>
      <x:c r="D26" s="56" t="str"/>
      <x:c r="E26" s="76" t="n">
        <x:v>46162</x:v>
      </x:c>
      <x:c r="F26" s="76" t="n">
        <x:v>46177</x:v>
      </x:c>
      <x:c r="G26" s="80" t="n">
        <x:v>2327.44</x:v>
      </x:c>
      <x:c r="H26" s="80" t="n">
        <x:v>302.57</x:v>
      </x:c>
      <x:c r="I26" s="80" t="n">
        <x:f>G26+H26</x:f>
        <x:v>2630.01</x:v>
      </x:c>
      <x:c r="J26" s="56" t="str">
        <x:v>Paid</x:v>
      </x:c>
      <x:c r="K26" s="56" t="str">
        <x:v>Approved</x:v>
      </x:c>
      <x:c r="L26" s="56" t="str">
        <x:f>IF(COUNTIFS($B:$B,B26,$C:$C,C26,$I:$I,I26)&gt;1,"Duplicate Risk","OK")</x:f>
        <x:v>OK</x:v>
      </x:c>
      <x:c r="M26" s="56" t="str">
        <x:f>IF(D26="","Missing PO","Matched")</x:f>
        <x:v>Missing PO</x:v>
      </x:c>
      <x:c r="N26" s="56" t="str">
        <x:f>IF(ABS(H26-G26*0.13)&lt;=1,"OK","Review Tax")</x:f>
        <x:v>OK</x:v>
      </x:c>
      <x:c r="O26" s="56" t="n">
        <x:f>IF(J26="Paid",0,MAX(0,TODAY()-F26))</x:f>
        <x:v>0</x:v>
      </x:c>
      <x:c r="P26" s="56" t="str">
        <x:f>IF(OR(L26="Duplicate Risk",M26="Missing PO",N26="Review Tax",O26&gt;30,K26&lt;&gt;"Approved"),"High","Low")</x:f>
        <x:v>High</x:v>
      </x:c>
      <x:c r="Q26" s="57" t="str">
        <x:f>TEXTJOIN("; ",TRUE,IF(L26="Duplicate Risk","Duplicate risk",""),IF(M26="Missing PO","Missing PO",""),IF(N26="Review Tax","Tax variance",""),IF(O26&gt;0,"Overdue",""),IF(K26&lt;&gt;"Approved","Approval issue",""))</x:f>
        <x:v>Missing PO</x:v>
      </x:c>
    </x:row>
    <x:row r="27">
      <x:c r="A27" s="55" t="str">
        <x:v>AP-0026</x:v>
      </x:c>
      <x:c r="B27" s="56" t="str">
        <x:v>Vendor 15</x:v>
      </x:c>
      <x:c r="C27" s="56" t="str">
        <x:v>INV-26365</x:v>
      </x:c>
      <x:c r="D27" s="56" t="str"/>
      <x:c r="E27" s="76" t="n">
        <x:v>46178</x:v>
      </x:c>
      <x:c r="F27" s="76" t="n">
        <x:v>46193</x:v>
      </x:c>
      <x:c r="G27" s="80" t="n">
        <x:v>9290.62</x:v>
      </x:c>
      <x:c r="H27" s="80" t="n">
        <x:v>1207.78</x:v>
      </x:c>
      <x:c r="I27" s="80" t="n">
        <x:f>G27+H27</x:f>
        <x:v>10498.400000000001</x:v>
      </x:c>
      <x:c r="J27" s="56" t="str">
        <x:v>On Hold</x:v>
      </x:c>
      <x:c r="K27" s="56" t="str">
        <x:v>Approved</x:v>
      </x:c>
      <x:c r="L27" s="56" t="str">
        <x:f>IF(COUNTIFS($B:$B,B27,$C:$C,C27,$I:$I,I27)&gt;1,"Duplicate Risk","OK")</x:f>
        <x:v>OK</x:v>
      </x:c>
      <x:c r="M27" s="56" t="str">
        <x:f>IF(D27="","Missing PO","Matched")</x:f>
        <x:v>Missing PO</x:v>
      </x:c>
      <x:c r="N27" s="56" t="str">
        <x:f>IF(ABS(H27-G27*0.13)&lt;=1,"OK","Review Tax")</x:f>
        <x:v>OK</x:v>
      </x:c>
      <x:c r="O27" s="56" t="n">
        <x:f>IF(J27="Paid",0,MAX(0,TODAY()-F27))</x:f>
        <x:v>9</x:v>
      </x:c>
      <x:c r="P27" s="56" t="str">
        <x:f>IF(OR(L27="Duplicate Risk",M27="Missing PO",N27="Review Tax",O27&gt;30,K27&lt;&gt;"Approved"),"High","Low")</x:f>
        <x:v>High</x:v>
      </x:c>
      <x:c r="Q27" s="57" t="str">
        <x:f>TEXTJOIN("; ",TRUE,IF(L27="Duplicate Risk","Duplicate risk",""),IF(M27="Missing PO","Missing PO",""),IF(N27="Review Tax","Tax variance",""),IF(O27&gt;0,"Overdue",""),IF(K27&lt;&gt;"Approved","Approval issue",""))</x:f>
        <x:v>Missing PO; Overdue</x:v>
      </x:c>
    </x:row>
    <x:row r="28">
      <x:c r="A28" s="55" t="str">
        <x:v>AP-0027</x:v>
      </x:c>
      <x:c r="B28" s="56" t="str">
        <x:v>Vendor 6</x:v>
      </x:c>
      <x:c r="C28" s="56" t="str">
        <x:v>INV-25242</x:v>
      </x:c>
      <x:c r="D28" s="56" t="str"/>
      <x:c r="E28" s="76" t="n">
        <x:v>46186</x:v>
      </x:c>
      <x:c r="F28" s="76" t="n">
        <x:v>46216</x:v>
      </x:c>
      <x:c r="G28" s="80" t="n">
        <x:v>1572.58</x:v>
      </x:c>
      <x:c r="H28" s="80" t="n">
        <x:v>204.44</x:v>
      </x:c>
      <x:c r="I28" s="80" t="n">
        <x:f>G28+H28</x:f>
        <x:v>1777.02</x:v>
      </x:c>
      <x:c r="J28" s="56" t="str">
        <x:v>On Hold</x:v>
      </x:c>
      <x:c r="K28" s="56" t="str">
        <x:v>Rejected</x:v>
      </x:c>
      <x:c r="L28" s="56" t="str">
        <x:f>IF(COUNTIFS($B:$B,B28,$C:$C,C28,$I:$I,I28)&gt;1,"Duplicate Risk","OK")</x:f>
        <x:v>OK</x:v>
      </x:c>
      <x:c r="M28" s="56" t="str">
        <x:f>IF(D28="","Missing PO","Matched")</x:f>
        <x:v>Missing PO</x:v>
      </x:c>
      <x:c r="N28" s="56" t="str">
        <x:f>IF(ABS(H28-G28*0.13)&lt;=1,"OK","Review Tax")</x:f>
        <x:v>OK</x:v>
      </x:c>
      <x:c r="O28" s="56" t="n">
        <x:f>IF(J28="Paid",0,MAX(0,TODAY()-F28))</x:f>
        <x:v>0</x:v>
      </x:c>
      <x:c r="P28" s="56" t="str">
        <x:f>IF(OR(L28="Duplicate Risk",M28="Missing PO",N28="Review Tax",O28&gt;30,K28&lt;&gt;"Approved"),"High","Low")</x:f>
        <x:v>High</x:v>
      </x:c>
      <x:c r="Q28" s="57" t="str">
        <x:f>TEXTJOIN("; ",TRUE,IF(L28="Duplicate Risk","Duplicate risk",""),IF(M28="Missing PO","Missing PO",""),IF(N28="Review Tax","Tax variance",""),IF(O28&gt;0,"Overdue",""),IF(K28&lt;&gt;"Approved","Approval issue",""))</x:f>
        <x:v>Missing PO; Approval issue</x:v>
      </x:c>
    </x:row>
    <x:row r="29">
      <x:c r="A29" s="55" t="str">
        <x:v>AP-0028</x:v>
      </x:c>
      <x:c r="B29" s="56" t="str">
        <x:v>Vendor 13</x:v>
      </x:c>
      <x:c r="C29" s="56" t="str">
        <x:v>INV-31705</x:v>
      </x:c>
      <x:c r="D29" s="56" t="str"/>
      <x:c r="E29" s="76" t="n">
        <x:v>46168</x:v>
      </x:c>
      <x:c r="F29" s="76" t="n">
        <x:v>46198</x:v>
      </x:c>
      <x:c r="G29" s="80" t="n">
        <x:v>1351.24</x:v>
      </x:c>
      <x:c r="H29" s="80" t="n">
        <x:v>175.66</x:v>
      </x:c>
      <x:c r="I29" s="80" t="n">
        <x:f>G29+H29</x:f>
        <x:v>1526.9</x:v>
      </x:c>
      <x:c r="J29" s="56" t="str">
        <x:v>On Hold</x:v>
      </x:c>
      <x:c r="K29" s="56" t="str">
        <x:v>Approved</x:v>
      </x:c>
      <x:c r="L29" s="56" t="str">
        <x:f>IF(COUNTIFS($B:$B,B29,$C:$C,C29,$I:$I,I29)&gt;1,"Duplicate Risk","OK")</x:f>
        <x:v>OK</x:v>
      </x:c>
      <x:c r="M29" s="56" t="str">
        <x:f>IF(D29="","Missing PO","Matched")</x:f>
        <x:v>Missing PO</x:v>
      </x:c>
      <x:c r="N29" s="56" t="str">
        <x:f>IF(ABS(H29-G29*0.13)&lt;=1,"OK","Review Tax")</x:f>
        <x:v>OK</x:v>
      </x:c>
      <x:c r="O29" s="56" t="n">
        <x:f>IF(J29="Paid",0,MAX(0,TODAY()-F29))</x:f>
        <x:v>4</x:v>
      </x:c>
      <x:c r="P29" s="56" t="str">
        <x:f>IF(OR(L29="Duplicate Risk",M29="Missing PO",N29="Review Tax",O29&gt;30,K29&lt;&gt;"Approved"),"High","Low")</x:f>
        <x:v>High</x:v>
      </x:c>
      <x:c r="Q29" s="57" t="str">
        <x:f>TEXTJOIN("; ",TRUE,IF(L29="Duplicate Risk","Duplicate risk",""),IF(M29="Missing PO","Missing PO",""),IF(N29="Review Tax","Tax variance",""),IF(O29&gt;0,"Overdue",""),IF(K29&lt;&gt;"Approved","Approval issue",""))</x:f>
        <x:v>Missing PO; Overdue</x:v>
      </x:c>
    </x:row>
    <x:row r="30">
      <x:c r="A30" s="55" t="str">
        <x:v>AP-0029</x:v>
      </x:c>
      <x:c r="B30" s="56" t="str">
        <x:v>Vendor 23</x:v>
      </x:c>
      <x:c r="C30" s="56" t="str">
        <x:v>INV-21818</x:v>
      </x:c>
      <x:c r="D30" s="56" t="str"/>
      <x:c r="E30" s="76" t="n">
        <x:v>46167</x:v>
      </x:c>
      <x:c r="F30" s="76" t="n">
        <x:v>46197</x:v>
      </x:c>
      <x:c r="G30" s="80" t="n">
        <x:v>9491.86</x:v>
      </x:c>
      <x:c r="H30" s="80" t="n">
        <x:v>1233.94</x:v>
      </x:c>
      <x:c r="I30" s="80" t="n">
        <x:f>G30+H30</x:f>
        <x:v>10725.800000000001</x:v>
      </x:c>
      <x:c r="J30" s="56" t="str">
        <x:v>Paid</x:v>
      </x:c>
      <x:c r="K30" s="56" t="str">
        <x:v>Approved</x:v>
      </x:c>
      <x:c r="L30" s="56" t="str">
        <x:f>IF(COUNTIFS($B:$B,B30,$C:$C,C30,$I:$I,I30)&gt;1,"Duplicate Risk","OK")</x:f>
        <x:v>OK</x:v>
      </x:c>
      <x:c r="M30" s="56" t="str">
        <x:f>IF(D30="","Missing PO","Matched")</x:f>
        <x:v>Missing PO</x:v>
      </x:c>
      <x:c r="N30" s="56" t="str">
        <x:f>IF(ABS(H30-G30*0.13)&lt;=1,"OK","Review Tax")</x:f>
        <x:v>OK</x:v>
      </x:c>
      <x:c r="O30" s="56" t="n">
        <x:f>IF(J30="Paid",0,MAX(0,TODAY()-F30))</x:f>
        <x:v>0</x:v>
      </x:c>
      <x:c r="P30" s="56" t="str">
        <x:f>IF(OR(L30="Duplicate Risk",M30="Missing PO",N30="Review Tax",O30&gt;30,K30&lt;&gt;"Approved"),"High","Low")</x:f>
        <x:v>High</x:v>
      </x:c>
      <x:c r="Q30" s="57" t="str">
        <x:f>TEXTJOIN("; ",TRUE,IF(L30="Duplicate Risk","Duplicate risk",""),IF(M30="Missing PO","Missing PO",""),IF(N30="Review Tax","Tax variance",""),IF(O30&gt;0,"Overdue",""),IF(K30&lt;&gt;"Approved","Approval issue",""))</x:f>
        <x:v>Missing PO</x:v>
      </x:c>
    </x:row>
    <x:row r="31">
      <x:c r="A31" s="55" t="str">
        <x:v>AP-0030</x:v>
      </x:c>
      <x:c r="B31" s="56" t="str">
        <x:v>Vendor 26</x:v>
      </x:c>
      <x:c r="C31" s="56" t="str">
        <x:v>INV-25284</x:v>
      </x:c>
      <x:c r="D31" s="56" t="str">
        <x:v>PO-1054</x:v>
      </x:c>
      <x:c r="E31" s="76" t="n">
        <x:v>46179</x:v>
      </x:c>
      <x:c r="F31" s="76" t="n">
        <x:v>46194</x:v>
      </x:c>
      <x:c r="G31" s="80" t="n">
        <x:v>4438.12</x:v>
      </x:c>
      <x:c r="H31" s="80" t="n">
        <x:v>576.96</x:v>
      </x:c>
      <x:c r="I31" s="80" t="n">
        <x:f>G31+H31</x:f>
        <x:v>5015.08</x:v>
      </x:c>
      <x:c r="J31" s="56" t="str">
        <x:v>Unpaid</x:v>
      </x:c>
      <x:c r="K31" s="56" t="str">
        <x:v>Rejected</x:v>
      </x:c>
      <x:c r="L31" s="56" t="str">
        <x:f>IF(COUNTIFS($B:$B,B31,$C:$C,C31,$I:$I,I31)&gt;1,"Duplicate Risk","OK")</x:f>
        <x:v>OK</x:v>
      </x:c>
      <x:c r="M31" s="56" t="str">
        <x:f>IF(D31="","Missing PO","Matched")</x:f>
        <x:v>Matched</x:v>
      </x:c>
      <x:c r="N31" s="56" t="str">
        <x:f>IF(ABS(H31-G31*0.13)&lt;=1,"OK","Review Tax")</x:f>
        <x:v>OK</x:v>
      </x:c>
      <x:c r="O31" s="56" t="n">
        <x:f>IF(J31="Paid",0,MAX(0,TODAY()-F31))</x:f>
        <x:v>8</x:v>
      </x:c>
      <x:c r="P31" s="56" t="str">
        <x:f>IF(OR(L31="Duplicate Risk",M31="Missing PO",N31="Review Tax",O31&gt;30,K31&lt;&gt;"Approved"),"High","Low")</x:f>
        <x:v>High</x:v>
      </x:c>
      <x:c r="Q31" s="57" t="str">
        <x:f>TEXTJOIN("; ",TRUE,IF(L31="Duplicate Risk","Duplicate risk",""),IF(M31="Missing PO","Missing PO",""),IF(N31="Review Tax","Tax variance",""),IF(O31&gt;0,"Overdue",""),IF(K31&lt;&gt;"Approved","Approval issue",""))</x:f>
        <x:v>Overdue; Approval issue</x:v>
      </x:c>
    </x:row>
    <x:row r="32">
      <x:c r="A32" s="55" t="str">
        <x:v>AP-0031</x:v>
      </x:c>
      <x:c r="B32" s="56" t="str">
        <x:v>Vendor 28</x:v>
      </x:c>
      <x:c r="C32" s="56" t="str">
        <x:v>INV-41375</x:v>
      </x:c>
      <x:c r="D32" s="56" t="str">
        <x:v>PO-1094</x:v>
      </x:c>
      <x:c r="E32" s="76" t="n">
        <x:v>46198</x:v>
      </x:c>
      <x:c r="F32" s="76" t="n">
        <x:v>46243</x:v>
      </x:c>
      <x:c r="G32" s="80" t="n">
        <x:v>9505.12</x:v>
      </x:c>
      <x:c r="H32" s="80" t="n">
        <x:v>1235.67</x:v>
      </x:c>
      <x:c r="I32" s="80" t="n">
        <x:f>G32+H32</x:f>
        <x:v>10740.79</x:v>
      </x:c>
      <x:c r="J32" s="56" t="str">
        <x:v>Paid</x:v>
      </x:c>
      <x:c r="K32" s="56" t="str">
        <x:v>Pending</x:v>
      </x:c>
      <x:c r="L32" s="56" t="str">
        <x:f>IF(COUNTIFS($B:$B,B32,$C:$C,C32,$I:$I,I32)&gt;1,"Duplicate Risk","OK")</x:f>
        <x:v>Duplicate Risk</x:v>
      </x:c>
      <x:c r="M32" s="56" t="str">
        <x:f>IF(D32="","Missing PO","Matched")</x:f>
        <x:v>Matched</x:v>
      </x:c>
      <x:c r="N32" s="56" t="str">
        <x:f>IF(ABS(H32-G32*0.13)&lt;=1,"OK","Review Tax")</x:f>
        <x:v>OK</x:v>
      </x:c>
      <x:c r="O32" s="56" t="n">
        <x:f>IF(J32="Paid",0,MAX(0,TODAY()-F32))</x:f>
        <x:v>0</x:v>
      </x:c>
      <x:c r="P32" s="56" t="str">
        <x:f>IF(OR(L32="Duplicate Risk",M32="Missing PO",N32="Review Tax",O32&gt;30,K32&lt;&gt;"Approved"),"High","Low")</x:f>
        <x:v>High</x:v>
      </x:c>
      <x:c r="Q32" s="57" t="str">
        <x:f>TEXTJOIN("; ",TRUE,IF(L32="Duplicate Risk","Duplicate risk",""),IF(M32="Missing PO","Missing PO",""),IF(N32="Review Tax","Tax variance",""),IF(O32&gt;0,"Overdue",""),IF(K32&lt;&gt;"Approved","Approval issue",""))</x:f>
        <x:v>Duplicate risk; Approval issue</x:v>
      </x:c>
    </x:row>
    <x:row r="33">
      <x:c r="A33" s="55" t="str">
        <x:v>AP-0032</x:v>
      </x:c>
      <x:c r="B33" s="56" t="str">
        <x:v>Vendor 4</x:v>
      </x:c>
      <x:c r="C33" s="56" t="str">
        <x:v>INV-47334</x:v>
      </x:c>
      <x:c r="D33" s="56" t="str"/>
      <x:c r="E33" s="76" t="n">
        <x:v>46151</x:v>
      </x:c>
      <x:c r="F33" s="76" t="n">
        <x:v>46196</x:v>
      </x:c>
      <x:c r="G33" s="80" t="n">
        <x:v>5344.77</x:v>
      </x:c>
      <x:c r="H33" s="80" t="n">
        <x:v>690.08</x:v>
      </x:c>
      <x:c r="I33" s="80" t="n">
        <x:f>G33+H33</x:f>
        <x:v>6034.85</x:v>
      </x:c>
      <x:c r="J33" s="56" t="str">
        <x:v>Unpaid</x:v>
      </x:c>
      <x:c r="K33" s="56" t="str">
        <x:v>Approved</x:v>
      </x:c>
      <x:c r="L33" s="56" t="str">
        <x:f>IF(COUNTIFS($B:$B,B33,$C:$C,C33,$I:$I,I33)&gt;1,"Duplicate Risk","OK")</x:f>
        <x:v>OK</x:v>
      </x:c>
      <x:c r="M33" s="56" t="str">
        <x:f>IF(D33="","Missing PO","Matched")</x:f>
        <x:v>Missing PO</x:v>
      </x:c>
      <x:c r="N33" s="56" t="str">
        <x:f>IF(ABS(H33-G33*0.13)&lt;=1,"OK","Review Tax")</x:f>
        <x:v>Review Tax</x:v>
      </x:c>
      <x:c r="O33" s="56" t="n">
        <x:f>IF(J33="Paid",0,MAX(0,TODAY()-F33))</x:f>
        <x:v>6</x:v>
      </x:c>
      <x:c r="P33" s="56" t="str">
        <x:f>IF(OR(L33="Duplicate Risk",M33="Missing PO",N33="Review Tax",O33&gt;30,K33&lt;&gt;"Approved"),"High","Low")</x:f>
        <x:v>High</x:v>
      </x:c>
      <x:c r="Q33" s="57" t="str">
        <x:f>TEXTJOIN("; ",TRUE,IF(L33="Duplicate Risk","Duplicate risk",""),IF(M33="Missing PO","Missing PO",""),IF(N33="Review Tax","Tax variance",""),IF(O33&gt;0,"Overdue",""),IF(K33&lt;&gt;"Approved","Approval issue",""))</x:f>
        <x:v>Missing PO; Tax variance; Overdue</x:v>
      </x:c>
    </x:row>
    <x:row r="34">
      <x:c r="A34" s="55" t="str">
        <x:v>AP-0033</x:v>
      </x:c>
      <x:c r="B34" s="56" t="str">
        <x:v>Vendor 13</x:v>
      </x:c>
      <x:c r="C34" s="56" t="str">
        <x:v>INV-37775</x:v>
      </x:c>
      <x:c r="D34" s="56" t="str">
        <x:v>PO-1069</x:v>
      </x:c>
      <x:c r="E34" s="76" t="n">
        <x:v>46165</x:v>
      </x:c>
      <x:c r="F34" s="76" t="n">
        <x:v>46195</x:v>
      </x:c>
      <x:c r="G34" s="80" t="n">
        <x:v>1003.32</x:v>
      </x:c>
      <x:c r="H34" s="80" t="n">
        <x:v>135.98</x:v>
      </x:c>
      <x:c r="I34" s="80" t="n">
        <x:f>G34+H34</x:f>
        <x:v>1139.3</x:v>
      </x:c>
      <x:c r="J34" s="56" t="str">
        <x:v>On Hold</x:v>
      </x:c>
      <x:c r="K34" s="56" t="str">
        <x:v>Approved</x:v>
      </x:c>
      <x:c r="L34" s="56" t="str">
        <x:f>IF(COUNTIFS($B:$B,B34,$C:$C,C34,$I:$I,I34)&gt;1,"Duplicate Risk","OK")</x:f>
        <x:v>OK</x:v>
      </x:c>
      <x:c r="M34" s="56" t="str">
        <x:f>IF(D34="","Missing PO","Matched")</x:f>
        <x:v>Matched</x:v>
      </x:c>
      <x:c r="N34" s="56" t="str">
        <x:f>IF(ABS(H34-G34*0.13)&lt;=1,"OK","Review Tax")</x:f>
        <x:v>Review Tax</x:v>
      </x:c>
      <x:c r="O34" s="56" t="n">
        <x:f>IF(J34="Paid",0,MAX(0,TODAY()-F34))</x:f>
        <x:v>7</x:v>
      </x:c>
      <x:c r="P34" s="56" t="str">
        <x:f>IF(OR(L34="Duplicate Risk",M34="Missing PO",N34="Review Tax",O34&gt;30,K34&lt;&gt;"Approved"),"High","Low")</x:f>
        <x:v>High</x:v>
      </x:c>
      <x:c r="Q34" s="57" t="str">
        <x:f>TEXTJOIN("; ",TRUE,IF(L34="Duplicate Risk","Duplicate risk",""),IF(M34="Missing PO","Missing PO",""),IF(N34="Review Tax","Tax variance",""),IF(O34&gt;0,"Overdue",""),IF(K34&lt;&gt;"Approved","Approval issue",""))</x:f>
        <x:v>Tax variance; Overdue</x:v>
      </x:c>
    </x:row>
    <x:row r="35">
      <x:c r="A35" s="55" t="str">
        <x:v>AP-0034</x:v>
      </x:c>
      <x:c r="B35" s="56" t="str">
        <x:v>Vendor 20</x:v>
      </x:c>
      <x:c r="C35" s="56" t="str">
        <x:v>INV-42930</x:v>
      </x:c>
      <x:c r="D35" s="56" t="str">
        <x:v>PO-1096</x:v>
      </x:c>
      <x:c r="E35" s="76" t="n">
        <x:v>46165</x:v>
      </x:c>
      <x:c r="F35" s="76" t="n">
        <x:v>46195</x:v>
      </x:c>
      <x:c r="G35" s="80" t="n">
        <x:v>11662.46</x:v>
      </x:c>
      <x:c r="H35" s="80" t="n">
        <x:v>1523.38</x:v>
      </x:c>
      <x:c r="I35" s="80" t="n">
        <x:f>G35+H35</x:f>
        <x:v>13185.84</x:v>
      </x:c>
      <x:c r="J35" s="56" t="str">
        <x:v>Paid</x:v>
      </x:c>
      <x:c r="K35" s="56" t="str">
        <x:v>Approved</x:v>
      </x:c>
      <x:c r="L35" s="56" t="str">
        <x:f>IF(COUNTIFS($B:$B,B35,$C:$C,C35,$I:$I,I35)&gt;1,"Duplicate Risk","OK")</x:f>
        <x:v>OK</x:v>
      </x:c>
      <x:c r="M35" s="56" t="str">
        <x:f>IF(D35="","Missing PO","Matched")</x:f>
        <x:v>Matched</x:v>
      </x:c>
      <x:c r="N35" s="56" t="str">
        <x:f>IF(ABS(H35-G35*0.13)&lt;=1,"OK","Review Tax")</x:f>
        <x:v>Review Tax</x:v>
      </x:c>
      <x:c r="O35" s="56" t="n">
        <x:f>IF(J35="Paid",0,MAX(0,TODAY()-F35))</x:f>
        <x:v>0</x:v>
      </x:c>
      <x:c r="P35" s="56" t="str">
        <x:f>IF(OR(L35="Duplicate Risk",M35="Missing PO",N35="Review Tax",O35&gt;30,K35&lt;&gt;"Approved"),"High","Low")</x:f>
        <x:v>High</x:v>
      </x:c>
      <x:c r="Q35" s="57" t="str">
        <x:f>TEXTJOIN("; ",TRUE,IF(L35="Duplicate Risk","Duplicate risk",""),IF(M35="Missing PO","Missing PO",""),IF(N35="Review Tax","Tax variance",""),IF(O35&gt;0,"Overdue",""),IF(K35&lt;&gt;"Approved","Approval issue",""))</x:f>
        <x:v>Tax variance</x:v>
      </x:c>
    </x:row>
    <x:row r="36">
      <x:c r="A36" s="55" t="str">
        <x:v>AP-0035</x:v>
      </x:c>
      <x:c r="B36" s="56" t="str">
        <x:v>Vendor 10</x:v>
      </x:c>
      <x:c r="C36" s="56" t="str">
        <x:v>INV-22261</x:v>
      </x:c>
      <x:c r="D36" s="56" t="str"/>
      <x:c r="E36" s="76" t="n">
        <x:v>46192</x:v>
      </x:c>
      <x:c r="F36" s="76" t="n">
        <x:v>46222</x:v>
      </x:c>
      <x:c r="G36" s="80" t="n">
        <x:v>1152.66</x:v>
      </x:c>
      <x:c r="H36" s="80" t="n">
        <x:v>149.85</x:v>
      </x:c>
      <x:c r="I36" s="80" t="n">
        <x:f>G36+H36</x:f>
        <x:v>1302.51</x:v>
      </x:c>
      <x:c r="J36" s="56" t="str">
        <x:v>On Hold</x:v>
      </x:c>
      <x:c r="K36" s="56" t="str">
        <x:v>Rejected</x:v>
      </x:c>
      <x:c r="L36" s="56" t="str">
        <x:f>IF(COUNTIFS($B:$B,B36,$C:$C,C36,$I:$I,I36)&gt;1,"Duplicate Risk","OK")</x:f>
        <x:v>OK</x:v>
      </x:c>
      <x:c r="M36" s="56" t="str">
        <x:f>IF(D36="","Missing PO","Matched")</x:f>
        <x:v>Missing PO</x:v>
      </x:c>
      <x:c r="N36" s="56" t="str">
        <x:f>IF(ABS(H36-G36*0.13)&lt;=1,"OK","Review Tax")</x:f>
        <x:v>OK</x:v>
      </x:c>
      <x:c r="O36" s="56" t="n">
        <x:f>IF(J36="Paid",0,MAX(0,TODAY()-F36))</x:f>
        <x:v>0</x:v>
      </x:c>
      <x:c r="P36" s="56" t="str">
        <x:f>IF(OR(L36="Duplicate Risk",M36="Missing PO",N36="Review Tax",O36&gt;30,K36&lt;&gt;"Approved"),"High","Low")</x:f>
        <x:v>High</x:v>
      </x:c>
      <x:c r="Q36" s="57" t="str">
        <x:f>TEXTJOIN("; ",TRUE,IF(L36="Duplicate Risk","Duplicate risk",""),IF(M36="Missing PO","Missing PO",""),IF(N36="Review Tax","Tax variance",""),IF(O36&gt;0,"Overdue",""),IF(K36&lt;&gt;"Approved","Approval issue",""))</x:f>
        <x:v>Missing PO; Approval issue</x:v>
      </x:c>
    </x:row>
    <x:row r="37">
      <x:c r="A37" s="55" t="str">
        <x:v>AP-0036</x:v>
      </x:c>
      <x:c r="B37" s="56" t="str">
        <x:v>Vendor 22</x:v>
      </x:c>
      <x:c r="C37" s="56" t="str">
        <x:v>INV-35415</x:v>
      </x:c>
      <x:c r="D37" s="56" t="str"/>
      <x:c r="E37" s="76" t="n">
        <x:v>46176</x:v>
      </x:c>
      <x:c r="F37" s="76" t="n">
        <x:v>46221</x:v>
      </x:c>
      <x:c r="G37" s="80" t="n">
        <x:v>757.1</x:v>
      </x:c>
      <x:c r="H37" s="80" t="n">
        <x:v>98.42</x:v>
      </x:c>
      <x:c r="I37" s="80" t="n">
        <x:f>G37+H37</x:f>
        <x:v>855.52</x:v>
      </x:c>
      <x:c r="J37" s="56" t="str">
        <x:v>Paid</x:v>
      </x:c>
      <x:c r="K37" s="56" t="str">
        <x:v>Rejected</x:v>
      </x:c>
      <x:c r="L37" s="56" t="str">
        <x:f>IF(COUNTIFS($B:$B,B37,$C:$C,C37,$I:$I,I37)&gt;1,"Duplicate Risk","OK")</x:f>
        <x:v>OK</x:v>
      </x:c>
      <x:c r="M37" s="56" t="str">
        <x:f>IF(D37="","Missing PO","Matched")</x:f>
        <x:v>Missing PO</x:v>
      </x:c>
      <x:c r="N37" s="56" t="str">
        <x:f>IF(ABS(H37-G37*0.13)&lt;=1,"OK","Review Tax")</x:f>
        <x:v>OK</x:v>
      </x:c>
      <x:c r="O37" s="56" t="n">
        <x:f>IF(J37="Paid",0,MAX(0,TODAY()-F37))</x:f>
        <x:v>0</x:v>
      </x:c>
      <x:c r="P37" s="56" t="str">
        <x:f>IF(OR(L37="Duplicate Risk",M37="Missing PO",N37="Review Tax",O37&gt;30,K37&lt;&gt;"Approved"),"High","Low")</x:f>
        <x:v>High</x:v>
      </x:c>
      <x:c r="Q37" s="57" t="str">
        <x:f>TEXTJOIN("; ",TRUE,IF(L37="Duplicate Risk","Duplicate risk",""),IF(M37="Missing PO","Missing PO",""),IF(N37="Review Tax","Tax variance",""),IF(O37&gt;0,"Overdue",""),IF(K37&lt;&gt;"Approved","Approval issue",""))</x:f>
        <x:v>Missing PO; Approval issue</x:v>
      </x:c>
    </x:row>
    <x:row r="38">
      <x:c r="A38" s="55" t="str">
        <x:v>AP-0037</x:v>
      </x:c>
      <x:c r="B38" s="56" t="str">
        <x:v>Vendor 15</x:v>
      </x:c>
      <x:c r="C38" s="56" t="str">
        <x:v>INV-44053</x:v>
      </x:c>
      <x:c r="D38" s="56" t="str">
        <x:v>PO-1100</x:v>
      </x:c>
      <x:c r="E38" s="76" t="n">
        <x:v>46190</x:v>
      </x:c>
      <x:c r="F38" s="76" t="n">
        <x:v>46205</x:v>
      </x:c>
      <x:c r="G38" s="80" t="n">
        <x:v>6895.28</x:v>
      </x:c>
      <x:c r="H38" s="80" t="n">
        <x:v>893.3</x:v>
      </x:c>
      <x:c r="I38" s="80" t="n">
        <x:f>G38+H38</x:f>
        <x:v>7788.58</x:v>
      </x:c>
      <x:c r="J38" s="56" t="str">
        <x:v>Paid</x:v>
      </x:c>
      <x:c r="K38" s="56" t="str">
        <x:v>Pending</x:v>
      </x:c>
      <x:c r="L38" s="56" t="str">
        <x:f>IF(COUNTIFS($B:$B,B38,$C:$C,C38,$I:$I,I38)&gt;1,"Duplicate Risk","OK")</x:f>
        <x:v>Duplicate Risk</x:v>
      </x:c>
      <x:c r="M38" s="56" t="str">
        <x:f>IF(D38="","Missing PO","Matched")</x:f>
        <x:v>Matched</x:v>
      </x:c>
      <x:c r="N38" s="56" t="str">
        <x:f>IF(ABS(H38-G38*0.13)&lt;=1,"OK","Review Tax")</x:f>
        <x:v>Review Tax</x:v>
      </x:c>
      <x:c r="O38" s="56" t="n">
        <x:f>IF(J38="Paid",0,MAX(0,TODAY()-F38))</x:f>
        <x:v>0</x:v>
      </x:c>
      <x:c r="P38" s="56" t="str">
        <x:f>IF(OR(L38="Duplicate Risk",M38="Missing PO",N38="Review Tax",O38&gt;30,K38&lt;&gt;"Approved"),"High","Low")</x:f>
        <x:v>High</x:v>
      </x:c>
      <x:c r="Q38" s="57" t="str">
        <x:f>TEXTJOIN("; ",TRUE,IF(L38="Duplicate Risk","Duplicate risk",""),IF(M38="Missing PO","Missing PO",""),IF(N38="Review Tax","Tax variance",""),IF(O38&gt;0,"Overdue",""),IF(K38&lt;&gt;"Approved","Approval issue",""))</x:f>
        <x:v>Duplicate risk; Tax variance; Approval issue</x:v>
      </x:c>
    </x:row>
    <x:row r="39">
      <x:c r="A39" s="55" t="str">
        <x:v>AP-0038</x:v>
      </x:c>
      <x:c r="B39" s="56" t="str">
        <x:v>Vendor 21</x:v>
      </x:c>
      <x:c r="C39" s="56" t="str">
        <x:v>INV-32957</x:v>
      </x:c>
      <x:c r="D39" s="56" t="str"/>
      <x:c r="E39" s="76" t="n">
        <x:v>46167</x:v>
      </x:c>
      <x:c r="F39" s="76" t="n">
        <x:v>46182</x:v>
      </x:c>
      <x:c r="G39" s="80" t="n">
        <x:v>1514.53</x:v>
      </x:c>
      <x:c r="H39" s="80" t="n">
        <x:v>194.98</x:v>
      </x:c>
      <x:c r="I39" s="80" t="n">
        <x:f>G39+H39</x:f>
        <x:v>1709.51</x:v>
      </x:c>
      <x:c r="J39" s="56" t="str">
        <x:v>Paid</x:v>
      </x:c>
      <x:c r="K39" s="56" t="str">
        <x:v>Approved</x:v>
      </x:c>
      <x:c r="L39" s="56" t="str">
        <x:f>IF(COUNTIFS($B:$B,B39,$C:$C,C39,$I:$I,I39)&gt;1,"Duplicate Risk","OK")</x:f>
        <x:v>OK</x:v>
      </x:c>
      <x:c r="M39" s="56" t="str">
        <x:f>IF(D39="","Missing PO","Matched")</x:f>
        <x:v>Missing PO</x:v>
      </x:c>
      <x:c r="N39" s="56" t="str">
        <x:f>IF(ABS(H39-G39*0.13)&lt;=1,"OK","Review Tax")</x:f>
        <x:v>Review Tax</x:v>
      </x:c>
      <x:c r="O39" s="56" t="n">
        <x:f>IF(J39="Paid",0,MAX(0,TODAY()-F39))</x:f>
        <x:v>0</x:v>
      </x:c>
      <x:c r="P39" s="56" t="str">
        <x:f>IF(OR(L39="Duplicate Risk",M39="Missing PO",N39="Review Tax",O39&gt;30,K39&lt;&gt;"Approved"),"High","Low")</x:f>
        <x:v>High</x:v>
      </x:c>
      <x:c r="Q39" s="57" t="str">
        <x:f>TEXTJOIN("; ",TRUE,IF(L39="Duplicate Risk","Duplicate risk",""),IF(M39="Missing PO","Missing PO",""),IF(N39="Review Tax","Tax variance",""),IF(O39&gt;0,"Overdue",""),IF(K39&lt;&gt;"Approved","Approval issue",""))</x:f>
        <x:v>Missing PO; Tax variance</x:v>
      </x:c>
    </x:row>
    <x:row r="40">
      <x:c r="A40" s="55" t="str">
        <x:v>AP-0039</x:v>
      </x:c>
      <x:c r="B40" s="56" t="str">
        <x:v>Vendor 27</x:v>
      </x:c>
      <x:c r="C40" s="56" t="str">
        <x:v>INV-37253</x:v>
      </x:c>
      <x:c r="D40" s="56" t="str">
        <x:v>PO-1054</x:v>
      </x:c>
      <x:c r="E40" s="76" t="n">
        <x:v>46162</x:v>
      </x:c>
      <x:c r="F40" s="76" t="n">
        <x:v>46177</x:v>
      </x:c>
      <x:c r="G40" s="80" t="n">
        <x:v>10848.86</x:v>
      </x:c>
      <x:c r="H40" s="80" t="n">
        <x:v>1410.35</x:v>
      </x:c>
      <x:c r="I40" s="80" t="n">
        <x:f>G40+H40</x:f>
        <x:v>12259.210000000001</x:v>
      </x:c>
      <x:c r="J40" s="56" t="str">
        <x:v>On Hold</x:v>
      </x:c>
      <x:c r="K40" s="56" t="str">
        <x:v>Rejected</x:v>
      </x:c>
      <x:c r="L40" s="56" t="str">
        <x:f>IF(COUNTIFS($B:$B,B40,$C:$C,C40,$I:$I,I40)&gt;1,"Duplicate Risk","OK")</x:f>
        <x:v>OK</x:v>
      </x:c>
      <x:c r="M40" s="56" t="str">
        <x:f>IF(D40="","Missing PO","Matched")</x:f>
        <x:v>Matched</x:v>
      </x:c>
      <x:c r="N40" s="56" t="str">
        <x:f>IF(ABS(H40-G40*0.13)&lt;=1,"OK","Review Tax")</x:f>
        <x:v>OK</x:v>
      </x:c>
      <x:c r="O40" s="56" t="n">
        <x:f>IF(J40="Paid",0,MAX(0,TODAY()-F40))</x:f>
        <x:v>25</x:v>
      </x:c>
      <x:c r="P40" s="56" t="str">
        <x:f>IF(OR(L40="Duplicate Risk",M40="Missing PO",N40="Review Tax",O40&gt;30,K40&lt;&gt;"Approved"),"High","Low")</x:f>
        <x:v>High</x:v>
      </x:c>
      <x:c r="Q40" s="57" t="str">
        <x:f>TEXTJOIN("; ",TRUE,IF(L40="Duplicate Risk","Duplicate risk",""),IF(M40="Missing PO","Missing PO",""),IF(N40="Review Tax","Tax variance",""),IF(O40&gt;0,"Overdue",""),IF(K40&lt;&gt;"Approved","Approval issue",""))</x:f>
        <x:v>Overdue; Approval issue</x:v>
      </x:c>
    </x:row>
    <x:row r="41">
      <x:c r="A41" s="55" t="str">
        <x:v>AP-0040</x:v>
      </x:c>
      <x:c r="B41" s="56" t="str">
        <x:v>Vendor 23</x:v>
      </x:c>
      <x:c r="C41" s="56" t="str">
        <x:v>INV-25269</x:v>
      </x:c>
      <x:c r="D41" s="56" t="str">
        <x:v>PO-1055</x:v>
      </x:c>
      <x:c r="E41" s="76" t="n">
        <x:v>46190</x:v>
      </x:c>
      <x:c r="F41" s="76" t="n">
        <x:v>46205</x:v>
      </x:c>
      <x:c r="G41" s="80" t="n">
        <x:v>7713.57</x:v>
      </x:c>
      <x:c r="H41" s="80" t="n">
        <x:v>998.88</x:v>
      </x:c>
      <x:c r="I41" s="80" t="n">
        <x:f>G41+H41</x:f>
        <x:v>8712.449999999999</x:v>
      </x:c>
      <x:c r="J41" s="56" t="str">
        <x:v>Paid</x:v>
      </x:c>
      <x:c r="K41" s="56" t="str">
        <x:v>Approved</x:v>
      </x:c>
      <x:c r="L41" s="56" t="str">
        <x:f>IF(COUNTIFS($B:$B,B41,$C:$C,C41,$I:$I,I41)&gt;1,"Duplicate Risk","OK")</x:f>
        <x:v>Duplicate Risk</x:v>
      </x:c>
      <x:c r="M41" s="56" t="str">
        <x:f>IF(D41="","Missing PO","Matched")</x:f>
        <x:v>Matched</x:v>
      </x:c>
      <x:c r="N41" s="56" t="str">
        <x:f>IF(ABS(H41-G41*0.13)&lt;=1,"OK","Review Tax")</x:f>
        <x:v>Review Tax</x:v>
      </x:c>
      <x:c r="O41" s="56" t="n">
        <x:f>IF(J41="Paid",0,MAX(0,TODAY()-F41))</x:f>
        <x:v>0</x:v>
      </x:c>
      <x:c r="P41" s="56" t="str">
        <x:f>IF(OR(L41="Duplicate Risk",M41="Missing PO",N41="Review Tax",O41&gt;30,K41&lt;&gt;"Approved"),"High","Low")</x:f>
        <x:v>High</x:v>
      </x:c>
      <x:c r="Q41" s="57" t="str">
        <x:f>TEXTJOIN("; ",TRUE,IF(L41="Duplicate Risk","Duplicate risk",""),IF(M41="Missing PO","Missing PO",""),IF(N41="Review Tax","Tax variance",""),IF(O41&gt;0,"Overdue",""),IF(K41&lt;&gt;"Approved","Approval issue",""))</x:f>
        <x:v>Duplicate risk; Tax variance</x:v>
      </x:c>
    </x:row>
    <x:row r="42">
      <x:c r="A42" s="55" t="str">
        <x:v>AP-0041</x:v>
      </x:c>
      <x:c r="B42" s="56" t="str">
        <x:v>Vendor 21</x:v>
      </x:c>
      <x:c r="C42" s="56" t="str">
        <x:v>INV-21350</x:v>
      </x:c>
      <x:c r="D42" s="56" t="str"/>
      <x:c r="E42" s="76" t="n">
        <x:v>46191</x:v>
      </x:c>
      <x:c r="F42" s="76" t="n">
        <x:v>46221</x:v>
      </x:c>
      <x:c r="G42" s="80" t="n">
        <x:v>564.33</x:v>
      </x:c>
      <x:c r="H42" s="80" t="n">
        <x:v>73.36</x:v>
      </x:c>
      <x:c r="I42" s="80" t="n">
        <x:f>G42+H42</x:f>
        <x:v>637.69</x:v>
      </x:c>
      <x:c r="J42" s="56" t="str">
        <x:v>Unpaid</x:v>
      </x:c>
      <x:c r="K42" s="56" t="str">
        <x:v>Pending</x:v>
      </x:c>
      <x:c r="L42" s="56" t="str">
        <x:f>IF(COUNTIFS($B:$B,B42,$C:$C,C42,$I:$I,I42)&gt;1,"Duplicate Risk","OK")</x:f>
        <x:v>OK</x:v>
      </x:c>
      <x:c r="M42" s="56" t="str">
        <x:f>IF(D42="","Missing PO","Matched")</x:f>
        <x:v>Missing PO</x:v>
      </x:c>
      <x:c r="N42" s="56" t="str">
        <x:f>IF(ABS(H42-G42*0.13)&lt;=1,"OK","Review Tax")</x:f>
        <x:v>OK</x:v>
      </x:c>
      <x:c r="O42" s="56" t="n">
        <x:f>IF(J42="Paid",0,MAX(0,TODAY()-F42))</x:f>
        <x:v>0</x:v>
      </x:c>
      <x:c r="P42" s="56" t="str">
        <x:f>IF(OR(L42="Duplicate Risk",M42="Missing PO",N42="Review Tax",O42&gt;30,K42&lt;&gt;"Approved"),"High","Low")</x:f>
        <x:v>High</x:v>
      </x:c>
      <x:c r="Q42" s="57" t="str">
        <x:f>TEXTJOIN("; ",TRUE,IF(L42="Duplicate Risk","Duplicate risk",""),IF(M42="Missing PO","Missing PO",""),IF(N42="Review Tax","Tax variance",""),IF(O42&gt;0,"Overdue",""),IF(K42&lt;&gt;"Approved","Approval issue",""))</x:f>
        <x:v>Missing PO; Approval issue</x:v>
      </x:c>
    </x:row>
    <x:row r="43">
      <x:c r="A43" s="55" t="str">
        <x:v>AP-0042</x:v>
      </x:c>
      <x:c r="B43" s="56" t="str">
        <x:v>Vendor 15</x:v>
      </x:c>
      <x:c r="C43" s="56" t="str">
        <x:v>INV-46101</x:v>
      </x:c>
      <x:c r="D43" s="56" t="str"/>
      <x:c r="E43" s="76" t="n">
        <x:v>46161</x:v>
      </x:c>
      <x:c r="F43" s="76" t="n">
        <x:v>46206</x:v>
      </x:c>
      <x:c r="G43" s="80" t="n">
        <x:v>610.89</x:v>
      </x:c>
      <x:c r="H43" s="80" t="n">
        <x:v>79.42</x:v>
      </x:c>
      <x:c r="I43" s="80" t="n">
        <x:f>G43+H43</x:f>
        <x:v>690.31</x:v>
      </x:c>
      <x:c r="J43" s="56" t="str">
        <x:v>Unpaid</x:v>
      </x:c>
      <x:c r="K43" s="56" t="str">
        <x:v>Rejected</x:v>
      </x:c>
      <x:c r="L43" s="56" t="str">
        <x:f>IF(COUNTIFS($B:$B,B43,$C:$C,C43,$I:$I,I43)&gt;1,"Duplicate Risk","OK")</x:f>
        <x:v>OK</x:v>
      </x:c>
      <x:c r="M43" s="56" t="str">
        <x:f>IF(D43="","Missing PO","Matched")</x:f>
        <x:v>Missing PO</x:v>
      </x:c>
      <x:c r="N43" s="56" t="str">
        <x:f>IF(ABS(H43-G43*0.13)&lt;=1,"OK","Review Tax")</x:f>
        <x:v>OK</x:v>
      </x:c>
      <x:c r="O43" s="56" t="n">
        <x:f>IF(J43="Paid",0,MAX(0,TODAY()-F43))</x:f>
        <x:v>0</x:v>
      </x:c>
      <x:c r="P43" s="56" t="str">
        <x:f>IF(OR(L43="Duplicate Risk",M43="Missing PO",N43="Review Tax",O43&gt;30,K43&lt;&gt;"Approved"),"High","Low")</x:f>
        <x:v>High</x:v>
      </x:c>
      <x:c r="Q43" s="57" t="str">
        <x:f>TEXTJOIN("; ",TRUE,IF(L43="Duplicate Risk","Duplicate risk",""),IF(M43="Missing PO","Missing PO",""),IF(N43="Review Tax","Tax variance",""),IF(O43&gt;0,"Overdue",""),IF(K43&lt;&gt;"Approved","Approval issue",""))</x:f>
        <x:v>Missing PO; Approval issue</x:v>
      </x:c>
    </x:row>
    <x:row r="44">
      <x:c r="A44" s="55" t="str">
        <x:v>AP-0043</x:v>
      </x:c>
      <x:c r="B44" s="56" t="str">
        <x:v>Vendor 18</x:v>
      </x:c>
      <x:c r="C44" s="56" t="str">
        <x:v>INV-23691</x:v>
      </x:c>
      <x:c r="D44" s="56" t="str">
        <x:v>PO-1079</x:v>
      </x:c>
      <x:c r="E44" s="76" t="n">
        <x:v>46170</x:v>
      </x:c>
      <x:c r="F44" s="76" t="n">
        <x:v>46200</x:v>
      </x:c>
      <x:c r="G44" s="80" t="n">
        <x:v>952.02</x:v>
      </x:c>
      <x:c r="H44" s="80" t="n">
        <x:v>123.76</x:v>
      </x:c>
      <x:c r="I44" s="80" t="n">
        <x:f>G44+H44</x:f>
        <x:v>1075.78</x:v>
      </x:c>
      <x:c r="J44" s="56" t="str">
        <x:v>Paid</x:v>
      </x:c>
      <x:c r="K44" s="56" t="str">
        <x:v>Pending</x:v>
      </x:c>
      <x:c r="L44" s="56" t="str">
        <x:f>IF(COUNTIFS($B:$B,B44,$C:$C,C44,$I:$I,I44)&gt;1,"Duplicate Risk","OK")</x:f>
        <x:v>OK</x:v>
      </x:c>
      <x:c r="M44" s="56" t="str">
        <x:f>IF(D44="","Missing PO","Matched")</x:f>
        <x:v>Matched</x:v>
      </x:c>
      <x:c r="N44" s="56" t="str">
        <x:f>IF(ABS(H44-G44*0.13)&lt;=1,"OK","Review Tax")</x:f>
        <x:v>OK</x:v>
      </x:c>
      <x:c r="O44" s="56" t="n">
        <x:f>IF(J44="Paid",0,MAX(0,TODAY()-F44))</x:f>
        <x:v>0</x:v>
      </x:c>
      <x:c r="P44" s="56" t="str">
        <x:f>IF(OR(L44="Duplicate Risk",M44="Missing PO",N44="Review Tax",O44&gt;30,K44&lt;&gt;"Approved"),"High","Low")</x:f>
        <x:v>High</x:v>
      </x:c>
      <x:c r="Q44" s="57" t="str">
        <x:f>TEXTJOIN("; ",TRUE,IF(L44="Duplicate Risk","Duplicate risk",""),IF(M44="Missing PO","Missing PO",""),IF(N44="Review Tax","Tax variance",""),IF(O44&gt;0,"Overdue",""),IF(K44&lt;&gt;"Approved","Approval issue",""))</x:f>
        <x:v>Approval issue</x:v>
      </x:c>
    </x:row>
    <x:row r="45">
      <x:c r="A45" s="55" t="str">
        <x:v>AP-0044</x:v>
      </x:c>
      <x:c r="B45" s="56" t="str">
        <x:v>Vendor 3</x:v>
      </x:c>
      <x:c r="C45" s="56" t="str">
        <x:v>INV-38734</x:v>
      </x:c>
      <x:c r="D45" s="56" t="str"/>
      <x:c r="E45" s="76" t="n">
        <x:v>46177</x:v>
      </x:c>
      <x:c r="F45" s="76" t="n">
        <x:v>46192</x:v>
      </x:c>
      <x:c r="G45" s="80" t="n">
        <x:v>5887.94</x:v>
      </x:c>
      <x:c r="H45" s="80" t="n">
        <x:v>765.43</x:v>
      </x:c>
      <x:c r="I45" s="80" t="n">
        <x:f>G45+H45</x:f>
        <x:v>6653.37</x:v>
      </x:c>
      <x:c r="J45" s="56" t="str">
        <x:v>Paid</x:v>
      </x:c>
      <x:c r="K45" s="56" t="str">
        <x:v>Approved</x:v>
      </x:c>
      <x:c r="L45" s="56" t="str">
        <x:f>IF(COUNTIFS($B:$B,B45,$C:$C,C45,$I:$I,I45)&gt;1,"Duplicate Risk","OK")</x:f>
        <x:v>OK</x:v>
      </x:c>
      <x:c r="M45" s="56" t="str">
        <x:f>IF(D45="","Missing PO","Matched")</x:f>
        <x:v>Missing PO</x:v>
      </x:c>
      <x:c r="N45" s="56" t="str">
        <x:f>IF(ABS(H45-G45*0.13)&lt;=1,"OK","Review Tax")</x:f>
        <x:v>OK</x:v>
      </x:c>
      <x:c r="O45" s="56" t="n">
        <x:f>IF(J45="Paid",0,MAX(0,TODAY()-F45))</x:f>
        <x:v>0</x:v>
      </x:c>
      <x:c r="P45" s="56" t="str">
        <x:f>IF(OR(L45="Duplicate Risk",M45="Missing PO",N45="Review Tax",O45&gt;30,K45&lt;&gt;"Approved"),"High","Low")</x:f>
        <x:v>High</x:v>
      </x:c>
      <x:c r="Q45" s="57" t="str">
        <x:f>TEXTJOIN("; ",TRUE,IF(L45="Duplicate Risk","Duplicate risk",""),IF(M45="Missing PO","Missing PO",""),IF(N45="Review Tax","Tax variance",""),IF(O45&gt;0,"Overdue",""),IF(K45&lt;&gt;"Approved","Approval issue",""))</x:f>
        <x:v>Missing PO</x:v>
      </x:c>
    </x:row>
    <x:row r="46">
      <x:c r="A46" s="55" t="str">
        <x:v>AP-0045</x:v>
      </x:c>
      <x:c r="B46" s="56" t="str">
        <x:v>Vendor 17</x:v>
      </x:c>
      <x:c r="C46" s="56" t="str">
        <x:v>INV-39444</x:v>
      </x:c>
      <x:c r="D46" s="56" t="str"/>
      <x:c r="E46" s="76" t="n">
        <x:v>46186</x:v>
      </x:c>
      <x:c r="F46" s="76" t="n">
        <x:v>46216</x:v>
      </x:c>
      <x:c r="G46" s="80" t="n">
        <x:v>5905.91</x:v>
      </x:c>
      <x:c r="H46" s="80" t="n">
        <x:v>771.62</x:v>
      </x:c>
      <x:c r="I46" s="80" t="n">
        <x:f>G46+H46</x:f>
        <x:v>6677.53</x:v>
      </x:c>
      <x:c r="J46" s="56" t="str">
        <x:v>Paid</x:v>
      </x:c>
      <x:c r="K46" s="56" t="str">
        <x:v>Rejected</x:v>
      </x:c>
      <x:c r="L46" s="56" t="str">
        <x:f>IF(COUNTIFS($B:$B,B46,$C:$C,C46,$I:$I,I46)&gt;1,"Duplicate Risk","OK")</x:f>
        <x:v>OK</x:v>
      </x:c>
      <x:c r="M46" s="56" t="str">
        <x:f>IF(D46="","Missing PO","Matched")</x:f>
        <x:v>Missing PO</x:v>
      </x:c>
      <x:c r="N46" s="56" t="str">
        <x:f>IF(ABS(H46-G46*0.13)&lt;=1,"OK","Review Tax")</x:f>
        <x:v>Review Tax</x:v>
      </x:c>
      <x:c r="O46" s="56" t="n">
        <x:f>IF(J46="Paid",0,MAX(0,TODAY()-F46))</x:f>
        <x:v>0</x:v>
      </x:c>
      <x:c r="P46" s="56" t="str">
        <x:f>IF(OR(L46="Duplicate Risk",M46="Missing PO",N46="Review Tax",O46&gt;30,K46&lt;&gt;"Approved"),"High","Low")</x:f>
        <x:v>High</x:v>
      </x:c>
      <x:c r="Q46" s="57" t="str">
        <x:f>TEXTJOIN("; ",TRUE,IF(L46="Duplicate Risk","Duplicate risk",""),IF(M46="Missing PO","Missing PO",""),IF(N46="Review Tax","Tax variance",""),IF(O46&gt;0,"Overdue",""),IF(K46&lt;&gt;"Approved","Approval issue",""))</x:f>
        <x:v>Missing PO; Tax variance; Approval issue</x:v>
      </x:c>
    </x:row>
    <x:row r="47">
      <x:c r="A47" s="55" t="str">
        <x:v>AP-0046</x:v>
      </x:c>
      <x:c r="B47" s="56" t="str">
        <x:v>Vendor 5</x:v>
      </x:c>
      <x:c r="C47" s="56" t="str">
        <x:v>INV-46977</x:v>
      </x:c>
      <x:c r="D47" s="56" t="str">
        <x:v>PO-1057</x:v>
      </x:c>
      <x:c r="E47" s="76" t="n">
        <x:v>46155</x:v>
      </x:c>
      <x:c r="F47" s="76" t="n">
        <x:v>46170</x:v>
      </x:c>
      <x:c r="G47" s="80" t="n">
        <x:v>10584.03</x:v>
      </x:c>
      <x:c r="H47" s="80" t="n">
        <x:v>1375.92</x:v>
      </x:c>
      <x:c r="I47" s="80" t="n">
        <x:f>G47+H47</x:f>
        <x:v>11959.95</x:v>
      </x:c>
      <x:c r="J47" s="56" t="str">
        <x:v>On Hold</x:v>
      </x:c>
      <x:c r="K47" s="56" t="str">
        <x:v>Pending</x:v>
      </x:c>
      <x:c r="L47" s="56" t="str">
        <x:f>IF(COUNTIFS($B:$B,B47,$C:$C,C47,$I:$I,I47)&gt;1,"Duplicate Risk","OK")</x:f>
        <x:v>OK</x:v>
      </x:c>
      <x:c r="M47" s="56" t="str">
        <x:f>IF(D47="","Missing PO","Matched")</x:f>
        <x:v>Matched</x:v>
      </x:c>
      <x:c r="N47" s="56" t="str">
        <x:f>IF(ABS(H47-G47*0.13)&lt;=1,"OK","Review Tax")</x:f>
        <x:v>OK</x:v>
      </x:c>
      <x:c r="O47" s="56" t="n">
        <x:f>IF(J47="Paid",0,MAX(0,TODAY()-F47))</x:f>
        <x:v>32</x:v>
      </x:c>
      <x:c r="P47" s="56" t="str">
        <x:f>IF(OR(L47="Duplicate Risk",M47="Missing PO",N47="Review Tax",O47&gt;30,K47&lt;&gt;"Approved"),"High","Low")</x:f>
        <x:v>High</x:v>
      </x:c>
      <x:c r="Q47" s="57" t="str">
        <x:f>TEXTJOIN("; ",TRUE,IF(L47="Duplicate Risk","Duplicate risk",""),IF(M47="Missing PO","Missing PO",""),IF(N47="Review Tax","Tax variance",""),IF(O47&gt;0,"Overdue",""),IF(K47&lt;&gt;"Approved","Approval issue",""))</x:f>
        <x:v>Overdue; Approval issue</x:v>
      </x:c>
    </x:row>
    <x:row r="48">
      <x:c r="A48" s="55" t="str">
        <x:v>AP-0047</x:v>
      </x:c>
      <x:c r="B48" s="56" t="str">
        <x:v>Vendor 9</x:v>
      </x:c>
      <x:c r="C48" s="56" t="str">
        <x:v>INV-29630</x:v>
      </x:c>
      <x:c r="D48" s="56" t="str">
        <x:v>PO-1031</x:v>
      </x:c>
      <x:c r="E48" s="76" t="n">
        <x:v>46185</x:v>
      </x:c>
      <x:c r="F48" s="76" t="n">
        <x:v>46215</x:v>
      </x:c>
      <x:c r="G48" s="80" t="n">
        <x:v>6282.54</x:v>
      </x:c>
      <x:c r="H48" s="80" t="n">
        <x:v>824.11</x:v>
      </x:c>
      <x:c r="I48" s="80" t="n">
        <x:f>G48+H48</x:f>
        <x:v>7106.65</x:v>
      </x:c>
      <x:c r="J48" s="56" t="str">
        <x:v>Paid</x:v>
      </x:c>
      <x:c r="K48" s="56" t="str">
        <x:v>Rejected</x:v>
      </x:c>
      <x:c r="L48" s="56" t="str">
        <x:f>IF(COUNTIFS($B:$B,B48,$C:$C,C48,$I:$I,I48)&gt;1,"Duplicate Risk","OK")</x:f>
        <x:v>OK</x:v>
      </x:c>
      <x:c r="M48" s="56" t="str">
        <x:f>IF(D48="","Missing PO","Matched")</x:f>
        <x:v>Matched</x:v>
      </x:c>
      <x:c r="N48" s="56" t="str">
        <x:f>IF(ABS(H48-G48*0.13)&lt;=1,"OK","Review Tax")</x:f>
        <x:v>Review Tax</x:v>
      </x:c>
      <x:c r="O48" s="56" t="n">
        <x:f>IF(J48="Paid",0,MAX(0,TODAY()-F48))</x:f>
        <x:v>0</x:v>
      </x:c>
      <x:c r="P48" s="56" t="str">
        <x:f>IF(OR(L48="Duplicate Risk",M48="Missing PO",N48="Review Tax",O48&gt;30,K48&lt;&gt;"Approved"),"High","Low")</x:f>
        <x:v>High</x:v>
      </x:c>
      <x:c r="Q48" s="57" t="str">
        <x:f>TEXTJOIN("; ",TRUE,IF(L48="Duplicate Risk","Duplicate risk",""),IF(M48="Missing PO","Missing PO",""),IF(N48="Review Tax","Tax variance",""),IF(O48&gt;0,"Overdue",""),IF(K48&lt;&gt;"Approved","Approval issue",""))</x:f>
        <x:v>Tax variance; Approval issue</x:v>
      </x:c>
    </x:row>
    <x:row r="49">
      <x:c r="A49" s="55" t="str">
        <x:v>AP-0048</x:v>
      </x:c>
      <x:c r="B49" s="56" t="str">
        <x:v>Vendor 27</x:v>
      </x:c>
      <x:c r="C49" s="56" t="str">
        <x:v>INV-46521</x:v>
      </x:c>
      <x:c r="D49" s="56" t="str"/>
      <x:c r="E49" s="76" t="n">
        <x:v>46164</x:v>
      </x:c>
      <x:c r="F49" s="76" t="n">
        <x:v>46194</x:v>
      </x:c>
      <x:c r="G49" s="80" t="n">
        <x:v>11377.58</x:v>
      </x:c>
      <x:c r="H49" s="80" t="n">
        <x:v>1486.86</x:v>
      </x:c>
      <x:c r="I49" s="80" t="n">
        <x:f>G49+H49</x:f>
        <x:v>12864.44</x:v>
      </x:c>
      <x:c r="J49" s="56" t="str">
        <x:v>Paid</x:v>
      </x:c>
      <x:c r="K49" s="56" t="str">
        <x:v>Approved</x:v>
      </x:c>
      <x:c r="L49" s="56" t="str">
        <x:f>IF(COUNTIFS($B:$B,B49,$C:$C,C49,$I:$I,I49)&gt;1,"Duplicate Risk","OK")</x:f>
        <x:v>OK</x:v>
      </x:c>
      <x:c r="M49" s="56" t="str">
        <x:f>IF(D49="","Missing PO","Matched")</x:f>
        <x:v>Missing PO</x:v>
      </x:c>
      <x:c r="N49" s="56" t="str">
        <x:f>IF(ABS(H49-G49*0.13)&lt;=1,"OK","Review Tax")</x:f>
        <x:v>Review Tax</x:v>
      </x:c>
      <x:c r="O49" s="56" t="n">
        <x:f>IF(J49="Paid",0,MAX(0,TODAY()-F49))</x:f>
        <x:v>0</x:v>
      </x:c>
      <x:c r="P49" s="56" t="str">
        <x:f>IF(OR(L49="Duplicate Risk",M49="Missing PO",N49="Review Tax",O49&gt;30,K49&lt;&gt;"Approved"),"High","Low")</x:f>
        <x:v>High</x:v>
      </x:c>
      <x:c r="Q49" s="57" t="str">
        <x:f>TEXTJOIN("; ",TRUE,IF(L49="Duplicate Risk","Duplicate risk",""),IF(M49="Missing PO","Missing PO",""),IF(N49="Review Tax","Tax variance",""),IF(O49&gt;0,"Overdue",""),IF(K49&lt;&gt;"Approved","Approval issue",""))</x:f>
        <x:v>Missing PO; Tax variance</x:v>
      </x:c>
    </x:row>
    <x:row r="50">
      <x:c r="A50" s="55" t="str">
        <x:v>AP-0049</x:v>
      </x:c>
      <x:c r="B50" s="56" t="str">
        <x:v>Vendor 9</x:v>
      </x:c>
      <x:c r="C50" s="56" t="str">
        <x:v>INV-30253</x:v>
      </x:c>
      <x:c r="D50" s="56" t="str">
        <x:v>PO-1054</x:v>
      </x:c>
      <x:c r="E50" s="76" t="n">
        <x:v>46176</x:v>
      </x:c>
      <x:c r="F50" s="76" t="n">
        <x:v>46206</x:v>
      </x:c>
      <x:c r="G50" s="80" t="n">
        <x:v>8595.81</x:v>
      </x:c>
      <x:c r="H50" s="80" t="n">
        <x:v>1117.46</x:v>
      </x:c>
      <x:c r="I50" s="80" t="n">
        <x:f>G50+H50</x:f>
        <x:v>9713.27</x:v>
      </x:c>
      <x:c r="J50" s="56" t="str">
        <x:v>Unpaid</x:v>
      </x:c>
      <x:c r="K50" s="56" t="str">
        <x:v>Rejected</x:v>
      </x:c>
      <x:c r="L50" s="56" t="str">
        <x:f>IF(COUNTIFS($B:$B,B50,$C:$C,C50,$I:$I,I50)&gt;1,"Duplicate Risk","OK")</x:f>
        <x:v>Duplicate Risk</x:v>
      </x:c>
      <x:c r="M50" s="56" t="str">
        <x:f>IF(D50="","Missing PO","Matched")</x:f>
        <x:v>Matched</x:v>
      </x:c>
      <x:c r="N50" s="56" t="str">
        <x:f>IF(ABS(H50-G50*0.13)&lt;=1,"OK","Review Tax")</x:f>
        <x:v>OK</x:v>
      </x:c>
      <x:c r="O50" s="56" t="n">
        <x:f>IF(J50="Paid",0,MAX(0,TODAY()-F50))</x:f>
        <x:v>0</x:v>
      </x:c>
      <x:c r="P50" s="56" t="str">
        <x:f>IF(OR(L50="Duplicate Risk",M50="Missing PO",N50="Review Tax",O50&gt;30,K50&lt;&gt;"Approved"),"High","Low")</x:f>
        <x:v>High</x:v>
      </x:c>
      <x:c r="Q50" s="57" t="str">
        <x:f>TEXTJOIN("; ",TRUE,IF(L50="Duplicate Risk","Duplicate risk",""),IF(M50="Missing PO","Missing PO",""),IF(N50="Review Tax","Tax variance",""),IF(O50&gt;0,"Overdue",""),IF(K50&lt;&gt;"Approved","Approval issue",""))</x:f>
        <x:v>Duplicate risk; Approval issue</x:v>
      </x:c>
    </x:row>
    <x:row r="51">
      <x:c r="A51" s="55" t="str">
        <x:v>AP-0050</x:v>
      </x:c>
      <x:c r="B51" s="56" t="str">
        <x:v>Vendor 6</x:v>
      </x:c>
      <x:c r="C51" s="56" t="str">
        <x:v>INV-36744</x:v>
      </x:c>
      <x:c r="D51" s="56" t="str">
        <x:v>PO-1034</x:v>
      </x:c>
      <x:c r="E51" s="76" t="n">
        <x:v>46152</x:v>
      </x:c>
      <x:c r="F51" s="76" t="n">
        <x:v>46197</x:v>
      </x:c>
      <x:c r="G51" s="80" t="n">
        <x:v>3439.57</x:v>
      </x:c>
      <x:c r="H51" s="80" t="n">
        <x:v>450.24</x:v>
      </x:c>
      <x:c r="I51" s="80" t="n">
        <x:f>G51+H51</x:f>
        <x:v>3889.8100000000004</x:v>
      </x:c>
      <x:c r="J51" s="56" t="str">
        <x:v>Paid</x:v>
      </x:c>
      <x:c r="K51" s="56" t="str">
        <x:v>Approved</x:v>
      </x:c>
      <x:c r="L51" s="56" t="str">
        <x:f>IF(COUNTIFS($B:$B,B51,$C:$C,C51,$I:$I,I51)&gt;1,"Duplicate Risk","OK")</x:f>
        <x:v>Duplicate Risk</x:v>
      </x:c>
      <x:c r="M51" s="56" t="str">
        <x:f>IF(D51="","Missing PO","Matched")</x:f>
        <x:v>Matched</x:v>
      </x:c>
      <x:c r="N51" s="56" t="str">
        <x:f>IF(ABS(H51-G51*0.13)&lt;=1,"OK","Review Tax")</x:f>
        <x:v>Review Tax</x:v>
      </x:c>
      <x:c r="O51" s="56" t="n">
        <x:f>IF(J51="Paid",0,MAX(0,TODAY()-F51))</x:f>
        <x:v>0</x:v>
      </x:c>
      <x:c r="P51" s="56" t="str">
        <x:f>IF(OR(L51="Duplicate Risk",M51="Missing PO",N51="Review Tax",O51&gt;30,K51&lt;&gt;"Approved"),"High","Low")</x:f>
        <x:v>High</x:v>
      </x:c>
      <x:c r="Q51" s="57" t="str">
        <x:f>TEXTJOIN("; ",TRUE,IF(L51="Duplicate Risk","Duplicate risk",""),IF(M51="Missing PO","Missing PO",""),IF(N51="Review Tax","Tax variance",""),IF(O51&gt;0,"Overdue",""),IF(K51&lt;&gt;"Approved","Approval issue",""))</x:f>
        <x:v>Duplicate risk; Tax variance</x:v>
      </x:c>
    </x:row>
    <x:row r="52">
      <x:c r="A52" s="55" t="str">
        <x:v>AP-0051</x:v>
      </x:c>
      <x:c r="B52" s="56" t="str">
        <x:v>Vendor 27</x:v>
      </x:c>
      <x:c r="C52" s="56" t="str">
        <x:v>INV-46642</x:v>
      </x:c>
      <x:c r="D52" s="56" t="str">
        <x:v>PO-1045</x:v>
      </x:c>
      <x:c r="E52" s="76" t="n">
        <x:v>46190</x:v>
      </x:c>
      <x:c r="F52" s="76" t="n">
        <x:v>46220</x:v>
      </x:c>
      <x:c r="G52" s="80" t="n">
        <x:v>5548.1</x:v>
      </x:c>
      <x:c r="H52" s="80" t="n">
        <x:v>725.29</x:v>
      </x:c>
      <x:c r="I52" s="80" t="n">
        <x:f>G52+H52</x:f>
        <x:v>6273.39</x:v>
      </x:c>
      <x:c r="J52" s="56" t="str">
        <x:v>On Hold</x:v>
      </x:c>
      <x:c r="K52" s="56" t="str">
        <x:v>Pending</x:v>
      </x:c>
      <x:c r="L52" s="56" t="str">
        <x:f>IF(COUNTIFS($B:$B,B52,$C:$C,C52,$I:$I,I52)&gt;1,"Duplicate Risk","OK")</x:f>
        <x:v>OK</x:v>
      </x:c>
      <x:c r="M52" s="56" t="str">
        <x:f>IF(D52="","Missing PO","Matched")</x:f>
        <x:v>Matched</x:v>
      </x:c>
      <x:c r="N52" s="56" t="str">
        <x:f>IF(ABS(H52-G52*0.13)&lt;=1,"OK","Review Tax")</x:f>
        <x:v>Review Tax</x:v>
      </x:c>
      <x:c r="O52" s="56" t="n">
        <x:f>IF(J52="Paid",0,MAX(0,TODAY()-F52))</x:f>
        <x:v>0</x:v>
      </x:c>
      <x:c r="P52" s="56" t="str">
        <x:f>IF(OR(L52="Duplicate Risk",M52="Missing PO",N52="Review Tax",O52&gt;30,K52&lt;&gt;"Approved"),"High","Low")</x:f>
        <x:v>High</x:v>
      </x:c>
      <x:c r="Q52" s="57" t="str">
        <x:f>TEXTJOIN("; ",TRUE,IF(L52="Duplicate Risk","Duplicate risk",""),IF(M52="Missing PO","Missing PO",""),IF(N52="Review Tax","Tax variance",""),IF(O52&gt;0,"Overdue",""),IF(K52&lt;&gt;"Approved","Approval issue",""))</x:f>
        <x:v>Tax variance; Approval issue</x:v>
      </x:c>
    </x:row>
    <x:row r="53">
      <x:c r="A53" s="55" t="str">
        <x:v>AP-0052</x:v>
      </x:c>
      <x:c r="B53" s="56" t="str">
        <x:v>Vendor 4</x:v>
      </x:c>
      <x:c r="C53" s="56" t="str">
        <x:v>INV-32976</x:v>
      </x:c>
      <x:c r="D53" s="56" t="str"/>
      <x:c r="E53" s="76" t="n">
        <x:v>46196</x:v>
      </x:c>
      <x:c r="F53" s="76" t="n">
        <x:v>46226</x:v>
      </x:c>
      <x:c r="G53" s="80" t="n">
        <x:v>1265.96</x:v>
      </x:c>
      <x:c r="H53" s="80" t="n">
        <x:v>164.57</x:v>
      </x:c>
      <x:c r="I53" s="80" t="n">
        <x:f>G53+H53</x:f>
        <x:v>1430.53</x:v>
      </x:c>
      <x:c r="J53" s="56" t="str">
        <x:v>Unpaid</x:v>
      </x:c>
      <x:c r="K53" s="56" t="str">
        <x:v>Rejected</x:v>
      </x:c>
      <x:c r="L53" s="56" t="str">
        <x:f>IF(COUNTIFS($B:$B,B53,$C:$C,C53,$I:$I,I53)&gt;1,"Duplicate Risk","OK")</x:f>
        <x:v>OK</x:v>
      </x:c>
      <x:c r="M53" s="56" t="str">
        <x:f>IF(D53="","Missing PO","Matched")</x:f>
        <x:v>Missing PO</x:v>
      </x:c>
      <x:c r="N53" s="56" t="str">
        <x:f>IF(ABS(H53-G53*0.13)&lt;=1,"OK","Review Tax")</x:f>
        <x:v>OK</x:v>
      </x:c>
      <x:c r="O53" s="56" t="n">
        <x:f>IF(J53="Paid",0,MAX(0,TODAY()-F53))</x:f>
        <x:v>0</x:v>
      </x:c>
      <x:c r="P53" s="56" t="str">
        <x:f>IF(OR(L53="Duplicate Risk",M53="Missing PO",N53="Review Tax",O53&gt;30,K53&lt;&gt;"Approved"),"High","Low")</x:f>
        <x:v>High</x:v>
      </x:c>
      <x:c r="Q53" s="57" t="str">
        <x:f>TEXTJOIN("; ",TRUE,IF(L53="Duplicate Risk","Duplicate risk",""),IF(M53="Missing PO","Missing PO",""),IF(N53="Review Tax","Tax variance",""),IF(O53&gt;0,"Overdue",""),IF(K53&lt;&gt;"Approved","Approval issue",""))</x:f>
        <x:v>Missing PO; Approval issue</x:v>
      </x:c>
    </x:row>
    <x:row r="54">
      <x:c r="A54" s="55" t="str">
        <x:v>AP-0053</x:v>
      </x:c>
      <x:c r="B54" s="56" t="str">
        <x:v>Vendor 29</x:v>
      </x:c>
      <x:c r="C54" s="56" t="str">
        <x:v>INV-37668</x:v>
      </x:c>
      <x:c r="D54" s="56" t="str">
        <x:v>PO-1057</x:v>
      </x:c>
      <x:c r="E54" s="76" t="n">
        <x:v>46149</x:v>
      </x:c>
      <x:c r="F54" s="76" t="n">
        <x:v>46164</x:v>
      </x:c>
      <x:c r="G54" s="80" t="n">
        <x:v>3347.81</x:v>
      </x:c>
      <x:c r="H54" s="80" t="n">
        <x:v>435.22</x:v>
      </x:c>
      <x:c r="I54" s="80" t="n">
        <x:f>G54+H54</x:f>
        <x:v>3783.0299999999997</x:v>
      </x:c>
      <x:c r="J54" s="56" t="str">
        <x:v>On Hold</x:v>
      </x:c>
      <x:c r="K54" s="56" t="str">
        <x:v>Approved</x:v>
      </x:c>
      <x:c r="L54" s="56" t="str">
        <x:f>IF(COUNTIFS($B:$B,B54,$C:$C,C54,$I:$I,I54)&gt;1,"Duplicate Risk","OK")</x:f>
        <x:v>OK</x:v>
      </x:c>
      <x:c r="M54" s="56" t="str">
        <x:f>IF(D54="","Missing PO","Matched")</x:f>
        <x:v>Matched</x:v>
      </x:c>
      <x:c r="N54" s="56" t="str">
        <x:f>IF(ABS(H54-G54*0.13)&lt;=1,"OK","Review Tax")</x:f>
        <x:v>OK</x:v>
      </x:c>
      <x:c r="O54" s="56" t="n">
        <x:f>IF(J54="Paid",0,MAX(0,TODAY()-F54))</x:f>
        <x:v>38</x:v>
      </x:c>
      <x:c r="P54" s="56" t="str">
        <x:f>IF(OR(L54="Duplicate Risk",M54="Missing PO",N54="Review Tax",O54&gt;30,K54&lt;&gt;"Approved"),"High","Low")</x:f>
        <x:v>High</x:v>
      </x:c>
      <x:c r="Q54" s="57" t="str">
        <x:f>TEXTJOIN("; ",TRUE,IF(L54="Duplicate Risk","Duplicate risk",""),IF(M54="Missing PO","Missing PO",""),IF(N54="Review Tax","Tax variance",""),IF(O54&gt;0,"Overdue",""),IF(K54&lt;&gt;"Approved","Approval issue",""))</x:f>
        <x:v>Overdue</x:v>
      </x:c>
    </x:row>
    <x:row r="55">
      <x:c r="A55" s="55" t="str">
        <x:v>AP-0054</x:v>
      </x:c>
      <x:c r="B55" s="56" t="str">
        <x:v>Vendor 20</x:v>
      </x:c>
      <x:c r="C55" s="56" t="str">
        <x:v>INV-37521</x:v>
      </x:c>
      <x:c r="D55" s="56" t="str"/>
      <x:c r="E55" s="76" t="n">
        <x:v>46191</x:v>
      </x:c>
      <x:c r="F55" s="76" t="n">
        <x:v>46221</x:v>
      </x:c>
      <x:c r="G55" s="80" t="n">
        <x:v>10225.49</x:v>
      </x:c>
      <x:c r="H55" s="80" t="n">
        <x:v>1329.31</x:v>
      </x:c>
      <x:c r="I55" s="80" t="n">
        <x:f>G55+H55</x:f>
        <x:v>11554.8</x:v>
      </x:c>
      <x:c r="J55" s="56" t="str">
        <x:v>Unpaid</x:v>
      </x:c>
      <x:c r="K55" s="56" t="str">
        <x:v>Rejected</x:v>
      </x:c>
      <x:c r="L55" s="56" t="str">
        <x:f>IF(COUNTIFS($B:$B,B55,$C:$C,C55,$I:$I,I55)&gt;1,"Duplicate Risk","OK")</x:f>
        <x:v>OK</x:v>
      </x:c>
      <x:c r="M55" s="56" t="str">
        <x:f>IF(D55="","Missing PO","Matched")</x:f>
        <x:v>Missing PO</x:v>
      </x:c>
      <x:c r="N55" s="56" t="str">
        <x:f>IF(ABS(H55-G55*0.13)&lt;=1,"OK","Review Tax")</x:f>
        <x:v>OK</x:v>
      </x:c>
      <x:c r="O55" s="56" t="n">
        <x:f>IF(J55="Paid",0,MAX(0,TODAY()-F55))</x:f>
        <x:v>0</x:v>
      </x:c>
      <x:c r="P55" s="56" t="str">
        <x:f>IF(OR(L55="Duplicate Risk",M55="Missing PO",N55="Review Tax",O55&gt;30,K55&lt;&gt;"Approved"),"High","Low")</x:f>
        <x:v>High</x:v>
      </x:c>
      <x:c r="Q55" s="57" t="str">
        <x:f>TEXTJOIN("; ",TRUE,IF(L55="Duplicate Risk","Duplicate risk",""),IF(M55="Missing PO","Missing PO",""),IF(N55="Review Tax","Tax variance",""),IF(O55&gt;0,"Overdue",""),IF(K55&lt;&gt;"Approved","Approval issue",""))</x:f>
        <x:v>Missing PO; Approval issue</x:v>
      </x:c>
    </x:row>
    <x:row r="56">
      <x:c r="A56" s="55" t="str">
        <x:v>AP-0055</x:v>
      </x:c>
      <x:c r="B56" s="56" t="str">
        <x:v>Vendor 11</x:v>
      </x:c>
      <x:c r="C56" s="56" t="str">
        <x:v>INV-38067</x:v>
      </x:c>
      <x:c r="D56" s="56" t="str"/>
      <x:c r="E56" s="76" t="n">
        <x:v>46172</x:v>
      </x:c>
      <x:c r="F56" s="76" t="n">
        <x:v>46187</x:v>
      </x:c>
      <x:c r="G56" s="80" t="n">
        <x:v>8030.46</x:v>
      </x:c>
      <x:c r="H56" s="80" t="n">
        <x:v>1043.96</x:v>
      </x:c>
      <x:c r="I56" s="80" t="n">
        <x:f>G56+H56</x:f>
        <x:v>9074.42</x:v>
      </x:c>
      <x:c r="J56" s="56" t="str">
        <x:v>Paid</x:v>
      </x:c>
      <x:c r="K56" s="56" t="str">
        <x:v>Rejected</x:v>
      </x:c>
      <x:c r="L56" s="56" t="str">
        <x:f>IF(COUNTIFS($B:$B,B56,$C:$C,C56,$I:$I,I56)&gt;1,"Duplicate Risk","OK")</x:f>
        <x:v>OK</x:v>
      </x:c>
      <x:c r="M56" s="56" t="str">
        <x:f>IF(D56="","Missing PO","Matched")</x:f>
        <x:v>Missing PO</x:v>
      </x:c>
      <x:c r="N56" s="56" t="str">
        <x:f>IF(ABS(H56-G56*0.13)&lt;=1,"OK","Review Tax")</x:f>
        <x:v>OK</x:v>
      </x:c>
      <x:c r="O56" s="56" t="n">
        <x:f>IF(J56="Paid",0,MAX(0,TODAY()-F56))</x:f>
        <x:v>0</x:v>
      </x:c>
      <x:c r="P56" s="56" t="str">
        <x:f>IF(OR(L56="Duplicate Risk",M56="Missing PO",N56="Review Tax",O56&gt;30,K56&lt;&gt;"Approved"),"High","Low")</x:f>
        <x:v>High</x:v>
      </x:c>
      <x:c r="Q56" s="57" t="str">
        <x:f>TEXTJOIN("; ",TRUE,IF(L56="Duplicate Risk","Duplicate risk",""),IF(M56="Missing PO","Missing PO",""),IF(N56="Review Tax","Tax variance",""),IF(O56&gt;0,"Overdue",""),IF(K56&lt;&gt;"Approved","Approval issue",""))</x:f>
        <x:v>Missing PO; Approval issue</x:v>
      </x:c>
    </x:row>
    <x:row r="57">
      <x:c r="A57" s="55" t="str">
        <x:v>AP-0056</x:v>
      </x:c>
      <x:c r="B57" s="56" t="str">
        <x:v>Vendor 16</x:v>
      </x:c>
      <x:c r="C57" s="56" t="str">
        <x:v>INV-41585</x:v>
      </x:c>
      <x:c r="D57" s="56" t="str"/>
      <x:c r="E57" s="76" t="n">
        <x:v>46181</x:v>
      </x:c>
      <x:c r="F57" s="76" t="n">
        <x:v>46196</x:v>
      </x:c>
      <x:c r="G57" s="80" t="n">
        <x:v>5195.65</x:v>
      </x:c>
      <x:c r="H57" s="80" t="n">
        <x:v>675.43</x:v>
      </x:c>
      <x:c r="I57" s="80" t="n">
        <x:f>G57+H57</x:f>
        <x:v>5871.08</x:v>
      </x:c>
      <x:c r="J57" s="56" t="str">
        <x:v>Paid</x:v>
      </x:c>
      <x:c r="K57" s="56" t="str">
        <x:v>Pending</x:v>
      </x:c>
      <x:c r="L57" s="56" t="str">
        <x:f>IF(COUNTIFS($B:$B,B57,$C:$C,C57,$I:$I,I57)&gt;1,"Duplicate Risk","OK")</x:f>
        <x:v>OK</x:v>
      </x:c>
      <x:c r="M57" s="56" t="str">
        <x:f>IF(D57="","Missing PO","Matched")</x:f>
        <x:v>Missing PO</x:v>
      </x:c>
      <x:c r="N57" s="56" t="str">
        <x:f>IF(ABS(H57-G57*0.13)&lt;=1,"OK","Review Tax")</x:f>
        <x:v>OK</x:v>
      </x:c>
      <x:c r="O57" s="56" t="n">
        <x:f>IF(J57="Paid",0,MAX(0,TODAY()-F57))</x:f>
        <x:v>0</x:v>
      </x:c>
      <x:c r="P57" s="56" t="str">
        <x:f>IF(OR(L57="Duplicate Risk",M57="Missing PO",N57="Review Tax",O57&gt;30,K57&lt;&gt;"Approved"),"High","Low")</x:f>
        <x:v>High</x:v>
      </x:c>
      <x:c r="Q57" s="57" t="str">
        <x:f>TEXTJOIN("; ",TRUE,IF(L57="Duplicate Risk","Duplicate risk",""),IF(M57="Missing PO","Missing PO",""),IF(N57="Review Tax","Tax variance",""),IF(O57&gt;0,"Overdue",""),IF(K57&lt;&gt;"Approved","Approval issue",""))</x:f>
        <x:v>Missing PO; Approval issue</x:v>
      </x:c>
    </x:row>
    <x:row r="58">
      <x:c r="A58" s="55" t="str">
        <x:v>AP-0057</x:v>
      </x:c>
      <x:c r="B58" s="56" t="str">
        <x:v>Vendor 29</x:v>
      </x:c>
      <x:c r="C58" s="56" t="str">
        <x:v>INV-35278</x:v>
      </x:c>
      <x:c r="D58" s="56" t="str">
        <x:v>PO-1093</x:v>
      </x:c>
      <x:c r="E58" s="76" t="n">
        <x:v>46186</x:v>
      </x:c>
      <x:c r="F58" s="76" t="n">
        <x:v>46216</x:v>
      </x:c>
      <x:c r="G58" s="80" t="n">
        <x:v>773.69</x:v>
      </x:c>
      <x:c r="H58" s="80" t="n">
        <x:v>100.58</x:v>
      </x:c>
      <x:c r="I58" s="80" t="n">
        <x:f>G58+H58</x:f>
        <x:v>874.2700000000001</x:v>
      </x:c>
      <x:c r="J58" s="56" t="str">
        <x:v>On Hold</x:v>
      </x:c>
      <x:c r="K58" s="56" t="str">
        <x:v>Approved</x:v>
      </x:c>
      <x:c r="L58" s="56" t="str">
        <x:f>IF(COUNTIFS($B:$B,B58,$C:$C,C58,$I:$I,I58)&gt;1,"Duplicate Risk","OK")</x:f>
        <x:v>OK</x:v>
      </x:c>
      <x:c r="M58" s="56" t="str">
        <x:f>IF(D58="","Missing PO","Matched")</x:f>
        <x:v>Matched</x:v>
      </x:c>
      <x:c r="N58" s="56" t="str">
        <x:f>IF(ABS(H58-G58*0.13)&lt;=1,"OK","Review Tax")</x:f>
        <x:v>OK</x:v>
      </x:c>
      <x:c r="O58" s="56" t="n">
        <x:f>IF(J58="Paid",0,MAX(0,TODAY()-F58))</x:f>
        <x:v>0</x:v>
      </x:c>
      <x:c r="P58" s="56" t="str">
        <x:f>IF(OR(L58="Duplicate Risk",M58="Missing PO",N58="Review Tax",O58&gt;30,K58&lt;&gt;"Approved"),"High","Low")</x:f>
        <x:v>Low</x:v>
      </x:c>
      <x:c r="Q58" s="57" t="str">
        <x:f>TEXTJOIN("; ",TRUE,IF(L58="Duplicate Risk","Duplicate risk",""),IF(M58="Missing PO","Missing PO",""),IF(N58="Review Tax","Tax variance",""),IF(O58&gt;0,"Overdue",""),IF(K58&lt;&gt;"Approved","Approval issue",""))</x:f>
      </x:c>
    </x:row>
    <x:row r="59">
      <x:c r="A59" s="55" t="str">
        <x:v>AP-0058</x:v>
      </x:c>
      <x:c r="B59" s="56" t="str">
        <x:v>Vendor 9</x:v>
      </x:c>
      <x:c r="C59" s="56" t="str">
        <x:v>INV-30170</x:v>
      </x:c>
      <x:c r="D59" s="56" t="str">
        <x:v>PO-1034</x:v>
      </x:c>
      <x:c r="E59" s="76" t="n">
        <x:v>46161</x:v>
      </x:c>
      <x:c r="F59" s="76" t="n">
        <x:v>46191</x:v>
      </x:c>
      <x:c r="G59" s="80" t="n">
        <x:v>1009.1</x:v>
      </x:c>
      <x:c r="H59" s="80" t="n">
        <x:v>131.18</x:v>
      </x:c>
      <x:c r="I59" s="80" t="n">
        <x:f>G59+H59</x:f>
        <x:v>1140.28</x:v>
      </x:c>
      <x:c r="J59" s="56" t="str">
        <x:v>Paid</x:v>
      </x:c>
      <x:c r="K59" s="56" t="str">
        <x:v>Pending</x:v>
      </x:c>
      <x:c r="L59" s="56" t="str">
        <x:f>IF(COUNTIFS($B:$B,B59,$C:$C,C59,$I:$I,I59)&gt;1,"Duplicate Risk","OK")</x:f>
        <x:v>OK</x:v>
      </x:c>
      <x:c r="M59" s="56" t="str">
        <x:f>IF(D59="","Missing PO","Matched")</x:f>
        <x:v>Matched</x:v>
      </x:c>
      <x:c r="N59" s="56" t="str">
        <x:f>IF(ABS(H59-G59*0.13)&lt;=1,"OK","Review Tax")</x:f>
        <x:v>OK</x:v>
      </x:c>
      <x:c r="O59" s="56" t="n">
        <x:f>IF(J59="Paid",0,MAX(0,TODAY()-F59))</x:f>
        <x:v>0</x:v>
      </x:c>
      <x:c r="P59" s="56" t="str">
        <x:f>IF(OR(L59="Duplicate Risk",M59="Missing PO",N59="Review Tax",O59&gt;30,K59&lt;&gt;"Approved"),"High","Low")</x:f>
        <x:v>High</x:v>
      </x:c>
      <x:c r="Q59" s="57" t="str">
        <x:f>TEXTJOIN("; ",TRUE,IF(L59="Duplicate Risk","Duplicate risk",""),IF(M59="Missing PO","Missing PO",""),IF(N59="Review Tax","Tax variance",""),IF(O59&gt;0,"Overdue",""),IF(K59&lt;&gt;"Approved","Approval issue",""))</x:f>
        <x:v>Approval issue</x:v>
      </x:c>
    </x:row>
    <x:row r="60">
      <x:c r="A60" s="55" t="str">
        <x:v>AP-0059</x:v>
      </x:c>
      <x:c r="B60" s="56" t="str">
        <x:v>Vendor 27</x:v>
      </x:c>
      <x:c r="C60" s="56" t="str">
        <x:v>INV-43880</x:v>
      </x:c>
      <x:c r="D60" s="56" t="str"/>
      <x:c r="E60" s="76" t="n">
        <x:v>46173</x:v>
      </x:c>
      <x:c r="F60" s="76" t="n">
        <x:v>46218</x:v>
      </x:c>
      <x:c r="G60" s="80" t="n">
        <x:v>9905.84</x:v>
      </x:c>
      <x:c r="H60" s="80" t="n">
        <x:v>1280.62</x:v>
      </x:c>
      <x:c r="I60" s="80" t="n">
        <x:f>G60+H60</x:f>
        <x:v>11186.46</x:v>
      </x:c>
      <x:c r="J60" s="56" t="str">
        <x:v>On Hold</x:v>
      </x:c>
      <x:c r="K60" s="56" t="str">
        <x:v>Approved</x:v>
      </x:c>
      <x:c r="L60" s="56" t="str">
        <x:f>IF(COUNTIFS($B:$B,B60,$C:$C,C60,$I:$I,I60)&gt;1,"Duplicate Risk","OK")</x:f>
        <x:v>OK</x:v>
      </x:c>
      <x:c r="M60" s="56" t="str">
        <x:f>IF(D60="","Missing PO","Matched")</x:f>
        <x:v>Missing PO</x:v>
      </x:c>
      <x:c r="N60" s="56" t="str">
        <x:f>IF(ABS(H60-G60*0.13)&lt;=1,"OK","Review Tax")</x:f>
        <x:v>Review Tax</x:v>
      </x:c>
      <x:c r="O60" s="56" t="n">
        <x:f>IF(J60="Paid",0,MAX(0,TODAY()-F60))</x:f>
        <x:v>0</x:v>
      </x:c>
      <x:c r="P60" s="56" t="str">
        <x:f>IF(OR(L60="Duplicate Risk",M60="Missing PO",N60="Review Tax",O60&gt;30,K60&lt;&gt;"Approved"),"High","Low")</x:f>
        <x:v>High</x:v>
      </x:c>
      <x:c r="Q60" s="57" t="str">
        <x:f>TEXTJOIN("; ",TRUE,IF(L60="Duplicate Risk","Duplicate risk",""),IF(M60="Missing PO","Missing PO",""),IF(N60="Review Tax","Tax variance",""),IF(O60&gt;0,"Overdue",""),IF(K60&lt;&gt;"Approved","Approval issue",""))</x:f>
        <x:v>Missing PO; Tax variance</x:v>
      </x:c>
    </x:row>
    <x:row r="61">
      <x:c r="A61" s="55" t="str">
        <x:v>AP-0060</x:v>
      </x:c>
      <x:c r="B61" s="56" t="str">
        <x:v>Vendor 23</x:v>
      </x:c>
      <x:c r="C61" s="56" t="str">
        <x:v>INV-25269</x:v>
      </x:c>
      <x:c r="D61" s="56" t="str"/>
      <x:c r="E61" s="76" t="n">
        <x:v>46165</x:v>
      </x:c>
      <x:c r="F61" s="76" t="n">
        <x:v>46210</x:v>
      </x:c>
      <x:c r="G61" s="80" t="n">
        <x:v>7713.57</x:v>
      </x:c>
      <x:c r="H61" s="80" t="n">
        <x:v>998.88</x:v>
      </x:c>
      <x:c r="I61" s="80" t="n">
        <x:f>G61+H61</x:f>
        <x:v>8712.449999999999</x:v>
      </x:c>
      <x:c r="J61" s="56" t="str">
        <x:v>On Hold</x:v>
      </x:c>
      <x:c r="K61" s="56" t="str">
        <x:v>Pending</x:v>
      </x:c>
      <x:c r="L61" s="56" t="str">
        <x:f>IF(COUNTIFS($B:$B,B61,$C:$C,C61,$I:$I,I61)&gt;1,"Duplicate Risk","OK")</x:f>
        <x:v>Duplicate Risk</x:v>
      </x:c>
      <x:c r="M61" s="56" t="str">
        <x:f>IF(D61="","Missing PO","Matched")</x:f>
        <x:v>Missing PO</x:v>
      </x:c>
      <x:c r="N61" s="56" t="str">
        <x:f>IF(ABS(H61-G61*0.13)&lt;=1,"OK","Review Tax")</x:f>
        <x:v>Review Tax</x:v>
      </x:c>
      <x:c r="O61" s="56" t="n">
        <x:f>IF(J61="Paid",0,MAX(0,TODAY()-F61))</x:f>
        <x:v>0</x:v>
      </x:c>
      <x:c r="P61" s="56" t="str">
        <x:f>IF(OR(L61="Duplicate Risk",M61="Missing PO",N61="Review Tax",O61&gt;30,K61&lt;&gt;"Approved"),"High","Low")</x:f>
        <x:v>High</x:v>
      </x:c>
      <x:c r="Q61" s="57" t="str">
        <x:f>TEXTJOIN("; ",TRUE,IF(L61="Duplicate Risk","Duplicate risk",""),IF(M61="Missing PO","Missing PO",""),IF(N61="Review Tax","Tax variance",""),IF(O61&gt;0,"Overdue",""),IF(K61&lt;&gt;"Approved","Approval issue",""))</x:f>
        <x:v>Duplicate risk; Missing PO; Tax variance; Approval issue</x:v>
      </x:c>
    </x:row>
    <x:row r="62">
      <x:c r="A62" s="55" t="str">
        <x:v>AP-0061</x:v>
      </x:c>
      <x:c r="B62" s="56" t="str">
        <x:v>Vendor 8</x:v>
      </x:c>
      <x:c r="C62" s="56" t="str">
        <x:v>INV-26861</x:v>
      </x:c>
      <x:c r="D62" s="56" t="str">
        <x:v>PO-1100</x:v>
      </x:c>
      <x:c r="E62" s="76" t="n">
        <x:v>46186</x:v>
      </x:c>
      <x:c r="F62" s="76" t="n">
        <x:v>46216</x:v>
      </x:c>
      <x:c r="G62" s="80" t="n">
        <x:v>8461.81</x:v>
      </x:c>
      <x:c r="H62" s="80" t="n">
        <x:v>1100.04</x:v>
      </x:c>
      <x:c r="I62" s="80" t="n">
        <x:f>G62+H62</x:f>
        <x:v>9561.849999999999</x:v>
      </x:c>
      <x:c r="J62" s="56" t="str">
        <x:v>Paid</x:v>
      </x:c>
      <x:c r="K62" s="56" t="str">
        <x:v>Pending</x:v>
      </x:c>
      <x:c r="L62" s="56" t="str">
        <x:f>IF(COUNTIFS($B:$B,B62,$C:$C,C62,$I:$I,I62)&gt;1,"Duplicate Risk","OK")</x:f>
        <x:v>OK</x:v>
      </x:c>
      <x:c r="M62" s="56" t="str">
        <x:f>IF(D62="","Missing PO","Matched")</x:f>
        <x:v>Matched</x:v>
      </x:c>
      <x:c r="N62" s="56" t="str">
        <x:f>IF(ABS(H62-G62*0.13)&lt;=1,"OK","Review Tax")</x:f>
        <x:v>OK</x:v>
      </x:c>
      <x:c r="O62" s="56" t="n">
        <x:f>IF(J62="Paid",0,MAX(0,TODAY()-F62))</x:f>
        <x:v>0</x:v>
      </x:c>
      <x:c r="P62" s="56" t="str">
        <x:f>IF(OR(L62="Duplicate Risk",M62="Missing PO",N62="Review Tax",O62&gt;30,K62&lt;&gt;"Approved"),"High","Low")</x:f>
        <x:v>High</x:v>
      </x:c>
      <x:c r="Q62" s="57" t="str">
        <x:f>TEXTJOIN("; ",TRUE,IF(L62="Duplicate Risk","Duplicate risk",""),IF(M62="Missing PO","Missing PO",""),IF(N62="Review Tax","Tax variance",""),IF(O62&gt;0,"Overdue",""),IF(K62&lt;&gt;"Approved","Approval issue",""))</x:f>
        <x:v>Approval issue</x:v>
      </x:c>
    </x:row>
    <x:row r="63">
      <x:c r="A63" s="55" t="str">
        <x:v>AP-0062</x:v>
      </x:c>
      <x:c r="B63" s="56" t="str">
        <x:v>Vendor 19</x:v>
      </x:c>
      <x:c r="C63" s="56" t="str">
        <x:v>INV-32885</x:v>
      </x:c>
      <x:c r="D63" s="56" t="str"/>
      <x:c r="E63" s="76" t="n">
        <x:v>46159</x:v>
      </x:c>
      <x:c r="F63" s="76" t="n">
        <x:v>46174</x:v>
      </x:c>
      <x:c r="G63" s="80" t="n">
        <x:v>8353.97</x:v>
      </x:c>
      <x:c r="H63" s="80" t="n">
        <x:v>1089.55</x:v>
      </x:c>
      <x:c r="I63" s="80" t="n">
        <x:f>G63+H63</x:f>
        <x:v>9443.519999999999</x:v>
      </x:c>
      <x:c r="J63" s="56" t="str">
        <x:v>On Hold</x:v>
      </x:c>
      <x:c r="K63" s="56" t="str">
        <x:v>Pending</x:v>
      </x:c>
      <x:c r="L63" s="56" t="str">
        <x:f>IF(COUNTIFS($B:$B,B63,$C:$C,C63,$I:$I,I63)&gt;1,"Duplicate Risk","OK")</x:f>
        <x:v>OK</x:v>
      </x:c>
      <x:c r="M63" s="56" t="str">
        <x:f>IF(D63="","Missing PO","Matched")</x:f>
        <x:v>Missing PO</x:v>
      </x:c>
      <x:c r="N63" s="56" t="str">
        <x:f>IF(ABS(H63-G63*0.13)&lt;=1,"OK","Review Tax")</x:f>
        <x:v>Review Tax</x:v>
      </x:c>
      <x:c r="O63" s="56" t="n">
        <x:f>IF(J63="Paid",0,MAX(0,TODAY()-F63))</x:f>
        <x:v>28</x:v>
      </x:c>
      <x:c r="P63" s="56" t="str">
        <x:f>IF(OR(L63="Duplicate Risk",M63="Missing PO",N63="Review Tax",O63&gt;30,K63&lt;&gt;"Approved"),"High","Low")</x:f>
        <x:v>High</x:v>
      </x:c>
      <x:c r="Q63" s="57" t="str">
        <x:f>TEXTJOIN("; ",TRUE,IF(L63="Duplicate Risk","Duplicate risk",""),IF(M63="Missing PO","Missing PO",""),IF(N63="Review Tax","Tax variance",""),IF(O63&gt;0,"Overdue",""),IF(K63&lt;&gt;"Approved","Approval issue",""))</x:f>
        <x:v>Missing PO; Tax variance; Overdue; Approval issue</x:v>
      </x:c>
    </x:row>
    <x:row r="64">
      <x:c r="A64" s="55" t="str">
        <x:v>AP-0063</x:v>
      </x:c>
      <x:c r="B64" s="56" t="str">
        <x:v>Vendor 8</x:v>
      </x:c>
      <x:c r="C64" s="56" t="str">
        <x:v>INV-46332</x:v>
      </x:c>
      <x:c r="D64" s="56" t="str"/>
      <x:c r="E64" s="76" t="n">
        <x:v>46155</x:v>
      </x:c>
      <x:c r="F64" s="76" t="n">
        <x:v>46185</x:v>
      </x:c>
      <x:c r="G64" s="80" t="n">
        <x:v>6473.33</x:v>
      </x:c>
      <x:c r="H64" s="80" t="n">
        <x:v>848.78</x:v>
      </x:c>
      <x:c r="I64" s="80" t="n">
        <x:f>G64+H64</x:f>
        <x:v>7322.11</x:v>
      </x:c>
      <x:c r="J64" s="56" t="str">
        <x:v>Unpaid</x:v>
      </x:c>
      <x:c r="K64" s="56" t="str">
        <x:v>Rejected</x:v>
      </x:c>
      <x:c r="L64" s="56" t="str">
        <x:f>IF(COUNTIFS($B:$B,B64,$C:$C,C64,$I:$I,I64)&gt;1,"Duplicate Risk","OK")</x:f>
        <x:v>OK</x:v>
      </x:c>
      <x:c r="M64" s="56" t="str">
        <x:f>IF(D64="","Missing PO","Matched")</x:f>
        <x:v>Missing PO</x:v>
      </x:c>
      <x:c r="N64" s="56" t="str">
        <x:f>IF(ABS(H64-G64*0.13)&lt;=1,"OK","Review Tax")</x:f>
        <x:v>Review Tax</x:v>
      </x:c>
      <x:c r="O64" s="56" t="n">
        <x:f>IF(J64="Paid",0,MAX(0,TODAY()-F64))</x:f>
        <x:v>17</x:v>
      </x:c>
      <x:c r="P64" s="56" t="str">
        <x:f>IF(OR(L64="Duplicate Risk",M64="Missing PO",N64="Review Tax",O64&gt;30,K64&lt;&gt;"Approved"),"High","Low")</x:f>
        <x:v>High</x:v>
      </x:c>
      <x:c r="Q64" s="57" t="str">
        <x:f>TEXTJOIN("; ",TRUE,IF(L64="Duplicate Risk","Duplicate risk",""),IF(M64="Missing PO","Missing PO",""),IF(N64="Review Tax","Tax variance",""),IF(O64&gt;0,"Overdue",""),IF(K64&lt;&gt;"Approved","Approval issue",""))</x:f>
        <x:v>Missing PO; Tax variance; Overdue; Approval issue</x:v>
      </x:c>
    </x:row>
    <x:row r="65">
      <x:c r="A65" s="55" t="str">
        <x:v>AP-0064</x:v>
      </x:c>
      <x:c r="B65" s="56" t="str">
        <x:v>Vendor 5</x:v>
      </x:c>
      <x:c r="C65" s="56" t="str">
        <x:v>INV-39905</x:v>
      </x:c>
      <x:c r="D65" s="56" t="str"/>
      <x:c r="E65" s="76" t="n">
        <x:v>46154</x:v>
      </x:c>
      <x:c r="F65" s="76" t="n">
        <x:v>46199</x:v>
      </x:c>
      <x:c r="G65" s="80" t="n">
        <x:v>2653.51</x:v>
      </x:c>
      <x:c r="H65" s="80" t="n">
        <x:v>344.96</x:v>
      </x:c>
      <x:c r="I65" s="80" t="n">
        <x:f>G65+H65</x:f>
        <x:v>2998.4700000000003</x:v>
      </x:c>
      <x:c r="J65" s="56" t="str">
        <x:v>Paid</x:v>
      </x:c>
      <x:c r="K65" s="56" t="str">
        <x:v>Approved</x:v>
      </x:c>
      <x:c r="L65" s="56" t="str">
        <x:f>IF(COUNTIFS($B:$B,B65,$C:$C,C65,$I:$I,I65)&gt;1,"Duplicate Risk","OK")</x:f>
        <x:v>OK</x:v>
      </x:c>
      <x:c r="M65" s="56" t="str">
        <x:f>IF(D65="","Missing PO","Matched")</x:f>
        <x:v>Missing PO</x:v>
      </x:c>
      <x:c r="N65" s="56" t="str">
        <x:f>IF(ABS(H65-G65*0.13)&lt;=1,"OK","Review Tax")</x:f>
        <x:v>OK</x:v>
      </x:c>
      <x:c r="O65" s="56" t="n">
        <x:f>IF(J65="Paid",0,MAX(0,TODAY()-F65))</x:f>
        <x:v>0</x:v>
      </x:c>
      <x:c r="P65" s="56" t="str">
        <x:f>IF(OR(L65="Duplicate Risk",M65="Missing PO",N65="Review Tax",O65&gt;30,K65&lt;&gt;"Approved"),"High","Low")</x:f>
        <x:v>High</x:v>
      </x:c>
      <x:c r="Q65" s="57" t="str">
        <x:f>TEXTJOIN("; ",TRUE,IF(L65="Duplicate Risk","Duplicate risk",""),IF(M65="Missing PO","Missing PO",""),IF(N65="Review Tax","Tax variance",""),IF(O65&gt;0,"Overdue",""),IF(K65&lt;&gt;"Approved","Approval issue",""))</x:f>
        <x:v>Missing PO</x:v>
      </x:c>
    </x:row>
    <x:row r="66">
      <x:c r="A66" s="55" t="str">
        <x:v>AP-0065</x:v>
      </x:c>
      <x:c r="B66" s="56" t="str">
        <x:v>Vendor 28</x:v>
      </x:c>
      <x:c r="C66" s="56" t="str">
        <x:v>INV-41375</x:v>
      </x:c>
      <x:c r="D66" s="56" t="str"/>
      <x:c r="E66" s="76" t="n">
        <x:v>46194</x:v>
      </x:c>
      <x:c r="F66" s="76" t="n">
        <x:v>46239</x:v>
      </x:c>
      <x:c r="G66" s="80" t="n">
        <x:v>9505.12</x:v>
      </x:c>
      <x:c r="H66" s="80" t="n">
        <x:v>1235.67</x:v>
      </x:c>
      <x:c r="I66" s="80" t="n">
        <x:f>G66+H66</x:f>
        <x:v>10740.79</x:v>
      </x:c>
      <x:c r="J66" s="56" t="str">
        <x:v>Unpaid</x:v>
      </x:c>
      <x:c r="K66" s="56" t="str">
        <x:v>Approved</x:v>
      </x:c>
      <x:c r="L66" s="56" t="str">
        <x:f>IF(COUNTIFS($B:$B,B66,$C:$C,C66,$I:$I,I66)&gt;1,"Duplicate Risk","OK")</x:f>
        <x:v>Duplicate Risk</x:v>
      </x:c>
      <x:c r="M66" s="56" t="str">
        <x:f>IF(D66="","Missing PO","Matched")</x:f>
        <x:v>Missing PO</x:v>
      </x:c>
      <x:c r="N66" s="56" t="str">
        <x:f>IF(ABS(H66-G66*0.13)&lt;=1,"OK","Review Tax")</x:f>
        <x:v>OK</x:v>
      </x:c>
      <x:c r="O66" s="56" t="n">
        <x:f>IF(J66="Paid",0,MAX(0,TODAY()-F66))</x:f>
        <x:v>0</x:v>
      </x:c>
      <x:c r="P66" s="56" t="str">
        <x:f>IF(OR(L66="Duplicate Risk",M66="Missing PO",N66="Review Tax",O66&gt;30,K66&lt;&gt;"Approved"),"High","Low")</x:f>
        <x:v>High</x:v>
      </x:c>
      <x:c r="Q66" s="57" t="str">
        <x:f>TEXTJOIN("; ",TRUE,IF(L66="Duplicate Risk","Duplicate risk",""),IF(M66="Missing PO","Missing PO",""),IF(N66="Review Tax","Tax variance",""),IF(O66&gt;0,"Overdue",""),IF(K66&lt;&gt;"Approved","Approval issue",""))</x:f>
        <x:v>Duplicate risk; Missing PO</x:v>
      </x:c>
    </x:row>
    <x:row r="67">
      <x:c r="A67" s="55" t="str">
        <x:v>AP-0066</x:v>
      </x:c>
      <x:c r="B67" s="56" t="str">
        <x:v>Vendor 6</x:v>
      </x:c>
      <x:c r="C67" s="56" t="str">
        <x:v>INV-44936</x:v>
      </x:c>
      <x:c r="D67" s="56" t="str">
        <x:v>PO-1051</x:v>
      </x:c>
      <x:c r="E67" s="76" t="n">
        <x:v>46198</x:v>
      </x:c>
      <x:c r="F67" s="76" t="n">
        <x:v>46243</x:v>
      </x:c>
      <x:c r="G67" s="80" t="n">
        <x:v>2291.5</x:v>
      </x:c>
      <x:c r="H67" s="80" t="n">
        <x:v>297.89</x:v>
      </x:c>
      <x:c r="I67" s="80" t="n">
        <x:f>G67+H67</x:f>
        <x:v>2589.39</x:v>
      </x:c>
      <x:c r="J67" s="56" t="str">
        <x:v>Unpaid</x:v>
      </x:c>
      <x:c r="K67" s="56" t="str">
        <x:v>Pending</x:v>
      </x:c>
      <x:c r="L67" s="56" t="str">
        <x:f>IF(COUNTIFS($B:$B,B67,$C:$C,C67,$I:$I,I67)&gt;1,"Duplicate Risk","OK")</x:f>
        <x:v>OK</x:v>
      </x:c>
      <x:c r="M67" s="56" t="str">
        <x:f>IF(D67="","Missing PO","Matched")</x:f>
        <x:v>Matched</x:v>
      </x:c>
      <x:c r="N67" s="56" t="str">
        <x:f>IF(ABS(H67-G67*0.13)&lt;=1,"OK","Review Tax")</x:f>
        <x:v>OK</x:v>
      </x:c>
      <x:c r="O67" s="56" t="n">
        <x:f>IF(J67="Paid",0,MAX(0,TODAY()-F67))</x:f>
        <x:v>0</x:v>
      </x:c>
      <x:c r="P67" s="56" t="str">
        <x:f>IF(OR(L67="Duplicate Risk",M67="Missing PO",N67="Review Tax",O67&gt;30,K67&lt;&gt;"Approved"),"High","Low")</x:f>
        <x:v>High</x:v>
      </x:c>
      <x:c r="Q67" s="57" t="str">
        <x:f>TEXTJOIN("; ",TRUE,IF(L67="Duplicate Risk","Duplicate risk",""),IF(M67="Missing PO","Missing PO",""),IF(N67="Review Tax","Tax variance",""),IF(O67&gt;0,"Overdue",""),IF(K67&lt;&gt;"Approved","Approval issue",""))</x:f>
        <x:v>Approval issue</x:v>
      </x:c>
    </x:row>
    <x:row r="68">
      <x:c r="A68" s="55" t="str">
        <x:v>AP-0067</x:v>
      </x:c>
      <x:c r="B68" s="56" t="str">
        <x:v>Vendor 1</x:v>
      </x:c>
      <x:c r="C68" s="56" t="str">
        <x:v>INV-42819</x:v>
      </x:c>
      <x:c r="D68" s="56" t="str">
        <x:v>PO-1091</x:v>
      </x:c>
      <x:c r="E68" s="76" t="n">
        <x:v>46151</x:v>
      </x:c>
      <x:c r="F68" s="76" t="n">
        <x:v>46166</x:v>
      </x:c>
      <x:c r="G68" s="80" t="n">
        <x:v>9451.47</x:v>
      </x:c>
      <x:c r="H68" s="80" t="n">
        <x:v>1227.76</x:v>
      </x:c>
      <x:c r="I68" s="80" t="n">
        <x:f>G68+H68</x:f>
        <x:v>10679.23</x:v>
      </x:c>
      <x:c r="J68" s="56" t="str">
        <x:v>Paid</x:v>
      </x:c>
      <x:c r="K68" s="56" t="str">
        <x:v>Approved</x:v>
      </x:c>
      <x:c r="L68" s="56" t="str">
        <x:f>IF(COUNTIFS($B:$B,B68,$C:$C,C68,$I:$I,I68)&gt;1,"Duplicate Risk","OK")</x:f>
        <x:v>OK</x:v>
      </x:c>
      <x:c r="M68" s="56" t="str">
        <x:f>IF(D68="","Missing PO","Matched")</x:f>
        <x:v>Matched</x:v>
      </x:c>
      <x:c r="N68" s="56" t="str">
        <x:f>IF(ABS(H68-G68*0.13)&lt;=1,"OK","Review Tax")</x:f>
        <x:v>OK</x:v>
      </x:c>
      <x:c r="O68" s="56" t="n">
        <x:f>IF(J68="Paid",0,MAX(0,TODAY()-F68))</x:f>
        <x:v>0</x:v>
      </x:c>
      <x:c r="P68" s="56" t="str">
        <x:f>IF(OR(L68="Duplicate Risk",M68="Missing PO",N68="Review Tax",O68&gt;30,K68&lt;&gt;"Approved"),"High","Low")</x:f>
        <x:v>Low</x:v>
      </x:c>
      <x:c r="Q68" s="57" t="str">
        <x:f>TEXTJOIN("; ",TRUE,IF(L68="Duplicate Risk","Duplicate risk",""),IF(M68="Missing PO","Missing PO",""),IF(N68="Review Tax","Tax variance",""),IF(O68&gt;0,"Overdue",""),IF(K68&lt;&gt;"Approved","Approval issue",""))</x:f>
      </x:c>
    </x:row>
    <x:row r="69">
      <x:c r="A69" s="55" t="str">
        <x:v>AP-0068</x:v>
      </x:c>
      <x:c r="B69" s="56" t="str">
        <x:v>Vendor 11</x:v>
      </x:c>
      <x:c r="C69" s="56" t="str">
        <x:v>INV-39323</x:v>
      </x:c>
      <x:c r="D69" s="56" t="str">
        <x:v>PO-1098</x:v>
      </x:c>
      <x:c r="E69" s="76" t="n">
        <x:v>46155</x:v>
      </x:c>
      <x:c r="F69" s="76" t="n">
        <x:v>46200</x:v>
      </x:c>
      <x:c r="G69" s="80" t="n">
        <x:v>4229.2</x:v>
      </x:c>
      <x:c r="H69" s="80" t="n">
        <x:v>549.8</x:v>
      </x:c>
      <x:c r="I69" s="80" t="n">
        <x:f>G69+H69</x:f>
        <x:v>4779</x:v>
      </x:c>
      <x:c r="J69" s="56" t="str">
        <x:v>On Hold</x:v>
      </x:c>
      <x:c r="K69" s="56" t="str">
        <x:v>Pending</x:v>
      </x:c>
      <x:c r="L69" s="56" t="str">
        <x:f>IF(COUNTIFS($B:$B,B69,$C:$C,C69,$I:$I,I69)&gt;1,"Duplicate Risk","OK")</x:f>
        <x:v>OK</x:v>
      </x:c>
      <x:c r="M69" s="56" t="str">
        <x:f>IF(D69="","Missing PO","Matched")</x:f>
        <x:v>Matched</x:v>
      </x:c>
      <x:c r="N69" s="56" t="str">
        <x:f>IF(ABS(H69-G69*0.13)&lt;=1,"OK","Review Tax")</x:f>
        <x:v>OK</x:v>
      </x:c>
      <x:c r="O69" s="56" t="n">
        <x:f>IF(J69="Paid",0,MAX(0,TODAY()-F69))</x:f>
        <x:v>2</x:v>
      </x:c>
      <x:c r="P69" s="56" t="str">
        <x:f>IF(OR(L69="Duplicate Risk",M69="Missing PO",N69="Review Tax",O69&gt;30,K69&lt;&gt;"Approved"),"High","Low")</x:f>
        <x:v>High</x:v>
      </x:c>
      <x:c r="Q69" s="57" t="str">
        <x:f>TEXTJOIN("; ",TRUE,IF(L69="Duplicate Risk","Duplicate risk",""),IF(M69="Missing PO","Missing PO",""),IF(N69="Review Tax","Tax variance",""),IF(O69&gt;0,"Overdue",""),IF(K69&lt;&gt;"Approved","Approval issue",""))</x:f>
        <x:v>Overdue; Approval issue</x:v>
      </x:c>
    </x:row>
    <x:row r="70">
      <x:c r="A70" s="55" t="str">
        <x:v>AP-0069</x:v>
      </x:c>
      <x:c r="B70" s="56" t="str">
        <x:v>Vendor 8</x:v>
      </x:c>
      <x:c r="C70" s="56" t="str">
        <x:v>INV-21056</x:v>
      </x:c>
      <x:c r="D70" s="56" t="str"/>
      <x:c r="E70" s="76" t="n">
        <x:v>46151</x:v>
      </x:c>
      <x:c r="F70" s="76" t="n">
        <x:v>46166</x:v>
      </x:c>
      <x:c r="G70" s="80" t="n">
        <x:v>7658.63</x:v>
      </x:c>
      <x:c r="H70" s="80" t="n">
        <x:v>995.62</x:v>
      </x:c>
      <x:c r="I70" s="80" t="n">
        <x:f>G70+H70</x:f>
        <x:v>8654.25</x:v>
      </x:c>
      <x:c r="J70" s="56" t="str">
        <x:v>Unpaid</x:v>
      </x:c>
      <x:c r="K70" s="56" t="str">
        <x:v>Rejected</x:v>
      </x:c>
      <x:c r="L70" s="56" t="str">
        <x:f>IF(COUNTIFS($B:$B,B70,$C:$C,C70,$I:$I,I70)&gt;1,"Duplicate Risk","OK")</x:f>
        <x:v>OK</x:v>
      </x:c>
      <x:c r="M70" s="56" t="str">
        <x:f>IF(D70="","Missing PO","Matched")</x:f>
        <x:v>Missing PO</x:v>
      </x:c>
      <x:c r="N70" s="56" t="str">
        <x:f>IF(ABS(H70-G70*0.13)&lt;=1,"OK","Review Tax")</x:f>
        <x:v>OK</x:v>
      </x:c>
      <x:c r="O70" s="56" t="n">
        <x:f>IF(J70="Paid",0,MAX(0,TODAY()-F70))</x:f>
        <x:v>36</x:v>
      </x:c>
      <x:c r="P70" s="56" t="str">
        <x:f>IF(OR(L70="Duplicate Risk",M70="Missing PO",N70="Review Tax",O70&gt;30,K70&lt;&gt;"Approved"),"High","Low")</x:f>
        <x:v>High</x:v>
      </x:c>
      <x:c r="Q70" s="57" t="str">
        <x:f>TEXTJOIN("; ",TRUE,IF(L70="Duplicate Risk","Duplicate risk",""),IF(M70="Missing PO","Missing PO",""),IF(N70="Review Tax","Tax variance",""),IF(O70&gt;0,"Overdue",""),IF(K70&lt;&gt;"Approved","Approval issue",""))</x:f>
        <x:v>Missing PO; Overdue; Approval issue</x:v>
      </x:c>
    </x:row>
    <x:row r="71">
      <x:c r="A71" s="55" t="str">
        <x:v>AP-0070</x:v>
      </x:c>
      <x:c r="B71" s="56" t="str">
        <x:v>Vendor 12</x:v>
      </x:c>
      <x:c r="C71" s="56" t="str">
        <x:v>INV-45074</x:v>
      </x:c>
      <x:c r="D71" s="56" t="str"/>
      <x:c r="E71" s="76" t="n">
        <x:v>46151</x:v>
      </x:c>
      <x:c r="F71" s="76" t="n">
        <x:v>46181</x:v>
      </x:c>
      <x:c r="G71" s="80" t="n">
        <x:v>4756.22</x:v>
      </x:c>
      <x:c r="H71" s="80" t="n">
        <x:v>616.26</x:v>
      </x:c>
      <x:c r="I71" s="80" t="n">
        <x:f>G71+H71</x:f>
        <x:v>5372.4800000000005</x:v>
      </x:c>
      <x:c r="J71" s="56" t="str">
        <x:v>Paid</x:v>
      </x:c>
      <x:c r="K71" s="56" t="str">
        <x:v>Pending</x:v>
      </x:c>
      <x:c r="L71" s="56" t="str">
        <x:f>IF(COUNTIFS($B:$B,B71,$C:$C,C71,$I:$I,I71)&gt;1,"Duplicate Risk","OK")</x:f>
        <x:v>OK</x:v>
      </x:c>
      <x:c r="M71" s="56" t="str">
        <x:f>IF(D71="","Missing PO","Matched")</x:f>
        <x:v>Missing PO</x:v>
      </x:c>
      <x:c r="N71" s="56" t="str">
        <x:f>IF(ABS(H71-G71*0.13)&lt;=1,"OK","Review Tax")</x:f>
        <x:v>Review Tax</x:v>
      </x:c>
      <x:c r="O71" s="56" t="n">
        <x:f>IF(J71="Paid",0,MAX(0,TODAY()-F71))</x:f>
        <x:v>0</x:v>
      </x:c>
      <x:c r="P71" s="56" t="str">
        <x:f>IF(OR(L71="Duplicate Risk",M71="Missing PO",N71="Review Tax",O71&gt;30,K71&lt;&gt;"Approved"),"High","Low")</x:f>
        <x:v>High</x:v>
      </x:c>
      <x:c r="Q71" s="57" t="str">
        <x:f>TEXTJOIN("; ",TRUE,IF(L71="Duplicate Risk","Duplicate risk",""),IF(M71="Missing PO","Missing PO",""),IF(N71="Review Tax","Tax variance",""),IF(O71&gt;0,"Overdue",""),IF(K71&lt;&gt;"Approved","Approval issue",""))</x:f>
        <x:v>Missing PO; Tax variance; Approval issue</x:v>
      </x:c>
    </x:row>
    <x:row r="72">
      <x:c r="A72" s="55" t="str">
        <x:v>AP-0071</x:v>
      </x:c>
      <x:c r="B72" s="56" t="str">
        <x:v>Vendor 27</x:v>
      </x:c>
      <x:c r="C72" s="56" t="str">
        <x:v>INV-20281</x:v>
      </x:c>
      <x:c r="D72" s="56" t="str"/>
      <x:c r="E72" s="76" t="n">
        <x:v>46151</x:v>
      </x:c>
      <x:c r="F72" s="76" t="n">
        <x:v>46181</x:v>
      </x:c>
      <x:c r="G72" s="80" t="n">
        <x:v>7541.52</x:v>
      </x:c>
      <x:c r="H72" s="80" t="n">
        <x:v>980.4</x:v>
      </x:c>
      <x:c r="I72" s="80" t="n">
        <x:f>G72+H72</x:f>
        <x:v>8521.92</x:v>
      </x:c>
      <x:c r="J72" s="56" t="str">
        <x:v>Unpaid</x:v>
      </x:c>
      <x:c r="K72" s="56" t="str">
        <x:v>Rejected</x:v>
      </x:c>
      <x:c r="L72" s="56" t="str">
        <x:f>IF(COUNTIFS($B:$B,B72,$C:$C,C72,$I:$I,I72)&gt;1,"Duplicate Risk","OK")</x:f>
        <x:v>OK</x:v>
      </x:c>
      <x:c r="M72" s="56" t="str">
        <x:f>IF(D72="","Missing PO","Matched")</x:f>
        <x:v>Missing PO</x:v>
      </x:c>
      <x:c r="N72" s="56" t="str">
        <x:f>IF(ABS(H72-G72*0.13)&lt;=1,"OK","Review Tax")</x:f>
        <x:v>OK</x:v>
      </x:c>
      <x:c r="O72" s="56" t="n">
        <x:f>IF(J72="Paid",0,MAX(0,TODAY()-F72))</x:f>
        <x:v>21</x:v>
      </x:c>
      <x:c r="P72" s="56" t="str">
        <x:f>IF(OR(L72="Duplicate Risk",M72="Missing PO",N72="Review Tax",O72&gt;30,K72&lt;&gt;"Approved"),"High","Low")</x:f>
        <x:v>High</x:v>
      </x:c>
      <x:c r="Q72" s="57" t="str">
        <x:f>TEXTJOIN("; ",TRUE,IF(L72="Duplicate Risk","Duplicate risk",""),IF(M72="Missing PO","Missing PO",""),IF(N72="Review Tax","Tax variance",""),IF(O72&gt;0,"Overdue",""),IF(K72&lt;&gt;"Approved","Approval issue",""))</x:f>
        <x:v>Missing PO; Overdue; Approval issue</x:v>
      </x:c>
    </x:row>
    <x:row r="73">
      <x:c r="A73" s="55" t="str">
        <x:v>AP-0072</x:v>
      </x:c>
      <x:c r="B73" s="56" t="str">
        <x:v>Vendor 1</x:v>
      </x:c>
      <x:c r="C73" s="56" t="str">
        <x:v>INV-47332</x:v>
      </x:c>
      <x:c r="D73" s="56" t="str"/>
      <x:c r="E73" s="76" t="n">
        <x:v>46167</x:v>
      </x:c>
      <x:c r="F73" s="76" t="n">
        <x:v>46197</x:v>
      </x:c>
      <x:c r="G73" s="80" t="n">
        <x:v>1660.3</x:v>
      </x:c>
      <x:c r="H73" s="80" t="n">
        <x:v>215.84</x:v>
      </x:c>
      <x:c r="I73" s="80" t="n">
        <x:f>G73+H73</x:f>
        <x:v>1876.1399999999999</x:v>
      </x:c>
      <x:c r="J73" s="56" t="str">
        <x:v>On Hold</x:v>
      </x:c>
      <x:c r="K73" s="56" t="str">
        <x:v>Rejected</x:v>
      </x:c>
      <x:c r="L73" s="56" t="str">
        <x:f>IF(COUNTIFS($B:$B,B73,$C:$C,C73,$I:$I,I73)&gt;1,"Duplicate Risk","OK")</x:f>
        <x:v>OK</x:v>
      </x:c>
      <x:c r="M73" s="56" t="str">
        <x:f>IF(D73="","Missing PO","Matched")</x:f>
        <x:v>Missing PO</x:v>
      </x:c>
      <x:c r="N73" s="56" t="str">
        <x:f>IF(ABS(H73-G73*0.13)&lt;=1,"OK","Review Tax")</x:f>
        <x:v>OK</x:v>
      </x:c>
      <x:c r="O73" s="56" t="n">
        <x:f>IF(J73="Paid",0,MAX(0,TODAY()-F73))</x:f>
        <x:v>5</x:v>
      </x:c>
      <x:c r="P73" s="56" t="str">
        <x:f>IF(OR(L73="Duplicate Risk",M73="Missing PO",N73="Review Tax",O73&gt;30,K73&lt;&gt;"Approved"),"High","Low")</x:f>
        <x:v>High</x:v>
      </x:c>
      <x:c r="Q73" s="57" t="str">
        <x:f>TEXTJOIN("; ",TRUE,IF(L73="Duplicate Risk","Duplicate risk",""),IF(M73="Missing PO","Missing PO",""),IF(N73="Review Tax","Tax variance",""),IF(O73&gt;0,"Overdue",""),IF(K73&lt;&gt;"Approved","Approval issue",""))</x:f>
        <x:v>Missing PO; Overdue; Approval issue</x:v>
      </x:c>
    </x:row>
    <x:row r="74">
      <x:c r="A74" s="55" t="str">
        <x:v>AP-0073</x:v>
      </x:c>
      <x:c r="B74" s="56" t="str">
        <x:v>Vendor 25</x:v>
      </x:c>
      <x:c r="C74" s="56" t="str">
        <x:v>INV-26450</x:v>
      </x:c>
      <x:c r="D74" s="56" t="str"/>
      <x:c r="E74" s="76" t="n">
        <x:v>46194</x:v>
      </x:c>
      <x:c r="F74" s="76" t="n">
        <x:v>46224</x:v>
      </x:c>
      <x:c r="G74" s="80" t="n">
        <x:v>3020.74</x:v>
      </x:c>
      <x:c r="H74" s="80" t="n">
        <x:v>392.7</x:v>
      </x:c>
      <x:c r="I74" s="80" t="n">
        <x:f>G74+H74</x:f>
        <x:v>3413.4399999999996</x:v>
      </x:c>
      <x:c r="J74" s="56" t="str">
        <x:v>Unpaid</x:v>
      </x:c>
      <x:c r="K74" s="56" t="str">
        <x:v>Rejected</x:v>
      </x:c>
      <x:c r="L74" s="56" t="str">
        <x:f>IF(COUNTIFS($B:$B,B74,$C:$C,C74,$I:$I,I74)&gt;1,"Duplicate Risk","OK")</x:f>
        <x:v>OK</x:v>
      </x:c>
      <x:c r="M74" s="56" t="str">
        <x:f>IF(D74="","Missing PO","Matched")</x:f>
        <x:v>Missing PO</x:v>
      </x:c>
      <x:c r="N74" s="56" t="str">
        <x:f>IF(ABS(H74-G74*0.13)&lt;=1,"OK","Review Tax")</x:f>
        <x:v>OK</x:v>
      </x:c>
      <x:c r="O74" s="56" t="n">
        <x:f>IF(J74="Paid",0,MAX(0,TODAY()-F74))</x:f>
        <x:v>0</x:v>
      </x:c>
      <x:c r="P74" s="56" t="str">
        <x:f>IF(OR(L74="Duplicate Risk",M74="Missing PO",N74="Review Tax",O74&gt;30,K74&lt;&gt;"Approved"),"High","Low")</x:f>
        <x:v>High</x:v>
      </x:c>
      <x:c r="Q74" s="57" t="str">
        <x:f>TEXTJOIN("; ",TRUE,IF(L74="Duplicate Risk","Duplicate risk",""),IF(M74="Missing PO","Missing PO",""),IF(N74="Review Tax","Tax variance",""),IF(O74&gt;0,"Overdue",""),IF(K74&lt;&gt;"Approved","Approval issue",""))</x:f>
        <x:v>Missing PO; Approval issue</x:v>
      </x:c>
    </x:row>
    <x:row r="75">
      <x:c r="A75" s="55" t="str">
        <x:v>AP-0074</x:v>
      </x:c>
      <x:c r="B75" s="56" t="str">
        <x:v>Vendor 3</x:v>
      </x:c>
      <x:c r="C75" s="56" t="str">
        <x:v>INV-45498</x:v>
      </x:c>
      <x:c r="D75" s="56" t="str"/>
      <x:c r="E75" s="76" t="n">
        <x:v>46185</x:v>
      </x:c>
      <x:c r="F75" s="76" t="n">
        <x:v>46230</x:v>
      </x:c>
      <x:c r="G75" s="80" t="n">
        <x:v>1904.94</x:v>
      </x:c>
      <x:c r="H75" s="80" t="n">
        <x:v>247.64</x:v>
      </x:c>
      <x:c r="I75" s="80" t="n">
        <x:f>G75+H75</x:f>
        <x:v>2152.58</x:v>
      </x:c>
      <x:c r="J75" s="56" t="str">
        <x:v>On Hold</x:v>
      </x:c>
      <x:c r="K75" s="56" t="str">
        <x:v>Rejected</x:v>
      </x:c>
      <x:c r="L75" s="56" t="str">
        <x:f>IF(COUNTIFS($B:$B,B75,$C:$C,C75,$I:$I,I75)&gt;1,"Duplicate Risk","OK")</x:f>
        <x:v>OK</x:v>
      </x:c>
      <x:c r="M75" s="56" t="str">
        <x:f>IF(D75="","Missing PO","Matched")</x:f>
        <x:v>Missing PO</x:v>
      </x:c>
      <x:c r="N75" s="56" t="str">
        <x:f>IF(ABS(H75-G75*0.13)&lt;=1,"OK","Review Tax")</x:f>
        <x:v>OK</x:v>
      </x:c>
      <x:c r="O75" s="56" t="n">
        <x:f>IF(J75="Paid",0,MAX(0,TODAY()-F75))</x:f>
        <x:v>0</x:v>
      </x:c>
      <x:c r="P75" s="56" t="str">
        <x:f>IF(OR(L75="Duplicate Risk",M75="Missing PO",N75="Review Tax",O75&gt;30,K75&lt;&gt;"Approved"),"High","Low")</x:f>
        <x:v>High</x:v>
      </x:c>
      <x:c r="Q75" s="57" t="str">
        <x:f>TEXTJOIN("; ",TRUE,IF(L75="Duplicate Risk","Duplicate risk",""),IF(M75="Missing PO","Missing PO",""),IF(N75="Review Tax","Tax variance",""),IF(O75&gt;0,"Overdue",""),IF(K75&lt;&gt;"Approved","Approval issue",""))</x:f>
        <x:v>Missing PO; Approval issue</x:v>
      </x:c>
    </x:row>
    <x:row r="76">
      <x:c r="A76" s="55" t="str">
        <x:v>AP-0075</x:v>
      </x:c>
      <x:c r="B76" s="56" t="str">
        <x:v>Vendor 15</x:v>
      </x:c>
      <x:c r="C76" s="56" t="str">
        <x:v>INV-25387</x:v>
      </x:c>
      <x:c r="D76" s="56" t="str">
        <x:v>PO-1066</x:v>
      </x:c>
      <x:c r="E76" s="76" t="n">
        <x:v>46163</x:v>
      </x:c>
      <x:c r="F76" s="76" t="n">
        <x:v>46208</x:v>
      </x:c>
      <x:c r="G76" s="80" t="n">
        <x:v>4754.65</x:v>
      </x:c>
      <x:c r="H76" s="80" t="n">
        <x:v>610.82</x:v>
      </x:c>
      <x:c r="I76" s="80" t="n">
        <x:f>G76+H76</x:f>
        <x:v>5365.469999999999</x:v>
      </x:c>
      <x:c r="J76" s="56" t="str">
        <x:v>On Hold</x:v>
      </x:c>
      <x:c r="K76" s="56" t="str">
        <x:v>Approved</x:v>
      </x:c>
      <x:c r="L76" s="56" t="str">
        <x:f>IF(COUNTIFS($B:$B,B76,$C:$C,C76,$I:$I,I76)&gt;1,"Duplicate Risk","OK")</x:f>
        <x:v>OK</x:v>
      </x:c>
      <x:c r="M76" s="56" t="str">
        <x:f>IF(D76="","Missing PO","Matched")</x:f>
        <x:v>Matched</x:v>
      </x:c>
      <x:c r="N76" s="56" t="str">
        <x:f>IF(ABS(H76-G76*0.13)&lt;=1,"OK","Review Tax")</x:f>
        <x:v>Review Tax</x:v>
      </x:c>
      <x:c r="O76" s="56" t="n">
        <x:f>IF(J76="Paid",0,MAX(0,TODAY()-F76))</x:f>
        <x:v>0</x:v>
      </x:c>
      <x:c r="P76" s="56" t="str">
        <x:f>IF(OR(L76="Duplicate Risk",M76="Missing PO",N76="Review Tax",O76&gt;30,K76&lt;&gt;"Approved"),"High","Low")</x:f>
        <x:v>High</x:v>
      </x:c>
      <x:c r="Q76" s="57" t="str">
        <x:f>TEXTJOIN("; ",TRUE,IF(L76="Duplicate Risk","Duplicate risk",""),IF(M76="Missing PO","Missing PO",""),IF(N76="Review Tax","Tax variance",""),IF(O76&gt;0,"Overdue",""),IF(K76&lt;&gt;"Approved","Approval issue",""))</x:f>
        <x:v>Tax variance</x:v>
      </x:c>
    </x:row>
    <x:row r="77">
      <x:c r="A77" s="55" t="str">
        <x:v>AP-0076</x:v>
      </x:c>
      <x:c r="B77" s="56" t="str">
        <x:v>Vendor 4</x:v>
      </x:c>
      <x:c r="C77" s="56" t="str">
        <x:v>INV-47141</x:v>
      </x:c>
      <x:c r="D77" s="56" t="str">
        <x:v>PO-1007</x:v>
      </x:c>
      <x:c r="E77" s="76" t="n">
        <x:v>46182</x:v>
      </x:c>
      <x:c r="F77" s="76" t="n">
        <x:v>46197</x:v>
      </x:c>
      <x:c r="G77" s="80" t="n">
        <x:v>7705.06</x:v>
      </x:c>
      <x:c r="H77" s="80" t="n">
        <x:v>1001.66</x:v>
      </x:c>
      <x:c r="I77" s="80" t="n">
        <x:f>G77+H77</x:f>
        <x:v>8706.720000000001</x:v>
      </x:c>
      <x:c r="J77" s="56" t="str">
        <x:v>Unpaid</x:v>
      </x:c>
      <x:c r="K77" s="56" t="str">
        <x:v>Pending</x:v>
      </x:c>
      <x:c r="L77" s="56" t="str">
        <x:f>IF(COUNTIFS($B:$B,B77,$C:$C,C77,$I:$I,I77)&gt;1,"Duplicate Risk","OK")</x:f>
        <x:v>OK</x:v>
      </x:c>
      <x:c r="M77" s="56" t="str">
        <x:f>IF(D77="","Missing PO","Matched")</x:f>
        <x:v>Matched</x:v>
      </x:c>
      <x:c r="N77" s="56" t="str">
        <x:f>IF(ABS(H77-G77*0.13)&lt;=1,"OK","Review Tax")</x:f>
        <x:v>OK</x:v>
      </x:c>
      <x:c r="O77" s="56" t="n">
        <x:f>IF(J77="Paid",0,MAX(0,TODAY()-F77))</x:f>
        <x:v>5</x:v>
      </x:c>
      <x:c r="P77" s="56" t="str">
        <x:f>IF(OR(L77="Duplicate Risk",M77="Missing PO",N77="Review Tax",O77&gt;30,K77&lt;&gt;"Approved"),"High","Low")</x:f>
        <x:v>High</x:v>
      </x:c>
      <x:c r="Q77" s="57" t="str">
        <x:f>TEXTJOIN("; ",TRUE,IF(L77="Duplicate Risk","Duplicate risk",""),IF(M77="Missing PO","Missing PO",""),IF(N77="Review Tax","Tax variance",""),IF(O77&gt;0,"Overdue",""),IF(K77&lt;&gt;"Approved","Approval issue",""))</x:f>
        <x:v>Overdue; Approval issue</x:v>
      </x:c>
    </x:row>
    <x:row r="78">
      <x:c r="A78" s="55" t="str">
        <x:v>AP-0077</x:v>
      </x:c>
      <x:c r="B78" s="56" t="str">
        <x:v>Vendor 20</x:v>
      </x:c>
      <x:c r="C78" s="56" t="str">
        <x:v>INV-48617</x:v>
      </x:c>
      <x:c r="D78" s="56" t="str">
        <x:v>PO-1073</x:v>
      </x:c>
      <x:c r="E78" s="76" t="n">
        <x:v>46165</x:v>
      </x:c>
      <x:c r="F78" s="76" t="n">
        <x:v>46180</x:v>
      </x:c>
      <x:c r="G78" s="80" t="n">
        <x:v>5274.93</x:v>
      </x:c>
      <x:c r="H78" s="80" t="n">
        <x:v>683.3</x:v>
      </x:c>
      <x:c r="I78" s="80" t="n">
        <x:f>G78+H78</x:f>
        <x:v>5958.2300000000005</x:v>
      </x:c>
      <x:c r="J78" s="56" t="str">
        <x:v>Unpaid</x:v>
      </x:c>
      <x:c r="K78" s="56" t="str">
        <x:v>Approved</x:v>
      </x:c>
      <x:c r="L78" s="56" t="str">
        <x:f>IF(COUNTIFS($B:$B,B78,$C:$C,C78,$I:$I,I78)&gt;1,"Duplicate Risk","OK")</x:f>
        <x:v>OK</x:v>
      </x:c>
      <x:c r="M78" s="56" t="str">
        <x:f>IF(D78="","Missing PO","Matched")</x:f>
        <x:v>Matched</x:v>
      </x:c>
      <x:c r="N78" s="56" t="str">
        <x:f>IF(ABS(H78-G78*0.13)&lt;=1,"OK","Review Tax")</x:f>
        <x:v>Review Tax</x:v>
      </x:c>
      <x:c r="O78" s="56" t="n">
        <x:f>IF(J78="Paid",0,MAX(0,TODAY()-F78))</x:f>
        <x:v>22</x:v>
      </x:c>
      <x:c r="P78" s="56" t="str">
        <x:f>IF(OR(L78="Duplicate Risk",M78="Missing PO",N78="Review Tax",O78&gt;30,K78&lt;&gt;"Approved"),"High","Low")</x:f>
        <x:v>High</x:v>
      </x:c>
      <x:c r="Q78" s="57" t="str">
        <x:f>TEXTJOIN("; ",TRUE,IF(L78="Duplicate Risk","Duplicate risk",""),IF(M78="Missing PO","Missing PO",""),IF(N78="Review Tax","Tax variance",""),IF(O78&gt;0,"Overdue",""),IF(K78&lt;&gt;"Approved","Approval issue",""))</x:f>
        <x:v>Tax variance; Overdue</x:v>
      </x:c>
    </x:row>
    <x:row r="79">
      <x:c r="A79" s="55" t="str">
        <x:v>AP-0078</x:v>
      </x:c>
      <x:c r="B79" s="56" t="str">
        <x:v>Vendor 15</x:v>
      </x:c>
      <x:c r="C79" s="56" t="str">
        <x:v>INV-26038</x:v>
      </x:c>
      <x:c r="D79" s="56" t="str">
        <x:v>PO-1046</x:v>
      </x:c>
      <x:c r="E79" s="76" t="n">
        <x:v>46176</x:v>
      </x:c>
      <x:c r="F79" s="76" t="n">
        <x:v>46191</x:v>
      </x:c>
      <x:c r="G79" s="80" t="n">
        <x:v>11442.48</x:v>
      </x:c>
      <x:c r="H79" s="80" t="n">
        <x:v>1487.52</x:v>
      </x:c>
      <x:c r="I79" s="80" t="n">
        <x:f>G79+H79</x:f>
        <x:v>12930</x:v>
      </x:c>
      <x:c r="J79" s="56" t="str">
        <x:v>Unpaid</x:v>
      </x:c>
      <x:c r="K79" s="56" t="str">
        <x:v>Approved</x:v>
      </x:c>
      <x:c r="L79" s="56" t="str">
        <x:f>IF(COUNTIFS($B:$B,B79,$C:$C,C79,$I:$I,I79)&gt;1,"Duplicate Risk","OK")</x:f>
        <x:v>OK</x:v>
      </x:c>
      <x:c r="M79" s="56" t="str">
        <x:f>IF(D79="","Missing PO","Matched")</x:f>
        <x:v>Matched</x:v>
      </x:c>
      <x:c r="N79" s="56" t="str">
        <x:f>IF(ABS(H79-G79*0.13)&lt;=1,"OK","Review Tax")</x:f>
        <x:v>OK</x:v>
      </x:c>
      <x:c r="O79" s="56" t="n">
        <x:f>IF(J79="Paid",0,MAX(0,TODAY()-F79))</x:f>
        <x:v>11</x:v>
      </x:c>
      <x:c r="P79" s="56" t="str">
        <x:f>IF(OR(L79="Duplicate Risk",M79="Missing PO",N79="Review Tax",O79&gt;30,K79&lt;&gt;"Approved"),"High","Low")</x:f>
        <x:v>Low</x:v>
      </x:c>
      <x:c r="Q79" s="57" t="str">
        <x:f>TEXTJOIN("; ",TRUE,IF(L79="Duplicate Risk","Duplicate risk",""),IF(M79="Missing PO","Missing PO",""),IF(N79="Review Tax","Tax variance",""),IF(O79&gt;0,"Overdue",""),IF(K79&lt;&gt;"Approved","Approval issue",""))</x:f>
        <x:v>Overdue</x:v>
      </x:c>
    </x:row>
    <x:row r="80">
      <x:c r="A80" s="55" t="str">
        <x:v>AP-0079</x:v>
      </x:c>
      <x:c r="B80" s="56" t="str">
        <x:v>Vendor 16</x:v>
      </x:c>
      <x:c r="C80" s="56" t="str">
        <x:v>INV-24900</x:v>
      </x:c>
      <x:c r="D80" s="56" t="str">
        <x:v>PO-1007</x:v>
      </x:c>
      <x:c r="E80" s="76" t="n">
        <x:v>46183</x:v>
      </x:c>
      <x:c r="F80" s="76" t="n">
        <x:v>46228</x:v>
      </x:c>
      <x:c r="G80" s="80" t="n">
        <x:v>1292.66</x:v>
      </x:c>
      <x:c r="H80" s="80" t="n">
        <x:v>164.16</x:v>
      </x:c>
      <x:c r="I80" s="80" t="n">
        <x:f>G80+H80</x:f>
        <x:v>1456.8200000000002</x:v>
      </x:c>
      <x:c r="J80" s="56" t="str">
        <x:v>Paid</x:v>
      </x:c>
      <x:c r="K80" s="56" t="str">
        <x:v>Rejected</x:v>
      </x:c>
      <x:c r="L80" s="56" t="str">
        <x:f>IF(COUNTIFS($B:$B,B80,$C:$C,C80,$I:$I,I80)&gt;1,"Duplicate Risk","OK")</x:f>
        <x:v>OK</x:v>
      </x:c>
      <x:c r="M80" s="56" t="str">
        <x:f>IF(D80="","Missing PO","Matched")</x:f>
        <x:v>Matched</x:v>
      </x:c>
      <x:c r="N80" s="56" t="str">
        <x:f>IF(ABS(H80-G80*0.13)&lt;=1,"OK","Review Tax")</x:f>
        <x:v>Review Tax</x:v>
      </x:c>
      <x:c r="O80" s="56" t="n">
        <x:f>IF(J80="Paid",0,MAX(0,TODAY()-F80))</x:f>
        <x:v>0</x:v>
      </x:c>
      <x:c r="P80" s="56" t="str">
        <x:f>IF(OR(L80="Duplicate Risk",M80="Missing PO",N80="Review Tax",O80&gt;30,K80&lt;&gt;"Approved"),"High","Low")</x:f>
        <x:v>High</x:v>
      </x:c>
      <x:c r="Q80" s="57" t="str">
        <x:f>TEXTJOIN("; ",TRUE,IF(L80="Duplicate Risk","Duplicate risk",""),IF(M80="Missing PO","Missing PO",""),IF(N80="Review Tax","Tax variance",""),IF(O80&gt;0,"Overdue",""),IF(K80&lt;&gt;"Approved","Approval issue",""))</x:f>
        <x:v>Tax variance; Approval issue</x:v>
      </x:c>
    </x:row>
    <x:row r="81">
      <x:c r="A81" s="55" t="str">
        <x:v>AP-0080</x:v>
      </x:c>
      <x:c r="B81" s="56" t="str">
        <x:v>Vendor 29</x:v>
      </x:c>
      <x:c r="C81" s="56" t="str">
        <x:v>INV-48597</x:v>
      </x:c>
      <x:c r="D81" s="56" t="str"/>
      <x:c r="E81" s="76" t="n">
        <x:v>46170</x:v>
      </x:c>
      <x:c r="F81" s="76" t="n">
        <x:v>46185</x:v>
      </x:c>
      <x:c r="G81" s="80" t="n">
        <x:v>1887.32</x:v>
      </x:c>
      <x:c r="H81" s="80" t="n">
        <x:v>238.19</x:v>
      </x:c>
      <x:c r="I81" s="80" t="n">
        <x:f>G81+H81</x:f>
        <x:v>2125.5099999999998</x:v>
      </x:c>
      <x:c r="J81" s="56" t="str">
        <x:v>Paid</x:v>
      </x:c>
      <x:c r="K81" s="56" t="str">
        <x:v>Rejected</x:v>
      </x:c>
      <x:c r="L81" s="56" t="str">
        <x:f>IF(COUNTIFS($B:$B,B81,$C:$C,C81,$I:$I,I81)&gt;1,"Duplicate Risk","OK")</x:f>
        <x:v>OK</x:v>
      </x:c>
      <x:c r="M81" s="56" t="str">
        <x:f>IF(D81="","Missing PO","Matched")</x:f>
        <x:v>Missing PO</x:v>
      </x:c>
      <x:c r="N81" s="56" t="str">
        <x:f>IF(ABS(H81-G81*0.13)&lt;=1,"OK","Review Tax")</x:f>
        <x:v>Review Tax</x:v>
      </x:c>
      <x:c r="O81" s="56" t="n">
        <x:f>IF(J81="Paid",0,MAX(0,TODAY()-F81))</x:f>
        <x:v>0</x:v>
      </x:c>
      <x:c r="P81" s="56" t="str">
        <x:f>IF(OR(L81="Duplicate Risk",M81="Missing PO",N81="Review Tax",O81&gt;30,K81&lt;&gt;"Approved"),"High","Low")</x:f>
        <x:v>High</x:v>
      </x:c>
      <x:c r="Q81" s="57" t="str">
        <x:f>TEXTJOIN("; ",TRUE,IF(L81="Duplicate Risk","Duplicate risk",""),IF(M81="Missing PO","Missing PO",""),IF(N81="Review Tax","Tax variance",""),IF(O81&gt;0,"Overdue",""),IF(K81&lt;&gt;"Approved","Approval issue",""))</x:f>
        <x:v>Missing PO; Tax variance; Approval issue</x:v>
      </x:c>
    </x:row>
    <x:row r="82">
      <x:c r="A82" s="55" t="str">
        <x:v>AP-0081</x:v>
      </x:c>
      <x:c r="B82" s="56" t="str">
        <x:v>Vendor 13</x:v>
      </x:c>
      <x:c r="C82" s="56" t="str">
        <x:v>INV-20827</x:v>
      </x:c>
      <x:c r="D82" s="56" t="str"/>
      <x:c r="E82" s="76" t="n">
        <x:v>46149</x:v>
      </x:c>
      <x:c r="F82" s="76" t="n">
        <x:v>46179</x:v>
      </x:c>
      <x:c r="G82" s="80" t="n">
        <x:v>6454.6</x:v>
      </x:c>
      <x:c r="H82" s="80" t="n">
        <x:v>839.1</x:v>
      </x:c>
      <x:c r="I82" s="80" t="n">
        <x:f>G82+H82</x:f>
        <x:v>7293.700000000001</x:v>
      </x:c>
      <x:c r="J82" s="56" t="str">
        <x:v>Paid</x:v>
      </x:c>
      <x:c r="K82" s="56" t="str">
        <x:v>Rejected</x:v>
      </x:c>
      <x:c r="L82" s="56" t="str">
        <x:f>IF(COUNTIFS($B:$B,B82,$C:$C,C82,$I:$I,I82)&gt;1,"Duplicate Risk","OK")</x:f>
        <x:v>OK</x:v>
      </x:c>
      <x:c r="M82" s="56" t="str">
        <x:f>IF(D82="","Missing PO","Matched")</x:f>
        <x:v>Missing PO</x:v>
      </x:c>
      <x:c r="N82" s="56" t="str">
        <x:f>IF(ABS(H82-G82*0.13)&lt;=1,"OK","Review Tax")</x:f>
        <x:v>OK</x:v>
      </x:c>
      <x:c r="O82" s="56" t="n">
        <x:f>IF(J82="Paid",0,MAX(0,TODAY()-F82))</x:f>
        <x:v>0</x:v>
      </x:c>
      <x:c r="P82" s="56" t="str">
        <x:f>IF(OR(L82="Duplicate Risk",M82="Missing PO",N82="Review Tax",O82&gt;30,K82&lt;&gt;"Approved"),"High","Low")</x:f>
        <x:v>High</x:v>
      </x:c>
      <x:c r="Q82" s="57" t="str">
        <x:f>TEXTJOIN("; ",TRUE,IF(L82="Duplicate Risk","Duplicate risk",""),IF(M82="Missing PO","Missing PO",""),IF(N82="Review Tax","Tax variance",""),IF(O82&gt;0,"Overdue",""),IF(K82&lt;&gt;"Approved","Approval issue",""))</x:f>
        <x:v>Missing PO; Approval issue</x:v>
      </x:c>
    </x:row>
    <x:row r="83">
      <x:c r="A83" s="55" t="str">
        <x:v>AP-0082</x:v>
      </x:c>
      <x:c r="B83" s="56" t="str">
        <x:v>Vendor 3</x:v>
      </x:c>
      <x:c r="C83" s="56" t="str">
        <x:v>INV-33795</x:v>
      </x:c>
      <x:c r="D83" s="56" t="str"/>
      <x:c r="E83" s="76" t="n">
        <x:v>46151</x:v>
      </x:c>
      <x:c r="F83" s="76" t="n">
        <x:v>46181</x:v>
      </x:c>
      <x:c r="G83" s="80" t="n">
        <x:v>11934.24</x:v>
      </x:c>
      <x:c r="H83" s="80" t="n">
        <x:v>1552.93</x:v>
      </x:c>
      <x:c r="I83" s="80" t="n">
        <x:f>G83+H83</x:f>
        <x:v>13487.17</x:v>
      </x:c>
      <x:c r="J83" s="56" t="str">
        <x:v>Unpaid</x:v>
      </x:c>
      <x:c r="K83" s="56" t="str">
        <x:v>Approved</x:v>
      </x:c>
      <x:c r="L83" s="56" t="str">
        <x:f>IF(COUNTIFS($B:$B,B83,$C:$C,C83,$I:$I,I83)&gt;1,"Duplicate Risk","OK")</x:f>
        <x:v>OK</x:v>
      </x:c>
      <x:c r="M83" s="56" t="str">
        <x:f>IF(D83="","Missing PO","Matched")</x:f>
        <x:v>Missing PO</x:v>
      </x:c>
      <x:c r="N83" s="56" t="str">
        <x:f>IF(ABS(H83-G83*0.13)&lt;=1,"OK","Review Tax")</x:f>
        <x:v>Review Tax</x:v>
      </x:c>
      <x:c r="O83" s="56" t="n">
        <x:f>IF(J83="Paid",0,MAX(0,TODAY()-F83))</x:f>
        <x:v>21</x:v>
      </x:c>
      <x:c r="P83" s="56" t="str">
        <x:f>IF(OR(L83="Duplicate Risk",M83="Missing PO",N83="Review Tax",O83&gt;30,K83&lt;&gt;"Approved"),"High","Low")</x:f>
        <x:v>High</x:v>
      </x:c>
      <x:c r="Q83" s="57" t="str">
        <x:f>TEXTJOIN("; ",TRUE,IF(L83="Duplicate Risk","Duplicate risk",""),IF(M83="Missing PO","Missing PO",""),IF(N83="Review Tax","Tax variance",""),IF(O83&gt;0,"Overdue",""),IF(K83&lt;&gt;"Approved","Approval issue",""))</x:f>
        <x:v>Missing PO; Tax variance; Overdue</x:v>
      </x:c>
    </x:row>
    <x:row r="84">
      <x:c r="A84" s="55" t="str">
        <x:v>AP-0083</x:v>
      </x:c>
      <x:c r="B84" s="56" t="str">
        <x:v>Vendor 25</x:v>
      </x:c>
      <x:c r="C84" s="56" t="str">
        <x:v>INV-40984</x:v>
      </x:c>
      <x:c r="D84" s="56" t="str">
        <x:v>PO-1086</x:v>
      </x:c>
      <x:c r="E84" s="76" t="n">
        <x:v>46184</x:v>
      </x:c>
      <x:c r="F84" s="76" t="n">
        <x:v>46229</x:v>
      </x:c>
      <x:c r="G84" s="80" t="n">
        <x:v>9509.59</x:v>
      </x:c>
      <x:c r="H84" s="80" t="n">
        <x:v>1228.89</x:v>
      </x:c>
      <x:c r="I84" s="80" t="n">
        <x:f>G84+H84</x:f>
        <x:v>10738.48</x:v>
      </x:c>
      <x:c r="J84" s="56" t="str">
        <x:v>Paid</x:v>
      </x:c>
      <x:c r="K84" s="56" t="str">
        <x:v>Rejected</x:v>
      </x:c>
      <x:c r="L84" s="56" t="str">
        <x:f>IF(COUNTIFS($B:$B,B84,$C:$C,C84,$I:$I,I84)&gt;1,"Duplicate Risk","OK")</x:f>
        <x:v>OK</x:v>
      </x:c>
      <x:c r="M84" s="56" t="str">
        <x:f>IF(D84="","Missing PO","Matched")</x:f>
        <x:v>Matched</x:v>
      </x:c>
      <x:c r="N84" s="56" t="str">
        <x:f>IF(ABS(H84-G84*0.13)&lt;=1,"OK","Review Tax")</x:f>
        <x:v>Review Tax</x:v>
      </x:c>
      <x:c r="O84" s="56" t="n">
        <x:f>IF(J84="Paid",0,MAX(0,TODAY()-F84))</x:f>
        <x:v>0</x:v>
      </x:c>
      <x:c r="P84" s="56" t="str">
        <x:f>IF(OR(L84="Duplicate Risk",M84="Missing PO",N84="Review Tax",O84&gt;30,K84&lt;&gt;"Approved"),"High","Low")</x:f>
        <x:v>High</x:v>
      </x:c>
      <x:c r="Q84" s="57" t="str">
        <x:f>TEXTJOIN("; ",TRUE,IF(L84="Duplicate Risk","Duplicate risk",""),IF(M84="Missing PO","Missing PO",""),IF(N84="Review Tax","Tax variance",""),IF(O84&gt;0,"Overdue",""),IF(K84&lt;&gt;"Approved","Approval issue",""))</x:f>
        <x:v>Tax variance; Approval issue</x:v>
      </x:c>
    </x:row>
    <x:row r="85">
      <x:c r="A85" s="55" t="str">
        <x:v>AP-0084</x:v>
      </x:c>
      <x:c r="B85" s="56" t="str">
        <x:v>Vendor 12</x:v>
      </x:c>
      <x:c r="C85" s="56" t="str">
        <x:v>INV-23170</x:v>
      </x:c>
      <x:c r="D85" s="56" t="str">
        <x:v>PO-1021</x:v>
      </x:c>
      <x:c r="E85" s="76" t="n">
        <x:v>46190</x:v>
      </x:c>
      <x:c r="F85" s="76" t="n">
        <x:v>46205</x:v>
      </x:c>
      <x:c r="G85" s="80" t="n">
        <x:v>2037.94</x:v>
      </x:c>
      <x:c r="H85" s="80" t="n">
        <x:v>264.93</x:v>
      </x:c>
      <x:c r="I85" s="80" t="n">
        <x:f>G85+H85</x:f>
        <x:v>2302.87</x:v>
      </x:c>
      <x:c r="J85" s="56" t="str">
        <x:v>Paid</x:v>
      </x:c>
      <x:c r="K85" s="56" t="str">
        <x:v>Rejected</x:v>
      </x:c>
      <x:c r="L85" s="56" t="str">
        <x:f>IF(COUNTIFS($B:$B,B85,$C:$C,C85,$I:$I,I85)&gt;1,"Duplicate Risk","OK")</x:f>
        <x:v>OK</x:v>
      </x:c>
      <x:c r="M85" s="56" t="str">
        <x:f>IF(D85="","Missing PO","Matched")</x:f>
        <x:v>Matched</x:v>
      </x:c>
      <x:c r="N85" s="56" t="str">
        <x:f>IF(ABS(H85-G85*0.13)&lt;=1,"OK","Review Tax")</x:f>
        <x:v>OK</x:v>
      </x:c>
      <x:c r="O85" s="56" t="n">
        <x:f>IF(J85="Paid",0,MAX(0,TODAY()-F85))</x:f>
        <x:v>0</x:v>
      </x:c>
      <x:c r="P85" s="56" t="str">
        <x:f>IF(OR(L85="Duplicate Risk",M85="Missing PO",N85="Review Tax",O85&gt;30,K85&lt;&gt;"Approved"),"High","Low")</x:f>
        <x:v>High</x:v>
      </x:c>
      <x:c r="Q85" s="57" t="str">
        <x:f>TEXTJOIN("; ",TRUE,IF(L85="Duplicate Risk","Duplicate risk",""),IF(M85="Missing PO","Missing PO",""),IF(N85="Review Tax","Tax variance",""),IF(O85&gt;0,"Overdue",""),IF(K85&lt;&gt;"Approved","Approval issue",""))</x:f>
        <x:v>Approval issue</x:v>
      </x:c>
    </x:row>
    <x:row r="86">
      <x:c r="A86" s="55" t="str">
        <x:v>AP-0085</x:v>
      </x:c>
      <x:c r="B86" s="56" t="str">
        <x:v>Vendor 14</x:v>
      </x:c>
      <x:c r="C86" s="56" t="str">
        <x:v>INV-32383</x:v>
      </x:c>
      <x:c r="D86" s="56" t="str"/>
      <x:c r="E86" s="76" t="n">
        <x:v>46167</x:v>
      </x:c>
      <x:c r="F86" s="76" t="n">
        <x:v>46212</x:v>
      </x:c>
      <x:c r="G86" s="80" t="n">
        <x:v>953.59</x:v>
      </x:c>
      <x:c r="H86" s="80" t="n">
        <x:v>123.97</x:v>
      </x:c>
      <x:c r="I86" s="80" t="n">
        <x:f>G86+H86</x:f>
        <x:v>1077.56</x:v>
      </x:c>
      <x:c r="J86" s="56" t="str">
        <x:v>Paid</x:v>
      </x:c>
      <x:c r="K86" s="56" t="str">
        <x:v>Approved</x:v>
      </x:c>
      <x:c r="L86" s="56" t="str">
        <x:f>IF(COUNTIFS($B:$B,B86,$C:$C,C86,$I:$I,I86)&gt;1,"Duplicate Risk","OK")</x:f>
        <x:v>OK</x:v>
      </x:c>
      <x:c r="M86" s="56" t="str">
        <x:f>IF(D86="","Missing PO","Matched")</x:f>
        <x:v>Missing PO</x:v>
      </x:c>
      <x:c r="N86" s="56" t="str">
        <x:f>IF(ABS(H86-G86*0.13)&lt;=1,"OK","Review Tax")</x:f>
        <x:v>OK</x:v>
      </x:c>
      <x:c r="O86" s="56" t="n">
        <x:f>IF(J86="Paid",0,MAX(0,TODAY()-F86))</x:f>
        <x:v>0</x:v>
      </x:c>
      <x:c r="P86" s="56" t="str">
        <x:f>IF(OR(L86="Duplicate Risk",M86="Missing PO",N86="Review Tax",O86&gt;30,K86&lt;&gt;"Approved"),"High","Low")</x:f>
        <x:v>High</x:v>
      </x:c>
      <x:c r="Q86" s="57" t="str">
        <x:f>TEXTJOIN("; ",TRUE,IF(L86="Duplicate Risk","Duplicate risk",""),IF(M86="Missing PO","Missing PO",""),IF(N86="Review Tax","Tax variance",""),IF(O86&gt;0,"Overdue",""),IF(K86&lt;&gt;"Approved","Approval issue",""))</x:f>
        <x:v>Missing PO</x:v>
      </x:c>
    </x:row>
    <x:row r="87">
      <x:c r="A87" s="55" t="str">
        <x:v>AP-0086</x:v>
      </x:c>
      <x:c r="B87" s="56" t="str">
        <x:v>Vendor 12</x:v>
      </x:c>
      <x:c r="C87" s="56" t="str">
        <x:v>INV-40054</x:v>
      </x:c>
      <x:c r="D87" s="56" t="str"/>
      <x:c r="E87" s="76" t="n">
        <x:v>46181</x:v>
      </x:c>
      <x:c r="F87" s="76" t="n">
        <x:v>46196</x:v>
      </x:c>
      <x:c r="G87" s="80" t="n">
        <x:v>4987.32</x:v>
      </x:c>
      <x:c r="H87" s="80" t="n">
        <x:v>648.35</x:v>
      </x:c>
      <x:c r="I87" s="80" t="n">
        <x:f>G87+H87</x:f>
        <x:v>5635.67</x:v>
      </x:c>
      <x:c r="J87" s="56" t="str">
        <x:v>Unpaid</x:v>
      </x:c>
      <x:c r="K87" s="56" t="str">
        <x:v>Approved</x:v>
      </x:c>
      <x:c r="L87" s="56" t="str">
        <x:f>IF(COUNTIFS($B:$B,B87,$C:$C,C87,$I:$I,I87)&gt;1,"Duplicate Risk","OK")</x:f>
        <x:v>OK</x:v>
      </x:c>
      <x:c r="M87" s="56" t="str">
        <x:f>IF(D87="","Missing PO","Matched")</x:f>
        <x:v>Missing PO</x:v>
      </x:c>
      <x:c r="N87" s="56" t="str">
        <x:f>IF(ABS(H87-G87*0.13)&lt;=1,"OK","Review Tax")</x:f>
        <x:v>OK</x:v>
      </x:c>
      <x:c r="O87" s="56" t="n">
        <x:f>IF(J87="Paid",0,MAX(0,TODAY()-F87))</x:f>
        <x:v>6</x:v>
      </x:c>
      <x:c r="P87" s="56" t="str">
        <x:f>IF(OR(L87="Duplicate Risk",M87="Missing PO",N87="Review Tax",O87&gt;30,K87&lt;&gt;"Approved"),"High","Low")</x:f>
        <x:v>High</x:v>
      </x:c>
      <x:c r="Q87" s="57" t="str">
        <x:f>TEXTJOIN("; ",TRUE,IF(L87="Duplicate Risk","Duplicate risk",""),IF(M87="Missing PO","Missing PO",""),IF(N87="Review Tax","Tax variance",""),IF(O87&gt;0,"Overdue",""),IF(K87&lt;&gt;"Approved","Approval issue",""))</x:f>
        <x:v>Missing PO; Overdue</x:v>
      </x:c>
    </x:row>
    <x:row r="88">
      <x:c r="A88" s="55" t="str">
        <x:v>AP-0087</x:v>
      </x:c>
      <x:c r="B88" s="56" t="str">
        <x:v>Vendor 10</x:v>
      </x:c>
      <x:c r="C88" s="56" t="str">
        <x:v>INV-47901</x:v>
      </x:c>
      <x:c r="D88" s="56" t="str">
        <x:v>PO-1043</x:v>
      </x:c>
      <x:c r="E88" s="76" t="n">
        <x:v>46172</x:v>
      </x:c>
      <x:c r="F88" s="76" t="n">
        <x:v>46187</x:v>
      </x:c>
      <x:c r="G88" s="80" t="n">
        <x:v>8453.93</x:v>
      </x:c>
      <x:c r="H88" s="80" t="n">
        <x:v>1099.01</x:v>
      </x:c>
      <x:c r="I88" s="80" t="n">
        <x:f>G88+H88</x:f>
        <x:v>9552.94</x:v>
      </x:c>
      <x:c r="J88" s="56" t="str">
        <x:v>Unpaid</x:v>
      </x:c>
      <x:c r="K88" s="56" t="str">
        <x:v>Pending</x:v>
      </x:c>
      <x:c r="L88" s="56" t="str">
        <x:f>IF(COUNTIFS($B:$B,B88,$C:$C,C88,$I:$I,I88)&gt;1,"Duplicate Risk","OK")</x:f>
        <x:v>OK</x:v>
      </x:c>
      <x:c r="M88" s="56" t="str">
        <x:f>IF(D88="","Missing PO","Matched")</x:f>
        <x:v>Matched</x:v>
      </x:c>
      <x:c r="N88" s="56" t="str">
        <x:f>IF(ABS(H88-G88*0.13)&lt;=1,"OK","Review Tax")</x:f>
        <x:v>OK</x:v>
      </x:c>
      <x:c r="O88" s="56" t="n">
        <x:f>IF(J88="Paid",0,MAX(0,TODAY()-F88))</x:f>
        <x:v>15</x:v>
      </x:c>
      <x:c r="P88" s="56" t="str">
        <x:f>IF(OR(L88="Duplicate Risk",M88="Missing PO",N88="Review Tax",O88&gt;30,K88&lt;&gt;"Approved"),"High","Low")</x:f>
        <x:v>High</x:v>
      </x:c>
      <x:c r="Q88" s="57" t="str">
        <x:f>TEXTJOIN("; ",TRUE,IF(L88="Duplicate Risk","Duplicate risk",""),IF(M88="Missing PO","Missing PO",""),IF(N88="Review Tax","Tax variance",""),IF(O88&gt;0,"Overdue",""),IF(K88&lt;&gt;"Approved","Approval issue",""))</x:f>
        <x:v>Overdue; Approval issue</x:v>
      </x:c>
    </x:row>
    <x:row r="89">
      <x:c r="A89" s="55" t="str">
        <x:v>AP-0088</x:v>
      </x:c>
      <x:c r="B89" s="56" t="str">
        <x:v>Vendor 3</x:v>
      </x:c>
      <x:c r="C89" s="56" t="str">
        <x:v>INV-26095</x:v>
      </x:c>
      <x:c r="D89" s="56" t="str">
        <x:v>PO-1069</x:v>
      </x:c>
      <x:c r="E89" s="76" t="n">
        <x:v>46182</x:v>
      </x:c>
      <x:c r="F89" s="76" t="n">
        <x:v>46212</x:v>
      </x:c>
      <x:c r="G89" s="80" t="n">
        <x:v>7595.97</x:v>
      </x:c>
      <x:c r="H89" s="80" t="n">
        <x:v>987.48</x:v>
      </x:c>
      <x:c r="I89" s="80" t="n">
        <x:f>G89+H89</x:f>
        <x:v>8583.45</x:v>
      </x:c>
      <x:c r="J89" s="56" t="str">
        <x:v>Unpaid</x:v>
      </x:c>
      <x:c r="K89" s="56" t="str">
        <x:v>Rejected</x:v>
      </x:c>
      <x:c r="L89" s="56" t="str">
        <x:f>IF(COUNTIFS($B:$B,B89,$C:$C,C89,$I:$I,I89)&gt;1,"Duplicate Risk","OK")</x:f>
        <x:v>OK</x:v>
      </x:c>
      <x:c r="M89" s="56" t="str">
        <x:f>IF(D89="","Missing PO","Matched")</x:f>
        <x:v>Matched</x:v>
      </x:c>
      <x:c r="N89" s="56" t="str">
        <x:f>IF(ABS(H89-G89*0.13)&lt;=1,"OK","Review Tax")</x:f>
        <x:v>OK</x:v>
      </x:c>
      <x:c r="O89" s="56" t="n">
        <x:f>IF(J89="Paid",0,MAX(0,TODAY()-F89))</x:f>
        <x:v>0</x:v>
      </x:c>
      <x:c r="P89" s="56" t="str">
        <x:f>IF(OR(L89="Duplicate Risk",M89="Missing PO",N89="Review Tax",O89&gt;30,K89&lt;&gt;"Approved"),"High","Low")</x:f>
        <x:v>High</x:v>
      </x:c>
      <x:c r="Q89" s="57" t="str">
        <x:f>TEXTJOIN("; ",TRUE,IF(L89="Duplicate Risk","Duplicate risk",""),IF(M89="Missing PO","Missing PO",""),IF(N89="Review Tax","Tax variance",""),IF(O89&gt;0,"Overdue",""),IF(K89&lt;&gt;"Approved","Approval issue",""))</x:f>
        <x:v>Approval issue</x:v>
      </x:c>
    </x:row>
    <x:row r="90">
      <x:c r="A90" s="55" t="str">
        <x:v>AP-0089</x:v>
      </x:c>
      <x:c r="B90" s="56" t="str">
        <x:v>Vendor 29</x:v>
      </x:c>
      <x:c r="C90" s="56" t="str">
        <x:v>INV-49947</x:v>
      </x:c>
      <x:c r="D90" s="56" t="str">
        <x:v>PO-1053</x:v>
      </x:c>
      <x:c r="E90" s="76" t="n">
        <x:v>46145</x:v>
      </x:c>
      <x:c r="F90" s="76" t="n">
        <x:v>46175</x:v>
      </x:c>
      <x:c r="G90" s="80" t="n">
        <x:v>1904.99</x:v>
      </x:c>
      <x:c r="H90" s="80" t="n">
        <x:v>250.8</x:v>
      </x:c>
      <x:c r="I90" s="80" t="n">
        <x:f>G90+H90</x:f>
        <x:v>2155.79</x:v>
      </x:c>
      <x:c r="J90" s="56" t="str">
        <x:v>Paid</x:v>
      </x:c>
      <x:c r="K90" s="56" t="str">
        <x:v>Rejected</x:v>
      </x:c>
      <x:c r="L90" s="56" t="str">
        <x:f>IF(COUNTIFS($B:$B,B90,$C:$C,C90,$I:$I,I90)&gt;1,"Duplicate Risk","OK")</x:f>
        <x:v>OK</x:v>
      </x:c>
      <x:c r="M90" s="56" t="str">
        <x:f>IF(D90="","Missing PO","Matched")</x:f>
        <x:v>Matched</x:v>
      </x:c>
      <x:c r="N90" s="56" t="str">
        <x:f>IF(ABS(H90-G90*0.13)&lt;=1,"OK","Review Tax")</x:f>
        <x:v>Review Tax</x:v>
      </x:c>
      <x:c r="O90" s="56" t="n">
        <x:f>IF(J90="Paid",0,MAX(0,TODAY()-F90))</x:f>
        <x:v>0</x:v>
      </x:c>
      <x:c r="P90" s="56" t="str">
        <x:f>IF(OR(L90="Duplicate Risk",M90="Missing PO",N90="Review Tax",O90&gt;30,K90&lt;&gt;"Approved"),"High","Low")</x:f>
        <x:v>High</x:v>
      </x:c>
      <x:c r="Q90" s="57" t="str">
        <x:f>TEXTJOIN("; ",TRUE,IF(L90="Duplicate Risk","Duplicate risk",""),IF(M90="Missing PO","Missing PO",""),IF(N90="Review Tax","Tax variance",""),IF(O90&gt;0,"Overdue",""),IF(K90&lt;&gt;"Approved","Approval issue",""))</x:f>
        <x:v>Tax variance; Approval issue</x:v>
      </x:c>
    </x:row>
    <x:row r="91">
      <x:c r="A91" s="55" t="str">
        <x:v>AP-0090</x:v>
      </x:c>
      <x:c r="B91" s="56" t="str">
        <x:v>Vendor 17</x:v>
      </x:c>
      <x:c r="C91" s="56" t="str">
        <x:v>INV-38720</x:v>
      </x:c>
      <x:c r="D91" s="56" t="str">
        <x:v>PO-1027</x:v>
      </x:c>
      <x:c r="E91" s="76" t="n">
        <x:v>46183</x:v>
      </x:c>
      <x:c r="F91" s="76" t="n">
        <x:v>46228</x:v>
      </x:c>
      <x:c r="G91" s="80" t="n">
        <x:v>6600.83</x:v>
      </x:c>
      <x:c r="H91" s="80" t="n">
        <x:v>858.11</x:v>
      </x:c>
      <x:c r="I91" s="80" t="n">
        <x:f>G91+H91</x:f>
        <x:v>7458.94</x:v>
      </x:c>
      <x:c r="J91" s="56" t="str">
        <x:v>On Hold</x:v>
      </x:c>
      <x:c r="K91" s="56" t="str">
        <x:v>Pending</x:v>
      </x:c>
      <x:c r="L91" s="56" t="str">
        <x:f>IF(COUNTIFS($B:$B,B91,$C:$C,C91,$I:$I,I91)&gt;1,"Duplicate Risk","OK")</x:f>
        <x:v>OK</x:v>
      </x:c>
      <x:c r="M91" s="56" t="str">
        <x:f>IF(D91="","Missing PO","Matched")</x:f>
        <x:v>Matched</x:v>
      </x:c>
      <x:c r="N91" s="56" t="str">
        <x:f>IF(ABS(H91-G91*0.13)&lt;=1,"OK","Review Tax")</x:f>
        <x:v>OK</x:v>
      </x:c>
      <x:c r="O91" s="56" t="n">
        <x:f>IF(J91="Paid",0,MAX(0,TODAY()-F91))</x:f>
        <x:v>0</x:v>
      </x:c>
      <x:c r="P91" s="56" t="str">
        <x:f>IF(OR(L91="Duplicate Risk",M91="Missing PO",N91="Review Tax",O91&gt;30,K91&lt;&gt;"Approved"),"High","Low")</x:f>
        <x:v>High</x:v>
      </x:c>
      <x:c r="Q91" s="57" t="str">
        <x:f>TEXTJOIN("; ",TRUE,IF(L91="Duplicate Risk","Duplicate risk",""),IF(M91="Missing PO","Missing PO",""),IF(N91="Review Tax","Tax variance",""),IF(O91&gt;0,"Overdue",""),IF(K91&lt;&gt;"Approved","Approval issue",""))</x:f>
        <x:v>Approval issue</x:v>
      </x:c>
    </x:row>
    <x:row r="92">
      <x:c r="A92" s="55" t="str">
        <x:v>AP-0091</x:v>
      </x:c>
      <x:c r="B92" s="56" t="str">
        <x:v>Vendor 12</x:v>
      </x:c>
      <x:c r="C92" s="56" t="str">
        <x:v>INV-38290</x:v>
      </x:c>
      <x:c r="D92" s="56" t="str">
        <x:v>PO-1099</x:v>
      </x:c>
      <x:c r="E92" s="76" t="n">
        <x:v>46187</x:v>
      </x:c>
      <x:c r="F92" s="76" t="n">
        <x:v>46202</x:v>
      </x:c>
      <x:c r="G92" s="80" t="n">
        <x:v>7829.33</x:v>
      </x:c>
      <x:c r="H92" s="80" t="n">
        <x:v>1017.81</x:v>
      </x:c>
      <x:c r="I92" s="80" t="n">
        <x:f>G92+H92</x:f>
        <x:v>8847.14</x:v>
      </x:c>
      <x:c r="J92" s="56" t="str">
        <x:v>On Hold</x:v>
      </x:c>
      <x:c r="K92" s="56" t="str">
        <x:v>Rejected</x:v>
      </x:c>
      <x:c r="L92" s="56" t="str">
        <x:f>IF(COUNTIFS($B:$B,B92,$C:$C,C92,$I:$I,I92)&gt;1,"Duplicate Risk","OK")</x:f>
        <x:v>OK</x:v>
      </x:c>
      <x:c r="M92" s="56" t="str">
        <x:f>IF(D92="","Missing PO","Matched")</x:f>
        <x:v>Matched</x:v>
      </x:c>
      <x:c r="N92" s="56" t="str">
        <x:f>IF(ABS(H92-G92*0.13)&lt;=1,"OK","Review Tax")</x:f>
        <x:v>OK</x:v>
      </x:c>
      <x:c r="O92" s="56" t="n">
        <x:f>IF(J92="Paid",0,MAX(0,TODAY()-F92))</x:f>
        <x:v>0</x:v>
      </x:c>
      <x:c r="P92" s="56" t="str">
        <x:f>IF(OR(L92="Duplicate Risk",M92="Missing PO",N92="Review Tax",O92&gt;30,K92&lt;&gt;"Approved"),"High","Low")</x:f>
        <x:v>High</x:v>
      </x:c>
      <x:c r="Q92" s="57" t="str">
        <x:f>TEXTJOIN("; ",TRUE,IF(L92="Duplicate Risk","Duplicate risk",""),IF(M92="Missing PO","Missing PO",""),IF(N92="Review Tax","Tax variance",""),IF(O92&gt;0,"Overdue",""),IF(K92&lt;&gt;"Approved","Approval issue",""))</x:f>
        <x:v>Approval issue</x:v>
      </x:c>
    </x:row>
    <x:row r="93">
      <x:c r="A93" s="55" t="str">
        <x:v>AP-0092</x:v>
      </x:c>
      <x:c r="B93" s="56" t="str">
        <x:v>Vendor 9</x:v>
      </x:c>
      <x:c r="C93" s="56" t="str">
        <x:v>INV-43341</x:v>
      </x:c>
      <x:c r="D93" s="56" t="str"/>
      <x:c r="E93" s="76" t="n">
        <x:v>46146</x:v>
      </x:c>
      <x:c r="F93" s="76" t="n">
        <x:v>46161</x:v>
      </x:c>
      <x:c r="G93" s="80" t="n">
        <x:v>1570.9</x:v>
      </x:c>
      <x:c r="H93" s="80" t="n">
        <x:v>204.22</x:v>
      </x:c>
      <x:c r="I93" s="80" t="n">
        <x:f>G93+H93</x:f>
        <x:v>1775.1200000000001</x:v>
      </x:c>
      <x:c r="J93" s="56" t="str">
        <x:v>Paid</x:v>
      </x:c>
      <x:c r="K93" s="56" t="str">
        <x:v>Approved</x:v>
      </x:c>
      <x:c r="L93" s="56" t="str">
        <x:f>IF(COUNTIFS($B:$B,B93,$C:$C,C93,$I:$I,I93)&gt;1,"Duplicate Risk","OK")</x:f>
        <x:v>OK</x:v>
      </x:c>
      <x:c r="M93" s="56" t="str">
        <x:f>IF(D93="","Missing PO","Matched")</x:f>
        <x:v>Missing PO</x:v>
      </x:c>
      <x:c r="N93" s="56" t="str">
        <x:f>IF(ABS(H93-G93*0.13)&lt;=1,"OK","Review Tax")</x:f>
        <x:v>OK</x:v>
      </x:c>
      <x:c r="O93" s="56" t="n">
        <x:f>IF(J93="Paid",0,MAX(0,TODAY()-F93))</x:f>
        <x:v>0</x:v>
      </x:c>
      <x:c r="P93" s="56" t="str">
        <x:f>IF(OR(L93="Duplicate Risk",M93="Missing PO",N93="Review Tax",O93&gt;30,K93&lt;&gt;"Approved"),"High","Low")</x:f>
        <x:v>High</x:v>
      </x:c>
      <x:c r="Q93" s="57" t="str">
        <x:f>TEXTJOIN("; ",TRUE,IF(L93="Duplicate Risk","Duplicate risk",""),IF(M93="Missing PO","Missing PO",""),IF(N93="Review Tax","Tax variance",""),IF(O93&gt;0,"Overdue",""),IF(K93&lt;&gt;"Approved","Approval issue",""))</x:f>
        <x:v>Missing PO</x:v>
      </x:c>
    </x:row>
    <x:row r="94">
      <x:c r="A94" s="55" t="str">
        <x:v>AP-0093</x:v>
      </x:c>
      <x:c r="B94" s="56" t="str">
        <x:v>Vendor 1</x:v>
      </x:c>
      <x:c r="C94" s="56" t="str">
        <x:v>INV-37728</x:v>
      </x:c>
      <x:c r="D94" s="56" t="str">
        <x:v>PO-1073</x:v>
      </x:c>
      <x:c r="E94" s="76" t="n">
        <x:v>46146</x:v>
      </x:c>
      <x:c r="F94" s="76" t="n">
        <x:v>46191</x:v>
      </x:c>
      <x:c r="G94" s="80" t="n">
        <x:v>9031.05</x:v>
      </x:c>
      <x:c r="H94" s="80" t="n">
        <x:v>1174.04</x:v>
      </x:c>
      <x:c r="I94" s="80" t="n">
        <x:f>G94+H94</x:f>
        <x:v>10205.09</x:v>
      </x:c>
      <x:c r="J94" s="56" t="str">
        <x:v>Unpaid</x:v>
      </x:c>
      <x:c r="K94" s="56" t="str">
        <x:v>Pending</x:v>
      </x:c>
      <x:c r="L94" s="56" t="str">
        <x:f>IF(COUNTIFS($B:$B,B94,$C:$C,C94,$I:$I,I94)&gt;1,"Duplicate Risk","OK")</x:f>
        <x:v>OK</x:v>
      </x:c>
      <x:c r="M94" s="56" t="str">
        <x:f>IF(D94="","Missing PO","Matched")</x:f>
        <x:v>Matched</x:v>
      </x:c>
      <x:c r="N94" s="56" t="str">
        <x:f>IF(ABS(H94-G94*0.13)&lt;=1,"OK","Review Tax")</x:f>
        <x:v>OK</x:v>
      </x:c>
      <x:c r="O94" s="56" t="n">
        <x:f>IF(J94="Paid",0,MAX(0,TODAY()-F94))</x:f>
        <x:v>11</x:v>
      </x:c>
      <x:c r="P94" s="56" t="str">
        <x:f>IF(OR(L94="Duplicate Risk",M94="Missing PO",N94="Review Tax",O94&gt;30,K94&lt;&gt;"Approved"),"High","Low")</x:f>
        <x:v>High</x:v>
      </x:c>
      <x:c r="Q94" s="57" t="str">
        <x:f>TEXTJOIN("; ",TRUE,IF(L94="Duplicate Risk","Duplicate risk",""),IF(M94="Missing PO","Missing PO",""),IF(N94="Review Tax","Tax variance",""),IF(O94&gt;0,"Overdue",""),IF(K94&lt;&gt;"Approved","Approval issue",""))</x:f>
        <x:v>Overdue; Approval issue</x:v>
      </x:c>
    </x:row>
    <x:row r="95">
      <x:c r="A95" s="55" t="str">
        <x:v>AP-0094</x:v>
      </x:c>
      <x:c r="B95" s="56" t="str">
        <x:v>Vendor 5</x:v>
      </x:c>
      <x:c r="C95" s="56" t="str">
        <x:v>INV-26645</x:v>
      </x:c>
      <x:c r="D95" s="56" t="str">
        <x:v>PO-1005</x:v>
      </x:c>
      <x:c r="E95" s="76" t="n">
        <x:v>46175</x:v>
      </x:c>
      <x:c r="F95" s="76" t="n">
        <x:v>46220</x:v>
      </x:c>
      <x:c r="G95" s="80" t="n">
        <x:v>8164.58</x:v>
      </x:c>
      <x:c r="H95" s="80" t="n">
        <x:v>1061.4</x:v>
      </x:c>
      <x:c r="I95" s="80" t="n">
        <x:f>G95+H95</x:f>
        <x:v>9225.98</x:v>
      </x:c>
      <x:c r="J95" s="56" t="str">
        <x:v>On Hold</x:v>
      </x:c>
      <x:c r="K95" s="56" t="str">
        <x:v>Pending</x:v>
      </x:c>
      <x:c r="L95" s="56" t="str">
        <x:f>IF(COUNTIFS($B:$B,B95,$C:$C,C95,$I:$I,I95)&gt;1,"Duplicate Risk","OK")</x:f>
        <x:v>OK</x:v>
      </x:c>
      <x:c r="M95" s="56" t="str">
        <x:f>IF(D95="","Missing PO","Matched")</x:f>
        <x:v>Matched</x:v>
      </x:c>
      <x:c r="N95" s="56" t="str">
        <x:f>IF(ABS(H95-G95*0.13)&lt;=1,"OK","Review Tax")</x:f>
        <x:v>OK</x:v>
      </x:c>
      <x:c r="O95" s="56" t="n">
        <x:f>IF(J95="Paid",0,MAX(0,TODAY()-F95))</x:f>
        <x:v>0</x:v>
      </x:c>
      <x:c r="P95" s="56" t="str">
        <x:f>IF(OR(L95="Duplicate Risk",M95="Missing PO",N95="Review Tax",O95&gt;30,K95&lt;&gt;"Approved"),"High","Low")</x:f>
        <x:v>High</x:v>
      </x:c>
      <x:c r="Q95" s="57" t="str">
        <x:f>TEXTJOIN("; ",TRUE,IF(L95="Duplicate Risk","Duplicate risk",""),IF(M95="Missing PO","Missing PO",""),IF(N95="Review Tax","Tax variance",""),IF(O95&gt;0,"Overdue",""),IF(K95&lt;&gt;"Approved","Approval issue",""))</x:f>
        <x:v>Approval issue</x:v>
      </x:c>
    </x:row>
    <x:row r="96">
      <x:c r="A96" s="55" t="str">
        <x:v>AP-0095</x:v>
      </x:c>
      <x:c r="B96" s="56" t="str">
        <x:v>Vendor 25</x:v>
      </x:c>
      <x:c r="C96" s="56" t="str">
        <x:v>INV-38511</x:v>
      </x:c>
      <x:c r="D96" s="56" t="str">
        <x:v>PO-1049</x:v>
      </x:c>
      <x:c r="E96" s="76" t="n">
        <x:v>46191</x:v>
      </x:c>
      <x:c r="F96" s="76" t="n">
        <x:v>46236</x:v>
      </x:c>
      <x:c r="G96" s="80" t="n">
        <x:v>3309.73</x:v>
      </x:c>
      <x:c r="H96" s="80" t="n">
        <x:v>430.26</x:v>
      </x:c>
      <x:c r="I96" s="80" t="n">
        <x:f>G96+H96</x:f>
        <x:v>3739.99</x:v>
      </x:c>
      <x:c r="J96" s="56" t="str">
        <x:v>Paid</x:v>
      </x:c>
      <x:c r="K96" s="56" t="str">
        <x:v>Rejected</x:v>
      </x:c>
      <x:c r="L96" s="56" t="str">
        <x:f>IF(COUNTIFS($B:$B,B96,$C:$C,C96,$I:$I,I96)&gt;1,"Duplicate Risk","OK")</x:f>
        <x:v>OK</x:v>
      </x:c>
      <x:c r="M96" s="56" t="str">
        <x:f>IF(D96="","Missing PO","Matched")</x:f>
        <x:v>Matched</x:v>
      </x:c>
      <x:c r="N96" s="56" t="str">
        <x:f>IF(ABS(H96-G96*0.13)&lt;=1,"OK","Review Tax")</x:f>
        <x:v>OK</x:v>
      </x:c>
      <x:c r="O96" s="56" t="n">
        <x:f>IF(J96="Paid",0,MAX(0,TODAY()-F96))</x:f>
        <x:v>0</x:v>
      </x:c>
      <x:c r="P96" s="56" t="str">
        <x:f>IF(OR(L96="Duplicate Risk",M96="Missing PO",N96="Review Tax",O96&gt;30,K96&lt;&gt;"Approved"),"High","Low")</x:f>
        <x:v>High</x:v>
      </x:c>
      <x:c r="Q96" s="57" t="str">
        <x:f>TEXTJOIN("; ",TRUE,IF(L96="Duplicate Risk","Duplicate risk",""),IF(M96="Missing PO","Missing PO",""),IF(N96="Review Tax","Tax variance",""),IF(O96&gt;0,"Overdue",""),IF(K96&lt;&gt;"Approved","Approval issue",""))</x:f>
        <x:v>Approval issue</x:v>
      </x:c>
    </x:row>
    <x:row r="97">
      <x:c r="A97" s="55" t="str">
        <x:v>AP-0096</x:v>
      </x:c>
      <x:c r="B97" s="56" t="str">
        <x:v>Vendor 17</x:v>
      </x:c>
      <x:c r="C97" s="56" t="str">
        <x:v>INV-21251</x:v>
      </x:c>
      <x:c r="D97" s="56" t="str"/>
      <x:c r="E97" s="76" t="n">
        <x:v>46169</x:v>
      </x:c>
      <x:c r="F97" s="76" t="n">
        <x:v>46184</x:v>
      </x:c>
      <x:c r="G97" s="80" t="n">
        <x:v>11086.44</x:v>
      </x:c>
      <x:c r="H97" s="80" t="n">
        <x:v>1441.24</x:v>
      </x:c>
      <x:c r="I97" s="80" t="n">
        <x:f>G97+H97</x:f>
        <x:v>12527.68</x:v>
      </x:c>
      <x:c r="J97" s="56" t="str">
        <x:v>Paid</x:v>
      </x:c>
      <x:c r="K97" s="56" t="str">
        <x:v>Approved</x:v>
      </x:c>
      <x:c r="L97" s="56" t="str">
        <x:f>IF(COUNTIFS($B:$B,B97,$C:$C,C97,$I:$I,I97)&gt;1,"Duplicate Risk","OK")</x:f>
        <x:v>OK</x:v>
      </x:c>
      <x:c r="M97" s="56" t="str">
        <x:f>IF(D97="","Missing PO","Matched")</x:f>
        <x:v>Missing PO</x:v>
      </x:c>
      <x:c r="N97" s="56" t="str">
        <x:f>IF(ABS(H97-G97*0.13)&lt;=1,"OK","Review Tax")</x:f>
        <x:v>OK</x:v>
      </x:c>
      <x:c r="O97" s="56" t="n">
        <x:f>IF(J97="Paid",0,MAX(0,TODAY()-F97))</x:f>
        <x:v>0</x:v>
      </x:c>
      <x:c r="P97" s="56" t="str">
        <x:f>IF(OR(L97="Duplicate Risk",M97="Missing PO",N97="Review Tax",O97&gt;30,K97&lt;&gt;"Approved"),"High","Low")</x:f>
        <x:v>High</x:v>
      </x:c>
      <x:c r="Q97" s="57" t="str">
        <x:f>TEXTJOIN("; ",TRUE,IF(L97="Duplicate Risk","Duplicate risk",""),IF(M97="Missing PO","Missing PO",""),IF(N97="Review Tax","Tax variance",""),IF(O97&gt;0,"Overdue",""),IF(K97&lt;&gt;"Approved","Approval issue",""))</x:f>
        <x:v>Missing PO</x:v>
      </x:c>
    </x:row>
    <x:row r="98">
      <x:c r="A98" s="55" t="str">
        <x:v>AP-0097</x:v>
      </x:c>
      <x:c r="B98" s="56" t="str">
        <x:v>Vendor 18</x:v>
      </x:c>
      <x:c r="C98" s="56" t="str">
        <x:v>INV-47748</x:v>
      </x:c>
      <x:c r="D98" s="56" t="str"/>
      <x:c r="E98" s="76" t="n">
        <x:v>46198</x:v>
      </x:c>
      <x:c r="F98" s="76" t="n">
        <x:v>46228</x:v>
      </x:c>
      <x:c r="G98" s="80" t="n">
        <x:v>7305.16</x:v>
      </x:c>
      <x:c r="H98" s="80" t="n">
        <x:v>949.67</x:v>
      </x:c>
      <x:c r="I98" s="80" t="n">
        <x:f>G98+H98</x:f>
        <x:v>8254.83</x:v>
      </x:c>
      <x:c r="J98" s="56" t="str">
        <x:v>On Hold</x:v>
      </x:c>
      <x:c r="K98" s="56" t="str">
        <x:v>Rejected</x:v>
      </x:c>
      <x:c r="L98" s="56" t="str">
        <x:f>IF(COUNTIFS($B:$B,B98,$C:$C,C98,$I:$I,I98)&gt;1,"Duplicate Risk","OK")</x:f>
        <x:v>OK</x:v>
      </x:c>
      <x:c r="M98" s="56" t="str">
        <x:f>IF(D98="","Missing PO","Matched")</x:f>
        <x:v>Missing PO</x:v>
      </x:c>
      <x:c r="N98" s="56" t="str">
        <x:f>IF(ABS(H98-G98*0.13)&lt;=1,"OK","Review Tax")</x:f>
        <x:v>OK</x:v>
      </x:c>
      <x:c r="O98" s="56" t="n">
        <x:f>IF(J98="Paid",0,MAX(0,TODAY()-F98))</x:f>
        <x:v>0</x:v>
      </x:c>
      <x:c r="P98" s="56" t="str">
        <x:f>IF(OR(L98="Duplicate Risk",M98="Missing PO",N98="Review Tax",O98&gt;30,K98&lt;&gt;"Approved"),"High","Low")</x:f>
        <x:v>High</x:v>
      </x:c>
      <x:c r="Q98" s="57" t="str">
        <x:f>TEXTJOIN("; ",TRUE,IF(L98="Duplicate Risk","Duplicate risk",""),IF(M98="Missing PO","Missing PO",""),IF(N98="Review Tax","Tax variance",""),IF(O98&gt;0,"Overdue",""),IF(K98&lt;&gt;"Approved","Approval issue",""))</x:f>
        <x:v>Missing PO; Approval issue</x:v>
      </x:c>
    </x:row>
    <x:row r="99">
      <x:c r="A99" s="55" t="str">
        <x:v>AP-0098</x:v>
      </x:c>
      <x:c r="B99" s="56" t="str">
        <x:v>Vendor 29</x:v>
      </x:c>
      <x:c r="C99" s="56" t="str">
        <x:v>INV-33972</x:v>
      </x:c>
      <x:c r="D99" s="56" t="str">
        <x:v>PO-1082</x:v>
      </x:c>
      <x:c r="E99" s="76" t="n">
        <x:v>46161</x:v>
      </x:c>
      <x:c r="F99" s="76" t="n">
        <x:v>46206</x:v>
      </x:c>
      <x:c r="G99" s="80" t="n">
        <x:v>10069.3</x:v>
      </x:c>
      <x:c r="H99" s="80" t="n">
        <x:v>1309.01</x:v>
      </x:c>
      <x:c r="I99" s="80" t="n">
        <x:f>G99+H99</x:f>
        <x:v>11378.31</x:v>
      </x:c>
      <x:c r="J99" s="56" t="str">
        <x:v>On Hold</x:v>
      </x:c>
      <x:c r="K99" s="56" t="str">
        <x:v>Approved</x:v>
      </x:c>
      <x:c r="L99" s="56" t="str">
        <x:f>IF(COUNTIFS($B:$B,B99,$C:$C,C99,$I:$I,I99)&gt;1,"Duplicate Risk","OK")</x:f>
        <x:v>OK</x:v>
      </x:c>
      <x:c r="M99" s="56" t="str">
        <x:f>IF(D99="","Missing PO","Matched")</x:f>
        <x:v>Matched</x:v>
      </x:c>
      <x:c r="N99" s="56" t="str">
        <x:f>IF(ABS(H99-G99*0.13)&lt;=1,"OK","Review Tax")</x:f>
        <x:v>OK</x:v>
      </x:c>
      <x:c r="O99" s="56" t="n">
        <x:f>IF(J99="Paid",0,MAX(0,TODAY()-F99))</x:f>
        <x:v>0</x:v>
      </x:c>
      <x:c r="P99" s="56" t="str">
        <x:f>IF(OR(L99="Duplicate Risk",M99="Missing PO",N99="Review Tax",O99&gt;30,K99&lt;&gt;"Approved"),"High","Low")</x:f>
        <x:v>Low</x:v>
      </x:c>
      <x:c r="Q99" s="57" t="str">
        <x:f>TEXTJOIN("; ",TRUE,IF(L99="Duplicate Risk","Duplicate risk",""),IF(M99="Missing PO","Missing PO",""),IF(N99="Review Tax","Tax variance",""),IF(O99&gt;0,"Overdue",""),IF(K99&lt;&gt;"Approved","Approval issue",""))</x:f>
      </x:c>
    </x:row>
    <x:row r="100">
      <x:c r="A100" s="55" t="str">
        <x:v>AP-0099</x:v>
      </x:c>
      <x:c r="B100" s="56" t="str">
        <x:v>Vendor 30</x:v>
      </x:c>
      <x:c r="C100" s="56" t="str">
        <x:v>INV-45203</x:v>
      </x:c>
      <x:c r="D100" s="56" t="str">
        <x:v>PO-1044</x:v>
      </x:c>
      <x:c r="E100" s="76" t="n">
        <x:v>46195</x:v>
      </x:c>
      <x:c r="F100" s="76" t="n">
        <x:v>46225</x:v>
      </x:c>
      <x:c r="G100" s="80" t="n">
        <x:v>9418.33</x:v>
      </x:c>
      <x:c r="H100" s="80" t="n">
        <x:v>1230.66</x:v>
      </x:c>
      <x:c r="I100" s="80" t="n">
        <x:f>G100+H100</x:f>
        <x:v>10648.99</x:v>
      </x:c>
      <x:c r="J100" s="56" t="str">
        <x:v>On Hold</x:v>
      </x:c>
      <x:c r="K100" s="56" t="str">
        <x:v>Approved</x:v>
      </x:c>
      <x:c r="L100" s="56" t="str">
        <x:f>IF(COUNTIFS($B:$B,B100,$C:$C,C100,$I:$I,I100)&gt;1,"Duplicate Risk","OK")</x:f>
        <x:v>OK</x:v>
      </x:c>
      <x:c r="M100" s="56" t="str">
        <x:f>IF(D100="","Missing PO","Matched")</x:f>
        <x:v>Matched</x:v>
      </x:c>
      <x:c r="N100" s="56" t="str">
        <x:f>IF(ABS(H100-G100*0.13)&lt;=1,"OK","Review Tax")</x:f>
        <x:v>Review Tax</x:v>
      </x:c>
      <x:c r="O100" s="56" t="n">
        <x:f>IF(J100="Paid",0,MAX(0,TODAY()-F100))</x:f>
        <x:v>0</x:v>
      </x:c>
      <x:c r="P100" s="56" t="str">
        <x:f>IF(OR(L100="Duplicate Risk",M100="Missing PO",N100="Review Tax",O100&gt;30,K100&lt;&gt;"Approved"),"High","Low")</x:f>
        <x:v>High</x:v>
      </x:c>
      <x:c r="Q100" s="57" t="str">
        <x:f>TEXTJOIN("; ",TRUE,IF(L100="Duplicate Risk","Duplicate risk",""),IF(M100="Missing PO","Missing PO",""),IF(N100="Review Tax","Tax variance",""),IF(O100&gt;0,"Overdue",""),IF(K100&lt;&gt;"Approved","Approval issue",""))</x:f>
        <x:v>Tax variance</x:v>
      </x:c>
    </x:row>
    <x:row r="101">
      <x:c r="A101" s="55" t="str">
        <x:v>AP-0100</x:v>
      </x:c>
      <x:c r="B101" s="56" t="str">
        <x:v>Vendor 6</x:v>
      </x:c>
      <x:c r="C101" s="56" t="str">
        <x:v>INV-31983</x:v>
      </x:c>
      <x:c r="D101" s="56" t="str">
        <x:v>PO-1019</x:v>
      </x:c>
      <x:c r="E101" s="76" t="n">
        <x:v>46165</x:v>
      </x:c>
      <x:c r="F101" s="76" t="n">
        <x:v>46180</x:v>
      </x:c>
      <x:c r="G101" s="80" t="n">
        <x:v>11579.34</x:v>
      </x:c>
      <x:c r="H101" s="80" t="n">
        <x:v>1505.31</x:v>
      </x:c>
      <x:c r="I101" s="80" t="n">
        <x:f>G101+H101</x:f>
        <x:v>13084.65</x:v>
      </x:c>
      <x:c r="J101" s="56" t="str">
        <x:v>On Hold</x:v>
      </x:c>
      <x:c r="K101" s="56" t="str">
        <x:v>Pending</x:v>
      </x:c>
      <x:c r="L101" s="56" t="str">
        <x:f>IF(COUNTIFS($B:$B,B101,$C:$C,C101,$I:$I,I101)&gt;1,"Duplicate Risk","OK")</x:f>
        <x:v>OK</x:v>
      </x:c>
      <x:c r="M101" s="56" t="str">
        <x:f>IF(D101="","Missing PO","Matched")</x:f>
        <x:v>Matched</x:v>
      </x:c>
      <x:c r="N101" s="56" t="str">
        <x:f>IF(ABS(H101-G101*0.13)&lt;=1,"OK","Review Tax")</x:f>
        <x:v>OK</x:v>
      </x:c>
      <x:c r="O101" s="56" t="n">
        <x:f>IF(J101="Paid",0,MAX(0,TODAY()-F101))</x:f>
        <x:v>22</x:v>
      </x:c>
      <x:c r="P101" s="56" t="str">
        <x:f>IF(OR(L101="Duplicate Risk",M101="Missing PO",N101="Review Tax",O101&gt;30,K101&lt;&gt;"Approved"),"High","Low")</x:f>
        <x:v>High</x:v>
      </x:c>
      <x:c r="Q101" s="57" t="str">
        <x:f>TEXTJOIN("; ",TRUE,IF(L101="Duplicate Risk","Duplicate risk",""),IF(M101="Missing PO","Missing PO",""),IF(N101="Review Tax","Tax variance",""),IF(O101&gt;0,"Overdue",""),IF(K101&lt;&gt;"Approved","Approval issue",""))</x:f>
        <x:v>Overdue; Approval issue</x:v>
      </x:c>
    </x:row>
    <x:row r="102">
      <x:c r="A102" s="55" t="str">
        <x:v>AP-0101</x:v>
      </x:c>
      <x:c r="B102" s="56" t="str">
        <x:v>Vendor 2</x:v>
      </x:c>
      <x:c r="C102" s="56" t="str">
        <x:v>INV-39649</x:v>
      </x:c>
      <x:c r="D102" s="56" t="str">
        <x:v>PO-1019</x:v>
      </x:c>
      <x:c r="E102" s="76" t="n">
        <x:v>46154</x:v>
      </x:c>
      <x:c r="F102" s="76" t="n">
        <x:v>46184</x:v>
      </x:c>
      <x:c r="G102" s="80" t="n">
        <x:v>8418.15</x:v>
      </x:c>
      <x:c r="H102" s="80" t="n">
        <x:v>1091.2</x:v>
      </x:c>
      <x:c r="I102" s="80" t="n">
        <x:f>G102+H102</x:f>
        <x:v>9509.35</x:v>
      </x:c>
      <x:c r="J102" s="56" t="str">
        <x:v>Paid</x:v>
      </x:c>
      <x:c r="K102" s="56" t="str">
        <x:v>Approved</x:v>
      </x:c>
      <x:c r="L102" s="56" t="str">
        <x:f>IF(COUNTIFS($B:$B,B102,$C:$C,C102,$I:$I,I102)&gt;1,"Duplicate Risk","OK")</x:f>
        <x:v>OK</x:v>
      </x:c>
      <x:c r="M102" s="56" t="str">
        <x:f>IF(D102="","Missing PO","Matched")</x:f>
        <x:v>Matched</x:v>
      </x:c>
      <x:c r="N102" s="56" t="str">
        <x:f>IF(ABS(H102-G102*0.13)&lt;=1,"OK","Review Tax")</x:f>
        <x:v>Review Tax</x:v>
      </x:c>
      <x:c r="O102" s="56" t="n">
        <x:f>IF(J102="Paid",0,MAX(0,TODAY()-F102))</x:f>
        <x:v>0</x:v>
      </x:c>
      <x:c r="P102" s="56" t="str">
        <x:f>IF(OR(L102="Duplicate Risk",M102="Missing PO",N102="Review Tax",O102&gt;30,K102&lt;&gt;"Approved"),"High","Low")</x:f>
        <x:v>High</x:v>
      </x:c>
      <x:c r="Q102" s="57" t="str">
        <x:f>TEXTJOIN("; ",TRUE,IF(L102="Duplicate Risk","Duplicate risk",""),IF(M102="Missing PO","Missing PO",""),IF(N102="Review Tax","Tax variance",""),IF(O102&gt;0,"Overdue",""),IF(K102&lt;&gt;"Approved","Approval issue",""))</x:f>
        <x:v>Tax variance</x:v>
      </x:c>
    </x:row>
    <x:row r="103">
      <x:c r="A103" s="55" t="str">
        <x:v>AP-0102</x:v>
      </x:c>
      <x:c r="B103" s="56" t="str">
        <x:v>Vendor 27</x:v>
      </x:c>
      <x:c r="C103" s="56" t="str">
        <x:v>INV-29914</x:v>
      </x:c>
      <x:c r="D103" s="56" t="str">
        <x:v>PO-1091</x:v>
      </x:c>
      <x:c r="E103" s="76" t="n">
        <x:v>46184</x:v>
      </x:c>
      <x:c r="F103" s="76" t="n">
        <x:v>46214</x:v>
      </x:c>
      <x:c r="G103" s="80" t="n">
        <x:v>1872.13</x:v>
      </x:c>
      <x:c r="H103" s="80" t="n">
        <x:v>249.99</x:v>
      </x:c>
      <x:c r="I103" s="80" t="n">
        <x:f>G103+H103</x:f>
        <x:v>2122.12</x:v>
      </x:c>
      <x:c r="J103" s="56" t="str">
        <x:v>Paid</x:v>
      </x:c>
      <x:c r="K103" s="56" t="str">
        <x:v>Approved</x:v>
      </x:c>
      <x:c r="L103" s="56" t="str">
        <x:f>IF(COUNTIFS($B:$B,B103,$C:$C,C103,$I:$I,I103)&gt;1,"Duplicate Risk","OK")</x:f>
        <x:v>OK</x:v>
      </x:c>
      <x:c r="M103" s="56" t="str">
        <x:f>IF(D103="","Missing PO","Matched")</x:f>
        <x:v>Matched</x:v>
      </x:c>
      <x:c r="N103" s="56" t="str">
        <x:f>IF(ABS(H103-G103*0.13)&lt;=1,"OK","Review Tax")</x:f>
        <x:v>Review Tax</x:v>
      </x:c>
      <x:c r="O103" s="56" t="n">
        <x:f>IF(J103="Paid",0,MAX(0,TODAY()-F103))</x:f>
        <x:v>0</x:v>
      </x:c>
      <x:c r="P103" s="56" t="str">
        <x:f>IF(OR(L103="Duplicate Risk",M103="Missing PO",N103="Review Tax",O103&gt;30,K103&lt;&gt;"Approved"),"High","Low")</x:f>
        <x:v>High</x:v>
      </x:c>
      <x:c r="Q103" s="57" t="str">
        <x:f>TEXTJOIN("; ",TRUE,IF(L103="Duplicate Risk","Duplicate risk",""),IF(M103="Missing PO","Missing PO",""),IF(N103="Review Tax","Tax variance",""),IF(O103&gt;0,"Overdue",""),IF(K103&lt;&gt;"Approved","Approval issue",""))</x:f>
        <x:v>Tax variance</x:v>
      </x:c>
    </x:row>
    <x:row r="104">
      <x:c r="A104" s="55" t="str">
        <x:v>AP-0103</x:v>
      </x:c>
      <x:c r="B104" s="56" t="str">
        <x:v>Vendor 22</x:v>
      </x:c>
      <x:c r="C104" s="56" t="str">
        <x:v>INV-20302</x:v>
      </x:c>
      <x:c r="D104" s="56" t="str">
        <x:v>PO-1073</x:v>
      </x:c>
      <x:c r="E104" s="76" t="n">
        <x:v>46157</x:v>
      </x:c>
      <x:c r="F104" s="76" t="n">
        <x:v>46172</x:v>
      </x:c>
      <x:c r="G104" s="80" t="n">
        <x:v>7178.22</x:v>
      </x:c>
      <x:c r="H104" s="80" t="n">
        <x:v>929.95</x:v>
      </x:c>
      <x:c r="I104" s="80" t="n">
        <x:f>G104+H104</x:f>
        <x:v>8108.17</x:v>
      </x:c>
      <x:c r="J104" s="56" t="str">
        <x:v>Unpaid</x:v>
      </x:c>
      <x:c r="K104" s="56" t="str">
        <x:v>Rejected</x:v>
      </x:c>
      <x:c r="L104" s="56" t="str">
        <x:f>IF(COUNTIFS($B:$B,B104,$C:$C,C104,$I:$I,I104)&gt;1,"Duplicate Risk","OK")</x:f>
        <x:v>OK</x:v>
      </x:c>
      <x:c r="M104" s="56" t="str">
        <x:f>IF(D104="","Missing PO","Matched")</x:f>
        <x:v>Matched</x:v>
      </x:c>
      <x:c r="N104" s="56" t="str">
        <x:f>IF(ABS(H104-G104*0.13)&lt;=1,"OK","Review Tax")</x:f>
        <x:v>Review Tax</x:v>
      </x:c>
      <x:c r="O104" s="56" t="n">
        <x:f>IF(J104="Paid",0,MAX(0,TODAY()-F104))</x:f>
        <x:v>30</x:v>
      </x:c>
      <x:c r="P104" s="56" t="str">
        <x:f>IF(OR(L104="Duplicate Risk",M104="Missing PO",N104="Review Tax",O104&gt;30,K104&lt;&gt;"Approved"),"High","Low")</x:f>
        <x:v>High</x:v>
      </x:c>
      <x:c r="Q104" s="57" t="str">
        <x:f>TEXTJOIN("; ",TRUE,IF(L104="Duplicate Risk","Duplicate risk",""),IF(M104="Missing PO","Missing PO",""),IF(N104="Review Tax","Tax variance",""),IF(O104&gt;0,"Overdue",""),IF(K104&lt;&gt;"Approved","Approval issue",""))</x:f>
        <x:v>Tax variance; Overdue; Approval issue</x:v>
      </x:c>
    </x:row>
    <x:row r="105">
      <x:c r="A105" s="55" t="str">
        <x:v>AP-0104</x:v>
      </x:c>
      <x:c r="B105" s="56" t="str">
        <x:v>Vendor 15</x:v>
      </x:c>
      <x:c r="C105" s="56" t="str">
        <x:v>INV-43999</x:v>
      </x:c>
      <x:c r="D105" s="56" t="str">
        <x:v>PO-1080</x:v>
      </x:c>
      <x:c r="E105" s="76" t="n">
        <x:v>46182</x:v>
      </x:c>
      <x:c r="F105" s="76" t="n">
        <x:v>46197</x:v>
      </x:c>
      <x:c r="G105" s="80" t="n">
        <x:v>7214.87</x:v>
      </x:c>
      <x:c r="H105" s="80" t="n">
        <x:v>937.93</x:v>
      </x:c>
      <x:c r="I105" s="80" t="n">
        <x:f>G105+H105</x:f>
        <x:v>8152.8</x:v>
      </x:c>
      <x:c r="J105" s="56" t="str">
        <x:v>Unpaid</x:v>
      </x:c>
      <x:c r="K105" s="56" t="str">
        <x:v>Approved</x:v>
      </x:c>
      <x:c r="L105" s="56" t="str">
        <x:f>IF(COUNTIFS($B:$B,B105,$C:$C,C105,$I:$I,I105)&gt;1,"Duplicate Risk","OK")</x:f>
        <x:v>OK</x:v>
      </x:c>
      <x:c r="M105" s="56" t="str">
        <x:f>IF(D105="","Missing PO","Matched")</x:f>
        <x:v>Matched</x:v>
      </x:c>
      <x:c r="N105" s="56" t="str">
        <x:f>IF(ABS(H105-G105*0.13)&lt;=1,"OK","Review Tax")</x:f>
        <x:v>OK</x:v>
      </x:c>
      <x:c r="O105" s="56" t="n">
        <x:f>IF(J105="Paid",0,MAX(0,TODAY()-F105))</x:f>
        <x:v>5</x:v>
      </x:c>
      <x:c r="P105" s="56" t="str">
        <x:f>IF(OR(L105="Duplicate Risk",M105="Missing PO",N105="Review Tax",O105&gt;30,K105&lt;&gt;"Approved"),"High","Low")</x:f>
        <x:v>Low</x:v>
      </x:c>
      <x:c r="Q105" s="57" t="str">
        <x:f>TEXTJOIN("; ",TRUE,IF(L105="Duplicate Risk","Duplicate risk",""),IF(M105="Missing PO","Missing PO",""),IF(N105="Review Tax","Tax variance",""),IF(O105&gt;0,"Overdue",""),IF(K105&lt;&gt;"Approved","Approval issue",""))</x:f>
        <x:v>Overdue</x:v>
      </x:c>
    </x:row>
    <x:row r="106">
      <x:c r="A106" s="55" t="str">
        <x:v>AP-0105</x:v>
      </x:c>
      <x:c r="B106" s="56" t="str">
        <x:v>Vendor 16</x:v>
      </x:c>
      <x:c r="C106" s="56" t="str">
        <x:v>INV-46436</x:v>
      </x:c>
      <x:c r="D106" s="56" t="str"/>
      <x:c r="E106" s="76" t="n">
        <x:v>46173</x:v>
      </x:c>
      <x:c r="F106" s="76" t="n">
        <x:v>46203</x:v>
      </x:c>
      <x:c r="G106" s="80" t="n">
        <x:v>8920.08</x:v>
      </x:c>
      <x:c r="H106" s="80" t="n">
        <x:v>1152.44</x:v>
      </x:c>
      <x:c r="I106" s="80" t="n">
        <x:f>G106+H106</x:f>
        <x:v>10072.52</x:v>
      </x:c>
      <x:c r="J106" s="56" t="str">
        <x:v>Paid</x:v>
      </x:c>
      <x:c r="K106" s="56" t="str">
        <x:v>Rejected</x:v>
      </x:c>
      <x:c r="L106" s="56" t="str">
        <x:f>IF(COUNTIFS($B:$B,B106,$C:$C,C106,$I:$I,I106)&gt;1,"Duplicate Risk","OK")</x:f>
        <x:v>OK</x:v>
      </x:c>
      <x:c r="M106" s="56" t="str">
        <x:f>IF(D106="","Missing PO","Matched")</x:f>
        <x:v>Missing PO</x:v>
      </x:c>
      <x:c r="N106" s="56" t="str">
        <x:f>IF(ABS(H106-G106*0.13)&lt;=1,"OK","Review Tax")</x:f>
        <x:v>Review Tax</x:v>
      </x:c>
      <x:c r="O106" s="56" t="n">
        <x:f>IF(J106="Paid",0,MAX(0,TODAY()-F106))</x:f>
        <x:v>0</x:v>
      </x:c>
      <x:c r="P106" s="56" t="str">
        <x:f>IF(OR(L106="Duplicate Risk",M106="Missing PO",N106="Review Tax",O106&gt;30,K106&lt;&gt;"Approved"),"High","Low")</x:f>
        <x:v>High</x:v>
      </x:c>
      <x:c r="Q106" s="57" t="str">
        <x:f>TEXTJOIN("; ",TRUE,IF(L106="Duplicate Risk","Duplicate risk",""),IF(M106="Missing PO","Missing PO",""),IF(N106="Review Tax","Tax variance",""),IF(O106&gt;0,"Overdue",""),IF(K106&lt;&gt;"Approved","Approval issue",""))</x:f>
        <x:v>Missing PO; Tax variance; Approval issue</x:v>
      </x:c>
    </x:row>
    <x:row r="107">
      <x:c r="A107" s="55" t="str">
        <x:v>AP-0106</x:v>
      </x:c>
      <x:c r="B107" s="56" t="str">
        <x:v>Vendor 2</x:v>
      </x:c>
      <x:c r="C107" s="56" t="str">
        <x:v>INV-32511</x:v>
      </x:c>
      <x:c r="D107" s="56" t="str"/>
      <x:c r="E107" s="76" t="n">
        <x:v>46170</x:v>
      </x:c>
      <x:c r="F107" s="76" t="n">
        <x:v>46200</x:v>
      </x:c>
      <x:c r="G107" s="80" t="n">
        <x:v>7376.64</x:v>
      </x:c>
      <x:c r="H107" s="80" t="n">
        <x:v>958.96</x:v>
      </x:c>
      <x:c r="I107" s="80" t="n">
        <x:f>G107+H107</x:f>
        <x:v>8335.6</x:v>
      </x:c>
      <x:c r="J107" s="56" t="str">
        <x:v>Unpaid</x:v>
      </x:c>
      <x:c r="K107" s="56" t="str">
        <x:v>Rejected</x:v>
      </x:c>
      <x:c r="L107" s="56" t="str">
        <x:f>IF(COUNTIFS($B:$B,B107,$C:$C,C107,$I:$I,I107)&gt;1,"Duplicate Risk","OK")</x:f>
        <x:v>OK</x:v>
      </x:c>
      <x:c r="M107" s="56" t="str">
        <x:f>IF(D107="","Missing PO","Matched")</x:f>
        <x:v>Missing PO</x:v>
      </x:c>
      <x:c r="N107" s="56" t="str">
        <x:f>IF(ABS(H107-G107*0.13)&lt;=1,"OK","Review Tax")</x:f>
        <x:v>OK</x:v>
      </x:c>
      <x:c r="O107" s="56" t="n">
        <x:f>IF(J107="Paid",0,MAX(0,TODAY()-F107))</x:f>
        <x:v>2</x:v>
      </x:c>
      <x:c r="P107" s="56" t="str">
        <x:f>IF(OR(L107="Duplicate Risk",M107="Missing PO",N107="Review Tax",O107&gt;30,K107&lt;&gt;"Approved"),"High","Low")</x:f>
        <x:v>High</x:v>
      </x:c>
      <x:c r="Q107" s="57" t="str">
        <x:f>TEXTJOIN("; ",TRUE,IF(L107="Duplicate Risk","Duplicate risk",""),IF(M107="Missing PO","Missing PO",""),IF(N107="Review Tax","Tax variance",""),IF(O107&gt;0,"Overdue",""),IF(K107&lt;&gt;"Approved","Approval issue",""))</x:f>
        <x:v>Missing PO; Overdue; Approval issue</x:v>
      </x:c>
    </x:row>
    <x:row r="108">
      <x:c r="A108" s="55" t="str">
        <x:v>AP-0107</x:v>
      </x:c>
      <x:c r="B108" s="56" t="str">
        <x:v>Vendor 18</x:v>
      </x:c>
      <x:c r="C108" s="56" t="str">
        <x:v>INV-24706</x:v>
      </x:c>
      <x:c r="D108" s="56" t="str">
        <x:v>PO-1082</x:v>
      </x:c>
      <x:c r="E108" s="76" t="n">
        <x:v>46172</x:v>
      </x:c>
      <x:c r="F108" s="76" t="n">
        <x:v>46217</x:v>
      </x:c>
      <x:c r="G108" s="80" t="n">
        <x:v>2979.25</x:v>
      </x:c>
      <x:c r="H108" s="80" t="n">
        <x:v>387.3</x:v>
      </x:c>
      <x:c r="I108" s="80" t="n">
        <x:f>G108+H108</x:f>
        <x:v>3366.55</x:v>
      </x:c>
      <x:c r="J108" s="56" t="str">
        <x:v>Paid</x:v>
      </x:c>
      <x:c r="K108" s="56" t="str">
        <x:v>Approved</x:v>
      </x:c>
      <x:c r="L108" s="56" t="str">
        <x:f>IF(COUNTIFS($B:$B,B108,$C:$C,C108,$I:$I,I108)&gt;1,"Duplicate Risk","OK")</x:f>
        <x:v>OK</x:v>
      </x:c>
      <x:c r="M108" s="56" t="str">
        <x:f>IF(D108="","Missing PO","Matched")</x:f>
        <x:v>Matched</x:v>
      </x:c>
      <x:c r="N108" s="56" t="str">
        <x:f>IF(ABS(H108-G108*0.13)&lt;=1,"OK","Review Tax")</x:f>
        <x:v>OK</x:v>
      </x:c>
      <x:c r="O108" s="56" t="n">
        <x:f>IF(J108="Paid",0,MAX(0,TODAY()-F108))</x:f>
        <x:v>0</x:v>
      </x:c>
      <x:c r="P108" s="56" t="str">
        <x:f>IF(OR(L108="Duplicate Risk",M108="Missing PO",N108="Review Tax",O108&gt;30,K108&lt;&gt;"Approved"),"High","Low")</x:f>
        <x:v>Low</x:v>
      </x:c>
      <x:c r="Q108" s="57" t="str">
        <x:f>TEXTJOIN("; ",TRUE,IF(L108="Duplicate Risk","Duplicate risk",""),IF(M108="Missing PO","Missing PO",""),IF(N108="Review Tax","Tax variance",""),IF(O108&gt;0,"Overdue",""),IF(K108&lt;&gt;"Approved","Approval issue",""))</x:f>
      </x:c>
    </x:row>
    <x:row r="109">
      <x:c r="A109" s="55" t="str">
        <x:v>AP-0108</x:v>
      </x:c>
      <x:c r="B109" s="56" t="str">
        <x:v>Vendor 15</x:v>
      </x:c>
      <x:c r="C109" s="56" t="str">
        <x:v>INV-44053</x:v>
      </x:c>
      <x:c r="D109" s="56" t="str"/>
      <x:c r="E109" s="76" t="n">
        <x:v>46188</x:v>
      </x:c>
      <x:c r="F109" s="76" t="n">
        <x:v>46233</x:v>
      </x:c>
      <x:c r="G109" s="80" t="n">
        <x:v>6895.28</x:v>
      </x:c>
      <x:c r="H109" s="80" t="n">
        <x:v>893.3</x:v>
      </x:c>
      <x:c r="I109" s="80" t="n">
        <x:f>G109+H109</x:f>
        <x:v>7788.58</x:v>
      </x:c>
      <x:c r="J109" s="56" t="str">
        <x:v>On Hold</x:v>
      </x:c>
      <x:c r="K109" s="56" t="str">
        <x:v>Rejected</x:v>
      </x:c>
      <x:c r="L109" s="56" t="str">
        <x:f>IF(COUNTIFS($B:$B,B109,$C:$C,C109,$I:$I,I109)&gt;1,"Duplicate Risk","OK")</x:f>
        <x:v>Duplicate Risk</x:v>
      </x:c>
      <x:c r="M109" s="56" t="str">
        <x:f>IF(D109="","Missing PO","Matched")</x:f>
        <x:v>Missing PO</x:v>
      </x:c>
      <x:c r="N109" s="56" t="str">
        <x:f>IF(ABS(H109-G109*0.13)&lt;=1,"OK","Review Tax")</x:f>
        <x:v>Review Tax</x:v>
      </x:c>
      <x:c r="O109" s="56" t="n">
        <x:f>IF(J109="Paid",0,MAX(0,TODAY()-F109))</x:f>
        <x:v>0</x:v>
      </x:c>
      <x:c r="P109" s="56" t="str">
        <x:f>IF(OR(L109="Duplicate Risk",M109="Missing PO",N109="Review Tax",O109&gt;30,K109&lt;&gt;"Approved"),"High","Low")</x:f>
        <x:v>High</x:v>
      </x:c>
      <x:c r="Q109" s="57" t="str">
        <x:f>TEXTJOIN("; ",TRUE,IF(L109="Duplicate Risk","Duplicate risk",""),IF(M109="Missing PO","Missing PO",""),IF(N109="Review Tax","Tax variance",""),IF(O109&gt;0,"Overdue",""),IF(K109&lt;&gt;"Approved","Approval issue",""))</x:f>
        <x:v>Duplicate risk; Missing PO; Tax variance; Approval issue</x:v>
      </x:c>
    </x:row>
    <x:row r="110">
      <x:c r="A110" s="55" t="str">
        <x:v>AP-0109</x:v>
      </x:c>
      <x:c r="B110" s="56" t="str">
        <x:v>Vendor 3</x:v>
      </x:c>
      <x:c r="C110" s="56" t="str">
        <x:v>INV-36581</x:v>
      </x:c>
      <x:c r="D110" s="56" t="str"/>
      <x:c r="E110" s="76" t="n">
        <x:v>46146</x:v>
      </x:c>
      <x:c r="F110" s="76" t="n">
        <x:v>46191</x:v>
      </x:c>
      <x:c r="G110" s="80" t="n">
        <x:v>6228.11</x:v>
      </x:c>
      <x:c r="H110" s="80" t="n">
        <x:v>807.03</x:v>
      </x:c>
      <x:c r="I110" s="80" t="n">
        <x:f>G110+H110</x:f>
        <x:v>7035.139999999999</x:v>
      </x:c>
      <x:c r="J110" s="56" t="str">
        <x:v>Unpaid</x:v>
      </x:c>
      <x:c r="K110" s="56" t="str">
        <x:v>Pending</x:v>
      </x:c>
      <x:c r="L110" s="56" t="str">
        <x:f>IF(COUNTIFS($B:$B,B110,$C:$C,C110,$I:$I,I110)&gt;1,"Duplicate Risk","OK")</x:f>
        <x:v>OK</x:v>
      </x:c>
      <x:c r="M110" s="56" t="str">
        <x:f>IF(D110="","Missing PO","Matched")</x:f>
        <x:v>Missing PO</x:v>
      </x:c>
      <x:c r="N110" s="56" t="str">
        <x:f>IF(ABS(H110-G110*0.13)&lt;=1,"OK","Review Tax")</x:f>
        <x:v>Review Tax</x:v>
      </x:c>
      <x:c r="O110" s="56" t="n">
        <x:f>IF(J110="Paid",0,MAX(0,TODAY()-F110))</x:f>
        <x:v>11</x:v>
      </x:c>
      <x:c r="P110" s="56" t="str">
        <x:f>IF(OR(L110="Duplicate Risk",M110="Missing PO",N110="Review Tax",O110&gt;30,K110&lt;&gt;"Approved"),"High","Low")</x:f>
        <x:v>High</x:v>
      </x:c>
      <x:c r="Q110" s="57" t="str">
        <x:f>TEXTJOIN("; ",TRUE,IF(L110="Duplicate Risk","Duplicate risk",""),IF(M110="Missing PO","Missing PO",""),IF(N110="Review Tax","Tax variance",""),IF(O110&gt;0,"Overdue",""),IF(K110&lt;&gt;"Approved","Approval issue",""))</x:f>
        <x:v>Missing PO; Tax variance; Overdue; Approval issue</x:v>
      </x:c>
    </x:row>
    <x:row r="111">
      <x:c r="A111" s="55" t="str">
        <x:v>AP-0110</x:v>
      </x:c>
      <x:c r="B111" s="56" t="str">
        <x:v>Vendor 30</x:v>
      </x:c>
      <x:c r="C111" s="56" t="str">
        <x:v>INV-24561</x:v>
      </x:c>
      <x:c r="D111" s="56" t="str"/>
      <x:c r="E111" s="76" t="n">
        <x:v>46156</x:v>
      </x:c>
      <x:c r="F111" s="76" t="n">
        <x:v>46186</x:v>
      </x:c>
      <x:c r="G111" s="80" t="n">
        <x:v>7492.61</x:v>
      </x:c>
      <x:c r="H111" s="80" t="n">
        <x:v>974.04</x:v>
      </x:c>
      <x:c r="I111" s="80" t="n">
        <x:f>G111+H111</x:f>
        <x:v>8466.65</x:v>
      </x:c>
      <x:c r="J111" s="56" t="str">
        <x:v>On Hold</x:v>
      </x:c>
      <x:c r="K111" s="56" t="str">
        <x:v>Approved</x:v>
      </x:c>
      <x:c r="L111" s="56" t="str">
        <x:f>IF(COUNTIFS($B:$B,B111,$C:$C,C111,$I:$I,I111)&gt;1,"Duplicate Risk","OK")</x:f>
        <x:v>OK</x:v>
      </x:c>
      <x:c r="M111" s="56" t="str">
        <x:f>IF(D111="","Missing PO","Matched")</x:f>
        <x:v>Missing PO</x:v>
      </x:c>
      <x:c r="N111" s="56" t="str">
        <x:f>IF(ABS(H111-G111*0.13)&lt;=1,"OK","Review Tax")</x:f>
        <x:v>OK</x:v>
      </x:c>
      <x:c r="O111" s="56" t="n">
        <x:f>IF(J111="Paid",0,MAX(0,TODAY()-F111))</x:f>
        <x:v>16</x:v>
      </x:c>
      <x:c r="P111" s="56" t="str">
        <x:f>IF(OR(L111="Duplicate Risk",M111="Missing PO",N111="Review Tax",O111&gt;30,K111&lt;&gt;"Approved"),"High","Low")</x:f>
        <x:v>High</x:v>
      </x:c>
      <x:c r="Q111" s="57" t="str">
        <x:f>TEXTJOIN("; ",TRUE,IF(L111="Duplicate Risk","Duplicate risk",""),IF(M111="Missing PO","Missing PO",""),IF(N111="Review Tax","Tax variance",""),IF(O111&gt;0,"Overdue",""),IF(K111&lt;&gt;"Approved","Approval issue",""))</x:f>
        <x:v>Missing PO; Overdue</x:v>
      </x:c>
    </x:row>
    <x:row r="112">
      <x:c r="A112" s="55" t="str">
        <x:v>AP-0111</x:v>
      </x:c>
      <x:c r="B112" s="56" t="str">
        <x:v>Vendor 29</x:v>
      </x:c>
      <x:c r="C112" s="56" t="str">
        <x:v>INV-25667</x:v>
      </x:c>
      <x:c r="D112" s="56" t="str">
        <x:v>PO-1035</x:v>
      </x:c>
      <x:c r="E112" s="76" t="n">
        <x:v>46164</x:v>
      </x:c>
      <x:c r="F112" s="76" t="n">
        <x:v>46209</x:v>
      </x:c>
      <x:c r="G112" s="80" t="n">
        <x:v>7065.18</x:v>
      </x:c>
      <x:c r="H112" s="80" t="n">
        <x:v>912.25</x:v>
      </x:c>
      <x:c r="I112" s="80" t="n">
        <x:f>G112+H112</x:f>
        <x:v>7977.43</x:v>
      </x:c>
      <x:c r="J112" s="56" t="str">
        <x:v>Unpaid</x:v>
      </x:c>
      <x:c r="K112" s="56" t="str">
        <x:v>Rejected</x:v>
      </x:c>
      <x:c r="L112" s="56" t="str">
        <x:f>IF(COUNTIFS($B:$B,B112,$C:$C,C112,$I:$I,I112)&gt;1,"Duplicate Risk","OK")</x:f>
        <x:v>Duplicate Risk</x:v>
      </x:c>
      <x:c r="M112" s="56" t="str">
        <x:f>IF(D112="","Missing PO","Matched")</x:f>
        <x:v>Matched</x:v>
      </x:c>
      <x:c r="N112" s="56" t="str">
        <x:f>IF(ABS(H112-G112*0.13)&lt;=1,"OK","Review Tax")</x:f>
        <x:v>Review Tax</x:v>
      </x:c>
      <x:c r="O112" s="56" t="n">
        <x:f>IF(J112="Paid",0,MAX(0,TODAY()-F112))</x:f>
        <x:v>0</x:v>
      </x:c>
      <x:c r="P112" s="56" t="str">
        <x:f>IF(OR(L112="Duplicate Risk",M112="Missing PO",N112="Review Tax",O112&gt;30,K112&lt;&gt;"Approved"),"High","Low")</x:f>
        <x:v>High</x:v>
      </x:c>
      <x:c r="Q112" s="57" t="str">
        <x:f>TEXTJOIN("; ",TRUE,IF(L112="Duplicate Risk","Duplicate risk",""),IF(M112="Missing PO","Missing PO",""),IF(N112="Review Tax","Tax variance",""),IF(O112&gt;0,"Overdue",""),IF(K112&lt;&gt;"Approved","Approval issue",""))</x:f>
        <x:v>Duplicate risk; Tax variance; Approval issue</x:v>
      </x:c>
    </x:row>
    <x:row r="113">
      <x:c r="A113" s="55" t="str">
        <x:v>AP-0112</x:v>
      </x:c>
      <x:c r="B113" s="56" t="str">
        <x:v>Vendor 6</x:v>
      </x:c>
      <x:c r="C113" s="56" t="str">
        <x:v>INV-36744</x:v>
      </x:c>
      <x:c r="D113" s="56" t="str"/>
      <x:c r="E113" s="76" t="n">
        <x:v>46171</x:v>
      </x:c>
      <x:c r="F113" s="76" t="n">
        <x:v>46216</x:v>
      </x:c>
      <x:c r="G113" s="80" t="n">
        <x:v>3439.57</x:v>
      </x:c>
      <x:c r="H113" s="80" t="n">
        <x:v>450.24</x:v>
      </x:c>
      <x:c r="I113" s="80" t="n">
        <x:f>G113+H113</x:f>
        <x:v>3889.8100000000004</x:v>
      </x:c>
      <x:c r="J113" s="56" t="str">
        <x:v>Unpaid</x:v>
      </x:c>
      <x:c r="K113" s="56" t="str">
        <x:v>Rejected</x:v>
      </x:c>
      <x:c r="L113" s="56" t="str">
        <x:f>IF(COUNTIFS($B:$B,B113,$C:$C,C113,$I:$I,I113)&gt;1,"Duplicate Risk","OK")</x:f>
        <x:v>Duplicate Risk</x:v>
      </x:c>
      <x:c r="M113" s="56" t="str">
        <x:f>IF(D113="","Missing PO","Matched")</x:f>
        <x:v>Missing PO</x:v>
      </x:c>
      <x:c r="N113" s="56" t="str">
        <x:f>IF(ABS(H113-G113*0.13)&lt;=1,"OK","Review Tax")</x:f>
        <x:v>Review Tax</x:v>
      </x:c>
      <x:c r="O113" s="56" t="n">
        <x:f>IF(J113="Paid",0,MAX(0,TODAY()-F113))</x:f>
        <x:v>0</x:v>
      </x:c>
      <x:c r="P113" s="56" t="str">
        <x:f>IF(OR(L113="Duplicate Risk",M113="Missing PO",N113="Review Tax",O113&gt;30,K113&lt;&gt;"Approved"),"High","Low")</x:f>
        <x:v>High</x:v>
      </x:c>
      <x:c r="Q113" s="57" t="str">
        <x:f>TEXTJOIN("; ",TRUE,IF(L113="Duplicate Risk","Duplicate risk",""),IF(M113="Missing PO","Missing PO",""),IF(N113="Review Tax","Tax variance",""),IF(O113&gt;0,"Overdue",""),IF(K113&lt;&gt;"Approved","Approval issue",""))</x:f>
        <x:v>Duplicate risk; Missing PO; Tax variance; Approval issue</x:v>
      </x:c>
    </x:row>
    <x:row r="114">
      <x:c r="A114" s="55" t="str">
        <x:v>AP-0113</x:v>
      </x:c>
      <x:c r="B114" s="56" t="str">
        <x:v>Vendor 15</x:v>
      </x:c>
      <x:c r="C114" s="56" t="str">
        <x:v>INV-44053</x:v>
      </x:c>
      <x:c r="D114" s="56" t="str">
        <x:v>PO-1057</x:v>
      </x:c>
      <x:c r="E114" s="76" t="n">
        <x:v>46155</x:v>
      </x:c>
      <x:c r="F114" s="76" t="n">
        <x:v>46200</x:v>
      </x:c>
      <x:c r="G114" s="80" t="n">
        <x:v>6895.28</x:v>
      </x:c>
      <x:c r="H114" s="80" t="n">
        <x:v>893.3</x:v>
      </x:c>
      <x:c r="I114" s="80" t="n">
        <x:f>G114+H114</x:f>
        <x:v>7788.58</x:v>
      </x:c>
      <x:c r="J114" s="56" t="str">
        <x:v>On Hold</x:v>
      </x:c>
      <x:c r="K114" s="56" t="str">
        <x:v>Pending</x:v>
      </x:c>
      <x:c r="L114" s="56" t="str">
        <x:f>IF(COUNTIFS($B:$B,B114,$C:$C,C114,$I:$I,I114)&gt;1,"Duplicate Risk","OK")</x:f>
        <x:v>Duplicate Risk</x:v>
      </x:c>
      <x:c r="M114" s="56" t="str">
        <x:f>IF(D114="","Missing PO","Matched")</x:f>
        <x:v>Matched</x:v>
      </x:c>
      <x:c r="N114" s="56" t="str">
        <x:f>IF(ABS(H114-G114*0.13)&lt;=1,"OK","Review Tax")</x:f>
        <x:v>Review Tax</x:v>
      </x:c>
      <x:c r="O114" s="56" t="n">
        <x:f>IF(J114="Paid",0,MAX(0,TODAY()-F114))</x:f>
        <x:v>2</x:v>
      </x:c>
      <x:c r="P114" s="56" t="str">
        <x:f>IF(OR(L114="Duplicate Risk",M114="Missing PO",N114="Review Tax",O114&gt;30,K114&lt;&gt;"Approved"),"High","Low")</x:f>
        <x:v>High</x:v>
      </x:c>
      <x:c r="Q114" s="57" t="str">
        <x:f>TEXTJOIN("; ",TRUE,IF(L114="Duplicate Risk","Duplicate risk",""),IF(M114="Missing PO","Missing PO",""),IF(N114="Review Tax","Tax variance",""),IF(O114&gt;0,"Overdue",""),IF(K114&lt;&gt;"Approved","Approval issue",""))</x:f>
        <x:v>Duplicate risk; Tax variance; Overdue; Approval issue</x:v>
      </x:c>
    </x:row>
    <x:row r="115">
      <x:c r="A115" s="55" t="str">
        <x:v>AP-0114</x:v>
      </x:c>
      <x:c r="B115" s="56" t="str">
        <x:v>Vendor 13</x:v>
      </x:c>
      <x:c r="C115" s="56" t="str">
        <x:v>INV-21910</x:v>
      </x:c>
      <x:c r="D115" s="56" t="str">
        <x:v>PO-1045</x:v>
      </x:c>
      <x:c r="E115" s="76" t="n">
        <x:v>46160</x:v>
      </x:c>
      <x:c r="F115" s="76" t="n">
        <x:v>46190</x:v>
      </x:c>
      <x:c r="G115" s="80" t="n">
        <x:v>3263.99</x:v>
      </x:c>
      <x:c r="H115" s="80" t="n">
        <x:v>424.32</x:v>
      </x:c>
      <x:c r="I115" s="80" t="n">
        <x:f>G115+H115</x:f>
        <x:v>3688.31</x:v>
      </x:c>
      <x:c r="J115" s="56" t="str">
        <x:v>Unpaid</x:v>
      </x:c>
      <x:c r="K115" s="56" t="str">
        <x:v>Rejected</x:v>
      </x:c>
      <x:c r="L115" s="56" t="str">
        <x:f>IF(COUNTIFS($B:$B,B115,$C:$C,C115,$I:$I,I115)&gt;1,"Duplicate Risk","OK")</x:f>
        <x:v>OK</x:v>
      </x:c>
      <x:c r="M115" s="56" t="str">
        <x:f>IF(D115="","Missing PO","Matched")</x:f>
        <x:v>Matched</x:v>
      </x:c>
      <x:c r="N115" s="56" t="str">
        <x:f>IF(ABS(H115-G115*0.13)&lt;=1,"OK","Review Tax")</x:f>
        <x:v>OK</x:v>
      </x:c>
      <x:c r="O115" s="56" t="n">
        <x:f>IF(J115="Paid",0,MAX(0,TODAY()-F115))</x:f>
        <x:v>12</x:v>
      </x:c>
      <x:c r="P115" s="56" t="str">
        <x:f>IF(OR(L115="Duplicate Risk",M115="Missing PO",N115="Review Tax",O115&gt;30,K115&lt;&gt;"Approved"),"High","Low")</x:f>
        <x:v>High</x:v>
      </x:c>
      <x:c r="Q115" s="57" t="str">
        <x:f>TEXTJOIN("; ",TRUE,IF(L115="Duplicate Risk","Duplicate risk",""),IF(M115="Missing PO","Missing PO",""),IF(N115="Review Tax","Tax variance",""),IF(O115&gt;0,"Overdue",""),IF(K115&lt;&gt;"Approved","Approval issue",""))</x:f>
        <x:v>Overdue; Approval issue</x:v>
      </x:c>
    </x:row>
    <x:row r="116">
      <x:c r="A116" s="55" t="str">
        <x:v>AP-0115</x:v>
      </x:c>
      <x:c r="B116" s="56" t="str">
        <x:v>Vendor 4</x:v>
      </x:c>
      <x:c r="C116" s="56" t="str">
        <x:v>INV-21360</x:v>
      </x:c>
      <x:c r="D116" s="56" t="str"/>
      <x:c r="E116" s="76" t="n">
        <x:v>46163</x:v>
      </x:c>
      <x:c r="F116" s="76" t="n">
        <x:v>46193</x:v>
      </x:c>
      <x:c r="G116" s="80" t="n">
        <x:v>402.54</x:v>
      </x:c>
      <x:c r="H116" s="80" t="n">
        <x:v>55.67</x:v>
      </x:c>
      <x:c r="I116" s="80" t="n">
        <x:f>G116+H116</x:f>
        <x:v>458.21000000000004</x:v>
      </x:c>
      <x:c r="J116" s="56" t="str">
        <x:v>Unpaid</x:v>
      </x:c>
      <x:c r="K116" s="56" t="str">
        <x:v>Approved</x:v>
      </x:c>
      <x:c r="L116" s="56" t="str">
        <x:f>IF(COUNTIFS($B:$B,B116,$C:$C,C116,$I:$I,I116)&gt;1,"Duplicate Risk","OK")</x:f>
        <x:v>OK</x:v>
      </x:c>
      <x:c r="M116" s="56" t="str">
        <x:f>IF(D116="","Missing PO","Matched")</x:f>
        <x:v>Missing PO</x:v>
      </x:c>
      <x:c r="N116" s="56" t="str">
        <x:f>IF(ABS(H116-G116*0.13)&lt;=1,"OK","Review Tax")</x:f>
        <x:v>Review Tax</x:v>
      </x:c>
      <x:c r="O116" s="56" t="n">
        <x:f>IF(J116="Paid",0,MAX(0,TODAY()-F116))</x:f>
        <x:v>9</x:v>
      </x:c>
      <x:c r="P116" s="56" t="str">
        <x:f>IF(OR(L116="Duplicate Risk",M116="Missing PO",N116="Review Tax",O116&gt;30,K116&lt;&gt;"Approved"),"High","Low")</x:f>
        <x:v>High</x:v>
      </x:c>
      <x:c r="Q116" s="57" t="str">
        <x:f>TEXTJOIN("; ",TRUE,IF(L116="Duplicate Risk","Duplicate risk",""),IF(M116="Missing PO","Missing PO",""),IF(N116="Review Tax","Tax variance",""),IF(O116&gt;0,"Overdue",""),IF(K116&lt;&gt;"Approved","Approval issue",""))</x:f>
        <x:v>Missing PO; Tax variance; Overdue</x:v>
      </x:c>
    </x:row>
    <x:row r="117">
      <x:c r="A117" s="55" t="str">
        <x:v>AP-0116</x:v>
      </x:c>
      <x:c r="B117" s="56" t="str">
        <x:v>Vendor 17</x:v>
      </x:c>
      <x:c r="C117" s="56" t="str">
        <x:v>INV-42354</x:v>
      </x:c>
      <x:c r="D117" s="56" t="str">
        <x:v>PO-1017</x:v>
      </x:c>
      <x:c r="E117" s="76" t="n">
        <x:v>46173</x:v>
      </x:c>
      <x:c r="F117" s="76" t="n">
        <x:v>46188</x:v>
      </x:c>
      <x:c r="G117" s="80" t="n">
        <x:v>2177.64</x:v>
      </x:c>
      <x:c r="H117" s="80" t="n">
        <x:v>283.09</x:v>
      </x:c>
      <x:c r="I117" s="80" t="n">
        <x:f>G117+H117</x:f>
        <x:v>2460.73</x:v>
      </x:c>
      <x:c r="J117" s="56" t="str">
        <x:v>Paid</x:v>
      </x:c>
      <x:c r="K117" s="56" t="str">
        <x:v>Approved</x:v>
      </x:c>
      <x:c r="L117" s="56" t="str">
        <x:f>IF(COUNTIFS($B:$B,B117,$C:$C,C117,$I:$I,I117)&gt;1,"Duplicate Risk","OK")</x:f>
        <x:v>OK</x:v>
      </x:c>
      <x:c r="M117" s="56" t="str">
        <x:f>IF(D117="","Missing PO","Matched")</x:f>
        <x:v>Matched</x:v>
      </x:c>
      <x:c r="N117" s="56" t="str">
        <x:f>IF(ABS(H117-G117*0.13)&lt;=1,"OK","Review Tax")</x:f>
        <x:v>OK</x:v>
      </x:c>
      <x:c r="O117" s="56" t="n">
        <x:f>IF(J117="Paid",0,MAX(0,TODAY()-F117))</x:f>
        <x:v>0</x:v>
      </x:c>
      <x:c r="P117" s="56" t="str">
        <x:f>IF(OR(L117="Duplicate Risk",M117="Missing PO",N117="Review Tax",O117&gt;30,K117&lt;&gt;"Approved"),"High","Low")</x:f>
        <x:v>Low</x:v>
      </x:c>
      <x:c r="Q117" s="57" t="str">
        <x:f>TEXTJOIN("; ",TRUE,IF(L117="Duplicate Risk","Duplicate risk",""),IF(M117="Missing PO","Missing PO",""),IF(N117="Review Tax","Tax variance",""),IF(O117&gt;0,"Overdue",""),IF(K117&lt;&gt;"Approved","Approval issue",""))</x:f>
      </x:c>
    </x:row>
    <x:row r="118">
      <x:c r="A118" s="55" t="str">
        <x:v>AP-0117</x:v>
      </x:c>
      <x:c r="B118" s="56" t="str">
        <x:v>Vendor 23</x:v>
      </x:c>
      <x:c r="C118" s="56" t="str">
        <x:v>INV-30031</x:v>
      </x:c>
      <x:c r="D118" s="56" t="str"/>
      <x:c r="E118" s="76" t="n">
        <x:v>46169</x:v>
      </x:c>
      <x:c r="F118" s="76" t="n">
        <x:v>46214</x:v>
      </x:c>
      <x:c r="G118" s="80" t="n">
        <x:v>3680.13</x:v>
      </x:c>
      <x:c r="H118" s="80" t="n">
        <x:v>478.42</x:v>
      </x:c>
      <x:c r="I118" s="80" t="n">
        <x:f>G118+H118</x:f>
        <x:v>4158.55</x:v>
      </x:c>
      <x:c r="J118" s="56" t="str">
        <x:v>Unpaid</x:v>
      </x:c>
      <x:c r="K118" s="56" t="str">
        <x:v>Approved</x:v>
      </x:c>
      <x:c r="L118" s="56" t="str">
        <x:f>IF(COUNTIFS($B:$B,B118,$C:$C,C118,$I:$I,I118)&gt;1,"Duplicate Risk","OK")</x:f>
        <x:v>OK</x:v>
      </x:c>
      <x:c r="M118" s="56" t="str">
        <x:f>IF(D118="","Missing PO","Matched")</x:f>
        <x:v>Missing PO</x:v>
      </x:c>
      <x:c r="N118" s="56" t="str">
        <x:f>IF(ABS(H118-G118*0.13)&lt;=1,"OK","Review Tax")</x:f>
        <x:v>OK</x:v>
      </x:c>
      <x:c r="O118" s="56" t="n">
        <x:f>IF(J118="Paid",0,MAX(0,TODAY()-F118))</x:f>
        <x:v>0</x:v>
      </x:c>
      <x:c r="P118" s="56" t="str">
        <x:f>IF(OR(L118="Duplicate Risk",M118="Missing PO",N118="Review Tax",O118&gt;30,K118&lt;&gt;"Approved"),"High","Low")</x:f>
        <x:v>High</x:v>
      </x:c>
      <x:c r="Q118" s="57" t="str">
        <x:f>TEXTJOIN("; ",TRUE,IF(L118="Duplicate Risk","Duplicate risk",""),IF(M118="Missing PO","Missing PO",""),IF(N118="Review Tax","Tax variance",""),IF(O118&gt;0,"Overdue",""),IF(K118&lt;&gt;"Approved","Approval issue",""))</x:f>
        <x:v>Missing PO</x:v>
      </x:c>
    </x:row>
    <x:row r="119">
      <x:c r="A119" s="55" t="str">
        <x:v>AP-0118</x:v>
      </x:c>
      <x:c r="B119" s="56" t="str">
        <x:v>Vendor 19</x:v>
      </x:c>
      <x:c r="C119" s="56" t="str">
        <x:v>INV-47813</x:v>
      </x:c>
      <x:c r="D119" s="56" t="str">
        <x:v>PO-1021</x:v>
      </x:c>
      <x:c r="E119" s="76" t="n">
        <x:v>46172</x:v>
      </x:c>
      <x:c r="F119" s="76" t="n">
        <x:v>46187</x:v>
      </x:c>
      <x:c r="G119" s="80" t="n">
        <x:v>10897.67</x:v>
      </x:c>
      <x:c r="H119" s="80" t="n">
        <x:v>1417.47</x:v>
      </x:c>
      <x:c r="I119" s="80" t="n">
        <x:f>G119+H119</x:f>
        <x:v>12315.14</x:v>
      </x:c>
      <x:c r="J119" s="56" t="str">
        <x:v>Paid</x:v>
      </x:c>
      <x:c r="K119" s="56" t="str">
        <x:v>Pending</x:v>
      </x:c>
      <x:c r="L119" s="56" t="str">
        <x:f>IF(COUNTIFS($B:$B,B119,$C:$C,C119,$I:$I,I119)&gt;1,"Duplicate Risk","OK")</x:f>
        <x:v>OK</x:v>
      </x:c>
      <x:c r="M119" s="56" t="str">
        <x:f>IF(D119="","Missing PO","Matched")</x:f>
        <x:v>Matched</x:v>
      </x:c>
      <x:c r="N119" s="56" t="str">
        <x:f>IF(ABS(H119-G119*0.13)&lt;=1,"OK","Review Tax")</x:f>
        <x:v>OK</x:v>
      </x:c>
      <x:c r="O119" s="56" t="n">
        <x:f>IF(J119="Paid",0,MAX(0,TODAY()-F119))</x:f>
        <x:v>0</x:v>
      </x:c>
      <x:c r="P119" s="56" t="str">
        <x:f>IF(OR(L119="Duplicate Risk",M119="Missing PO",N119="Review Tax",O119&gt;30,K119&lt;&gt;"Approved"),"High","Low")</x:f>
        <x:v>High</x:v>
      </x:c>
      <x:c r="Q119" s="57" t="str">
        <x:f>TEXTJOIN("; ",TRUE,IF(L119="Duplicate Risk","Duplicate risk",""),IF(M119="Missing PO","Missing PO",""),IF(N119="Review Tax","Tax variance",""),IF(O119&gt;0,"Overdue",""),IF(K119&lt;&gt;"Approved","Approval issue",""))</x:f>
        <x:v>Approval issue</x:v>
      </x:c>
    </x:row>
    <x:row r="120">
      <x:c r="A120" s="55" t="str">
        <x:v>AP-0119</x:v>
      </x:c>
      <x:c r="B120" s="56" t="str">
        <x:v>Vendor 26</x:v>
      </x:c>
      <x:c r="C120" s="56" t="str">
        <x:v>INV-41935</x:v>
      </x:c>
      <x:c r="D120" s="56" t="str">
        <x:v>PO-1071</x:v>
      </x:c>
      <x:c r="E120" s="76" t="n">
        <x:v>46151</x:v>
      </x:c>
      <x:c r="F120" s="76" t="n">
        <x:v>46181</x:v>
      </x:c>
      <x:c r="G120" s="80" t="n">
        <x:v>4919.37</x:v>
      </x:c>
      <x:c r="H120" s="80" t="n">
        <x:v>639.52</x:v>
      </x:c>
      <x:c r="I120" s="80" t="n">
        <x:f>G120+H120</x:f>
        <x:v>5558.889999999999</x:v>
      </x:c>
      <x:c r="J120" s="56" t="str">
        <x:v>On Hold</x:v>
      </x:c>
      <x:c r="K120" s="56" t="str">
        <x:v>Approved</x:v>
      </x:c>
      <x:c r="L120" s="56" t="str">
        <x:f>IF(COUNTIFS($B:$B,B120,$C:$C,C120,$I:$I,I120)&gt;1,"Duplicate Risk","OK")</x:f>
        <x:v>OK</x:v>
      </x:c>
      <x:c r="M120" s="56" t="str">
        <x:f>IF(D120="","Missing PO","Matched")</x:f>
        <x:v>Matched</x:v>
      </x:c>
      <x:c r="N120" s="56" t="str">
        <x:f>IF(ABS(H120-G120*0.13)&lt;=1,"OK","Review Tax")</x:f>
        <x:v>OK</x:v>
      </x:c>
      <x:c r="O120" s="56" t="n">
        <x:f>IF(J120="Paid",0,MAX(0,TODAY()-F120))</x:f>
        <x:v>21</x:v>
      </x:c>
      <x:c r="P120" s="56" t="str">
        <x:f>IF(OR(L120="Duplicate Risk",M120="Missing PO",N120="Review Tax",O120&gt;30,K120&lt;&gt;"Approved"),"High","Low")</x:f>
        <x:v>Low</x:v>
      </x:c>
      <x:c r="Q120" s="57" t="str">
        <x:f>TEXTJOIN("; ",TRUE,IF(L120="Duplicate Risk","Duplicate risk",""),IF(M120="Missing PO","Missing PO",""),IF(N120="Review Tax","Tax variance",""),IF(O120&gt;0,"Overdue",""),IF(K120&lt;&gt;"Approved","Approval issue",""))</x:f>
        <x:v>Overdue</x:v>
      </x:c>
    </x:row>
    <x:row r="121">
      <x:c r="A121" s="55" t="str">
        <x:v>AP-0120</x:v>
      </x:c>
      <x:c r="B121" s="56" t="str">
        <x:v>Vendor 15</x:v>
      </x:c>
      <x:c r="C121" s="56" t="str">
        <x:v>INV-31116</x:v>
      </x:c>
      <x:c r="D121" s="56" t="str">
        <x:v>PO-1010</x:v>
      </x:c>
      <x:c r="E121" s="76" t="n">
        <x:v>46190</x:v>
      </x:c>
      <x:c r="F121" s="76" t="n">
        <x:v>46220</x:v>
      </x:c>
      <x:c r="G121" s="80" t="n">
        <x:v>4111.14</x:v>
      </x:c>
      <x:c r="H121" s="80" t="n">
        <x:v>537.02</x:v>
      </x:c>
      <x:c r="I121" s="80" t="n">
        <x:f>G121+H121</x:f>
        <x:v>4648.16</x:v>
      </x:c>
      <x:c r="J121" s="56" t="str">
        <x:v>Unpaid</x:v>
      </x:c>
      <x:c r="K121" s="56" t="str">
        <x:v>Rejected</x:v>
      </x:c>
      <x:c r="L121" s="56" t="str">
        <x:f>IF(COUNTIFS($B:$B,B121,$C:$C,C121,$I:$I,I121)&gt;1,"Duplicate Risk","OK")</x:f>
        <x:v>OK</x:v>
      </x:c>
      <x:c r="M121" s="56" t="str">
        <x:f>IF(D121="","Missing PO","Matched")</x:f>
        <x:v>Matched</x:v>
      </x:c>
      <x:c r="N121" s="56" t="str">
        <x:f>IF(ABS(H121-G121*0.13)&lt;=1,"OK","Review Tax")</x:f>
        <x:v>Review Tax</x:v>
      </x:c>
      <x:c r="O121" s="56" t="n">
        <x:f>IF(J121="Paid",0,MAX(0,TODAY()-F121))</x:f>
        <x:v>0</x:v>
      </x:c>
      <x:c r="P121" s="56" t="str">
        <x:f>IF(OR(L121="Duplicate Risk",M121="Missing PO",N121="Review Tax",O121&gt;30,K121&lt;&gt;"Approved"),"High","Low")</x:f>
        <x:v>High</x:v>
      </x:c>
      <x:c r="Q121" s="57" t="str">
        <x:f>TEXTJOIN("; ",TRUE,IF(L121="Duplicate Risk","Duplicate risk",""),IF(M121="Missing PO","Missing PO",""),IF(N121="Review Tax","Tax variance",""),IF(O121&gt;0,"Overdue",""),IF(K121&lt;&gt;"Approved","Approval issue",""))</x:f>
        <x:v>Tax variance; Approval issue</x:v>
      </x:c>
    </x:row>
    <x:row r="122">
      <x:c r="A122" s="55" t="str">
        <x:v>AP-0121</x:v>
      </x:c>
      <x:c r="B122" s="56" t="str">
        <x:v>Vendor 24</x:v>
      </x:c>
      <x:c r="C122" s="56" t="str">
        <x:v>INV-29277</x:v>
      </x:c>
      <x:c r="D122" s="56" t="str"/>
      <x:c r="E122" s="76" t="n">
        <x:v>46178</x:v>
      </x:c>
      <x:c r="F122" s="76" t="n">
        <x:v>46223</x:v>
      </x:c>
      <x:c r="G122" s="80" t="n">
        <x:v>420.81</x:v>
      </x:c>
      <x:c r="H122" s="80" t="n">
        <x:v>54.71</x:v>
      </x:c>
      <x:c r="I122" s="80" t="n">
        <x:f>G122+H122</x:f>
        <x:v>475.52</x:v>
      </x:c>
      <x:c r="J122" s="56" t="str">
        <x:v>Unpaid</x:v>
      </x:c>
      <x:c r="K122" s="56" t="str">
        <x:v>Pending</x:v>
      </x:c>
      <x:c r="L122" s="56" t="str">
        <x:f>IF(COUNTIFS($B:$B,B122,$C:$C,C122,$I:$I,I122)&gt;1,"Duplicate Risk","OK")</x:f>
        <x:v>OK</x:v>
      </x:c>
      <x:c r="M122" s="56" t="str">
        <x:f>IF(D122="","Missing PO","Matched")</x:f>
        <x:v>Missing PO</x:v>
      </x:c>
      <x:c r="N122" s="56" t="str">
        <x:f>IF(ABS(H122-G122*0.13)&lt;=1,"OK","Review Tax")</x:f>
        <x:v>OK</x:v>
      </x:c>
      <x:c r="O122" s="56" t="n">
        <x:f>IF(J122="Paid",0,MAX(0,TODAY()-F122))</x:f>
        <x:v>0</x:v>
      </x:c>
      <x:c r="P122" s="56" t="str">
        <x:f>IF(OR(L122="Duplicate Risk",M122="Missing PO",N122="Review Tax",O122&gt;30,K122&lt;&gt;"Approved"),"High","Low")</x:f>
        <x:v>High</x:v>
      </x:c>
      <x:c r="Q122" s="57" t="str">
        <x:f>TEXTJOIN("; ",TRUE,IF(L122="Duplicate Risk","Duplicate risk",""),IF(M122="Missing PO","Missing PO",""),IF(N122="Review Tax","Tax variance",""),IF(O122&gt;0,"Overdue",""),IF(K122&lt;&gt;"Approved","Approval issue",""))</x:f>
        <x:v>Missing PO; Approval issue</x:v>
      </x:c>
    </x:row>
    <x:row r="123">
      <x:c r="A123" s="55" t="str">
        <x:v>AP-0122</x:v>
      </x:c>
      <x:c r="B123" s="56" t="str">
        <x:v>Vendor 13</x:v>
      </x:c>
      <x:c r="C123" s="56" t="str">
        <x:v>INV-21862</x:v>
      </x:c>
      <x:c r="D123" s="56" t="str">
        <x:v>PO-1092</x:v>
      </x:c>
      <x:c r="E123" s="76" t="n">
        <x:v>46198</x:v>
      </x:c>
      <x:c r="F123" s="76" t="n">
        <x:v>46213</x:v>
      </x:c>
      <x:c r="G123" s="80" t="n">
        <x:v>7832.83</x:v>
      </x:c>
      <x:c r="H123" s="80" t="n">
        <x:v>1018.27</x:v>
      </x:c>
      <x:c r="I123" s="80" t="n">
        <x:f>G123+H123</x:f>
        <x:v>8851.1</x:v>
      </x:c>
      <x:c r="J123" s="56" t="str">
        <x:v>On Hold</x:v>
      </x:c>
      <x:c r="K123" s="56" t="str">
        <x:v>Approved</x:v>
      </x:c>
      <x:c r="L123" s="56" t="str">
        <x:f>IF(COUNTIFS($B:$B,B123,$C:$C,C123,$I:$I,I123)&gt;1,"Duplicate Risk","OK")</x:f>
        <x:v>OK</x:v>
      </x:c>
      <x:c r="M123" s="56" t="str">
        <x:f>IF(D123="","Missing PO","Matched")</x:f>
        <x:v>Matched</x:v>
      </x:c>
      <x:c r="N123" s="56" t="str">
        <x:f>IF(ABS(H123-G123*0.13)&lt;=1,"OK","Review Tax")</x:f>
        <x:v>OK</x:v>
      </x:c>
      <x:c r="O123" s="56" t="n">
        <x:f>IF(J123="Paid",0,MAX(0,TODAY()-F123))</x:f>
        <x:v>0</x:v>
      </x:c>
      <x:c r="P123" s="56" t="str">
        <x:f>IF(OR(L123="Duplicate Risk",M123="Missing PO",N123="Review Tax",O123&gt;30,K123&lt;&gt;"Approved"),"High","Low")</x:f>
        <x:v>Low</x:v>
      </x:c>
      <x:c r="Q123" s="57" t="str">
        <x:f>TEXTJOIN("; ",TRUE,IF(L123="Duplicate Risk","Duplicate risk",""),IF(M123="Missing PO","Missing PO",""),IF(N123="Review Tax","Tax variance",""),IF(O123&gt;0,"Overdue",""),IF(K123&lt;&gt;"Approved","Approval issue",""))</x:f>
      </x:c>
    </x:row>
    <x:row r="124">
      <x:c r="A124" s="55" t="str">
        <x:v>AP-0123</x:v>
      </x:c>
      <x:c r="B124" s="56" t="str">
        <x:v>Vendor 10</x:v>
      </x:c>
      <x:c r="C124" s="56" t="str">
        <x:v>INV-40551</x:v>
      </x:c>
      <x:c r="D124" s="56" t="str"/>
      <x:c r="E124" s="76" t="n">
        <x:v>46152</x:v>
      </x:c>
      <x:c r="F124" s="76" t="n">
        <x:v>46167</x:v>
      </x:c>
      <x:c r="G124" s="80" t="n">
        <x:v>10315.57</x:v>
      </x:c>
      <x:c r="H124" s="80" t="n">
        <x:v>1341.02</x:v>
      </x:c>
      <x:c r="I124" s="80" t="n">
        <x:f>G124+H124</x:f>
        <x:v>11656.59</x:v>
      </x:c>
      <x:c r="J124" s="56" t="str">
        <x:v>Paid</x:v>
      </x:c>
      <x:c r="K124" s="56" t="str">
        <x:v>Approved</x:v>
      </x:c>
      <x:c r="L124" s="56" t="str">
        <x:f>IF(COUNTIFS($B:$B,B124,$C:$C,C124,$I:$I,I124)&gt;1,"Duplicate Risk","OK")</x:f>
        <x:v>OK</x:v>
      </x:c>
      <x:c r="M124" s="56" t="str">
        <x:f>IF(D124="","Missing PO","Matched")</x:f>
        <x:v>Missing PO</x:v>
      </x:c>
      <x:c r="N124" s="56" t="str">
        <x:f>IF(ABS(H124-G124*0.13)&lt;=1,"OK","Review Tax")</x:f>
        <x:v>OK</x:v>
      </x:c>
      <x:c r="O124" s="56" t="n">
        <x:f>IF(J124="Paid",0,MAX(0,TODAY()-F124))</x:f>
        <x:v>0</x:v>
      </x:c>
      <x:c r="P124" s="56" t="str">
        <x:f>IF(OR(L124="Duplicate Risk",M124="Missing PO",N124="Review Tax",O124&gt;30,K124&lt;&gt;"Approved"),"High","Low")</x:f>
        <x:v>High</x:v>
      </x:c>
      <x:c r="Q124" s="57" t="str">
        <x:f>TEXTJOIN("; ",TRUE,IF(L124="Duplicate Risk","Duplicate risk",""),IF(M124="Missing PO","Missing PO",""),IF(N124="Review Tax","Tax variance",""),IF(O124&gt;0,"Overdue",""),IF(K124&lt;&gt;"Approved","Approval issue",""))</x:f>
        <x:v>Missing PO</x:v>
      </x:c>
    </x:row>
    <x:row r="125">
      <x:c r="A125" s="55" t="str">
        <x:v>AP-0124</x:v>
      </x:c>
      <x:c r="B125" s="56" t="str">
        <x:v>Vendor 29</x:v>
      </x:c>
      <x:c r="C125" s="56" t="str">
        <x:v>INV-43850</x:v>
      </x:c>
      <x:c r="D125" s="56" t="str">
        <x:v>PO-1020</x:v>
      </x:c>
      <x:c r="E125" s="76" t="n">
        <x:v>46169</x:v>
      </x:c>
      <x:c r="F125" s="76" t="n">
        <x:v>46214</x:v>
      </x:c>
      <x:c r="G125" s="80" t="n">
        <x:v>2233.71</x:v>
      </x:c>
      <x:c r="H125" s="80" t="n">
        <x:v>290.38</x:v>
      </x:c>
      <x:c r="I125" s="80" t="n">
        <x:f>G125+H125</x:f>
        <x:v>2524.09</x:v>
      </x:c>
      <x:c r="J125" s="56" t="str">
        <x:v>On Hold</x:v>
      </x:c>
      <x:c r="K125" s="56" t="str">
        <x:v>Approved</x:v>
      </x:c>
      <x:c r="L125" s="56" t="str">
        <x:f>IF(COUNTIFS($B:$B,B125,$C:$C,C125,$I:$I,I125)&gt;1,"Duplicate Risk","OK")</x:f>
        <x:v>OK</x:v>
      </x:c>
      <x:c r="M125" s="56" t="str">
        <x:f>IF(D125="","Missing PO","Matched")</x:f>
        <x:v>Matched</x:v>
      </x:c>
      <x:c r="N125" s="56" t="str">
        <x:f>IF(ABS(H125-G125*0.13)&lt;=1,"OK","Review Tax")</x:f>
        <x:v>OK</x:v>
      </x:c>
      <x:c r="O125" s="56" t="n">
        <x:f>IF(J125="Paid",0,MAX(0,TODAY()-F125))</x:f>
        <x:v>0</x:v>
      </x:c>
      <x:c r="P125" s="56" t="str">
        <x:f>IF(OR(L125="Duplicate Risk",M125="Missing PO",N125="Review Tax",O125&gt;30,K125&lt;&gt;"Approved"),"High","Low")</x:f>
        <x:v>Low</x:v>
      </x:c>
      <x:c r="Q125" s="57" t="str">
        <x:f>TEXTJOIN("; ",TRUE,IF(L125="Duplicate Risk","Duplicate risk",""),IF(M125="Missing PO","Missing PO",""),IF(N125="Review Tax","Tax variance",""),IF(O125&gt;0,"Overdue",""),IF(K125&lt;&gt;"Approved","Approval issue",""))</x:f>
      </x:c>
    </x:row>
    <x:row r="126">
      <x:c r="A126" s="55" t="str">
        <x:v>AP-0125</x:v>
      </x:c>
      <x:c r="B126" s="56" t="str">
        <x:v>Vendor 3</x:v>
      </x:c>
      <x:c r="C126" s="56" t="str">
        <x:v>INV-44109</x:v>
      </x:c>
      <x:c r="D126" s="56" t="str">
        <x:v>PO-1057</x:v>
      </x:c>
      <x:c r="E126" s="76" t="n">
        <x:v>46184</x:v>
      </x:c>
      <x:c r="F126" s="76" t="n">
        <x:v>46214</x:v>
      </x:c>
      <x:c r="G126" s="80" t="n">
        <x:v>10022.73</x:v>
      </x:c>
      <x:c r="H126" s="80" t="n">
        <x:v>1302.95</x:v>
      </x:c>
      <x:c r="I126" s="80" t="n">
        <x:f>G126+H126</x:f>
        <x:v>11325.68</x:v>
      </x:c>
      <x:c r="J126" s="56" t="str">
        <x:v>Unpaid</x:v>
      </x:c>
      <x:c r="K126" s="56" t="str">
        <x:v>Pending</x:v>
      </x:c>
      <x:c r="L126" s="56" t="str">
        <x:f>IF(COUNTIFS($B:$B,B126,$C:$C,C126,$I:$I,I126)&gt;1,"Duplicate Risk","OK")</x:f>
        <x:v>OK</x:v>
      </x:c>
      <x:c r="M126" s="56" t="str">
        <x:f>IF(D126="","Missing PO","Matched")</x:f>
        <x:v>Matched</x:v>
      </x:c>
      <x:c r="N126" s="56" t="str">
        <x:f>IF(ABS(H126-G126*0.13)&lt;=1,"OK","Review Tax")</x:f>
        <x:v>OK</x:v>
      </x:c>
      <x:c r="O126" s="56" t="n">
        <x:f>IF(J126="Paid",0,MAX(0,TODAY()-F126))</x:f>
        <x:v>0</x:v>
      </x:c>
      <x:c r="P126" s="56" t="str">
        <x:f>IF(OR(L126="Duplicate Risk",M126="Missing PO",N126="Review Tax",O126&gt;30,K126&lt;&gt;"Approved"),"High","Low")</x:f>
        <x:v>High</x:v>
      </x:c>
      <x:c r="Q126" s="57" t="str">
        <x:f>TEXTJOIN("; ",TRUE,IF(L126="Duplicate Risk","Duplicate risk",""),IF(M126="Missing PO","Missing PO",""),IF(N126="Review Tax","Tax variance",""),IF(O126&gt;0,"Overdue",""),IF(K126&lt;&gt;"Approved","Approval issue",""))</x:f>
        <x:v>Approval issue</x:v>
      </x:c>
    </x:row>
    <x:row r="127">
      <x:c r="A127" s="55" t="str">
        <x:v>AP-0126</x:v>
      </x:c>
      <x:c r="B127" s="56" t="str">
        <x:v>Vendor 23</x:v>
      </x:c>
      <x:c r="C127" s="56" t="str">
        <x:v>INV-35810</x:v>
      </x:c>
      <x:c r="D127" s="56" t="str">
        <x:v>PO-1032</x:v>
      </x:c>
      <x:c r="E127" s="76" t="n">
        <x:v>46153</x:v>
      </x:c>
      <x:c r="F127" s="76" t="n">
        <x:v>46183</x:v>
      </x:c>
      <x:c r="G127" s="80" t="n">
        <x:v>4773.53</x:v>
      </x:c>
      <x:c r="H127" s="80" t="n">
        <x:v>620.56</x:v>
      </x:c>
      <x:c r="I127" s="80" t="n">
        <x:f>G127+H127</x:f>
        <x:v>5394.09</x:v>
      </x:c>
      <x:c r="J127" s="56" t="str">
        <x:v>Paid</x:v>
      </x:c>
      <x:c r="K127" s="56" t="str">
        <x:v>Rejected</x:v>
      </x:c>
      <x:c r="L127" s="56" t="str">
        <x:f>IF(COUNTIFS($B:$B,B127,$C:$C,C127,$I:$I,I127)&gt;1,"Duplicate Risk","OK")</x:f>
        <x:v>OK</x:v>
      </x:c>
      <x:c r="M127" s="56" t="str">
        <x:f>IF(D127="","Missing PO","Matched")</x:f>
        <x:v>Matched</x:v>
      </x:c>
      <x:c r="N127" s="56" t="str">
        <x:f>IF(ABS(H127-G127*0.13)&lt;=1,"OK","Review Tax")</x:f>
        <x:v>OK</x:v>
      </x:c>
      <x:c r="O127" s="56" t="n">
        <x:f>IF(J127="Paid",0,MAX(0,TODAY()-F127))</x:f>
        <x:v>0</x:v>
      </x:c>
      <x:c r="P127" s="56" t="str">
        <x:f>IF(OR(L127="Duplicate Risk",M127="Missing PO",N127="Review Tax",O127&gt;30,K127&lt;&gt;"Approved"),"High","Low")</x:f>
        <x:v>High</x:v>
      </x:c>
      <x:c r="Q127" s="57" t="str">
        <x:f>TEXTJOIN("; ",TRUE,IF(L127="Duplicate Risk","Duplicate risk",""),IF(M127="Missing PO","Missing PO",""),IF(N127="Review Tax","Tax variance",""),IF(O127&gt;0,"Overdue",""),IF(K127&lt;&gt;"Approved","Approval issue",""))</x:f>
        <x:v>Approval issue</x:v>
      </x:c>
    </x:row>
    <x:row r="128">
      <x:c r="A128" s="55" t="str">
        <x:v>AP-0127</x:v>
      </x:c>
      <x:c r="B128" s="56" t="str">
        <x:v>Vendor 7</x:v>
      </x:c>
      <x:c r="C128" s="56" t="str">
        <x:v>INV-47325</x:v>
      </x:c>
      <x:c r="D128" s="56" t="str"/>
      <x:c r="E128" s="76" t="n">
        <x:v>46197</x:v>
      </x:c>
      <x:c r="F128" s="76" t="n">
        <x:v>46242</x:v>
      </x:c>
      <x:c r="G128" s="80" t="n">
        <x:v>6456.53</x:v>
      </x:c>
      <x:c r="H128" s="80" t="n">
        <x:v>839.35</x:v>
      </x:c>
      <x:c r="I128" s="80" t="n">
        <x:f>G128+H128</x:f>
        <x:v>7295.88</x:v>
      </x:c>
      <x:c r="J128" s="56" t="str">
        <x:v>Unpaid</x:v>
      </x:c>
      <x:c r="K128" s="56" t="str">
        <x:v>Rejected</x:v>
      </x:c>
      <x:c r="L128" s="56" t="str">
        <x:f>IF(COUNTIFS($B:$B,B128,$C:$C,C128,$I:$I,I128)&gt;1,"Duplicate Risk","OK")</x:f>
        <x:v>OK</x:v>
      </x:c>
      <x:c r="M128" s="56" t="str">
        <x:f>IF(D128="","Missing PO","Matched")</x:f>
        <x:v>Missing PO</x:v>
      </x:c>
      <x:c r="N128" s="56" t="str">
        <x:f>IF(ABS(H128-G128*0.13)&lt;=1,"OK","Review Tax")</x:f>
        <x:v>OK</x:v>
      </x:c>
      <x:c r="O128" s="56" t="n">
        <x:f>IF(J128="Paid",0,MAX(0,TODAY()-F128))</x:f>
        <x:v>0</x:v>
      </x:c>
      <x:c r="P128" s="56" t="str">
        <x:f>IF(OR(L128="Duplicate Risk",M128="Missing PO",N128="Review Tax",O128&gt;30,K128&lt;&gt;"Approved"),"High","Low")</x:f>
        <x:v>High</x:v>
      </x:c>
      <x:c r="Q128" s="57" t="str">
        <x:f>TEXTJOIN("; ",TRUE,IF(L128="Duplicate Risk","Duplicate risk",""),IF(M128="Missing PO","Missing PO",""),IF(N128="Review Tax","Tax variance",""),IF(O128&gt;0,"Overdue",""),IF(K128&lt;&gt;"Approved","Approval issue",""))</x:f>
        <x:v>Missing PO; Approval issue</x:v>
      </x:c>
    </x:row>
    <x:row r="129">
      <x:c r="A129" s="55" t="str">
        <x:v>AP-0128</x:v>
      </x:c>
      <x:c r="B129" s="56" t="str">
        <x:v>Vendor 18</x:v>
      </x:c>
      <x:c r="C129" s="56" t="str">
        <x:v>INV-25285</x:v>
      </x:c>
      <x:c r="D129" s="56" t="str"/>
      <x:c r="E129" s="76" t="n">
        <x:v>46161</x:v>
      </x:c>
      <x:c r="F129" s="76" t="n">
        <x:v>46191</x:v>
      </x:c>
      <x:c r="G129" s="80" t="n">
        <x:v>8451.52</x:v>
      </x:c>
      <x:c r="H129" s="80" t="n">
        <x:v>1098.7</x:v>
      </x:c>
      <x:c r="I129" s="80" t="n">
        <x:f>G129+H129</x:f>
        <x:v>9550.220000000001</x:v>
      </x:c>
      <x:c r="J129" s="56" t="str">
        <x:v>Unpaid</x:v>
      </x:c>
      <x:c r="K129" s="56" t="str">
        <x:v>Approved</x:v>
      </x:c>
      <x:c r="L129" s="56" t="str">
        <x:f>IF(COUNTIFS($B:$B,B129,$C:$C,C129,$I:$I,I129)&gt;1,"Duplicate Risk","OK")</x:f>
        <x:v>OK</x:v>
      </x:c>
      <x:c r="M129" s="56" t="str">
        <x:f>IF(D129="","Missing PO","Matched")</x:f>
        <x:v>Missing PO</x:v>
      </x:c>
      <x:c r="N129" s="56" t="str">
        <x:f>IF(ABS(H129-G129*0.13)&lt;=1,"OK","Review Tax")</x:f>
        <x:v>OK</x:v>
      </x:c>
      <x:c r="O129" s="56" t="n">
        <x:f>IF(J129="Paid",0,MAX(0,TODAY()-F129))</x:f>
        <x:v>11</x:v>
      </x:c>
      <x:c r="P129" s="56" t="str">
        <x:f>IF(OR(L129="Duplicate Risk",M129="Missing PO",N129="Review Tax",O129&gt;30,K129&lt;&gt;"Approved"),"High","Low")</x:f>
        <x:v>High</x:v>
      </x:c>
      <x:c r="Q129" s="57" t="str">
        <x:f>TEXTJOIN("; ",TRUE,IF(L129="Duplicate Risk","Duplicate risk",""),IF(M129="Missing PO","Missing PO",""),IF(N129="Review Tax","Tax variance",""),IF(O129&gt;0,"Overdue",""),IF(K129&lt;&gt;"Approved","Approval issue",""))</x:f>
        <x:v>Missing PO; Overdue</x:v>
      </x:c>
    </x:row>
    <x:row r="130">
      <x:c r="A130" s="55" t="str">
        <x:v>AP-0129</x:v>
      </x:c>
      <x:c r="B130" s="56" t="str">
        <x:v>Vendor 23</x:v>
      </x:c>
      <x:c r="C130" s="56" t="str">
        <x:v>INV-31476</x:v>
      </x:c>
      <x:c r="D130" s="56" t="str">
        <x:v>PO-1007</x:v>
      </x:c>
      <x:c r="E130" s="76" t="n">
        <x:v>46143</x:v>
      </x:c>
      <x:c r="F130" s="76" t="n">
        <x:v>46173</x:v>
      </x:c>
      <x:c r="G130" s="80" t="n">
        <x:v>9696.59</x:v>
      </x:c>
      <x:c r="H130" s="80" t="n">
        <x:v>1260.56</x:v>
      </x:c>
      <x:c r="I130" s="80" t="n">
        <x:f>G130+H130</x:f>
        <x:v>10957.15</x:v>
      </x:c>
      <x:c r="J130" s="56" t="str">
        <x:v>Unpaid</x:v>
      </x:c>
      <x:c r="K130" s="56" t="str">
        <x:v>Rejected</x:v>
      </x:c>
      <x:c r="L130" s="56" t="str">
        <x:f>IF(COUNTIFS($B:$B,B130,$C:$C,C130,$I:$I,I130)&gt;1,"Duplicate Risk","OK")</x:f>
        <x:v>OK</x:v>
      </x:c>
      <x:c r="M130" s="56" t="str">
        <x:f>IF(D130="","Missing PO","Matched")</x:f>
        <x:v>Matched</x:v>
      </x:c>
      <x:c r="N130" s="56" t="str">
        <x:f>IF(ABS(H130-G130*0.13)&lt;=1,"OK","Review Tax")</x:f>
        <x:v>OK</x:v>
      </x:c>
      <x:c r="O130" s="56" t="n">
        <x:f>IF(J130="Paid",0,MAX(0,TODAY()-F130))</x:f>
        <x:v>29</x:v>
      </x:c>
      <x:c r="P130" s="56" t="str">
        <x:f>IF(OR(L130="Duplicate Risk",M130="Missing PO",N130="Review Tax",O130&gt;30,K130&lt;&gt;"Approved"),"High","Low")</x:f>
        <x:v>High</x:v>
      </x:c>
      <x:c r="Q130" s="57" t="str">
        <x:f>TEXTJOIN("; ",TRUE,IF(L130="Duplicate Risk","Duplicate risk",""),IF(M130="Missing PO","Missing PO",""),IF(N130="Review Tax","Tax variance",""),IF(O130&gt;0,"Overdue",""),IF(K130&lt;&gt;"Approved","Approval issue",""))</x:f>
        <x:v>Overdue; Approval issue</x:v>
      </x:c>
    </x:row>
    <x:row r="131">
      <x:c r="A131" s="55" t="str">
        <x:v>AP-0130</x:v>
      </x:c>
      <x:c r="B131" s="56" t="str">
        <x:v>Vendor 9</x:v>
      </x:c>
      <x:c r="C131" s="56" t="str">
        <x:v>INV-30847</x:v>
      </x:c>
      <x:c r="D131" s="56" t="str">
        <x:v>PO-1050</x:v>
      </x:c>
      <x:c r="E131" s="76" t="n">
        <x:v>46159</x:v>
      </x:c>
      <x:c r="F131" s="76" t="n">
        <x:v>46204</x:v>
      </x:c>
      <x:c r="G131" s="80" t="n">
        <x:v>6673.61</x:v>
      </x:c>
      <x:c r="H131" s="80" t="n">
        <x:v>867.57</x:v>
      </x:c>
      <x:c r="I131" s="80" t="n">
        <x:f>G131+H131</x:f>
        <x:v>7541.179999999999</x:v>
      </x:c>
      <x:c r="J131" s="56" t="str">
        <x:v>On Hold</x:v>
      </x:c>
      <x:c r="K131" s="56" t="str">
        <x:v>Pending</x:v>
      </x:c>
      <x:c r="L131" s="56" t="str">
        <x:f>IF(COUNTIFS($B:$B,B131,$C:$C,C131,$I:$I,I131)&gt;1,"Duplicate Risk","OK")</x:f>
        <x:v>OK</x:v>
      </x:c>
      <x:c r="M131" s="56" t="str">
        <x:f>IF(D131="","Missing PO","Matched")</x:f>
        <x:v>Matched</x:v>
      </x:c>
      <x:c r="N131" s="56" t="str">
        <x:f>IF(ABS(H131-G131*0.13)&lt;=1,"OK","Review Tax")</x:f>
        <x:v>OK</x:v>
      </x:c>
      <x:c r="O131" s="56" t="n">
        <x:f>IF(J131="Paid",0,MAX(0,TODAY()-F131))</x:f>
        <x:v>0</x:v>
      </x:c>
      <x:c r="P131" s="56" t="str">
        <x:f>IF(OR(L131="Duplicate Risk",M131="Missing PO",N131="Review Tax",O131&gt;30,K131&lt;&gt;"Approved"),"High","Low")</x:f>
        <x:v>High</x:v>
      </x:c>
      <x:c r="Q131" s="57" t="str">
        <x:f>TEXTJOIN("; ",TRUE,IF(L131="Duplicate Risk","Duplicate risk",""),IF(M131="Missing PO","Missing PO",""),IF(N131="Review Tax","Tax variance",""),IF(O131&gt;0,"Overdue",""),IF(K131&lt;&gt;"Approved","Approval issue",""))</x:f>
        <x:v>Approval issue</x:v>
      </x:c>
    </x:row>
    <x:row r="132">
      <x:c r="A132" s="55" t="str">
        <x:v>AP-0131</x:v>
      </x:c>
      <x:c r="B132" s="56" t="str">
        <x:v>Vendor 13</x:v>
      </x:c>
      <x:c r="C132" s="56" t="str">
        <x:v>INV-38904</x:v>
      </x:c>
      <x:c r="D132" s="56" t="str"/>
      <x:c r="E132" s="76" t="n">
        <x:v>46198</x:v>
      </x:c>
      <x:c r="F132" s="76" t="n">
        <x:v>46243</x:v>
      </x:c>
      <x:c r="G132" s="80" t="n">
        <x:v>4294</x:v>
      </x:c>
      <x:c r="H132" s="80" t="n">
        <x:v>558.22</x:v>
      </x:c>
      <x:c r="I132" s="80" t="n">
        <x:f>G132+H132</x:f>
        <x:v>4852.22</x:v>
      </x:c>
      <x:c r="J132" s="56" t="str">
        <x:v>Paid</x:v>
      </x:c>
      <x:c r="K132" s="56" t="str">
        <x:v>Pending</x:v>
      </x:c>
      <x:c r="L132" s="56" t="str">
        <x:f>IF(COUNTIFS($B:$B,B132,$C:$C,C132,$I:$I,I132)&gt;1,"Duplicate Risk","OK")</x:f>
        <x:v>OK</x:v>
      </x:c>
      <x:c r="M132" s="56" t="str">
        <x:f>IF(D132="","Missing PO","Matched")</x:f>
        <x:v>Missing PO</x:v>
      </x:c>
      <x:c r="N132" s="56" t="str">
        <x:f>IF(ABS(H132-G132*0.13)&lt;=1,"OK","Review Tax")</x:f>
        <x:v>OK</x:v>
      </x:c>
      <x:c r="O132" s="56" t="n">
        <x:f>IF(J132="Paid",0,MAX(0,TODAY()-F132))</x:f>
        <x:v>0</x:v>
      </x:c>
      <x:c r="P132" s="56" t="str">
        <x:f>IF(OR(L132="Duplicate Risk",M132="Missing PO",N132="Review Tax",O132&gt;30,K132&lt;&gt;"Approved"),"High","Low")</x:f>
        <x:v>High</x:v>
      </x:c>
      <x:c r="Q132" s="57" t="str">
        <x:f>TEXTJOIN("; ",TRUE,IF(L132="Duplicate Risk","Duplicate risk",""),IF(M132="Missing PO","Missing PO",""),IF(N132="Review Tax","Tax variance",""),IF(O132&gt;0,"Overdue",""),IF(K132&lt;&gt;"Approved","Approval issue",""))</x:f>
        <x:v>Missing PO; Approval issue</x:v>
      </x:c>
    </x:row>
    <x:row r="133">
      <x:c r="A133" s="55" t="str">
        <x:v>AP-0132</x:v>
      </x:c>
      <x:c r="B133" s="56" t="str">
        <x:v>Vendor 13</x:v>
      </x:c>
      <x:c r="C133" s="56" t="str">
        <x:v>INV-32391</x:v>
      </x:c>
      <x:c r="D133" s="56" t="str"/>
      <x:c r="E133" s="76" t="n">
        <x:v>46156</x:v>
      </x:c>
      <x:c r="F133" s="76" t="n">
        <x:v>46201</x:v>
      </x:c>
      <x:c r="G133" s="80" t="n">
        <x:v>5165.22</x:v>
      </x:c>
      <x:c r="H133" s="80" t="n">
        <x:v>671.48</x:v>
      </x:c>
      <x:c r="I133" s="80" t="n">
        <x:f>G133+H133</x:f>
        <x:v>5836.700000000001</x:v>
      </x:c>
      <x:c r="J133" s="56" t="str">
        <x:v>Unpaid</x:v>
      </x:c>
      <x:c r="K133" s="56" t="str">
        <x:v>Rejected</x:v>
      </x:c>
      <x:c r="L133" s="56" t="str">
        <x:f>IF(COUNTIFS($B:$B,B133,$C:$C,C133,$I:$I,I133)&gt;1,"Duplicate Risk","OK")</x:f>
        <x:v>OK</x:v>
      </x:c>
      <x:c r="M133" s="56" t="str">
        <x:f>IF(D133="","Missing PO","Matched")</x:f>
        <x:v>Missing PO</x:v>
      </x:c>
      <x:c r="N133" s="56" t="str">
        <x:f>IF(ABS(H133-G133*0.13)&lt;=1,"OK","Review Tax")</x:f>
        <x:v>OK</x:v>
      </x:c>
      <x:c r="O133" s="56" t="n">
        <x:f>IF(J133="Paid",0,MAX(0,TODAY()-F133))</x:f>
        <x:v>1</x:v>
      </x:c>
      <x:c r="P133" s="56" t="str">
        <x:f>IF(OR(L133="Duplicate Risk",M133="Missing PO",N133="Review Tax",O133&gt;30,K133&lt;&gt;"Approved"),"High","Low")</x:f>
        <x:v>High</x:v>
      </x:c>
      <x:c r="Q133" s="57" t="str">
        <x:f>TEXTJOIN("; ",TRUE,IF(L133="Duplicate Risk","Duplicate risk",""),IF(M133="Missing PO","Missing PO",""),IF(N133="Review Tax","Tax variance",""),IF(O133&gt;0,"Overdue",""),IF(K133&lt;&gt;"Approved","Approval issue",""))</x:f>
        <x:v>Missing PO; Overdue; Approval issue</x:v>
      </x:c>
    </x:row>
    <x:row r="134">
      <x:c r="A134" s="55" t="str">
        <x:v>AP-0133</x:v>
      </x:c>
      <x:c r="B134" s="56" t="str">
        <x:v>Vendor 17</x:v>
      </x:c>
      <x:c r="C134" s="56" t="str">
        <x:v>INV-33662</x:v>
      </x:c>
      <x:c r="D134" s="56" t="str"/>
      <x:c r="E134" s="76" t="n">
        <x:v>46162</x:v>
      </x:c>
      <x:c r="F134" s="76" t="n">
        <x:v>46207</x:v>
      </x:c>
      <x:c r="G134" s="80" t="n">
        <x:v>4873.37</x:v>
      </x:c>
      <x:c r="H134" s="80" t="n">
        <x:v>633.54</x:v>
      </x:c>
      <x:c r="I134" s="80" t="n">
        <x:f>G134+H134</x:f>
        <x:v>5506.91</x:v>
      </x:c>
      <x:c r="J134" s="56" t="str">
        <x:v>On Hold</x:v>
      </x:c>
      <x:c r="K134" s="56" t="str">
        <x:v>Approved</x:v>
      </x:c>
      <x:c r="L134" s="56" t="str">
        <x:f>IF(COUNTIFS($B:$B,B134,$C:$C,C134,$I:$I,I134)&gt;1,"Duplicate Risk","OK")</x:f>
        <x:v>OK</x:v>
      </x:c>
      <x:c r="M134" s="56" t="str">
        <x:f>IF(D134="","Missing PO","Matched")</x:f>
        <x:v>Missing PO</x:v>
      </x:c>
      <x:c r="N134" s="56" t="str">
        <x:f>IF(ABS(H134-G134*0.13)&lt;=1,"OK","Review Tax")</x:f>
        <x:v>OK</x:v>
      </x:c>
      <x:c r="O134" s="56" t="n">
        <x:f>IF(J134="Paid",0,MAX(0,TODAY()-F134))</x:f>
        <x:v>0</x:v>
      </x:c>
      <x:c r="P134" s="56" t="str">
        <x:f>IF(OR(L134="Duplicate Risk",M134="Missing PO",N134="Review Tax",O134&gt;30,K134&lt;&gt;"Approved"),"High","Low")</x:f>
        <x:v>High</x:v>
      </x:c>
      <x:c r="Q134" s="57" t="str">
        <x:f>TEXTJOIN("; ",TRUE,IF(L134="Duplicate Risk","Duplicate risk",""),IF(M134="Missing PO","Missing PO",""),IF(N134="Review Tax","Tax variance",""),IF(O134&gt;0,"Overdue",""),IF(K134&lt;&gt;"Approved","Approval issue",""))</x:f>
        <x:v>Missing PO</x:v>
      </x:c>
    </x:row>
    <x:row r="135">
      <x:c r="A135" s="55" t="str">
        <x:v>AP-0134</x:v>
      </x:c>
      <x:c r="B135" s="56" t="str">
        <x:v>Vendor 6</x:v>
      </x:c>
      <x:c r="C135" s="56" t="str">
        <x:v>INV-31055</x:v>
      </x:c>
      <x:c r="D135" s="56" t="str">
        <x:v>PO-1089</x:v>
      </x:c>
      <x:c r="E135" s="76" t="n">
        <x:v>46193</x:v>
      </x:c>
      <x:c r="F135" s="76" t="n">
        <x:v>46208</x:v>
      </x:c>
      <x:c r="G135" s="80" t="n">
        <x:v>2113.57</x:v>
      </x:c>
      <x:c r="H135" s="80" t="n">
        <x:v>274.76</x:v>
      </x:c>
      <x:c r="I135" s="80" t="n">
        <x:f>G135+H135</x:f>
        <x:v>2388.33</x:v>
      </x:c>
      <x:c r="J135" s="56" t="str">
        <x:v>Unpaid</x:v>
      </x:c>
      <x:c r="K135" s="56" t="str">
        <x:v>Rejected</x:v>
      </x:c>
      <x:c r="L135" s="56" t="str">
        <x:f>IF(COUNTIFS($B:$B,B135,$C:$C,C135,$I:$I,I135)&gt;1,"Duplicate Risk","OK")</x:f>
        <x:v>OK</x:v>
      </x:c>
      <x:c r="M135" s="56" t="str">
        <x:f>IF(D135="","Missing PO","Matched")</x:f>
        <x:v>Matched</x:v>
      </x:c>
      <x:c r="N135" s="56" t="str">
        <x:f>IF(ABS(H135-G135*0.13)&lt;=1,"OK","Review Tax")</x:f>
        <x:v>OK</x:v>
      </x:c>
      <x:c r="O135" s="56" t="n">
        <x:f>IF(J135="Paid",0,MAX(0,TODAY()-F135))</x:f>
        <x:v>0</x:v>
      </x:c>
      <x:c r="P135" s="56" t="str">
        <x:f>IF(OR(L135="Duplicate Risk",M135="Missing PO",N135="Review Tax",O135&gt;30,K135&lt;&gt;"Approved"),"High","Low")</x:f>
        <x:v>High</x:v>
      </x:c>
      <x:c r="Q135" s="57" t="str">
        <x:f>TEXTJOIN("; ",TRUE,IF(L135="Duplicate Risk","Duplicate risk",""),IF(M135="Missing PO","Missing PO",""),IF(N135="Review Tax","Tax variance",""),IF(O135&gt;0,"Overdue",""),IF(K135&lt;&gt;"Approved","Approval issue",""))</x:f>
        <x:v>Approval issue</x:v>
      </x:c>
    </x:row>
    <x:row r="136">
      <x:c r="A136" s="55" t="str">
        <x:v>AP-0135</x:v>
      </x:c>
      <x:c r="B136" s="56" t="str">
        <x:v>Vendor 28</x:v>
      </x:c>
      <x:c r="C136" s="56" t="str">
        <x:v>INV-24459</x:v>
      </x:c>
      <x:c r="D136" s="56" t="str"/>
      <x:c r="E136" s="76" t="n">
        <x:v>46179</x:v>
      </x:c>
      <x:c r="F136" s="76" t="n">
        <x:v>46209</x:v>
      </x:c>
      <x:c r="G136" s="80" t="n">
        <x:v>7431.12</x:v>
      </x:c>
      <x:c r="H136" s="80" t="n">
        <x:v>966.05</x:v>
      </x:c>
      <x:c r="I136" s="80" t="n">
        <x:f>G136+H136</x:f>
        <x:v>8397.17</x:v>
      </x:c>
      <x:c r="J136" s="56" t="str">
        <x:v>Unpaid</x:v>
      </x:c>
      <x:c r="K136" s="56" t="str">
        <x:v>Approved</x:v>
      </x:c>
      <x:c r="L136" s="56" t="str">
        <x:f>IF(COUNTIFS($B:$B,B136,$C:$C,C136,$I:$I,I136)&gt;1,"Duplicate Risk","OK")</x:f>
        <x:v>OK</x:v>
      </x:c>
      <x:c r="M136" s="56" t="str">
        <x:f>IF(D136="","Missing PO","Matched")</x:f>
        <x:v>Missing PO</x:v>
      </x:c>
      <x:c r="N136" s="56" t="str">
        <x:f>IF(ABS(H136-G136*0.13)&lt;=1,"OK","Review Tax")</x:f>
        <x:v>OK</x:v>
      </x:c>
      <x:c r="O136" s="56" t="n">
        <x:f>IF(J136="Paid",0,MAX(0,TODAY()-F136))</x:f>
        <x:v>0</x:v>
      </x:c>
      <x:c r="P136" s="56" t="str">
        <x:f>IF(OR(L136="Duplicate Risk",M136="Missing PO",N136="Review Tax",O136&gt;30,K136&lt;&gt;"Approved"),"High","Low")</x:f>
        <x:v>High</x:v>
      </x:c>
      <x:c r="Q136" s="57" t="str">
        <x:f>TEXTJOIN("; ",TRUE,IF(L136="Duplicate Risk","Duplicate risk",""),IF(M136="Missing PO","Missing PO",""),IF(N136="Review Tax","Tax variance",""),IF(O136&gt;0,"Overdue",""),IF(K136&lt;&gt;"Approved","Approval issue",""))</x:f>
        <x:v>Missing PO</x:v>
      </x:c>
    </x:row>
    <x:row r="137">
      <x:c r="A137" s="55" t="str">
        <x:v>AP-0136</x:v>
      </x:c>
      <x:c r="B137" s="56" t="str">
        <x:v>Vendor 18</x:v>
      </x:c>
      <x:c r="C137" s="56" t="str">
        <x:v>INV-22744</x:v>
      </x:c>
      <x:c r="D137" s="56" t="str">
        <x:v>PO-1066</x:v>
      </x:c>
      <x:c r="E137" s="76" t="n">
        <x:v>46146</x:v>
      </x:c>
      <x:c r="F137" s="76" t="n">
        <x:v>46161</x:v>
      </x:c>
      <x:c r="G137" s="80" t="n">
        <x:v>8732.94</x:v>
      </x:c>
      <x:c r="H137" s="80" t="n">
        <x:v>1128.77</x:v>
      </x:c>
      <x:c r="I137" s="80" t="n">
        <x:f>G137+H137</x:f>
        <x:v>9861.710000000001</x:v>
      </x:c>
      <x:c r="J137" s="56" t="str">
        <x:v>Unpaid</x:v>
      </x:c>
      <x:c r="K137" s="56" t="str">
        <x:v>Approved</x:v>
      </x:c>
      <x:c r="L137" s="56" t="str">
        <x:f>IF(COUNTIFS($B:$B,B137,$C:$C,C137,$I:$I,I137)&gt;1,"Duplicate Risk","OK")</x:f>
        <x:v>OK</x:v>
      </x:c>
      <x:c r="M137" s="56" t="str">
        <x:f>IF(D137="","Missing PO","Matched")</x:f>
        <x:v>Matched</x:v>
      </x:c>
      <x:c r="N137" s="56" t="str">
        <x:f>IF(ABS(H137-G137*0.13)&lt;=1,"OK","Review Tax")</x:f>
        <x:v>Review Tax</x:v>
      </x:c>
      <x:c r="O137" s="56" t="n">
        <x:f>IF(J137="Paid",0,MAX(0,TODAY()-F137))</x:f>
        <x:v>41</x:v>
      </x:c>
      <x:c r="P137" s="56" t="str">
        <x:f>IF(OR(L137="Duplicate Risk",M137="Missing PO",N137="Review Tax",O137&gt;30,K137&lt;&gt;"Approved"),"High","Low")</x:f>
        <x:v>High</x:v>
      </x:c>
      <x:c r="Q137" s="57" t="str">
        <x:f>TEXTJOIN("; ",TRUE,IF(L137="Duplicate Risk","Duplicate risk",""),IF(M137="Missing PO","Missing PO",""),IF(N137="Review Tax","Tax variance",""),IF(O137&gt;0,"Overdue",""),IF(K137&lt;&gt;"Approved","Approval issue",""))</x:f>
        <x:v>Tax variance; Overdue</x:v>
      </x:c>
    </x:row>
    <x:row r="138">
      <x:c r="A138" s="55" t="str">
        <x:v>AP-0137</x:v>
      </x:c>
      <x:c r="B138" s="56" t="str">
        <x:v>Vendor 7</x:v>
      </x:c>
      <x:c r="C138" s="56" t="str">
        <x:v>INV-22348</x:v>
      </x:c>
      <x:c r="D138" s="56" t="str">
        <x:v>PO-1081</x:v>
      </x:c>
      <x:c r="E138" s="76" t="n">
        <x:v>46155</x:v>
      </x:c>
      <x:c r="F138" s="76" t="n">
        <x:v>46185</x:v>
      </x:c>
      <x:c r="G138" s="80" t="n">
        <x:v>10710.57</x:v>
      </x:c>
      <x:c r="H138" s="80" t="n">
        <x:v>1390.5</x:v>
      </x:c>
      <x:c r="I138" s="80" t="n">
        <x:f>G138+H138</x:f>
        <x:v>12101.07</x:v>
      </x:c>
      <x:c r="J138" s="56" t="str">
        <x:v>Unpaid</x:v>
      </x:c>
      <x:c r="K138" s="56" t="str">
        <x:v>Rejected</x:v>
      </x:c>
      <x:c r="L138" s="56" t="str">
        <x:f>IF(COUNTIFS($B:$B,B138,$C:$C,C138,$I:$I,I138)&gt;1,"Duplicate Risk","OK")</x:f>
        <x:v>OK</x:v>
      </x:c>
      <x:c r="M138" s="56" t="str">
        <x:f>IF(D138="","Missing PO","Matched")</x:f>
        <x:v>Matched</x:v>
      </x:c>
      <x:c r="N138" s="56" t="str">
        <x:f>IF(ABS(H138-G138*0.13)&lt;=1,"OK","Review Tax")</x:f>
        <x:v>Review Tax</x:v>
      </x:c>
      <x:c r="O138" s="56" t="n">
        <x:f>IF(J138="Paid",0,MAX(0,TODAY()-F138))</x:f>
        <x:v>17</x:v>
      </x:c>
      <x:c r="P138" s="56" t="str">
        <x:f>IF(OR(L138="Duplicate Risk",M138="Missing PO",N138="Review Tax",O138&gt;30,K138&lt;&gt;"Approved"),"High","Low")</x:f>
        <x:v>High</x:v>
      </x:c>
      <x:c r="Q138" s="57" t="str">
        <x:f>TEXTJOIN("; ",TRUE,IF(L138="Duplicate Risk","Duplicate risk",""),IF(M138="Missing PO","Missing PO",""),IF(N138="Review Tax","Tax variance",""),IF(O138&gt;0,"Overdue",""),IF(K138&lt;&gt;"Approved","Approval issue",""))</x:f>
        <x:v>Tax variance; Overdue; Approval issue</x:v>
      </x:c>
    </x:row>
    <x:row r="139">
      <x:c r="A139" s="55" t="str">
        <x:v>AP-0138</x:v>
      </x:c>
      <x:c r="B139" s="56" t="str">
        <x:v>Vendor 4</x:v>
      </x:c>
      <x:c r="C139" s="56" t="str">
        <x:v>INV-31053</x:v>
      </x:c>
      <x:c r="D139" s="56" t="str">
        <x:v>PO-1067</x:v>
      </x:c>
      <x:c r="E139" s="76" t="n">
        <x:v>46151</x:v>
      </x:c>
      <x:c r="F139" s="76" t="n">
        <x:v>46181</x:v>
      </x:c>
      <x:c r="G139" s="80" t="n">
        <x:v>1565.27</x:v>
      </x:c>
      <x:c r="H139" s="80" t="n">
        <x:v>203.49</x:v>
      </x:c>
      <x:c r="I139" s="80" t="n">
        <x:f>G139+H139</x:f>
        <x:v>1768.76</x:v>
      </x:c>
      <x:c r="J139" s="56" t="str">
        <x:v>Paid</x:v>
      </x:c>
      <x:c r="K139" s="56" t="str">
        <x:v>Rejected</x:v>
      </x:c>
      <x:c r="L139" s="56" t="str">
        <x:f>IF(COUNTIFS($B:$B,B139,$C:$C,C139,$I:$I,I139)&gt;1,"Duplicate Risk","OK")</x:f>
        <x:v>OK</x:v>
      </x:c>
      <x:c r="M139" s="56" t="str">
        <x:f>IF(D139="","Missing PO","Matched")</x:f>
        <x:v>Matched</x:v>
      </x:c>
      <x:c r="N139" s="56" t="str">
        <x:f>IF(ABS(H139-G139*0.13)&lt;=1,"OK","Review Tax")</x:f>
        <x:v>OK</x:v>
      </x:c>
      <x:c r="O139" s="56" t="n">
        <x:f>IF(J139="Paid",0,MAX(0,TODAY()-F139))</x:f>
        <x:v>0</x:v>
      </x:c>
      <x:c r="P139" s="56" t="str">
        <x:f>IF(OR(L139="Duplicate Risk",M139="Missing PO",N139="Review Tax",O139&gt;30,K139&lt;&gt;"Approved"),"High","Low")</x:f>
        <x:v>High</x:v>
      </x:c>
      <x:c r="Q139" s="57" t="str">
        <x:f>TEXTJOIN("; ",TRUE,IF(L139="Duplicate Risk","Duplicate risk",""),IF(M139="Missing PO","Missing PO",""),IF(N139="Review Tax","Tax variance",""),IF(O139&gt;0,"Overdue",""),IF(K139&lt;&gt;"Approved","Approval issue",""))</x:f>
        <x:v>Approval issue</x:v>
      </x:c>
    </x:row>
    <x:row r="140">
      <x:c r="A140" s="55" t="str">
        <x:v>AP-0139</x:v>
      </x:c>
      <x:c r="B140" s="56" t="str">
        <x:v>Vendor 15</x:v>
      </x:c>
      <x:c r="C140" s="56" t="str">
        <x:v>INV-26636</x:v>
      </x:c>
      <x:c r="D140" s="56" t="str"/>
      <x:c r="E140" s="76" t="n">
        <x:v>46192</x:v>
      </x:c>
      <x:c r="F140" s="76" t="n">
        <x:v>46237</x:v>
      </x:c>
      <x:c r="G140" s="80" t="n">
        <x:v>2992.92</x:v>
      </x:c>
      <x:c r="H140" s="80" t="n">
        <x:v>389.08</x:v>
      </x:c>
      <x:c r="I140" s="80" t="n">
        <x:f>G140+H140</x:f>
        <x:v>3382</x:v>
      </x:c>
      <x:c r="J140" s="56" t="str">
        <x:v>Unpaid</x:v>
      </x:c>
      <x:c r="K140" s="56" t="str">
        <x:v>Rejected</x:v>
      </x:c>
      <x:c r="L140" s="56" t="str">
        <x:f>IF(COUNTIFS($B:$B,B140,$C:$C,C140,$I:$I,I140)&gt;1,"Duplicate Risk","OK")</x:f>
        <x:v>OK</x:v>
      </x:c>
      <x:c r="M140" s="56" t="str">
        <x:f>IF(D140="","Missing PO","Matched")</x:f>
        <x:v>Missing PO</x:v>
      </x:c>
      <x:c r="N140" s="56" t="str">
        <x:f>IF(ABS(H140-G140*0.13)&lt;=1,"OK","Review Tax")</x:f>
        <x:v>OK</x:v>
      </x:c>
      <x:c r="O140" s="56" t="n">
        <x:f>IF(J140="Paid",0,MAX(0,TODAY()-F140))</x:f>
        <x:v>0</x:v>
      </x:c>
      <x:c r="P140" s="56" t="str">
        <x:f>IF(OR(L140="Duplicate Risk",M140="Missing PO",N140="Review Tax",O140&gt;30,K140&lt;&gt;"Approved"),"High","Low")</x:f>
        <x:v>High</x:v>
      </x:c>
      <x:c r="Q140" s="57" t="str">
        <x:f>TEXTJOIN("; ",TRUE,IF(L140="Duplicate Risk","Duplicate risk",""),IF(M140="Missing PO","Missing PO",""),IF(N140="Review Tax","Tax variance",""),IF(O140&gt;0,"Overdue",""),IF(K140&lt;&gt;"Approved","Approval issue",""))</x:f>
        <x:v>Missing PO; Approval issue</x:v>
      </x:c>
    </x:row>
    <x:row r="141">
      <x:c r="A141" s="55" t="str">
        <x:v>AP-0140</x:v>
      </x:c>
      <x:c r="B141" s="56" t="str">
        <x:v>Vendor 20</x:v>
      </x:c>
      <x:c r="C141" s="56" t="str">
        <x:v>INV-44466</x:v>
      </x:c>
      <x:c r="D141" s="56" t="str"/>
      <x:c r="E141" s="76" t="n">
        <x:v>46157</x:v>
      </x:c>
      <x:c r="F141" s="76" t="n">
        <x:v>46202</x:v>
      </x:c>
      <x:c r="G141" s="80" t="n">
        <x:v>1176.39</x:v>
      </x:c>
      <x:c r="H141" s="80" t="n">
        <x:v>157.1</x:v>
      </x:c>
      <x:c r="I141" s="80" t="n">
        <x:f>G141+H141</x:f>
        <x:v>1333.49</x:v>
      </x:c>
      <x:c r="J141" s="56" t="str">
        <x:v>On Hold</x:v>
      </x:c>
      <x:c r="K141" s="56" t="str">
        <x:v>Approved</x:v>
      </x:c>
      <x:c r="L141" s="56" t="str">
        <x:f>IF(COUNTIFS($B:$B,B141,$C:$C,C141,$I:$I,I141)&gt;1,"Duplicate Risk","OK")</x:f>
        <x:v>OK</x:v>
      </x:c>
      <x:c r="M141" s="56" t="str">
        <x:f>IF(D141="","Missing PO","Matched")</x:f>
        <x:v>Missing PO</x:v>
      </x:c>
      <x:c r="N141" s="56" t="str">
        <x:f>IF(ABS(H141-G141*0.13)&lt;=1,"OK","Review Tax")</x:f>
        <x:v>Review Tax</x:v>
      </x:c>
      <x:c r="O141" s="56" t="n">
        <x:f>IF(J141="Paid",0,MAX(0,TODAY()-F141))</x:f>
        <x:v>0</x:v>
      </x:c>
      <x:c r="P141" s="56" t="str">
        <x:f>IF(OR(L141="Duplicate Risk",M141="Missing PO",N141="Review Tax",O141&gt;30,K141&lt;&gt;"Approved"),"High","Low")</x:f>
        <x:v>High</x:v>
      </x:c>
      <x:c r="Q141" s="57" t="str">
        <x:f>TEXTJOIN("; ",TRUE,IF(L141="Duplicate Risk","Duplicate risk",""),IF(M141="Missing PO","Missing PO",""),IF(N141="Review Tax","Tax variance",""),IF(O141&gt;0,"Overdue",""),IF(K141&lt;&gt;"Approved","Approval issue",""))</x:f>
        <x:v>Missing PO; Tax variance</x:v>
      </x:c>
    </x:row>
    <x:row r="142">
      <x:c r="A142" s="55" t="str">
        <x:v>AP-0141</x:v>
      </x:c>
      <x:c r="B142" s="56" t="str">
        <x:v>Vendor 17</x:v>
      </x:c>
      <x:c r="C142" s="56" t="str">
        <x:v>INV-23647</x:v>
      </x:c>
      <x:c r="D142" s="56" t="str">
        <x:v>PO-1031</x:v>
      </x:c>
      <x:c r="E142" s="76" t="n">
        <x:v>46162</x:v>
      </x:c>
      <x:c r="F142" s="76" t="n">
        <x:v>46192</x:v>
      </x:c>
      <x:c r="G142" s="80" t="n">
        <x:v>11672.63</x:v>
      </x:c>
      <x:c r="H142" s="80" t="n">
        <x:v>1517.44</x:v>
      </x:c>
      <x:c r="I142" s="80" t="n">
        <x:f>G142+H142</x:f>
        <x:v>13190.07</x:v>
      </x:c>
      <x:c r="J142" s="56" t="str">
        <x:v>Unpaid</x:v>
      </x:c>
      <x:c r="K142" s="56" t="str">
        <x:v>Pending</x:v>
      </x:c>
      <x:c r="L142" s="56" t="str">
        <x:f>IF(COUNTIFS($B:$B,B142,$C:$C,C142,$I:$I,I142)&gt;1,"Duplicate Risk","OK")</x:f>
        <x:v>OK</x:v>
      </x:c>
      <x:c r="M142" s="56" t="str">
        <x:f>IF(D142="","Missing PO","Matched")</x:f>
        <x:v>Matched</x:v>
      </x:c>
      <x:c r="N142" s="56" t="str">
        <x:f>IF(ABS(H142-G142*0.13)&lt;=1,"OK","Review Tax")</x:f>
        <x:v>OK</x:v>
      </x:c>
      <x:c r="O142" s="56" t="n">
        <x:f>IF(J142="Paid",0,MAX(0,TODAY()-F142))</x:f>
        <x:v>10</x:v>
      </x:c>
      <x:c r="P142" s="56" t="str">
        <x:f>IF(OR(L142="Duplicate Risk",M142="Missing PO",N142="Review Tax",O142&gt;30,K142&lt;&gt;"Approved"),"High","Low")</x:f>
        <x:v>High</x:v>
      </x:c>
      <x:c r="Q142" s="57" t="str">
        <x:f>TEXTJOIN("; ",TRUE,IF(L142="Duplicate Risk","Duplicate risk",""),IF(M142="Missing PO","Missing PO",""),IF(N142="Review Tax","Tax variance",""),IF(O142&gt;0,"Overdue",""),IF(K142&lt;&gt;"Approved","Approval issue",""))</x:f>
        <x:v>Overdue; Approval issue</x:v>
      </x:c>
    </x:row>
    <x:row r="143">
      <x:c r="A143" s="55" t="str">
        <x:v>AP-0142</x:v>
      </x:c>
      <x:c r="B143" s="56" t="str">
        <x:v>Vendor 15</x:v>
      </x:c>
      <x:c r="C143" s="56" t="str">
        <x:v>INV-38861</x:v>
      </x:c>
      <x:c r="D143" s="56" t="str">
        <x:v>PO-1041</x:v>
      </x:c>
      <x:c r="E143" s="76" t="n">
        <x:v>46198</x:v>
      </x:c>
      <x:c r="F143" s="76" t="n">
        <x:v>46213</x:v>
      </x:c>
      <x:c r="G143" s="80" t="n">
        <x:v>10926.4</x:v>
      </x:c>
      <x:c r="H143" s="80" t="n">
        <x:v>1420.43</x:v>
      </x:c>
      <x:c r="I143" s="80" t="n">
        <x:f>G143+H143</x:f>
        <x:v>12346.83</x:v>
      </x:c>
      <x:c r="J143" s="56" t="str">
        <x:v>Unpaid</x:v>
      </x:c>
      <x:c r="K143" s="56" t="str">
        <x:v>Rejected</x:v>
      </x:c>
      <x:c r="L143" s="56" t="str">
        <x:f>IF(COUNTIFS($B:$B,B143,$C:$C,C143,$I:$I,I143)&gt;1,"Duplicate Risk","OK")</x:f>
        <x:v>OK</x:v>
      </x:c>
      <x:c r="M143" s="56" t="str">
        <x:f>IF(D143="","Missing PO","Matched")</x:f>
        <x:v>Matched</x:v>
      </x:c>
      <x:c r="N143" s="56" t="str">
        <x:f>IF(ABS(H143-G143*0.13)&lt;=1,"OK","Review Tax")</x:f>
        <x:v>OK</x:v>
      </x:c>
      <x:c r="O143" s="56" t="n">
        <x:f>IF(J143="Paid",0,MAX(0,TODAY()-F143))</x:f>
        <x:v>0</x:v>
      </x:c>
      <x:c r="P143" s="56" t="str">
        <x:f>IF(OR(L143="Duplicate Risk",M143="Missing PO",N143="Review Tax",O143&gt;30,K143&lt;&gt;"Approved"),"High","Low")</x:f>
        <x:v>High</x:v>
      </x:c>
      <x:c r="Q143" s="57" t="str">
        <x:f>TEXTJOIN("; ",TRUE,IF(L143="Duplicate Risk","Duplicate risk",""),IF(M143="Missing PO","Missing PO",""),IF(N143="Review Tax","Tax variance",""),IF(O143&gt;0,"Overdue",""),IF(K143&lt;&gt;"Approved","Approval issue",""))</x:f>
        <x:v>Approval issue</x:v>
      </x:c>
    </x:row>
    <x:row r="144">
      <x:c r="A144" s="55" t="str">
        <x:v>AP-0143</x:v>
      </x:c>
      <x:c r="B144" s="56" t="str">
        <x:v>Vendor 9</x:v>
      </x:c>
      <x:c r="C144" s="56" t="str">
        <x:v>INV-30253</x:v>
      </x:c>
      <x:c r="D144" s="56" t="str"/>
      <x:c r="E144" s="76" t="n">
        <x:v>46175</x:v>
      </x:c>
      <x:c r="F144" s="76" t="n">
        <x:v>46220</x:v>
      </x:c>
      <x:c r="G144" s="80" t="n">
        <x:v>8595.81</x:v>
      </x:c>
      <x:c r="H144" s="80" t="n">
        <x:v>1117.46</x:v>
      </x:c>
      <x:c r="I144" s="80" t="n">
        <x:f>G144+H144</x:f>
        <x:v>9713.27</x:v>
      </x:c>
      <x:c r="J144" s="56" t="str">
        <x:v>On Hold</x:v>
      </x:c>
      <x:c r="K144" s="56" t="str">
        <x:v>Approved</x:v>
      </x:c>
      <x:c r="L144" s="56" t="str">
        <x:f>IF(COUNTIFS($B:$B,B144,$C:$C,C144,$I:$I,I144)&gt;1,"Duplicate Risk","OK")</x:f>
        <x:v>Duplicate Risk</x:v>
      </x:c>
      <x:c r="M144" s="56" t="str">
        <x:f>IF(D144="","Missing PO","Matched")</x:f>
        <x:v>Missing PO</x:v>
      </x:c>
      <x:c r="N144" s="56" t="str">
        <x:f>IF(ABS(H144-G144*0.13)&lt;=1,"OK","Review Tax")</x:f>
        <x:v>OK</x:v>
      </x:c>
      <x:c r="O144" s="56" t="n">
        <x:f>IF(J144="Paid",0,MAX(0,TODAY()-F144))</x:f>
        <x:v>0</x:v>
      </x:c>
      <x:c r="P144" s="56" t="str">
        <x:f>IF(OR(L144="Duplicate Risk",M144="Missing PO",N144="Review Tax",O144&gt;30,K144&lt;&gt;"Approved"),"High","Low")</x:f>
        <x:v>High</x:v>
      </x:c>
      <x:c r="Q144" s="57" t="str">
        <x:f>TEXTJOIN("; ",TRUE,IF(L144="Duplicate Risk","Duplicate risk",""),IF(M144="Missing PO","Missing PO",""),IF(N144="Review Tax","Tax variance",""),IF(O144&gt;0,"Overdue",""),IF(K144&lt;&gt;"Approved","Approval issue",""))</x:f>
        <x:v>Duplicate risk; Missing PO</x:v>
      </x:c>
    </x:row>
    <x:row r="145">
      <x:c r="A145" s="55" t="str">
        <x:v>AP-0144</x:v>
      </x:c>
      <x:c r="B145" s="56" t="str">
        <x:v>Vendor 6</x:v>
      </x:c>
      <x:c r="C145" s="56" t="str">
        <x:v>INV-25627</x:v>
      </x:c>
      <x:c r="D145" s="56" t="str">
        <x:v>PO-1086</x:v>
      </x:c>
      <x:c r="E145" s="76" t="n">
        <x:v>46178</x:v>
      </x:c>
      <x:c r="F145" s="76" t="n">
        <x:v>46223</x:v>
      </x:c>
      <x:c r="G145" s="80" t="n">
        <x:v>11920.98</x:v>
      </x:c>
      <x:c r="H145" s="80" t="n">
        <x:v>1549.73</x:v>
      </x:c>
      <x:c r="I145" s="80" t="n">
        <x:f>G145+H145</x:f>
        <x:v>13470.71</x:v>
      </x:c>
      <x:c r="J145" s="56" t="str">
        <x:v>On Hold</x:v>
      </x:c>
      <x:c r="K145" s="56" t="str">
        <x:v>Approved</x:v>
      </x:c>
      <x:c r="L145" s="56" t="str">
        <x:f>IF(COUNTIFS($B:$B,B145,$C:$C,C145,$I:$I,I145)&gt;1,"Duplicate Risk","OK")</x:f>
        <x:v>OK</x:v>
      </x:c>
      <x:c r="M145" s="56" t="str">
        <x:f>IF(D145="","Missing PO","Matched")</x:f>
        <x:v>Matched</x:v>
      </x:c>
      <x:c r="N145" s="56" t="str">
        <x:f>IF(ABS(H145-G145*0.13)&lt;=1,"OK","Review Tax")</x:f>
        <x:v>OK</x:v>
      </x:c>
      <x:c r="O145" s="56" t="n">
        <x:f>IF(J145="Paid",0,MAX(0,TODAY()-F145))</x:f>
        <x:v>0</x:v>
      </x:c>
      <x:c r="P145" s="56" t="str">
        <x:f>IF(OR(L145="Duplicate Risk",M145="Missing PO",N145="Review Tax",O145&gt;30,K145&lt;&gt;"Approved"),"High","Low")</x:f>
        <x:v>Low</x:v>
      </x:c>
      <x:c r="Q145" s="57" t="str">
        <x:f>TEXTJOIN("; ",TRUE,IF(L145="Duplicate Risk","Duplicate risk",""),IF(M145="Missing PO","Missing PO",""),IF(N145="Review Tax","Tax variance",""),IF(O145&gt;0,"Overdue",""),IF(K145&lt;&gt;"Approved","Approval issue",""))</x:f>
      </x:c>
    </x:row>
    <x:row r="146">
      <x:c r="A146" s="55" t="str">
        <x:v>AP-0145</x:v>
      </x:c>
      <x:c r="B146" s="56" t="str">
        <x:v>Vendor 8</x:v>
      </x:c>
      <x:c r="C146" s="56" t="str">
        <x:v>INV-41142</x:v>
      </x:c>
      <x:c r="D146" s="56" t="str">
        <x:v>PO-1025</x:v>
      </x:c>
      <x:c r="E146" s="76" t="n">
        <x:v>46182</x:v>
      </x:c>
      <x:c r="F146" s="76" t="n">
        <x:v>46212</x:v>
      </x:c>
      <x:c r="G146" s="80" t="n">
        <x:v>3356</x:v>
      </x:c>
      <x:c r="H146" s="80" t="n">
        <x:v>436.28</x:v>
      </x:c>
      <x:c r="I146" s="80" t="n">
        <x:f>G146+H146</x:f>
        <x:v>3792.2799999999997</x:v>
      </x:c>
      <x:c r="J146" s="56" t="str">
        <x:v>Paid</x:v>
      </x:c>
      <x:c r="K146" s="56" t="str">
        <x:v>Rejected</x:v>
      </x:c>
      <x:c r="L146" s="56" t="str">
        <x:f>IF(COUNTIFS($B:$B,B146,$C:$C,C146,$I:$I,I146)&gt;1,"Duplicate Risk","OK")</x:f>
        <x:v>OK</x:v>
      </x:c>
      <x:c r="M146" s="56" t="str">
        <x:f>IF(D146="","Missing PO","Matched")</x:f>
        <x:v>Matched</x:v>
      </x:c>
      <x:c r="N146" s="56" t="str">
        <x:f>IF(ABS(H146-G146*0.13)&lt;=1,"OK","Review Tax")</x:f>
        <x:v>OK</x:v>
      </x:c>
      <x:c r="O146" s="56" t="n">
        <x:f>IF(J146="Paid",0,MAX(0,TODAY()-F146))</x:f>
        <x:v>0</x:v>
      </x:c>
      <x:c r="P146" s="56" t="str">
        <x:f>IF(OR(L146="Duplicate Risk",M146="Missing PO",N146="Review Tax",O146&gt;30,K146&lt;&gt;"Approved"),"High","Low")</x:f>
        <x:v>High</x:v>
      </x:c>
      <x:c r="Q146" s="57" t="str">
        <x:f>TEXTJOIN("; ",TRUE,IF(L146="Duplicate Risk","Duplicate risk",""),IF(M146="Missing PO","Missing PO",""),IF(N146="Review Tax","Tax variance",""),IF(O146&gt;0,"Overdue",""),IF(K146&lt;&gt;"Approved","Approval issue",""))</x:f>
        <x:v>Approval issue</x:v>
      </x:c>
    </x:row>
    <x:row r="147">
      <x:c r="A147" s="55" t="str">
        <x:v>AP-0146</x:v>
      </x:c>
      <x:c r="B147" s="56" t="str">
        <x:v>Vendor 20</x:v>
      </x:c>
      <x:c r="C147" s="56" t="str">
        <x:v>INV-32290</x:v>
      </x:c>
      <x:c r="D147" s="56" t="str"/>
      <x:c r="E147" s="76" t="n">
        <x:v>46152</x:v>
      </x:c>
      <x:c r="F147" s="76" t="n">
        <x:v>46167</x:v>
      </x:c>
      <x:c r="G147" s="80" t="n">
        <x:v>9789.1</x:v>
      </x:c>
      <x:c r="H147" s="80" t="n">
        <x:v>1272.58</x:v>
      </x:c>
      <x:c r="I147" s="80" t="n">
        <x:f>G147+H147</x:f>
        <x:v>11061.68</x:v>
      </x:c>
      <x:c r="J147" s="56" t="str">
        <x:v>Paid</x:v>
      </x:c>
      <x:c r="K147" s="56" t="str">
        <x:v>Pending</x:v>
      </x:c>
      <x:c r="L147" s="56" t="str">
        <x:f>IF(COUNTIFS($B:$B,B147,$C:$C,C147,$I:$I,I147)&gt;1,"Duplicate Risk","OK")</x:f>
        <x:v>OK</x:v>
      </x:c>
      <x:c r="M147" s="56" t="str">
        <x:f>IF(D147="","Missing PO","Matched")</x:f>
        <x:v>Missing PO</x:v>
      </x:c>
      <x:c r="N147" s="56" t="str">
        <x:f>IF(ABS(H147-G147*0.13)&lt;=1,"OK","Review Tax")</x:f>
        <x:v>OK</x:v>
      </x:c>
      <x:c r="O147" s="56" t="n">
        <x:f>IF(J147="Paid",0,MAX(0,TODAY()-F147))</x:f>
        <x:v>0</x:v>
      </x:c>
      <x:c r="P147" s="56" t="str">
        <x:f>IF(OR(L147="Duplicate Risk",M147="Missing PO",N147="Review Tax",O147&gt;30,K147&lt;&gt;"Approved"),"High","Low")</x:f>
        <x:v>High</x:v>
      </x:c>
      <x:c r="Q147" s="57" t="str">
        <x:f>TEXTJOIN("; ",TRUE,IF(L147="Duplicate Risk","Duplicate risk",""),IF(M147="Missing PO","Missing PO",""),IF(N147="Review Tax","Tax variance",""),IF(O147&gt;0,"Overdue",""),IF(K147&lt;&gt;"Approved","Approval issue",""))</x:f>
        <x:v>Missing PO; Approval issue</x:v>
      </x:c>
    </x:row>
    <x:row r="148">
      <x:c r="A148" s="55" t="str">
        <x:v>AP-0147</x:v>
      </x:c>
      <x:c r="B148" s="56" t="str">
        <x:v>Vendor 15</x:v>
      </x:c>
      <x:c r="C148" s="56" t="str">
        <x:v>INV-44688</x:v>
      </x:c>
      <x:c r="D148" s="56" t="str"/>
      <x:c r="E148" s="76" t="n">
        <x:v>46188</x:v>
      </x:c>
      <x:c r="F148" s="76" t="n">
        <x:v>46233</x:v>
      </x:c>
      <x:c r="G148" s="80" t="n">
        <x:v>11501.55</x:v>
      </x:c>
      <x:c r="H148" s="80" t="n">
        <x:v>1495.2</x:v>
      </x:c>
      <x:c r="I148" s="80" t="n">
        <x:f>G148+H148</x:f>
        <x:v>12996.75</x:v>
      </x:c>
      <x:c r="J148" s="56" t="str">
        <x:v>Unpaid</x:v>
      </x:c>
      <x:c r="K148" s="56" t="str">
        <x:v>Pending</x:v>
      </x:c>
      <x:c r="L148" s="56" t="str">
        <x:f>IF(COUNTIFS($B:$B,B148,$C:$C,C148,$I:$I,I148)&gt;1,"Duplicate Risk","OK")</x:f>
        <x:v>OK</x:v>
      </x:c>
      <x:c r="M148" s="56" t="str">
        <x:f>IF(D148="","Missing PO","Matched")</x:f>
        <x:v>Missing PO</x:v>
      </x:c>
      <x:c r="N148" s="56" t="str">
        <x:f>IF(ABS(H148-G148*0.13)&lt;=1,"OK","Review Tax")</x:f>
        <x:v>OK</x:v>
      </x:c>
      <x:c r="O148" s="56" t="n">
        <x:f>IF(J148="Paid",0,MAX(0,TODAY()-F148))</x:f>
        <x:v>0</x:v>
      </x:c>
      <x:c r="P148" s="56" t="str">
        <x:f>IF(OR(L148="Duplicate Risk",M148="Missing PO",N148="Review Tax",O148&gt;30,K148&lt;&gt;"Approved"),"High","Low")</x:f>
        <x:v>High</x:v>
      </x:c>
      <x:c r="Q148" s="57" t="str">
        <x:f>TEXTJOIN("; ",TRUE,IF(L148="Duplicate Risk","Duplicate risk",""),IF(M148="Missing PO","Missing PO",""),IF(N148="Review Tax","Tax variance",""),IF(O148&gt;0,"Overdue",""),IF(K148&lt;&gt;"Approved","Approval issue",""))</x:f>
        <x:v>Missing PO; Approval issue</x:v>
      </x:c>
    </x:row>
    <x:row r="149">
      <x:c r="A149" s="55" t="str">
        <x:v>AP-0148</x:v>
      </x:c>
      <x:c r="B149" s="56" t="str">
        <x:v>Vendor 28</x:v>
      </x:c>
      <x:c r="C149" s="56" t="str">
        <x:v>INV-40301</x:v>
      </x:c>
      <x:c r="D149" s="56" t="str">
        <x:v>PO-1001</x:v>
      </x:c>
      <x:c r="E149" s="76" t="n">
        <x:v>46186</x:v>
      </x:c>
      <x:c r="F149" s="76" t="n">
        <x:v>46216</x:v>
      </x:c>
      <x:c r="G149" s="80" t="n">
        <x:v>11079.91</x:v>
      </x:c>
      <x:c r="H149" s="80" t="n">
        <x:v>1447.69</x:v>
      </x:c>
      <x:c r="I149" s="80" t="n">
        <x:f>G149+H149</x:f>
        <x:v>12527.6</x:v>
      </x:c>
      <x:c r="J149" s="56" t="str">
        <x:v>Unpaid</x:v>
      </x:c>
      <x:c r="K149" s="56" t="str">
        <x:v>Approved</x:v>
      </x:c>
      <x:c r="L149" s="56" t="str">
        <x:f>IF(COUNTIFS($B:$B,B149,$C:$C,C149,$I:$I,I149)&gt;1,"Duplicate Risk","OK")</x:f>
        <x:v>OK</x:v>
      </x:c>
      <x:c r="M149" s="56" t="str">
        <x:f>IF(D149="","Missing PO","Matched")</x:f>
        <x:v>Matched</x:v>
      </x:c>
      <x:c r="N149" s="56" t="str">
        <x:f>IF(ABS(H149-G149*0.13)&lt;=1,"OK","Review Tax")</x:f>
        <x:v>Review Tax</x:v>
      </x:c>
      <x:c r="O149" s="56" t="n">
        <x:f>IF(J149="Paid",0,MAX(0,TODAY()-F149))</x:f>
        <x:v>0</x:v>
      </x:c>
      <x:c r="P149" s="56" t="str">
        <x:f>IF(OR(L149="Duplicate Risk",M149="Missing PO",N149="Review Tax",O149&gt;30,K149&lt;&gt;"Approved"),"High","Low")</x:f>
        <x:v>High</x:v>
      </x:c>
      <x:c r="Q149" s="57" t="str">
        <x:f>TEXTJOIN("; ",TRUE,IF(L149="Duplicate Risk","Duplicate risk",""),IF(M149="Missing PO","Missing PO",""),IF(N149="Review Tax","Tax variance",""),IF(O149&gt;0,"Overdue",""),IF(K149&lt;&gt;"Approved","Approval issue",""))</x:f>
        <x:v>Tax variance</x:v>
      </x:c>
    </x:row>
    <x:row r="150">
      <x:c r="A150" s="55" t="str">
        <x:v>AP-0149</x:v>
      </x:c>
      <x:c r="B150" s="56" t="str">
        <x:v>Vendor 16</x:v>
      </x:c>
      <x:c r="C150" s="56" t="str">
        <x:v>INV-47644</x:v>
      </x:c>
      <x:c r="D150" s="56" t="str">
        <x:v>PO-1001</x:v>
      </x:c>
      <x:c r="E150" s="76" t="n">
        <x:v>46175</x:v>
      </x:c>
      <x:c r="F150" s="76" t="n">
        <x:v>46205</x:v>
      </x:c>
      <x:c r="G150" s="80" t="n">
        <x:v>9279.4</x:v>
      </x:c>
      <x:c r="H150" s="80" t="n">
        <x:v>1206.32</x:v>
      </x:c>
      <x:c r="I150" s="80" t="n">
        <x:f>G150+H150</x:f>
        <x:v>10485.72</x:v>
      </x:c>
      <x:c r="J150" s="56" t="str">
        <x:v>Unpaid</x:v>
      </x:c>
      <x:c r="K150" s="56" t="str">
        <x:v>Approved</x:v>
      </x:c>
      <x:c r="L150" s="56" t="str">
        <x:f>IF(COUNTIFS($B:$B,B150,$C:$C,C150,$I:$I,I150)&gt;1,"Duplicate Risk","OK")</x:f>
        <x:v>OK</x:v>
      </x:c>
      <x:c r="M150" s="56" t="str">
        <x:f>IF(D150="","Missing PO","Matched")</x:f>
        <x:v>Matched</x:v>
      </x:c>
      <x:c r="N150" s="56" t="str">
        <x:f>IF(ABS(H150-G150*0.13)&lt;=1,"OK","Review Tax")</x:f>
        <x:v>OK</x:v>
      </x:c>
      <x:c r="O150" s="56" t="n">
        <x:f>IF(J150="Paid",0,MAX(0,TODAY()-F150))</x:f>
        <x:v>0</x:v>
      </x:c>
      <x:c r="P150" s="56" t="str">
        <x:f>IF(OR(L150="Duplicate Risk",M150="Missing PO",N150="Review Tax",O150&gt;30,K150&lt;&gt;"Approved"),"High","Low")</x:f>
        <x:v>Low</x:v>
      </x:c>
      <x:c r="Q150" s="57" t="str">
        <x:f>TEXTJOIN("; ",TRUE,IF(L150="Duplicate Risk","Duplicate risk",""),IF(M150="Missing PO","Missing PO",""),IF(N150="Review Tax","Tax variance",""),IF(O150&gt;0,"Overdue",""),IF(K150&lt;&gt;"Approved","Approval issue",""))</x:f>
      </x:c>
    </x:row>
    <x:row r="151">
      <x:c r="A151" s="58" t="str">
        <x:v>AP-0150</x:v>
      </x:c>
      <x:c r="B151" s="59" t="str">
        <x:v>Vendor 20</x:v>
      </x:c>
      <x:c r="C151" s="59" t="str">
        <x:v>INV-36310</x:v>
      </x:c>
      <x:c r="D151" s="59" t="str"/>
      <x:c r="E151" s="77" t="n">
        <x:v>46179</x:v>
      </x:c>
      <x:c r="F151" s="77" t="n">
        <x:v>46209</x:v>
      </x:c>
      <x:c r="G151" s="81" t="n">
        <x:v>6346.32</x:v>
      </x:c>
      <x:c r="H151" s="81" t="n">
        <x:v>821.48</x:v>
      </x:c>
      <x:c r="I151" s="81" t="n">
        <x:f>G151+H151</x:f>
        <x:v>7167.799999999999</x:v>
      </x:c>
      <x:c r="J151" s="59" t="str">
        <x:v>Paid</x:v>
      </x:c>
      <x:c r="K151" s="59" t="str">
        <x:v>Pending</x:v>
      </x:c>
      <x:c r="L151" s="59" t="str">
        <x:f>IF(COUNTIFS($B:$B,B151,$C:$C,C151,$I:$I,I151)&gt;1,"Duplicate Risk","OK")</x:f>
        <x:v>OK</x:v>
      </x:c>
      <x:c r="M151" s="59" t="str">
        <x:f>IF(D151="","Missing PO","Matched")</x:f>
        <x:v>Missing PO</x:v>
      </x:c>
      <x:c r="N151" s="59" t="str">
        <x:f>IF(ABS(H151-G151*0.13)&lt;=1,"OK","Review Tax")</x:f>
        <x:v>Review Tax</x:v>
      </x:c>
      <x:c r="O151" s="59" t="n">
        <x:f>IF(J151="Paid",0,MAX(0,TODAY()-F151))</x:f>
        <x:v>0</x:v>
      </x:c>
      <x:c r="P151" s="59" t="str">
        <x:f>IF(OR(L151="Duplicate Risk",M151="Missing PO",N151="Review Tax",O151&gt;30,K151&lt;&gt;"Approved"),"High","Low")</x:f>
        <x:v>High</x:v>
      </x:c>
      <x:c r="Q151" s="60" t="str">
        <x:f>TEXTJOIN("; ",TRUE,IF(L151="Duplicate Risk","Duplicate risk",""),IF(M151="Missing PO","Missing PO",""),IF(N151="Review Tax","Tax variance",""),IF(O151&gt;0,"Overdue",""),IF(K151&lt;&gt;"Approved","Approval issue",""))</x:f>
        <x:v>Missing PO; Tax variance; Approval issue</x:v>
      </x:c>
    </x:row>
  </x:sheetData>
  <x:conditionalFormatting sqref="P2:P151">
    <x:cfRule type="expression" dxfId="0" priority="1">
      <x:formula>P2="High"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5" hidden="0" customWidth="1"/>
  </x:cols>
  <x:sheetData>
    <x:row r="1" ht="30" customHeight="1">
      <x:c r="A1" s="88" t="str">
        <x:v>Invoice_ID</x:v>
      </x:c>
      <x:c r="B1" s="88" t="str">
        <x:v>Vendor</x:v>
      </x:c>
      <x:c r="C1" s="88" t="str">
        <x:v>Invoice_No</x:v>
      </x:c>
      <x:c r="D1" s="88" t="str">
        <x:v>PO_No</x:v>
      </x:c>
      <x:c r="E1" s="88" t="str">
        <x:v>Invoice_Date</x:v>
      </x:c>
      <x:c r="F1" s="88" t="str">
        <x:v>Due_Date</x:v>
      </x:c>
      <x:c r="G1" s="88" t="str">
        <x:v>Amount</x:v>
      </x:c>
      <x:c r="H1" s="88" t="str">
        <x:v>Tax</x:v>
      </x:c>
      <x:c r="I1" s="88" t="str">
        <x:v>Total</x:v>
      </x:c>
      <x:c r="J1" s="88" t="str">
        <x:v>Payment_Status</x:v>
      </x:c>
      <x:c r="K1" s="88" t="str">
        <x:v>Approval_Status</x:v>
      </x:c>
      <x:c r="L1" s="88" t="str">
        <x:v>Duplicate_Flag</x:v>
      </x:c>
      <x:c r="M1" s="88" t="str">
        <x:v>PO_Status</x:v>
      </x:c>
      <x:c r="N1" s="88" t="str">
        <x:v>Tax_Check</x:v>
      </x:c>
      <x:c r="O1" s="88" t="str">
        <x:v>Days_Overdue</x:v>
      </x:c>
      <x:c r="P1" s="88" t="str">
        <x:v>Risk_Level</x:v>
      </x:c>
      <x:c r="Q1" s="88" t="str">
        <x:v>Exception_Notes</x:v>
      </x:c>
    </x:row>
    <x:row r="2">
      <x:c r="A2" t="e">
        <x:f>FILTER(Data!A:Q,Data!P:P="High","No exceptions found")</x:f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8" customHeight="1">
      <x:c r="A1" s="96" t="str">
        <x:v>AP Invoice Dashboard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</x:row>
    <x:row r="2" ht="22" customHeight="1">
      <x:c r="A2" s="13" t="str">
        <x:v>Self-directed portfolio project with realistic sample data, formulas, controls, and dashboard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0" customHeight="1">
      <x:c r="A4" s="22" t="str">
        <x:v>KPI</x:v>
      </x:c>
      <x:c r="B4" s="22" t="str">
        <x:v>Value</x:v>
      </x:c>
      <x:c r="D4" s="41" t="str">
        <x:v>Category</x:v>
      </x:c>
      <x:c r="E4" s="41" t="str">
        <x:v>Value</x:v>
      </x:c>
    </x:row>
    <x:row r="5">
      <x:c r="A5" s="105" t="str">
        <x:v>Total Invoices</x:v>
      </x:c>
      <x:c r="B5" s="110" t="n">
        <x:f>COUNTA(Data!$A$2:$A$151)</x:f>
        <x:v>150</x:v>
      </x:c>
      <x:c r="D5" t="str">
        <x:v>Duplicate Risk</x:v>
      </x:c>
      <x:c r="E5" s="100" t="n">
        <x:f>COUNTIF(Data!$L:$L,"Duplicate Risk")</x:f>
        <x:v>13</x:v>
      </x:c>
    </x:row>
    <x:row r="6">
      <x:c r="A6" s="105" t="str">
        <x:v>Total AP Amount</x:v>
      </x:c>
      <x:c r="B6" s="111" t="n">
        <x:f>SUM(Data!$I$2:$I$151)</x:f>
        <x:v>1003456.77</x:v>
      </x:c>
      <x:c r="D6" t="str">
        <x:v>Missing PO</x:v>
      </x:c>
      <x:c r="E6" s="100" t="n">
        <x:f>COUNTIF(Data!$M:$M,"Missing PO")</x:f>
        <x:v>73</x:v>
      </x:c>
    </x:row>
    <x:row r="7">
      <x:c r="A7" s="105" t="str">
        <x:v>Duplicate Risks</x:v>
      </x:c>
      <x:c r="B7" s="110" t="n">
        <x:f>COUNTIF(Data!$L:$L,"Duplicate Risk")</x:f>
        <x:v>13</x:v>
      </x:c>
      <x:c r="D7" t="str">
        <x:v>Tax Review</x:v>
      </x:c>
      <x:c r="E7" s="100" t="n">
        <x:f>COUNTIF(Data!$N:$N,"Review Tax")</x:f>
        <x:v>45</x:v>
      </x:c>
    </x:row>
    <x:row r="8">
      <x:c r="A8" s="105" t="str">
        <x:v>Missing PO</x:v>
      </x:c>
      <x:c r="B8" s="110" t="n">
        <x:f>COUNTIF(Data!$M:$M,"Missing PO")</x:f>
        <x:v>73</x:v>
      </x:c>
      <x:c r="D8" t="str">
        <x:v>High Risk</x:v>
      </x:c>
      <x:c r="E8" s="100" t="n">
        <x:f>COUNTIF(Data!$P:$P,"High")</x:f>
        <x:v>138</x:v>
      </x:c>
    </x:row>
    <x:row r="9">
      <x:c r="A9" s="105" t="str">
        <x:v>Tax Reviews</x:v>
      </x:c>
      <x:c r="B9" s="110" t="n">
        <x:f>COUNTIF(Data!$N:$N,"Review Tax")</x:f>
        <x:v>45</x:v>
      </x:c>
    </x:row>
    <x:row r="10">
      <x:c r="A10" s="105" t="str">
        <x:v>High Risk</x:v>
      </x:c>
      <x:c r="B10" s="110" t="n">
        <x:f>COUNTIF(Data!$P:$P,"High")</x:f>
        <x:v>138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ad9c9ae3bf5a43fc"/>
</x:worksheet>
</file>