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reza\Downloads\EXCEL\EXCEL_Practice_doing\32723-Exercises-TC-365\Chapter-2\"/>
    </mc:Choice>
  </mc:AlternateContent>
  <xr:revisionPtr revIDLastSave="0" documentId="13_ncr:1_{57E0BBE9-EC00-4B3C-8E91-FCF8A73303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ject Overview" sheetId="1" r:id="rId1"/>
    <sheet name="Retirement Calculator" sheetId="2" r:id="rId2"/>
    <sheet name="Growth Projection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D34" i="3"/>
  <c r="B34" i="3"/>
  <c r="D33" i="3"/>
  <c r="B33" i="3"/>
  <c r="D32" i="3"/>
  <c r="B32" i="3"/>
  <c r="D31" i="3"/>
  <c r="B31" i="3"/>
  <c r="D30" i="3"/>
  <c r="B30" i="3"/>
  <c r="D29" i="3"/>
  <c r="B29" i="3"/>
  <c r="D28" i="3"/>
  <c r="B28" i="3"/>
  <c r="D27" i="3"/>
  <c r="B27" i="3"/>
  <c r="D26" i="3"/>
  <c r="B26" i="3"/>
  <c r="D25" i="3"/>
  <c r="B25" i="3"/>
  <c r="D24" i="3"/>
  <c r="B24" i="3"/>
  <c r="D23" i="3"/>
  <c r="B23" i="3"/>
  <c r="D22" i="3"/>
  <c r="B22" i="3"/>
  <c r="D21" i="3"/>
  <c r="B21" i="3"/>
  <c r="D20" i="3"/>
  <c r="B20" i="3"/>
  <c r="D19" i="3"/>
  <c r="B19" i="3"/>
  <c r="D18" i="3"/>
  <c r="B18" i="3"/>
  <c r="D17" i="3"/>
  <c r="B17" i="3"/>
  <c r="D16" i="3"/>
  <c r="B16" i="3"/>
  <c r="D15" i="3"/>
  <c r="B15" i="3"/>
  <c r="D14" i="3"/>
  <c r="B14" i="3"/>
  <c r="D13" i="3"/>
  <c r="B13" i="3"/>
  <c r="D12" i="3"/>
  <c r="B12" i="3"/>
  <c r="D11" i="3"/>
  <c r="B11" i="3"/>
  <c r="D10" i="3"/>
  <c r="B10" i="3"/>
  <c r="D9" i="3"/>
  <c r="B9" i="3"/>
  <c r="D8" i="3"/>
  <c r="B8" i="3"/>
  <c r="D7" i="3"/>
  <c r="B7" i="3"/>
  <c r="D6" i="3"/>
  <c r="B6" i="3"/>
  <c r="D5" i="3"/>
  <c r="B5" i="3"/>
  <c r="D4" i="3"/>
  <c r="C4" i="3"/>
  <c r="E4" i="3" s="1"/>
  <c r="C5" i="3" s="1"/>
  <c r="E5" i="3" s="1"/>
  <c r="C6" i="3" s="1"/>
  <c r="E6" i="3" s="1"/>
  <c r="C7" i="3" s="1"/>
  <c r="E7" i="3" s="1"/>
  <c r="C8" i="3" s="1"/>
  <c r="E8" i="3" s="1"/>
  <c r="C9" i="3" s="1"/>
  <c r="E9" i="3" s="1"/>
  <c r="C10" i="3" s="1"/>
  <c r="E10" i="3" s="1"/>
  <c r="C11" i="3" s="1"/>
  <c r="E11" i="3" s="1"/>
  <c r="C12" i="3" s="1"/>
  <c r="E12" i="3" s="1"/>
  <c r="C13" i="3" s="1"/>
  <c r="E13" i="3" s="1"/>
  <c r="C14" i="3" s="1"/>
  <c r="E14" i="3" s="1"/>
  <c r="C15" i="3" s="1"/>
  <c r="E15" i="3" s="1"/>
  <c r="C16" i="3" s="1"/>
  <c r="E16" i="3" s="1"/>
  <c r="C17" i="3" s="1"/>
  <c r="E17" i="3" s="1"/>
  <c r="C18" i="3" s="1"/>
  <c r="E18" i="3" s="1"/>
  <c r="C19" i="3" s="1"/>
  <c r="E19" i="3" s="1"/>
  <c r="C20" i="3" s="1"/>
  <c r="E20" i="3" s="1"/>
  <c r="C21" i="3" s="1"/>
  <c r="E21" i="3" s="1"/>
  <c r="C22" i="3" s="1"/>
  <c r="E22" i="3" s="1"/>
  <c r="C23" i="3" s="1"/>
  <c r="E23" i="3" s="1"/>
  <c r="C24" i="3" s="1"/>
  <c r="E24" i="3" s="1"/>
  <c r="C25" i="3" s="1"/>
  <c r="E25" i="3" s="1"/>
  <c r="C26" i="3" s="1"/>
  <c r="E26" i="3" s="1"/>
  <c r="C27" i="3" s="1"/>
  <c r="E27" i="3" s="1"/>
  <c r="C28" i="3" s="1"/>
  <c r="E28" i="3" s="1"/>
  <c r="C29" i="3" s="1"/>
  <c r="E29" i="3" s="1"/>
  <c r="C30" i="3" s="1"/>
  <c r="E30" i="3" s="1"/>
  <c r="C31" i="3" s="1"/>
  <c r="E31" i="3" s="1"/>
  <c r="C32" i="3" s="1"/>
  <c r="E32" i="3" s="1"/>
  <c r="C33" i="3" s="1"/>
  <c r="E33" i="3" s="1"/>
  <c r="C34" i="3" s="1"/>
  <c r="E34" i="3" s="1"/>
  <c r="B4" i="3"/>
  <c r="E4" i="2"/>
  <c r="B5" i="4" s="1"/>
  <c r="E6" i="2" l="1"/>
  <c r="E7" i="2" s="1"/>
  <c r="E8" i="2"/>
  <c r="E5" i="2"/>
  <c r="B6" i="4" s="1"/>
</calcChain>
</file>

<file path=xl/sharedStrings.xml><?xml version="1.0" encoding="utf-8"?>
<sst xmlns="http://schemas.openxmlformats.org/spreadsheetml/2006/main" count="42" uniqueCount="40">
  <si>
    <t>MapleLeaf Financial Planning Inc.</t>
  </si>
  <si>
    <t>Retirement Readiness Analysis</t>
  </si>
  <si>
    <t>Company Overview</t>
  </si>
  <si>
    <t>MapleLeaf Financial Planning Inc. helps people plan for retirement. The company gives simple financial advice and helps clients reach their money goals.</t>
  </si>
  <si>
    <t>Project Purpose</t>
  </si>
  <si>
    <t>This workbook shows how long it may take for a client to reach a retirement savings goal.</t>
  </si>
  <si>
    <t>What This File Does</t>
  </si>
  <si>
    <t>Calculates years needed to reach a target fund.</t>
  </si>
  <si>
    <t>Shows the effect of monthly investments.</t>
  </si>
  <si>
    <t>Uses an expected annual return rate.</t>
  </si>
  <si>
    <t>Helps compare retirement plans.</t>
  </si>
  <si>
    <t>Users</t>
  </si>
  <si>
    <t>Financial Advisors, Wealth Managers, and Planning Analysts.</t>
  </si>
  <si>
    <t>Workbook Sheets</t>
  </si>
  <si>
    <t>Project Overview, Retirement Calculator, Growth Projection, and Dashboard.</t>
  </si>
  <si>
    <t>Retirement Calculator</t>
  </si>
  <si>
    <t>Input</t>
  </si>
  <si>
    <t>Value</t>
  </si>
  <si>
    <t>Result</t>
  </si>
  <si>
    <t>Current Investment Portfolio</t>
  </si>
  <si>
    <t>Estimated Years to Goal</t>
  </si>
  <si>
    <t>Monthly Investment Plan</t>
  </si>
  <si>
    <t>Estimated Retirement Age</t>
  </si>
  <si>
    <t>Expected Portfolio Return</t>
  </si>
  <si>
    <t>Total Contributions</t>
  </si>
  <si>
    <t>Retirement Target Fund</t>
  </si>
  <si>
    <t>Estimated Investment Growth</t>
  </si>
  <si>
    <t>Current Age</t>
  </si>
  <si>
    <t>Status</t>
  </si>
  <si>
    <t>Growth Projection</t>
  </si>
  <si>
    <t>Year</t>
  </si>
  <si>
    <t>Age</t>
  </si>
  <si>
    <t>Start Balance</t>
  </si>
  <si>
    <t>Annual Contribution</t>
  </si>
  <si>
    <t>End Balance</t>
  </si>
  <si>
    <t>Retirement Dashboard</t>
  </si>
  <si>
    <t>Metric</t>
  </si>
  <si>
    <t>Target Fund</t>
  </si>
  <si>
    <t>Years to Goal</t>
  </si>
  <si>
    <t>Retirement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</si>
</sst>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5">
    <font>
      <sz val="11"/>
      <name val="Carlito"/>
    </font>
    <font>
      <b/>
      <sz val="16"/>
      <color rgb="FFFFFFFF"/>
      <name val="Carlito"/>
    </font>
    <font>
      <b/>
      <sz val="14"/>
      <color rgb="FF1F4E79"/>
      <name val="Carlito"/>
    </font>
    <font>
      <b/>
      <sz val="11"/>
      <color rgb="FF1F4E79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4" fillId="2" borderId="0" xfId="0" applyFont="1" applyFill="1" applyAlignment="1">
      <alignment horizontal="center" wrapText="1"/>
    </xf>
    <xf numFmtId="164" fontId="0" fillId="4" borderId="0" xfId="0" applyNumberFormat="1" applyFill="1" applyAlignment="1">
      <alignment wrapText="1"/>
    </xf>
    <xf numFmtId="165" fontId="0" fillId="0" borderId="0" xfId="0" applyNumberFormat="1" applyAlignment="1">
      <alignment wrapText="1"/>
    </xf>
    <xf numFmtId="10" fontId="0" fillId="4" borderId="0" xfId="0" applyNumberFormat="1" applyFill="1" applyAlignment="1">
      <alignment wrapText="1"/>
    </xf>
    <xf numFmtId="164" fontId="0" fillId="0" borderId="0" xfId="0" applyNumberFormat="1" applyAlignment="1">
      <alignment wrapText="1"/>
    </xf>
    <xf numFmtId="0" fontId="0" fillId="4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End Balance</c:v>
          </c:tx>
          <c:cat>
            <c:numRef>
              <c:f>'Growth Projection'!$A$4:$A$34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'Growth Projection'!$E$4:$E$34</c:f>
              <c:numCache>
                <c:formatCode>\$#,##0</c:formatCode>
                <c:ptCount val="31"/>
                <c:pt idx="0">
                  <c:v>44900</c:v>
                </c:pt>
                <c:pt idx="1">
                  <c:v>22450044900.720001</c:v>
                </c:pt>
                <c:pt idx="2">
                  <c:v>808207616425.92004</c:v>
                </c:pt>
                <c:pt idx="3">
                  <c:v>808207616845.92004</c:v>
                </c:pt>
                <c:pt idx="4">
                  <c:v>808207616845.92004</c:v>
                </c:pt>
                <c:pt idx="5">
                  <c:v>808207616845.92004</c:v>
                </c:pt>
                <c:pt idx="6">
                  <c:v>808207616845.92004</c:v>
                </c:pt>
                <c:pt idx="7">
                  <c:v>808207616845.92004</c:v>
                </c:pt>
                <c:pt idx="8">
                  <c:v>808207616845.92004</c:v>
                </c:pt>
                <c:pt idx="9">
                  <c:v>808207616845.92004</c:v>
                </c:pt>
                <c:pt idx="10">
                  <c:v>808207616845.92004</c:v>
                </c:pt>
                <c:pt idx="11">
                  <c:v>808207616845.92004</c:v>
                </c:pt>
                <c:pt idx="12">
                  <c:v>808207616845.92004</c:v>
                </c:pt>
                <c:pt idx="13">
                  <c:v>808207616845.92004</c:v>
                </c:pt>
                <c:pt idx="14">
                  <c:v>808207616845.92004</c:v>
                </c:pt>
                <c:pt idx="15">
                  <c:v>808207616845.92004</c:v>
                </c:pt>
                <c:pt idx="16">
                  <c:v>808207616845.92004</c:v>
                </c:pt>
                <c:pt idx="17">
                  <c:v>808207616845.92004</c:v>
                </c:pt>
                <c:pt idx="18">
                  <c:v>808207616845.92004</c:v>
                </c:pt>
                <c:pt idx="19">
                  <c:v>808207616845.92004</c:v>
                </c:pt>
                <c:pt idx="20">
                  <c:v>808207616845.92004</c:v>
                </c:pt>
                <c:pt idx="21">
                  <c:v>808207616845.92004</c:v>
                </c:pt>
                <c:pt idx="22">
                  <c:v>808207616845.92004</c:v>
                </c:pt>
                <c:pt idx="23">
                  <c:v>808207616845.92004</c:v>
                </c:pt>
                <c:pt idx="24">
                  <c:v>808207616845.92004</c:v>
                </c:pt>
                <c:pt idx="25">
                  <c:v>808207616845.92004</c:v>
                </c:pt>
                <c:pt idx="26">
                  <c:v>808207616845.92004</c:v>
                </c:pt>
                <c:pt idx="27">
                  <c:v>808207616845.92004</c:v>
                </c:pt>
                <c:pt idx="28">
                  <c:v>808207616845.92004</c:v>
                </c:pt>
                <c:pt idx="29">
                  <c:v>808207616845.92004</c:v>
                </c:pt>
                <c:pt idx="30">
                  <c:v>808207616845.92004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B-45B5-9021-7BFDDB8CB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CA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CA"/>
                  <a:t>Portfolio value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Portfolio Growth</c:v>
          </c:tx>
          <c:cat>
            <c:numRef>
              <c:f>'Growth Projection'!$A$4:$A$34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'Growth Projection'!$E$4:$E$34</c:f>
              <c:numCache>
                <c:formatCode>\$#,##0</c:formatCode>
                <c:ptCount val="31"/>
                <c:pt idx="0">
                  <c:v>44900</c:v>
                </c:pt>
                <c:pt idx="1">
                  <c:v>22450044900.720001</c:v>
                </c:pt>
                <c:pt idx="2">
                  <c:v>808207616425.92004</c:v>
                </c:pt>
                <c:pt idx="3">
                  <c:v>808207616845.92004</c:v>
                </c:pt>
                <c:pt idx="4">
                  <c:v>808207616845.92004</c:v>
                </c:pt>
                <c:pt idx="5">
                  <c:v>808207616845.92004</c:v>
                </c:pt>
                <c:pt idx="6">
                  <c:v>808207616845.92004</c:v>
                </c:pt>
                <c:pt idx="7">
                  <c:v>808207616845.92004</c:v>
                </c:pt>
                <c:pt idx="8">
                  <c:v>808207616845.92004</c:v>
                </c:pt>
                <c:pt idx="9">
                  <c:v>808207616845.92004</c:v>
                </c:pt>
                <c:pt idx="10">
                  <c:v>808207616845.92004</c:v>
                </c:pt>
                <c:pt idx="11">
                  <c:v>808207616845.92004</c:v>
                </c:pt>
                <c:pt idx="12">
                  <c:v>808207616845.92004</c:v>
                </c:pt>
                <c:pt idx="13">
                  <c:v>808207616845.92004</c:v>
                </c:pt>
                <c:pt idx="14">
                  <c:v>808207616845.92004</c:v>
                </c:pt>
                <c:pt idx="15">
                  <c:v>808207616845.92004</c:v>
                </c:pt>
                <c:pt idx="16">
                  <c:v>808207616845.92004</c:v>
                </c:pt>
                <c:pt idx="17">
                  <c:v>808207616845.92004</c:v>
                </c:pt>
                <c:pt idx="18">
                  <c:v>808207616845.92004</c:v>
                </c:pt>
                <c:pt idx="19">
                  <c:v>808207616845.92004</c:v>
                </c:pt>
                <c:pt idx="20">
                  <c:v>808207616845.92004</c:v>
                </c:pt>
                <c:pt idx="21">
                  <c:v>808207616845.92004</c:v>
                </c:pt>
                <c:pt idx="22">
                  <c:v>808207616845.92004</c:v>
                </c:pt>
                <c:pt idx="23">
                  <c:v>808207616845.92004</c:v>
                </c:pt>
                <c:pt idx="24">
                  <c:v>808207616845.92004</c:v>
                </c:pt>
                <c:pt idx="25">
                  <c:v>808207616845.92004</c:v>
                </c:pt>
                <c:pt idx="26">
                  <c:v>808207616845.92004</c:v>
                </c:pt>
                <c:pt idx="27">
                  <c:v>808207616845.92004</c:v>
                </c:pt>
                <c:pt idx="28">
                  <c:v>808207616845.92004</c:v>
                </c:pt>
                <c:pt idx="29">
                  <c:v>808207616845.92004</c:v>
                </c:pt>
                <c:pt idx="30">
                  <c:v>808207616845.92004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D-4707-9F9B-887A87D64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CA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CA"/>
                  <a:t>Portfolio value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A8" workbookViewId="0">
      <selection sqref="A1:F1"/>
    </sheetView>
  </sheetViews>
  <sheetFormatPr defaultRowHeight="13.8"/>
  <cols>
    <col min="1" max="1" width="24" customWidth="1"/>
    <col min="2" max="6" width="20" customWidth="1"/>
  </cols>
  <sheetData>
    <row r="1" spans="1:6" ht="21">
      <c r="A1" s="13" t="s">
        <v>0</v>
      </c>
      <c r="B1" s="13"/>
      <c r="C1" s="13"/>
      <c r="D1" s="13"/>
      <c r="E1" s="13"/>
      <c r="F1" s="13"/>
    </row>
    <row r="3" spans="1:6" ht="17.399999999999999">
      <c r="A3" s="1" t="s">
        <v>1</v>
      </c>
    </row>
    <row r="5" spans="1:6">
      <c r="A5" s="2" t="s">
        <v>2</v>
      </c>
      <c r="B5" s="2"/>
      <c r="C5" s="2"/>
      <c r="D5" s="2"/>
      <c r="E5" s="2"/>
      <c r="F5" s="2"/>
    </row>
    <row r="6" spans="1:6" ht="110.4">
      <c r="A6" s="3"/>
      <c r="B6" s="3" t="s">
        <v>3</v>
      </c>
      <c r="C6" s="3"/>
      <c r="D6" s="3"/>
      <c r="E6" s="3"/>
      <c r="F6" s="3"/>
    </row>
    <row r="7" spans="1:6">
      <c r="A7" s="2" t="s">
        <v>4</v>
      </c>
      <c r="B7" s="2"/>
      <c r="C7" s="2"/>
      <c r="D7" s="2"/>
      <c r="E7" s="2"/>
      <c r="F7" s="2"/>
    </row>
    <row r="8" spans="1:6" ht="69">
      <c r="A8" s="3"/>
      <c r="B8" s="3" t="s">
        <v>5</v>
      </c>
      <c r="C8" s="3"/>
      <c r="D8" s="3"/>
      <c r="E8" s="3"/>
      <c r="F8" s="3"/>
    </row>
    <row r="9" spans="1:6">
      <c r="A9" s="2" t="s">
        <v>6</v>
      </c>
      <c r="B9" s="2"/>
      <c r="C9" s="2"/>
      <c r="D9" s="2"/>
      <c r="E9" s="2"/>
      <c r="F9" s="2"/>
    </row>
    <row r="10" spans="1:6" ht="41.4">
      <c r="A10" s="3"/>
      <c r="B10" s="3" t="s">
        <v>7</v>
      </c>
      <c r="C10" s="3"/>
      <c r="D10" s="3"/>
      <c r="E10" s="3"/>
      <c r="F10" s="3"/>
    </row>
    <row r="11" spans="1:6" ht="27.6">
      <c r="A11" s="3"/>
      <c r="B11" s="3" t="s">
        <v>8</v>
      </c>
      <c r="C11" s="3"/>
      <c r="D11" s="3"/>
      <c r="E11" s="3"/>
      <c r="F11" s="3"/>
    </row>
    <row r="12" spans="1:6" ht="27.6">
      <c r="A12" s="3"/>
      <c r="B12" s="3" t="s">
        <v>9</v>
      </c>
      <c r="C12" s="3"/>
      <c r="D12" s="3"/>
      <c r="E12" s="3"/>
      <c r="F12" s="3"/>
    </row>
    <row r="13" spans="1:6" ht="27.6">
      <c r="A13" s="3"/>
      <c r="B13" s="3" t="s">
        <v>10</v>
      </c>
      <c r="C13" s="3"/>
      <c r="D13" s="3"/>
      <c r="E13" s="3"/>
      <c r="F13" s="3"/>
    </row>
    <row r="14" spans="1:6">
      <c r="A14" s="2" t="s">
        <v>11</v>
      </c>
      <c r="B14" s="2"/>
      <c r="C14" s="2"/>
      <c r="D14" s="2"/>
      <c r="E14" s="2"/>
      <c r="F14" s="2"/>
    </row>
    <row r="15" spans="1:6" ht="41.4">
      <c r="A15" s="3"/>
      <c r="B15" s="3" t="s">
        <v>12</v>
      </c>
      <c r="C15" s="3"/>
      <c r="D15" s="3"/>
      <c r="E15" s="3"/>
      <c r="F15" s="3"/>
    </row>
    <row r="16" spans="1:6">
      <c r="A16" s="2" t="s">
        <v>13</v>
      </c>
      <c r="B16" s="2"/>
      <c r="C16" s="2"/>
      <c r="D16" s="2"/>
      <c r="E16" s="2"/>
      <c r="F16" s="2"/>
    </row>
    <row r="17" spans="1:6" ht="55.2">
      <c r="A17" s="3"/>
      <c r="B17" s="3" t="s">
        <v>14</v>
      </c>
      <c r="C17" s="3"/>
      <c r="D17" s="3"/>
      <c r="E17" s="3"/>
      <c r="F17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D11" sqref="D11"/>
    </sheetView>
  </sheetViews>
  <sheetFormatPr defaultRowHeight="13.8"/>
  <cols>
    <col min="1" max="1" width="26" customWidth="1"/>
    <col min="2" max="2" width="15.19921875" customWidth="1"/>
    <col min="4" max="4" width="23.796875" customWidth="1"/>
    <col min="5" max="5" width="13.8984375" customWidth="1"/>
  </cols>
  <sheetData>
    <row r="1" spans="1:6" ht="21">
      <c r="A1" s="14" t="s">
        <v>15</v>
      </c>
      <c r="B1" s="14"/>
      <c r="C1" s="14"/>
      <c r="D1" s="14"/>
      <c r="E1" s="14"/>
      <c r="F1" s="14"/>
    </row>
    <row r="2" spans="1:6">
      <c r="A2" s="3"/>
      <c r="B2" s="3"/>
      <c r="C2" s="3"/>
      <c r="D2" s="3"/>
      <c r="E2" s="3"/>
      <c r="F2" s="3"/>
    </row>
    <row r="3" spans="1:6">
      <c r="A3" s="7" t="s">
        <v>16</v>
      </c>
      <c r="B3" s="7" t="s">
        <v>17</v>
      </c>
      <c r="C3" s="3"/>
      <c r="D3" s="7" t="s">
        <v>18</v>
      </c>
      <c r="E3" s="7" t="s">
        <v>17</v>
      </c>
      <c r="F3" s="3"/>
    </row>
    <row r="4" spans="1:6">
      <c r="A4" s="3" t="s">
        <v>19</v>
      </c>
      <c r="B4" s="8">
        <v>35000</v>
      </c>
      <c r="C4" s="3"/>
      <c r="D4" s="3" t="s">
        <v>20</v>
      </c>
      <c r="E4" s="9">
        <f>NPER(B6/12,-B5,-B4,B7)/12</f>
        <v>22.385349951802638</v>
      </c>
      <c r="F4" s="3"/>
    </row>
    <row r="5" spans="1:6">
      <c r="A5" s="3" t="s">
        <v>21</v>
      </c>
      <c r="B5" s="8">
        <v>650</v>
      </c>
      <c r="C5" s="3"/>
      <c r="D5" s="3" t="s">
        <v>22</v>
      </c>
      <c r="E5" s="9">
        <f>B8+E4</f>
        <v>57.385349951802638</v>
      </c>
      <c r="F5" s="3"/>
    </row>
    <row r="6" spans="1:6">
      <c r="A6" s="3" t="s">
        <v>23</v>
      </c>
      <c r="B6" s="10">
        <v>0.06</v>
      </c>
      <c r="C6" s="3"/>
      <c r="D6" s="3" t="s">
        <v>24</v>
      </c>
      <c r="E6" s="11">
        <f>B5*12*E4</f>
        <v>174605.72962406056</v>
      </c>
      <c r="F6" s="3"/>
    </row>
    <row r="7" spans="1:6" ht="27.6">
      <c r="A7" s="3" t="s">
        <v>25</v>
      </c>
      <c r="B7" s="8">
        <v>500000</v>
      </c>
      <c r="C7" s="3"/>
      <c r="D7" s="3" t="s">
        <v>26</v>
      </c>
      <c r="E7" s="11">
        <f>B7-B4-E6</f>
        <v>290394.27037593944</v>
      </c>
      <c r="F7" s="3"/>
    </row>
    <row r="8" spans="1:6" ht="27.6">
      <c r="A8" s="3" t="s">
        <v>27</v>
      </c>
      <c r="B8" s="12">
        <v>35</v>
      </c>
      <c r="C8" s="3"/>
      <c r="D8" s="3" t="s">
        <v>28</v>
      </c>
      <c r="E8" s="3" t="str">
        <f>IF(E4&lt;=25,"On Track","Needs Review")</f>
        <v>On Track</v>
      </c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selection sqref="A1:E1"/>
    </sheetView>
  </sheetViews>
  <sheetFormatPr defaultRowHeight="13.8"/>
  <cols>
    <col min="1" max="1" width="21.796875" customWidth="1"/>
    <col min="2" max="2" width="4.296875" customWidth="1"/>
    <col min="3" max="3" width="22.19921875" customWidth="1"/>
    <col min="4" max="4" width="19.69921875" customWidth="1"/>
    <col min="5" max="5" width="27.19921875" customWidth="1"/>
  </cols>
  <sheetData>
    <row r="1" spans="1:5" ht="21">
      <c r="A1" s="13" t="s">
        <v>29</v>
      </c>
      <c r="B1" s="13"/>
      <c r="C1" s="13"/>
      <c r="D1" s="13"/>
      <c r="E1" s="13"/>
    </row>
    <row r="3" spans="1: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</row>
    <row r="4" spans="1:5">
      <c r="A4">
        <v>0</v>
      </c>
      <c r="B4">
        <f>'Retirement Calculator'!B8+A4</f>
        <v>35</v>
      </c>
      <c r="C4" s="5">
        <f>'Retirement Calculator'!B4</f>
        <v>35000</v>
      </c>
      <c r="D4" s="5">
        <f>'Retirement Calculator'!B5*12</f>
        <v>7800</v>
      </c>
      <c r="E4" s="5">
        <f>C4*(1+'Retirement Calculator'!B6)+D4</f>
        <v>44900</v>
      </c>
    </row>
    <row r="5" spans="1:5">
      <c r="A5">
        <v>1</v>
      </c>
      <c r="B5">
        <f>'Retirement Calculator'!B9+A5</f>
        <v>1</v>
      </c>
      <c r="C5" s="5">
        <f t="shared" ref="C5:C34" si="0">E4</f>
        <v>44900</v>
      </c>
      <c r="D5" s="5">
        <f>'Retirement Calculator'!B6*12</f>
        <v>0.72</v>
      </c>
      <c r="E5" s="5">
        <f>C5*(1+'Retirement Calculator'!B7)+D5</f>
        <v>22450044900.720001</v>
      </c>
    </row>
    <row r="6" spans="1:5">
      <c r="A6">
        <v>2</v>
      </c>
      <c r="B6">
        <f>'Retirement Calculator'!B10+A6</f>
        <v>2</v>
      </c>
      <c r="C6" s="5">
        <f t="shared" si="0"/>
        <v>22450044900.720001</v>
      </c>
      <c r="D6" s="5">
        <f>'Retirement Calculator'!B7*12</f>
        <v>6000000</v>
      </c>
      <c r="E6" s="5">
        <f>C6*(1+'Retirement Calculator'!B8)+D6</f>
        <v>808207616425.92004</v>
      </c>
    </row>
    <row r="7" spans="1:5">
      <c r="A7">
        <v>3</v>
      </c>
      <c r="B7">
        <f>'Retirement Calculator'!B11+A7</f>
        <v>3</v>
      </c>
      <c r="C7" s="5">
        <f t="shared" si="0"/>
        <v>808207616425.92004</v>
      </c>
      <c r="D7" s="5">
        <f>'Retirement Calculator'!B8*12</f>
        <v>420</v>
      </c>
      <c r="E7" s="5">
        <f>C7*(1+'Retirement Calculator'!B9)+D7</f>
        <v>808207616845.92004</v>
      </c>
    </row>
    <row r="8" spans="1:5">
      <c r="A8">
        <v>4</v>
      </c>
      <c r="B8">
        <f>'Retirement Calculator'!B12+A8</f>
        <v>4</v>
      </c>
      <c r="C8" s="5">
        <f t="shared" si="0"/>
        <v>808207616845.92004</v>
      </c>
      <c r="D8" s="5">
        <f>'Retirement Calculator'!B9*12</f>
        <v>0</v>
      </c>
      <c r="E8" s="5">
        <f>C8*(1+'Retirement Calculator'!B10)+D8</f>
        <v>808207616845.92004</v>
      </c>
    </row>
    <row r="9" spans="1:5">
      <c r="A9">
        <v>5</v>
      </c>
      <c r="B9">
        <f>'Retirement Calculator'!B13+A9</f>
        <v>5</v>
      </c>
      <c r="C9" s="5">
        <f t="shared" si="0"/>
        <v>808207616845.92004</v>
      </c>
      <c r="D9" s="5">
        <f>'Retirement Calculator'!B10*12</f>
        <v>0</v>
      </c>
      <c r="E9" s="5">
        <f>C9*(1+'Retirement Calculator'!B11)+D9</f>
        <v>808207616845.92004</v>
      </c>
    </row>
    <row r="10" spans="1:5">
      <c r="A10">
        <v>6</v>
      </c>
      <c r="B10">
        <f>'Retirement Calculator'!B14+A10</f>
        <v>6</v>
      </c>
      <c r="C10" s="5">
        <f t="shared" si="0"/>
        <v>808207616845.92004</v>
      </c>
      <c r="D10" s="5">
        <f>'Retirement Calculator'!B11*12</f>
        <v>0</v>
      </c>
      <c r="E10" s="5">
        <f>C10*(1+'Retirement Calculator'!B12)+D10</f>
        <v>808207616845.92004</v>
      </c>
    </row>
    <row r="11" spans="1:5">
      <c r="A11">
        <v>7</v>
      </c>
      <c r="B11">
        <f>'Retirement Calculator'!B15+A11</f>
        <v>7</v>
      </c>
      <c r="C11" s="5">
        <f t="shared" si="0"/>
        <v>808207616845.92004</v>
      </c>
      <c r="D11" s="5">
        <f>'Retirement Calculator'!B12*12</f>
        <v>0</v>
      </c>
      <c r="E11" s="5">
        <f>C11*(1+'Retirement Calculator'!B13)+D11</f>
        <v>808207616845.92004</v>
      </c>
    </row>
    <row r="12" spans="1:5">
      <c r="A12">
        <v>8</v>
      </c>
      <c r="B12">
        <f>'Retirement Calculator'!B16+A12</f>
        <v>8</v>
      </c>
      <c r="C12" s="5">
        <f t="shared" si="0"/>
        <v>808207616845.92004</v>
      </c>
      <c r="D12" s="5">
        <f>'Retirement Calculator'!B13*12</f>
        <v>0</v>
      </c>
      <c r="E12" s="5">
        <f>C12*(1+'Retirement Calculator'!B14)+D12</f>
        <v>808207616845.92004</v>
      </c>
    </row>
    <row r="13" spans="1:5">
      <c r="A13">
        <v>9</v>
      </c>
      <c r="B13">
        <f>'Retirement Calculator'!B17+A13</f>
        <v>9</v>
      </c>
      <c r="C13" s="5">
        <f t="shared" si="0"/>
        <v>808207616845.92004</v>
      </c>
      <c r="D13" s="5">
        <f>'Retirement Calculator'!B14*12</f>
        <v>0</v>
      </c>
      <c r="E13" s="5">
        <f>C13*(1+'Retirement Calculator'!B15)+D13</f>
        <v>808207616845.92004</v>
      </c>
    </row>
    <row r="14" spans="1:5">
      <c r="A14">
        <v>10</v>
      </c>
      <c r="B14">
        <f>'Retirement Calculator'!B18+A14</f>
        <v>10</v>
      </c>
      <c r="C14" s="5">
        <f t="shared" si="0"/>
        <v>808207616845.92004</v>
      </c>
      <c r="D14" s="5">
        <f>'Retirement Calculator'!B15*12</f>
        <v>0</v>
      </c>
      <c r="E14" s="5">
        <f>C14*(1+'Retirement Calculator'!B16)+D14</f>
        <v>808207616845.92004</v>
      </c>
    </row>
    <row r="15" spans="1:5">
      <c r="A15">
        <v>11</v>
      </c>
      <c r="B15">
        <f>'Retirement Calculator'!B19+A15</f>
        <v>11</v>
      </c>
      <c r="C15" s="5">
        <f t="shared" si="0"/>
        <v>808207616845.92004</v>
      </c>
      <c r="D15" s="5">
        <f>'Retirement Calculator'!B16*12</f>
        <v>0</v>
      </c>
      <c r="E15" s="5">
        <f>C15*(1+'Retirement Calculator'!B17)+D15</f>
        <v>808207616845.92004</v>
      </c>
    </row>
    <row r="16" spans="1:5">
      <c r="A16">
        <v>12</v>
      </c>
      <c r="B16">
        <f>'Retirement Calculator'!B20+A16</f>
        <v>12</v>
      </c>
      <c r="C16" s="5">
        <f t="shared" si="0"/>
        <v>808207616845.92004</v>
      </c>
      <c r="D16" s="5">
        <f>'Retirement Calculator'!B17*12</f>
        <v>0</v>
      </c>
      <c r="E16" s="5">
        <f>C16*(1+'Retirement Calculator'!B18)+D16</f>
        <v>808207616845.92004</v>
      </c>
    </row>
    <row r="17" spans="1:5">
      <c r="A17">
        <v>13</v>
      </c>
      <c r="B17">
        <f>'Retirement Calculator'!B21+A17</f>
        <v>13</v>
      </c>
      <c r="C17" s="5">
        <f t="shared" si="0"/>
        <v>808207616845.92004</v>
      </c>
      <c r="D17" s="5">
        <f>'Retirement Calculator'!B18*12</f>
        <v>0</v>
      </c>
      <c r="E17" s="5">
        <f>C17*(1+'Retirement Calculator'!B19)+D17</f>
        <v>808207616845.92004</v>
      </c>
    </row>
    <row r="18" spans="1:5">
      <c r="A18">
        <v>14</v>
      </c>
      <c r="B18">
        <f>'Retirement Calculator'!B22+A18</f>
        <v>14</v>
      </c>
      <c r="C18" s="5">
        <f t="shared" si="0"/>
        <v>808207616845.92004</v>
      </c>
      <c r="D18" s="5">
        <f>'Retirement Calculator'!B19*12</f>
        <v>0</v>
      </c>
      <c r="E18" s="5">
        <f>C18*(1+'Retirement Calculator'!B20)+D18</f>
        <v>808207616845.92004</v>
      </c>
    </row>
    <row r="19" spans="1:5">
      <c r="A19">
        <v>15</v>
      </c>
      <c r="B19">
        <f>'Retirement Calculator'!B23+A19</f>
        <v>15</v>
      </c>
      <c r="C19" s="5">
        <f t="shared" si="0"/>
        <v>808207616845.92004</v>
      </c>
      <c r="D19" s="5">
        <f>'Retirement Calculator'!B20*12</f>
        <v>0</v>
      </c>
      <c r="E19" s="5">
        <f>C19*(1+'Retirement Calculator'!B21)+D19</f>
        <v>808207616845.92004</v>
      </c>
    </row>
    <row r="20" spans="1:5">
      <c r="A20">
        <v>16</v>
      </c>
      <c r="B20">
        <f>'Retirement Calculator'!B24+A20</f>
        <v>16</v>
      </c>
      <c r="C20" s="5">
        <f t="shared" si="0"/>
        <v>808207616845.92004</v>
      </c>
      <c r="D20" s="5">
        <f>'Retirement Calculator'!B21*12</f>
        <v>0</v>
      </c>
      <c r="E20" s="5">
        <f>C20*(1+'Retirement Calculator'!B22)+D20</f>
        <v>808207616845.92004</v>
      </c>
    </row>
    <row r="21" spans="1:5">
      <c r="A21">
        <v>17</v>
      </c>
      <c r="B21">
        <f>'Retirement Calculator'!B25+A21</f>
        <v>17</v>
      </c>
      <c r="C21" s="5">
        <f t="shared" si="0"/>
        <v>808207616845.92004</v>
      </c>
      <c r="D21" s="5">
        <f>'Retirement Calculator'!B22*12</f>
        <v>0</v>
      </c>
      <c r="E21" s="5">
        <f>C21*(1+'Retirement Calculator'!B23)+D21</f>
        <v>808207616845.92004</v>
      </c>
    </row>
    <row r="22" spans="1:5">
      <c r="A22">
        <v>18</v>
      </c>
      <c r="B22">
        <f>'Retirement Calculator'!B26+A22</f>
        <v>18</v>
      </c>
      <c r="C22" s="5">
        <f t="shared" si="0"/>
        <v>808207616845.92004</v>
      </c>
      <c r="D22" s="5">
        <f>'Retirement Calculator'!B23*12</f>
        <v>0</v>
      </c>
      <c r="E22" s="5">
        <f>C22*(1+'Retirement Calculator'!B24)+D22</f>
        <v>808207616845.92004</v>
      </c>
    </row>
    <row r="23" spans="1:5">
      <c r="A23">
        <v>19</v>
      </c>
      <c r="B23">
        <f>'Retirement Calculator'!B27+A23</f>
        <v>19</v>
      </c>
      <c r="C23" s="5">
        <f t="shared" si="0"/>
        <v>808207616845.92004</v>
      </c>
      <c r="D23" s="5">
        <f>'Retirement Calculator'!B24*12</f>
        <v>0</v>
      </c>
      <c r="E23" s="5">
        <f>C23*(1+'Retirement Calculator'!B25)+D23</f>
        <v>808207616845.92004</v>
      </c>
    </row>
    <row r="24" spans="1:5">
      <c r="A24">
        <v>20</v>
      </c>
      <c r="B24">
        <f>'Retirement Calculator'!B28+A24</f>
        <v>20</v>
      </c>
      <c r="C24" s="5">
        <f t="shared" si="0"/>
        <v>808207616845.92004</v>
      </c>
      <c r="D24" s="5">
        <f>'Retirement Calculator'!B25*12</f>
        <v>0</v>
      </c>
      <c r="E24" s="5">
        <f>C24*(1+'Retirement Calculator'!B26)+D24</f>
        <v>808207616845.92004</v>
      </c>
    </row>
    <row r="25" spans="1:5">
      <c r="A25">
        <v>21</v>
      </c>
      <c r="B25">
        <f>'Retirement Calculator'!B29+A25</f>
        <v>21</v>
      </c>
      <c r="C25" s="5">
        <f t="shared" si="0"/>
        <v>808207616845.92004</v>
      </c>
      <c r="D25" s="5">
        <f>'Retirement Calculator'!B26*12</f>
        <v>0</v>
      </c>
      <c r="E25" s="5">
        <f>C25*(1+'Retirement Calculator'!B27)+D25</f>
        <v>808207616845.92004</v>
      </c>
    </row>
    <row r="26" spans="1:5">
      <c r="A26">
        <v>22</v>
      </c>
      <c r="B26">
        <f>'Retirement Calculator'!B30+A26</f>
        <v>22</v>
      </c>
      <c r="C26" s="5">
        <f t="shared" si="0"/>
        <v>808207616845.92004</v>
      </c>
      <c r="D26" s="5">
        <f>'Retirement Calculator'!B27*12</f>
        <v>0</v>
      </c>
      <c r="E26" s="5">
        <f>C26*(1+'Retirement Calculator'!B28)+D26</f>
        <v>808207616845.92004</v>
      </c>
    </row>
    <row r="27" spans="1:5">
      <c r="A27">
        <v>23</v>
      </c>
      <c r="B27">
        <f>'Retirement Calculator'!B31+A27</f>
        <v>23</v>
      </c>
      <c r="C27" s="5">
        <f t="shared" si="0"/>
        <v>808207616845.92004</v>
      </c>
      <c r="D27" s="5">
        <f>'Retirement Calculator'!B28*12</f>
        <v>0</v>
      </c>
      <c r="E27" s="5">
        <f>C27*(1+'Retirement Calculator'!B29)+D27</f>
        <v>808207616845.92004</v>
      </c>
    </row>
    <row r="28" spans="1:5">
      <c r="A28">
        <v>24</v>
      </c>
      <c r="B28">
        <f>'Retirement Calculator'!B32+A28</f>
        <v>24</v>
      </c>
      <c r="C28" s="5">
        <f t="shared" si="0"/>
        <v>808207616845.92004</v>
      </c>
      <c r="D28" s="5">
        <f>'Retirement Calculator'!B29*12</f>
        <v>0</v>
      </c>
      <c r="E28" s="5">
        <f>C28*(1+'Retirement Calculator'!B30)+D28</f>
        <v>808207616845.92004</v>
      </c>
    </row>
    <row r="29" spans="1:5">
      <c r="A29">
        <v>25</v>
      </c>
      <c r="B29">
        <f>'Retirement Calculator'!B33+A29</f>
        <v>25</v>
      </c>
      <c r="C29" s="5">
        <f t="shared" si="0"/>
        <v>808207616845.92004</v>
      </c>
      <c r="D29" s="5">
        <f>'Retirement Calculator'!B30*12</f>
        <v>0</v>
      </c>
      <c r="E29" s="5">
        <f>C29*(1+'Retirement Calculator'!B31)+D29</f>
        <v>808207616845.92004</v>
      </c>
    </row>
    <row r="30" spans="1:5">
      <c r="A30">
        <v>26</v>
      </c>
      <c r="B30">
        <f>'Retirement Calculator'!B34+A30</f>
        <v>26</v>
      </c>
      <c r="C30" s="5">
        <f t="shared" si="0"/>
        <v>808207616845.92004</v>
      </c>
      <c r="D30" s="5">
        <f>'Retirement Calculator'!B31*12</f>
        <v>0</v>
      </c>
      <c r="E30" s="5">
        <f>C30*(1+'Retirement Calculator'!B32)+D30</f>
        <v>808207616845.92004</v>
      </c>
    </row>
    <row r="31" spans="1:5">
      <c r="A31">
        <v>27</v>
      </c>
      <c r="B31">
        <f>'Retirement Calculator'!B35+A31</f>
        <v>27</v>
      </c>
      <c r="C31" s="5">
        <f t="shared" si="0"/>
        <v>808207616845.92004</v>
      </c>
      <c r="D31" s="5">
        <f>'Retirement Calculator'!B32*12</f>
        <v>0</v>
      </c>
      <c r="E31" s="5">
        <f>C31*(1+'Retirement Calculator'!B33)+D31</f>
        <v>808207616845.92004</v>
      </c>
    </row>
    <row r="32" spans="1:5">
      <c r="A32">
        <v>28</v>
      </c>
      <c r="B32">
        <f>'Retirement Calculator'!B36+A32</f>
        <v>28</v>
      </c>
      <c r="C32" s="5">
        <f t="shared" si="0"/>
        <v>808207616845.92004</v>
      </c>
      <c r="D32" s="5">
        <f>'Retirement Calculator'!B33*12</f>
        <v>0</v>
      </c>
      <c r="E32" s="5">
        <f>C32*(1+'Retirement Calculator'!B34)+D32</f>
        <v>808207616845.92004</v>
      </c>
    </row>
    <row r="33" spans="1:5">
      <c r="A33">
        <v>29</v>
      </c>
      <c r="B33">
        <f>'Retirement Calculator'!B37+A33</f>
        <v>29</v>
      </c>
      <c r="C33" s="5">
        <f t="shared" si="0"/>
        <v>808207616845.92004</v>
      </c>
      <c r="D33" s="5">
        <f>'Retirement Calculator'!B34*12</f>
        <v>0</v>
      </c>
      <c r="E33" s="5">
        <f>C33*(1+'Retirement Calculator'!B35)+D33</f>
        <v>808207616845.92004</v>
      </c>
    </row>
    <row r="34" spans="1:5">
      <c r="A34">
        <v>30</v>
      </c>
      <c r="B34">
        <f>'Retirement Calculator'!B38+A34</f>
        <v>30</v>
      </c>
      <c r="C34" s="5">
        <f t="shared" si="0"/>
        <v>808207616845.92004</v>
      </c>
      <c r="D34" s="5">
        <f>'Retirement Calculator'!B35*12</f>
        <v>0</v>
      </c>
      <c r="E34" s="5">
        <f>C34*(1+'Retirement Calculator'!B36)+D34</f>
        <v>808207616845.92004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sqref="A1:H1"/>
    </sheetView>
  </sheetViews>
  <sheetFormatPr defaultRowHeight="13.8"/>
  <cols>
    <col min="1" max="1" width="26.8984375" customWidth="1"/>
    <col min="2" max="2" width="15.3984375" customWidth="1"/>
  </cols>
  <sheetData>
    <row r="1" spans="1:8" ht="21">
      <c r="A1" s="13" t="s">
        <v>35</v>
      </c>
      <c r="B1" s="13"/>
      <c r="C1" s="13"/>
      <c r="D1" s="13"/>
      <c r="E1" s="13"/>
      <c r="F1" s="13"/>
      <c r="G1" s="13"/>
      <c r="H1" s="13"/>
    </row>
    <row r="3" spans="1:8">
      <c r="A3" s="4" t="s">
        <v>36</v>
      </c>
      <c r="B3" s="4" t="s">
        <v>17</v>
      </c>
    </row>
    <row r="4" spans="1:8">
      <c r="A4" t="s">
        <v>37</v>
      </c>
      <c r="B4" s="5">
        <f>'Retirement Calculator'!B7</f>
        <v>500000</v>
      </c>
    </row>
    <row r="5" spans="1:8">
      <c r="A5" t="s">
        <v>38</v>
      </c>
      <c r="B5" s="6">
        <f>'Retirement Calculator'!E4</f>
        <v>22.385349951802638</v>
      </c>
    </row>
    <row r="6" spans="1:8">
      <c r="A6" t="s">
        <v>39</v>
      </c>
      <c r="B6" s="6">
        <f>'Retirement Calculator'!E5</f>
        <v>57.385349951802638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Retirement Calculator</vt:lpstr>
      <vt:lpstr>Growth Projection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 Alireza</cp:lastModifiedBy>
  <dcterms:modified xsi:type="dcterms:W3CDTF">2026-06-08T02:43:57Z</dcterms:modified>
</cp:coreProperties>
</file>