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71beb8e4f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d5a5fbbd9e4468"/>
    <x:sheet xmlns:r="http://schemas.openxmlformats.org/officeDocument/2006/relationships" name="Forecast" sheetId="2" r:id="R98ffe2f6463b45c5"/>
    <x:sheet xmlns:r="http://schemas.openxmlformats.org/officeDocument/2006/relationships" name="Exceptions" sheetId="3" r:id="R5cbde2eef80047d0"/>
    <x:sheet xmlns:r="http://schemas.openxmlformats.org/officeDocument/2006/relationships" name="Dashboard" sheetId="4" r:id="Rc634e0105999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$#,##0"/>
    <x:numFmt numFmtId="203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f442dd0734863" /><Relationship Type="http://schemas.openxmlformats.org/officeDocument/2006/relationships/theme" Target="/xl/theme/theme1.xml" Id="R24b3a558c6324d25" /><Relationship Type="http://schemas.openxmlformats.org/officeDocument/2006/relationships/sharedStrings" Target="/xl/sharedStrings.xml" Id="R19c0a7be03cf4f9c" /><Relationship Type="http://schemas.openxmlformats.org/officeDocument/2006/relationships/worksheet" Target="/xl/worksheets/sheet1.xml" Id="R68d5a5fbbd9e4468" /><Relationship Type="http://schemas.openxmlformats.org/officeDocument/2006/relationships/worksheet" Target="/xl/worksheets/sheet2.xml" Id="R98ffe2f6463b45c5" /><Relationship Type="http://schemas.openxmlformats.org/officeDocument/2006/relationships/worksheet" Target="/xl/worksheets/sheet3.xml" Id="R5cbde2eef80047d0" /><Relationship Type="http://schemas.openxmlformats.org/officeDocument/2006/relationships/worksheet" Target="/xl/worksheets/sheet4.xml" Id="Rc634e01059994c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3cf6f72ced4a7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3cf6f72ced4a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3878ab714ae482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13-Week Cash Flow Forecast Model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Companies need a short-term cash forecast to plan collections, supplier payments, payroll, and weeks below minimum cash target.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Rolling 13-week forecast, weekly receipts/payments, opening/ending cash formulas, below target flags, dashboard chart.</x:v>
      </x:c>
    </x:row>
    <x:row r="8" ht="52" customHeight="1">
      <x:c r="A8" s="30" t="str">
        <x:v>Workbook Sheets</x:v>
      </x:c>
      <x:c r="B8" s="35" t="str">
        <x:v>README, Forecast, Exceptions, Dashboard</x:v>
      </x:c>
    </x:row>
    <x:row r="9" ht="52" customHeight="1">
      <x:c r="A9" s="30" t="str">
        <x:v>Interview Talking Points</x:v>
      </x:c>
      <x:c r="B9" s="35" t="str">
        <x:v>Show how the model identifies cash pressure weeks and supports payment timing decisions.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42" hidden="0" customWidth="1"/>
  </x:cols>
  <x:sheetData>
    <x:row r="1" ht="30" customHeight="1">
      <x:c r="A1" s="38" t="str">
        <x:v>Week_Ending</x:v>
      </x:c>
      <x:c r="B1" s="39" t="str">
        <x:v>Opening_Cash</x:v>
      </x:c>
      <x:c r="C1" s="39" t="str">
        <x:v>Receipts</x:v>
      </x:c>
      <x:c r="D1" s="39" t="str">
        <x:v>Payments</x:v>
      </x:c>
      <x:c r="E1" s="39" t="str">
        <x:v>Net_Cash_Flow</x:v>
      </x:c>
      <x:c r="F1" s="39" t="str">
        <x:v>Ending_Cash</x:v>
      </x:c>
      <x:c r="G1" s="39" t="str">
        <x:v>Target_Cash</x:v>
      </x:c>
      <x:c r="H1" s="39" t="str">
        <x:v>Status</x:v>
      </x:c>
      <x:c r="I1" s="40" t="str">
        <x:v>Management_Action</x:v>
      </x:c>
    </x:row>
    <x:row r="2">
      <x:c r="A2" s="68" t="n">
        <x:v>46206</x:v>
      </x:c>
      <x:c r="B2" s="72" t="n">
        <x:f>85000</x:f>
        <x:v>85000</x:v>
      </x:c>
      <x:c r="C2" s="72" t="n">
        <x:f>C2</x:f>
        <x:v>0</x:v>
      </x:c>
      <x:c r="D2" s="72" t="n">
        <x:f>D2</x:f>
        <x:v>0</x:v>
      </x:c>
      <x:c r="E2" s="72" t="n">
        <x:f>C2-D2</x:f>
        <x:v>0</x:v>
      </x:c>
      <x:c r="F2" s="72" t="n">
        <x:f>B2+E2</x:f>
        <x:v>85000</x:v>
      </x:c>
      <x:c r="G2" s="72" t="n">
        <x:f>50000</x:f>
        <x:v>50000</x:v>
      </x:c>
      <x:c r="H2" s="48" t="str">
        <x:f>IF(F2&lt;G2,"Below Target","OK")</x:f>
        <x:v>OK</x:v>
      </x:c>
      <x:c r="I2" s="49" t="str">
        <x:f>IF(H2="Below Target","Accelerate collections / delay flexible payments","No action")</x:f>
        <x:v>No action</x:v>
      </x:c>
    </x:row>
    <x:row r="3">
      <x:c r="A3" s="68" t="n">
        <x:v>46213</x:v>
      </x:c>
      <x:c r="B3" s="72" t="n">
        <x:f>F2</x:f>
        <x:v>85000</x:v>
      </x:c>
      <x:c r="C3" s="72" t="n">
        <x:f>C3</x:f>
        <x:v>0</x:v>
      </x:c>
      <x:c r="D3" s="72" t="n">
        <x:f>D3</x:f>
        <x:v>0</x:v>
      </x:c>
      <x:c r="E3" s="72" t="n">
        <x:f>C3-D3</x:f>
        <x:v>0</x:v>
      </x:c>
      <x:c r="F3" s="72" t="n">
        <x:f>B3+E3</x:f>
        <x:v>85000</x:v>
      </x:c>
      <x:c r="G3" s="72" t="n">
        <x:f>50000</x:f>
        <x:v>50000</x:v>
      </x:c>
      <x:c r="H3" s="48" t="str">
        <x:f>IF(F3&lt;G3,"Below Target","OK")</x:f>
        <x:v>OK</x:v>
      </x:c>
      <x:c r="I3" s="49" t="str">
        <x:f>IF(H3="Below Target","Accelerate collections / delay flexible payments","No action")</x:f>
        <x:v>No action</x:v>
      </x:c>
    </x:row>
    <x:row r="4">
      <x:c r="A4" s="68" t="n">
        <x:v>46220</x:v>
      </x:c>
      <x:c r="B4" s="72" t="n">
        <x:f>F3</x:f>
        <x:v>85000</x:v>
      </x:c>
      <x:c r="C4" s="72" t="n">
        <x:f>C4</x:f>
        <x:v>0</x:v>
      </x:c>
      <x:c r="D4" s="72" t="n">
        <x:f>D4</x:f>
        <x:v>0</x:v>
      </x:c>
      <x:c r="E4" s="72" t="n">
        <x:f>C4-D4</x:f>
        <x:v>0</x:v>
      </x:c>
      <x:c r="F4" s="72" t="n">
        <x:f>B4+E4</x:f>
        <x:v>85000</x:v>
      </x:c>
      <x:c r="G4" s="72" t="n">
        <x:f>50000</x:f>
        <x:v>50000</x:v>
      </x:c>
      <x:c r="H4" s="48" t="str">
        <x:f>IF(F4&lt;G4,"Below Target","OK")</x:f>
        <x:v>OK</x:v>
      </x:c>
      <x:c r="I4" s="49" t="str">
        <x:f>IF(H4="Below Target","Accelerate collections / delay flexible payments","No action")</x:f>
        <x:v>No action</x:v>
      </x:c>
    </x:row>
    <x:row r="5">
      <x:c r="A5" s="68" t="n">
        <x:v>46227</x:v>
      </x:c>
      <x:c r="B5" s="72" t="n">
        <x:f>F4</x:f>
        <x:v>85000</x:v>
      </x:c>
      <x:c r="C5" s="72" t="n">
        <x:f>C5</x:f>
        <x:v>0</x:v>
      </x:c>
      <x:c r="D5" s="72" t="n">
        <x:f>D5</x:f>
        <x:v>0</x:v>
      </x:c>
      <x:c r="E5" s="72" t="n">
        <x:f>C5-D5</x:f>
        <x:v>0</x:v>
      </x:c>
      <x:c r="F5" s="72" t="n">
        <x:f>B5+E5</x:f>
        <x:v>85000</x:v>
      </x:c>
      <x:c r="G5" s="72" t="n">
        <x:f>50000</x:f>
        <x:v>50000</x:v>
      </x:c>
      <x:c r="H5" s="48" t="str">
        <x:f>IF(F5&lt;G5,"Below Target","OK")</x:f>
        <x:v>OK</x:v>
      </x:c>
      <x:c r="I5" s="49" t="str">
        <x:f>IF(H5="Below Target","Accelerate collections / delay flexible payments","No action")</x:f>
        <x:v>No action</x:v>
      </x:c>
    </x:row>
    <x:row r="6">
      <x:c r="A6" s="68" t="n">
        <x:v>46234</x:v>
      </x:c>
      <x:c r="B6" s="72" t="n">
        <x:f>F5</x:f>
        <x:v>85000</x:v>
      </x:c>
      <x:c r="C6" s="72" t="n">
        <x:f>C6</x:f>
        <x:v>0</x:v>
      </x:c>
      <x:c r="D6" s="72" t="n">
        <x:f>D6</x:f>
        <x:v>0</x:v>
      </x:c>
      <x:c r="E6" s="72" t="n">
        <x:f>C6-D6</x:f>
        <x:v>0</x:v>
      </x:c>
      <x:c r="F6" s="72" t="n">
        <x:f>B6+E6</x:f>
        <x:v>85000</x:v>
      </x:c>
      <x:c r="G6" s="72" t="n">
        <x:f>50000</x:f>
        <x:v>50000</x:v>
      </x:c>
      <x:c r="H6" s="48" t="str">
        <x:f>IF(F6&lt;G6,"Below Target","OK")</x:f>
        <x:v>OK</x:v>
      </x:c>
      <x:c r="I6" s="49" t="str">
        <x:f>IF(H6="Below Target","Accelerate collections / delay flexible payments","No action")</x:f>
        <x:v>No action</x:v>
      </x:c>
    </x:row>
    <x:row r="7">
      <x:c r="A7" s="68" t="n">
        <x:v>46241</x:v>
      </x:c>
      <x:c r="B7" s="72" t="n">
        <x:f>F6</x:f>
        <x:v>85000</x:v>
      </x:c>
      <x:c r="C7" s="72" t="n">
        <x:f>C7</x:f>
        <x:v>0</x:v>
      </x:c>
      <x:c r="D7" s="72" t="n">
        <x:f>D7</x:f>
        <x:v>0</x:v>
      </x:c>
      <x:c r="E7" s="72" t="n">
        <x:f>C7-D7</x:f>
        <x:v>0</x:v>
      </x:c>
      <x:c r="F7" s="72" t="n">
        <x:f>B7+E7</x:f>
        <x:v>85000</x:v>
      </x:c>
      <x:c r="G7" s="72" t="n">
        <x:f>50000</x:f>
        <x:v>50000</x:v>
      </x:c>
      <x:c r="H7" s="48" t="str">
        <x:f>IF(F7&lt;G7,"Below Target","OK")</x:f>
        <x:v>OK</x:v>
      </x:c>
      <x:c r="I7" s="49" t="str">
        <x:f>IF(H7="Below Target","Accelerate collections / delay flexible payments","No action")</x:f>
        <x:v>No action</x:v>
      </x:c>
    </x:row>
    <x:row r="8">
      <x:c r="A8" s="68" t="n">
        <x:v>46248</x:v>
      </x:c>
      <x:c r="B8" s="72" t="n">
        <x:f>F7</x:f>
        <x:v>85000</x:v>
      </x:c>
      <x:c r="C8" s="72" t="n">
        <x:f>C8</x:f>
        <x:v>0</x:v>
      </x:c>
      <x:c r="D8" s="72" t="n">
        <x:f>D8</x:f>
        <x:v>0</x:v>
      </x:c>
      <x:c r="E8" s="72" t="n">
        <x:f>C8-D8</x:f>
        <x:v>0</x:v>
      </x:c>
      <x:c r="F8" s="72" t="n">
        <x:f>B8+E8</x:f>
        <x:v>85000</x:v>
      </x:c>
      <x:c r="G8" s="72" t="n">
        <x:f>50000</x:f>
        <x:v>50000</x:v>
      </x:c>
      <x:c r="H8" s="48" t="str">
        <x:f>IF(F8&lt;G8,"Below Target","OK")</x:f>
        <x:v>OK</x:v>
      </x:c>
      <x:c r="I8" s="49" t="str">
        <x:f>IF(H8="Below Target","Accelerate collections / delay flexible payments","No action")</x:f>
        <x:v>No action</x:v>
      </x:c>
    </x:row>
    <x:row r="9">
      <x:c r="A9" s="68" t="n">
        <x:v>46255</x:v>
      </x:c>
      <x:c r="B9" s="72" t="n">
        <x:f>F8</x:f>
        <x:v>85000</x:v>
      </x:c>
      <x:c r="C9" s="72" t="n">
        <x:f>C9</x:f>
        <x:v>0</x:v>
      </x:c>
      <x:c r="D9" s="72" t="n">
        <x:f>D9</x:f>
        <x:v>0</x:v>
      </x:c>
      <x:c r="E9" s="72" t="n">
        <x:f>C9-D9</x:f>
        <x:v>0</x:v>
      </x:c>
      <x:c r="F9" s="72" t="n">
        <x:f>B9+E9</x:f>
        <x:v>85000</x:v>
      </x:c>
      <x:c r="G9" s="72" t="n">
        <x:f>50000</x:f>
        <x:v>50000</x:v>
      </x:c>
      <x:c r="H9" s="48" t="str">
        <x:f>IF(F9&lt;G9,"Below Target","OK")</x:f>
        <x:v>OK</x:v>
      </x:c>
      <x:c r="I9" s="49" t="str">
        <x:f>IF(H9="Below Target","Accelerate collections / delay flexible payments","No action")</x:f>
        <x:v>No action</x:v>
      </x:c>
    </x:row>
    <x:row r="10">
      <x:c r="A10" s="68" t="n">
        <x:v>46262</x:v>
      </x:c>
      <x:c r="B10" s="72" t="n">
        <x:f>F9</x:f>
        <x:v>85000</x:v>
      </x:c>
      <x:c r="C10" s="72" t="n">
        <x:f>C10</x:f>
        <x:v>0</x:v>
      </x:c>
      <x:c r="D10" s="72" t="n">
        <x:f>D10</x:f>
        <x:v>0</x:v>
      </x:c>
      <x:c r="E10" s="72" t="n">
        <x:f>C10-D10</x:f>
        <x:v>0</x:v>
      </x:c>
      <x:c r="F10" s="72" t="n">
        <x:f>B10+E10</x:f>
        <x:v>85000</x:v>
      </x:c>
      <x:c r="G10" s="72" t="n">
        <x:f>50000</x:f>
        <x:v>50000</x:v>
      </x:c>
      <x:c r="H10" s="48" t="str">
        <x:f>IF(F10&lt;G10,"Below Target","OK")</x:f>
        <x:v>OK</x:v>
      </x:c>
      <x:c r="I10" s="49" t="str">
        <x:f>IF(H10="Below Target","Accelerate collections / delay flexible payments","No action")</x:f>
        <x:v>No action</x:v>
      </x:c>
    </x:row>
    <x:row r="11">
      <x:c r="A11" s="68" t="n">
        <x:v>46269</x:v>
      </x:c>
      <x:c r="B11" s="72" t="n">
        <x:f>F10</x:f>
        <x:v>85000</x:v>
      </x:c>
      <x:c r="C11" s="72" t="n">
        <x:f>C11</x:f>
        <x:v>0</x:v>
      </x:c>
      <x:c r="D11" s="72" t="n">
        <x:f>D11</x:f>
        <x:v>0</x:v>
      </x:c>
      <x:c r="E11" s="72" t="n">
        <x:f>C11-D11</x:f>
        <x:v>0</x:v>
      </x:c>
      <x:c r="F11" s="72" t="n">
        <x:f>B11+E11</x:f>
        <x:v>85000</x:v>
      </x:c>
      <x:c r="G11" s="72" t="n">
        <x:f>50000</x:f>
        <x:v>50000</x:v>
      </x:c>
      <x:c r="H11" s="48" t="str">
        <x:f>IF(F11&lt;G11,"Below Target","OK")</x:f>
        <x:v>OK</x:v>
      </x:c>
      <x:c r="I11" s="49" t="str">
        <x:f>IF(H11="Below Target","Accelerate collections / delay flexible payments","No action")</x:f>
        <x:v>No action</x:v>
      </x:c>
    </x:row>
    <x:row r="12">
      <x:c r="A12" s="68" t="n">
        <x:v>46276</x:v>
      </x:c>
      <x:c r="B12" s="72" t="n">
        <x:f>F11</x:f>
        <x:v>85000</x:v>
      </x:c>
      <x:c r="C12" s="72" t="n">
        <x:f>C12</x:f>
        <x:v>0</x:v>
      </x:c>
      <x:c r="D12" s="72" t="n">
        <x:f>D12</x:f>
        <x:v>0</x:v>
      </x:c>
      <x:c r="E12" s="72" t="n">
        <x:f>C12-D12</x:f>
        <x:v>0</x:v>
      </x:c>
      <x:c r="F12" s="72" t="n">
        <x:f>B12+E12</x:f>
        <x:v>85000</x:v>
      </x:c>
      <x:c r="G12" s="72" t="n">
        <x:f>50000</x:f>
        <x:v>50000</x:v>
      </x:c>
      <x:c r="H12" s="48" t="str">
        <x:f>IF(F12&lt;G12,"Below Target","OK")</x:f>
        <x:v>OK</x:v>
      </x:c>
      <x:c r="I12" s="49" t="str">
        <x:f>IF(H12="Below Target","Accelerate collections / delay flexible payments","No action")</x:f>
        <x:v>No action</x:v>
      </x:c>
    </x:row>
    <x:row r="13">
      <x:c r="A13" s="68" t="n">
        <x:v>46283</x:v>
      </x:c>
      <x:c r="B13" s="72" t="n">
        <x:f>F12</x:f>
        <x:v>85000</x:v>
      </x:c>
      <x:c r="C13" s="72" t="n">
        <x:f>C13</x:f>
        <x:v>0</x:v>
      </x:c>
      <x:c r="D13" s="72" t="n">
        <x:f>D13</x:f>
        <x:v>0</x:v>
      </x:c>
      <x:c r="E13" s="72" t="n">
        <x:f>C13-D13</x:f>
        <x:v>0</x:v>
      </x:c>
      <x:c r="F13" s="72" t="n">
        <x:f>B13+E13</x:f>
        <x:v>85000</x:v>
      </x:c>
      <x:c r="G13" s="72" t="n">
        <x:f>50000</x:f>
        <x:v>50000</x:v>
      </x:c>
      <x:c r="H13" s="48" t="str">
        <x:f>IF(F13&lt;G13,"Below Target","OK")</x:f>
        <x:v>OK</x:v>
      </x:c>
      <x:c r="I13" s="49" t="str">
        <x:f>IF(H13="Below Target","Accelerate collections / delay flexible payments","No action")</x:f>
        <x:v>No action</x:v>
      </x:c>
    </x:row>
    <x:row r="14">
      <x:c r="A14" s="69" t="n">
        <x:v>46290</x:v>
      </x:c>
      <x:c r="B14" s="73" t="n">
        <x:f>F13</x:f>
        <x:v>85000</x:v>
      </x:c>
      <x:c r="C14" s="73" t="n">
        <x:f>C14</x:f>
        <x:v>0</x:v>
      </x:c>
      <x:c r="D14" s="73" t="n">
        <x:f>D14</x:f>
        <x:v>0</x:v>
      </x:c>
      <x:c r="E14" s="73" t="n">
        <x:f>C14-D14</x:f>
        <x:v>0</x:v>
      </x:c>
      <x:c r="F14" s="73" t="n">
        <x:f>B14+E14</x:f>
        <x:v>85000</x:v>
      </x:c>
      <x:c r="G14" s="73" t="n">
        <x:f>50000</x:f>
        <x:v>50000</x:v>
      </x:c>
      <x:c r="H14" s="51" t="str">
        <x:f>IF(F14&lt;G14,"Below Target","OK")</x:f>
        <x:v>OK</x:v>
      </x:c>
      <x:c r="I14" s="52" t="str">
        <x:f>IF(H14="Below Target","Accelerate collections / delay flexible payments","No action")</x:f>
        <x:v>No action</x:v>
      </x:c>
    </x:row>
  </x:sheetData>
  <x:conditionalFormatting sqref="H2:H14">
    <x:cfRule type="expression" dxfId="0" priority="1">
      <x:formula>H2="Below Target"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</x:cols>
  <x:sheetData>
    <x:row r="1" ht="30" customHeight="1">
      <x:c r="A1" s="80" t="str">
        <x:v>Week_Ending</x:v>
      </x:c>
      <x:c r="B1" s="80" t="str">
        <x:v>Opening_Cash</x:v>
      </x:c>
      <x:c r="C1" s="80" t="str">
        <x:v>Receipts</x:v>
      </x:c>
      <x:c r="D1" s="80" t="str">
        <x:v>Payments</x:v>
      </x:c>
      <x:c r="E1" s="80" t="str">
        <x:v>Net_Cash_Flow</x:v>
      </x:c>
      <x:c r="F1" s="80" t="str">
        <x:v>Ending_Cash</x:v>
      </x:c>
      <x:c r="G1" s="80" t="str">
        <x:v>Target_Cash</x:v>
      </x:c>
      <x:c r="H1" s="80" t="str">
        <x:v>Status</x:v>
      </x:c>
      <x:c r="I1" s="80" t="str">
        <x:v>Management_Action</x:v>
      </x:c>
    </x:row>
    <x:row r="2">
      <x:c r="A2" t="e">
        <x:f>FILTER(Forecast!A:I,Forecast!H:H="Below Target","No cash pressure weeks")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88" t="str">
        <x:v>13-Week Cash Flow Dashboard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KPI</x:v>
      </x:c>
      <x:c r="B4" s="22" t="str">
        <x:v>Value</x:v>
      </x:c>
      <x:c r="D4" s="111" t="str">
        <x:v>Category</x:v>
      </x:c>
      <x:c r="E4" s="111" t="str">
        <x:v>Value</x:v>
      </x:c>
    </x:row>
    <x:row r="5">
      <x:c r="A5" s="97" t="str">
        <x:v>Opening Cash</x:v>
      </x:c>
      <x:c r="B5" s="102" t="n">
        <x:f>Forecast!$B$2</x:f>
        <x:v>85000</x:v>
      </x:c>
      <x:c r="D5" t="str">
        <x:v>Week 1</x:v>
      </x:c>
      <x:c r="E5" s="92" t="n">
        <x:f>Forecast!F2</x:f>
        <x:v>85000</x:v>
      </x:c>
    </x:row>
    <x:row r="6">
      <x:c r="A6" s="97" t="str">
        <x:v>Ending Cash</x:v>
      </x:c>
      <x:c r="B6" s="102" t="n">
        <x:f>Forecast!$F$14</x:f>
        <x:v>85000</x:v>
      </x:c>
      <x:c r="D6" t="str">
        <x:v>Week 2</x:v>
      </x:c>
      <x:c r="E6" s="92" t="n">
        <x:f>Forecast!F3</x:f>
        <x:v>85000</x:v>
      </x:c>
    </x:row>
    <x:row r="7">
      <x:c r="A7" s="97" t="str">
        <x:v>Lowest Cash</x:v>
      </x:c>
      <x:c r="B7" s="102" t="n">
        <x:f>MIN(Forecast!$F$2:$F$14)</x:f>
        <x:v>85000</x:v>
      </x:c>
      <x:c r="D7" t="str">
        <x:v>Week 3</x:v>
      </x:c>
      <x:c r="E7" s="92" t="n">
        <x:f>Forecast!F4</x:f>
        <x:v>85000</x:v>
      </x:c>
    </x:row>
    <x:row r="8">
      <x:c r="A8" s="97" t="str">
        <x:v>Weeks Below Target</x:v>
      </x:c>
      <x:c r="B8" s="103" t="n">
        <x:f>COUNTIF(Forecast!$H:$H,"Below Target")</x:f>
        <x:v>0</x:v>
      </x:c>
      <x:c r="D8" t="str">
        <x:v>Week 4</x:v>
      </x:c>
      <x:c r="E8" s="92" t="n">
        <x:f>Forecast!F5</x:f>
        <x:v>85000</x:v>
      </x:c>
    </x:row>
    <x:row r="9">
      <x:c r="A9" s="97" t="str">
        <x:v>Total Receipts</x:v>
      </x:c>
      <x:c r="B9" s="102" t="n">
        <x:f>SUM(Forecast!$C:$C)</x:f>
        <x:v>0</x:v>
      </x:c>
      <x:c r="D9" t="str">
        <x:v>Week 5</x:v>
      </x:c>
      <x:c r="E9" s="92" t="n">
        <x:f>Forecast!F6</x:f>
        <x:v>85000</x:v>
      </x:c>
    </x:row>
    <x:row r="10">
      <x:c r="A10" s="97" t="str">
        <x:v>Total Payments</x:v>
      </x:c>
      <x:c r="B10" s="102" t="n">
        <x:f>SUM(Forecast!$D:$D)</x:f>
        <x:v>0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43878ab714ae4825"/>
</x:worksheet>
</file>