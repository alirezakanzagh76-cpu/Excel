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9b45f0c6cf4c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1c471ada18c487a"/>
    <x:sheet xmlns:r="http://schemas.openxmlformats.org/officeDocument/2006/relationships" name="Mapping" sheetId="2" r:id="Ra4ff3f2cc4674620"/>
    <x:sheet xmlns:r="http://schemas.openxmlformats.org/officeDocument/2006/relationships" name="Trial_Balance" sheetId="3" r:id="R498d8d149b1c46cb"/>
    <x:sheet xmlns:r="http://schemas.openxmlformats.org/officeDocument/2006/relationships" name="FS_Builder" sheetId="4" r:id="Recacbfda9d4e45d6"/>
    <x:sheet xmlns:r="http://schemas.openxmlformats.org/officeDocument/2006/relationships" name="Exceptions" sheetId="5" r:id="Ra6fe218d8e7a4709"/>
    <x:sheet xmlns:r="http://schemas.openxmlformats.org/officeDocument/2006/relationships" name="Dashboard" sheetId="6" r:id="R2bee66dd949943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.00"/>
    <x:numFmt numFmtId="201" formatCode="$#,##0"/>
    <x:numFmt numFmtId="202" formatCode="0"/>
  </x:numFmts>
  <x:fonts count="5">
    <x:font>
      <x:sz val="11"/>
      <x:name val="Carlito"/>
    </x:font>
    <x:font>
      <x:b/>
      <x:sz val="15"/>
      <x:color rgb="FFFFFFFF"/>
      <x:name val="Carlito"/>
    </x:font>
    <x:font>
      <x:i/>
      <x:sz val="11"/>
      <x:color rgb="FF1F4E78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  <x:fill>
      <x:patternFill patternType="solid">
        <x:fgColor rgb="FFE2F0D9"/>
      </x:patternFill>
    </x:fill>
    <x:fill>
      <x:patternFill patternType="solid">
        <x:fgColor rgb="FF5B9BD5"/>
      </x:patternFill>
    </x:fill>
    <x:fill>
      <x:patternFill patternType="solid">
        <x:fgColor rgb="FFC00000"/>
      </x:patternFill>
    </x:fill>
    <x:fill>
      <x:patternFill patternType="solid">
        <x:fgColor rgb="FFF2F2F2"/>
      </x:patternFill>
    </x:fill>
  </x:fills>
  <x:borders count="20">
    <x:border/>
    <x:border/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</x:borders>
  <x:cellStyleXfs count="1">
    <x:xf numFmtId="0" fontId="0" fillId="0" borderId="0"/>
  </x:cellStyleXfs>
  <x:cellXfs count="1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top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3" fillId="2" borderId="11" xfId="0" applyNumberFormat="1" applyFont="1" applyFill="1" applyBorder="1" applyAlignment="1">
      <x:alignment horizontal="center" vertical="center" wrapText="1"/>
    </x:xf>
    <x:xf numFmtId="0" fontId="3" fillId="2" borderId="12" xfId="0" applyNumberFormat="1" applyFont="1" applyFill="1" applyBorder="1" applyAlignment="1">
      <x:alignment horizontal="center" vertical="center" wrapText="1"/>
    </x:xf>
    <x:xf numFmtId="0" fontId="3" fillId="2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3" fillId="6" borderId="2" xfId="0" applyNumberFormat="1" applyFont="1" applyFill="1" applyBorder="1" applyAlignment="1">
      <x:alignment horizontal="center" vertical="center" wrapText="1"/>
    </x:xf>
    <x:xf numFmtId="0" fontId="3" fillId="6" borderId="3" xfId="0" applyNumberFormat="1" applyFont="1" applyFill="1" applyBorder="1" applyAlignment="1">
      <x:alignment horizontal="center" vertical="center" wrapText="1"/>
    </x:xf>
    <x:xf numFmtId="0" fontId="3" fillId="6" borderId="4" xfId="0" applyNumberFormat="1" applyFont="1" applyFill="1" applyBorder="1" applyAlignment="1">
      <x:alignment horizontal="center" vertical="center" wrapText="1"/>
    </x:xf>
    <x:xf numFmtId="0" fontId="3" fillId="6" borderId="11" xfId="0" applyNumberFormat="1" applyFont="1" applyFill="1" applyBorder="1" applyAlignment="1">
      <x:alignment horizontal="center" vertical="center" wrapText="1"/>
    </x:xf>
    <x:xf numFmtId="0" fontId="3" fillId="6" borderId="12" xfId="0" applyNumberFormat="1" applyFont="1" applyFill="1" applyBorder="1" applyAlignment="1">
      <x:alignment horizontal="center" vertical="center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200" fontId="0" fillId="0" borderId="6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  <x:xf numFmtId="200" fontId="0" fillId="0" borderId="15" xfId="0" applyNumberFormat="1" applyFont="1" applyFill="1" applyBorder="1" applyAlignment="1">
      <x:alignment vertical="center"/>
    </x:xf>
    <x:xf numFmtId="200" fontId="0" fillId="0" borderId="18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4" fillId="5" borderId="0" xfId="0" applyNumberFormat="1" applyFont="1" applyFill="1" applyBorder="1"/>
    <x:xf numFmtId="200" fontId="0" fillId="0" borderId="1" xfId="0" applyNumberFormat="1" applyFont="1" applyFill="1" applyBorder="1"/>
    <x:xf numFmtId="200" fontId="4" fillId="5" borderId="1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horizont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0" fillId="8" borderId="1" xfId="0" applyNumberFormat="1" applyFont="1" applyFill="1" applyBorder="1"/>
    <x:xf numFmtId="0" fontId="4" fillId="8" borderId="1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201" fontId="4" fillId="0" borderId="0" xfId="0" applyNumberFormat="1" applyFont="1" applyFill="1" applyBorder="1" applyAlignment="1">
      <x:alignment horizontal="right"/>
    </x:xf>
    <x:xf numFmtId="202" fontId="4" fillId="0" borderId="0" xfId="0" applyNumberFormat="1" applyFont="1" applyFill="1" applyBorder="1" applyAlignment="1">
      <x:alignment horizontal="right"/>
    </x:xf>
    <x:xf numFmtId="201" fontId="4" fillId="0" borderId="1" xfId="0" applyNumberFormat="1" applyFont="1" applyFill="1" applyBorder="1"/>
    <x:xf numFmtId="202" fontId="4" fillId="0" borderId="1" xfId="0" applyNumberFormat="1" applyFont="1" applyFill="1" applyBorder="1"/>
    <x:xf numFmtId="201" fontId="4" fillId="0" borderId="1" xfId="0" applyNumberFormat="1" applyFont="1" applyFill="1" applyBorder="1" applyAlignment="1">
      <x:alignment horizontal="right"/>
    </x:xf>
    <x:xf numFmtId="202" fontId="4" fillId="0" borderId="1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3b7feb9df24e1b" /><Relationship Type="http://schemas.openxmlformats.org/officeDocument/2006/relationships/theme" Target="/xl/theme/theme1.xml" Id="R9dd3c60095fe488c" /><Relationship Type="http://schemas.openxmlformats.org/officeDocument/2006/relationships/sharedStrings" Target="/xl/sharedStrings.xml" Id="R5856234e918f47b5" /><Relationship Type="http://schemas.openxmlformats.org/officeDocument/2006/relationships/worksheet" Target="/xl/worksheets/sheet1.xml" Id="R81c471ada18c487a" /><Relationship Type="http://schemas.openxmlformats.org/officeDocument/2006/relationships/worksheet" Target="/xl/worksheets/sheet2.xml" Id="Ra4ff3f2cc4674620" /><Relationship Type="http://schemas.openxmlformats.org/officeDocument/2006/relationships/worksheet" Target="/xl/worksheets/sheet3.xml" Id="R498d8d149b1c46cb" /><Relationship Type="http://schemas.openxmlformats.org/officeDocument/2006/relationships/worksheet" Target="/xl/worksheets/sheet4.xml" Id="Recacbfda9d4e45d6" /><Relationship Type="http://schemas.openxmlformats.org/officeDocument/2006/relationships/worksheet" Target="/xl/worksheets/sheet5.xml" Id="Ra6fe218d8e7a4709" /><Relationship Type="http://schemas.openxmlformats.org/officeDocument/2006/relationships/worksheet" Target="/xl/worksheets/sheet6.xml" Id="R2bee66dd9499435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c1bbef12dce41d9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Value</c:v>
          </c:tx>
          <c:cat>
            <c:strRef>
              <c:f>'Dashboard'!$D$5:$D$8</c:f>
              <c:strCache>
                <c:ptCount val="0"/>
              </c:strCache>
            </c:strRef>
          </c:cat>
          <c:val>
            <c:numRef>
              <c:f>'Dashboard'!$E$5:$E$8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c1bbef12dce41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13faa070420840e7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0" hidden="0" customWidth="1"/>
  </x:cols>
  <x:sheetData>
    <x:row r="1" ht="28" customHeight="1">
      <x:c r="A1" s="5" t="str">
        <x:v>GL Mapping &amp; Financial Statement Builder</x:v>
      </x:c>
      <x:c r="B1" s="5"/>
      <x:c r="C1" s="5"/>
      <x:c r="D1" s="5"/>
      <x:c r="E1" s="5"/>
      <x:c r="F1" s="5"/>
      <x:c r="G1" s="5"/>
      <x:c r="H1" s="5"/>
      <x:c r="I1" s="5"/>
    </x:row>
    <x:row r="2" ht="22" customHeight="1">
      <x:c r="A2" s="13" t="str">
        <x:v>Self-directed portfolio project with realistic sample data, formulas, controls, and dashboard</x:v>
      </x:c>
      <x:c r="B2" s="13"/>
      <x:c r="C2" s="13"/>
      <x:c r="D2" s="13"/>
      <x:c r="E2" s="13"/>
      <x:c r="F2" s="13"/>
      <x:c r="G2" s="13"/>
      <x:c r="H2" s="13"/>
      <x:c r="I2" s="13"/>
    </x:row>
    <x:row r="4" ht="30" customHeight="1">
      <x:c r="A4" s="22" t="str">
        <x:v>Section</x:v>
      </x:c>
      <x:c r="B4" s="22" t="str">
        <x:v>Details</x:v>
      </x:c>
    </x:row>
    <x:row r="5" ht="52" customHeight="1">
      <x:c r="A5" s="30" t="str">
        <x:v>Business Problem</x:v>
      </x:c>
      <x:c r="B5" s="35" t="str">
        <x:v>Finance teams need to map trial balance accounts to financial statement lines, identify unmapped accounts, and produce clean P&amp;L and balance sheet summaries.</x:v>
      </x:c>
    </x:row>
    <x:row r="6" ht="52" customHeight="1">
      <x:c r="A6" s="30" t="str">
        <x:v>How to Use</x:v>
      </x:c>
      <x:c r="B6" s="35" t="str">
        <x:v>Replace the sample data with company exports, refresh formulas, review the Exceptions sheet, then present the Dashboard KPIs.</x:v>
      </x:c>
    </x:row>
    <x:row r="7" ht="52" customHeight="1">
      <x:c r="A7" s="30" t="str">
        <x:v>Excel / Finance Skills Shown</x:v>
      </x:c>
      <x:c r="B7" s="35" t="str">
        <x:v>Account mapping, XLOOKUP, SUMIFS, unmapped account checks, financial statement builder, dashboard controls.</x:v>
      </x:c>
    </x:row>
    <x:row r="8" ht="52" customHeight="1">
      <x:c r="A8" s="30" t="str">
        <x:v>Workbook Sheets</x:v>
      </x:c>
      <x:c r="B8" s="35" t="str">
        <x:v>README, Mapping, Trial_Balance, FS_Builder, Exceptions, Dashboard</x:v>
      </x:c>
    </x:row>
    <x:row r="9" ht="52" customHeight="1">
      <x:c r="A9" s="30" t="str">
        <x:v>Interview Talking Points</x:v>
      </x:c>
      <x:c r="B9" s="35" t="str">
        <x:v>Show how mapping prevents missed accounts and creates consistent reporting.</x:v>
      </x:c>
    </x:row>
    <x:row r="10" ht="52" customHeight="1">
      <x:c r="A10" s="30" t="str">
        <x:v>Important Note</x:v>
      </x:c>
      <x:c r="B10" s="35" t="str">
        <x:v>This file uses realistic sample data and is designed as a portfolio project. It is not confidential company data.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2" hidden="0" customWidth="1"/>
    <x:col min="4" max="4" width="18" hidden="0" customWidth="1"/>
    <x:col min="5" max="5" width="22" hidden="0" customWidth="1"/>
  </x:cols>
  <x:sheetData>
    <x:row r="1" ht="30" customHeight="1">
      <x:c r="A1" s="46" t="str">
        <x:v>Account_No</x:v>
      </x:c>
      <x:c r="B1" s="47" t="str">
        <x:v>Account_Name</x:v>
      </x:c>
      <x:c r="C1" s="47" t="str">
        <x:v>Statement</x:v>
      </x:c>
      <x:c r="D1" s="47" t="str">
        <x:v>Section</x:v>
      </x:c>
      <x:c r="E1" s="48" t="str">
        <x:v>FS_Line</x:v>
      </x:c>
    </x:row>
    <x:row r="2">
      <x:c r="A2" s="55" t="str">
        <x:v>1001</x:v>
      </x:c>
      <x:c r="B2" s="56" t="str">
        <x:v>Cash 0</x:v>
      </x:c>
      <x:c r="C2" s="56" t="str">
        <x:v>BS</x:v>
      </x:c>
      <x:c r="D2" s="56" t="str">
        <x:v>Assets</x:v>
      </x:c>
      <x:c r="E2" s="57" t="str">
        <x:v>Cash</x:v>
      </x:c>
    </x:row>
    <x:row r="3">
      <x:c r="A3" s="55" t="str">
        <x:v>1002</x:v>
      </x:c>
      <x:c r="B3" s="56" t="str">
        <x:v>Cash 1</x:v>
      </x:c>
      <x:c r="C3" s="56" t="str">
        <x:v>BS</x:v>
      </x:c>
      <x:c r="D3" s="56" t="str">
        <x:v>Assets</x:v>
      </x:c>
      <x:c r="E3" s="57" t="str">
        <x:v>Cash</x:v>
      </x:c>
    </x:row>
    <x:row r="4">
      <x:c r="A4" s="55" t="str">
        <x:v>1003</x:v>
      </x:c>
      <x:c r="B4" s="56" t="str">
        <x:v>Cash 2</x:v>
      </x:c>
      <x:c r="C4" s="56" t="str">
        <x:v>BS</x:v>
      </x:c>
      <x:c r="D4" s="56" t="str">
        <x:v>Assets</x:v>
      </x:c>
      <x:c r="E4" s="57" t="str">
        <x:v>Cash</x:v>
      </x:c>
    </x:row>
    <x:row r="5">
      <x:c r="A5" s="55" t="str">
        <x:v>1101</x:v>
      </x:c>
      <x:c r="B5" s="56" t="str">
        <x:v>Accounts Receivable 0</x:v>
      </x:c>
      <x:c r="C5" s="56" t="str">
        <x:v>BS</x:v>
      </x:c>
      <x:c r="D5" s="56" t="str">
        <x:v>Assets</x:v>
      </x:c>
      <x:c r="E5" s="57" t="str">
        <x:v>Accounts Receivable</x:v>
      </x:c>
    </x:row>
    <x:row r="6">
      <x:c r="A6" s="55" t="str">
        <x:v>1102</x:v>
      </x:c>
      <x:c r="B6" s="56" t="str">
        <x:v>Accounts Receivable 1</x:v>
      </x:c>
      <x:c r="C6" s="56" t="str">
        <x:v>BS</x:v>
      </x:c>
      <x:c r="D6" s="56" t="str">
        <x:v>Assets</x:v>
      </x:c>
      <x:c r="E6" s="57" t="str">
        <x:v>Accounts Receivable</x:v>
      </x:c>
    </x:row>
    <x:row r="7">
      <x:c r="A7" s="55" t="str">
        <x:v>1103</x:v>
      </x:c>
      <x:c r="B7" s="56" t="str">
        <x:v>Accounts Receivable 2</x:v>
      </x:c>
      <x:c r="C7" s="56" t="str">
        <x:v>BS</x:v>
      </x:c>
      <x:c r="D7" s="56" t="str">
        <x:v>Assets</x:v>
      </x:c>
      <x:c r="E7" s="57" t="str">
        <x:v>Accounts Receivable</x:v>
      </x:c>
    </x:row>
    <x:row r="8">
      <x:c r="A8" s="55" t="str">
        <x:v>1201</x:v>
      </x:c>
      <x:c r="B8" s="56" t="str">
        <x:v>Inventory 0</x:v>
      </x:c>
      <x:c r="C8" s="56" t="str">
        <x:v>BS</x:v>
      </x:c>
      <x:c r="D8" s="56" t="str">
        <x:v>Assets</x:v>
      </x:c>
      <x:c r="E8" s="57" t="str">
        <x:v>Inventory</x:v>
      </x:c>
    </x:row>
    <x:row r="9">
      <x:c r="A9" s="55" t="str">
        <x:v>1202</x:v>
      </x:c>
      <x:c r="B9" s="56" t="str">
        <x:v>Inventory 1</x:v>
      </x:c>
      <x:c r="C9" s="56" t="str">
        <x:v>BS</x:v>
      </x:c>
      <x:c r="D9" s="56" t="str">
        <x:v>Assets</x:v>
      </x:c>
      <x:c r="E9" s="57" t="str">
        <x:v>Inventory</x:v>
      </x:c>
    </x:row>
    <x:row r="10">
      <x:c r="A10" s="55" t="str">
        <x:v>1203</x:v>
      </x:c>
      <x:c r="B10" s="56" t="str">
        <x:v>Inventory 2</x:v>
      </x:c>
      <x:c r="C10" s="56" t="str">
        <x:v>BS</x:v>
      </x:c>
      <x:c r="D10" s="56" t="str">
        <x:v>Assets</x:v>
      </x:c>
      <x:c r="E10" s="57" t="str">
        <x:v>Inventory</x:v>
      </x:c>
    </x:row>
    <x:row r="11">
      <x:c r="A11" s="55" t="str">
        <x:v>2001</x:v>
      </x:c>
      <x:c r="B11" s="56" t="str">
        <x:v>Accounts Payable 0</x:v>
      </x:c>
      <x:c r="C11" s="56" t="str">
        <x:v>BS</x:v>
      </x:c>
      <x:c r="D11" s="56" t="str">
        <x:v>Liabilities</x:v>
      </x:c>
      <x:c r="E11" s="57" t="str">
        <x:v>Accounts Payable</x:v>
      </x:c>
    </x:row>
    <x:row r="12">
      <x:c r="A12" s="55" t="str">
        <x:v>2002</x:v>
      </x:c>
      <x:c r="B12" s="56" t="str">
        <x:v>Accounts Payable 1</x:v>
      </x:c>
      <x:c r="C12" s="56" t="str">
        <x:v>BS</x:v>
      </x:c>
      <x:c r="D12" s="56" t="str">
        <x:v>Liabilities</x:v>
      </x:c>
      <x:c r="E12" s="57" t="str">
        <x:v>Accounts Payable</x:v>
      </x:c>
    </x:row>
    <x:row r="13">
      <x:c r="A13" s="55" t="str">
        <x:v>2003</x:v>
      </x:c>
      <x:c r="B13" s="56" t="str">
        <x:v>Accounts Payable 2</x:v>
      </x:c>
      <x:c r="C13" s="56" t="str">
        <x:v>BS</x:v>
      </x:c>
      <x:c r="D13" s="56" t="str">
        <x:v>Liabilities</x:v>
      </x:c>
      <x:c r="E13" s="57" t="str">
        <x:v>Accounts Payable</x:v>
      </x:c>
    </x:row>
    <x:row r="14">
      <x:c r="A14" s="55" t="str">
        <x:v>3001</x:v>
      </x:c>
      <x:c r="B14" s="56" t="str">
        <x:v>Equity 0</x:v>
      </x:c>
      <x:c r="C14" s="56" t="str">
        <x:v>BS</x:v>
      </x:c>
      <x:c r="D14" s="56" t="str">
        <x:v>Equity</x:v>
      </x:c>
      <x:c r="E14" s="57" t="str">
        <x:v>Equity</x:v>
      </x:c>
    </x:row>
    <x:row r="15">
      <x:c r="A15" s="55" t="str">
        <x:v>3002</x:v>
      </x:c>
      <x:c r="B15" s="56" t="str">
        <x:v>Equity 1</x:v>
      </x:c>
      <x:c r="C15" s="56" t="str">
        <x:v>BS</x:v>
      </x:c>
      <x:c r="D15" s="56" t="str">
        <x:v>Equity</x:v>
      </x:c>
      <x:c r="E15" s="57" t="str">
        <x:v>Equity</x:v>
      </x:c>
    </x:row>
    <x:row r="16">
      <x:c r="A16" s="55" t="str">
        <x:v>3003</x:v>
      </x:c>
      <x:c r="B16" s="56" t="str">
        <x:v>Equity 2</x:v>
      </x:c>
      <x:c r="C16" s="56" t="str">
        <x:v>BS</x:v>
      </x:c>
      <x:c r="D16" s="56" t="str">
        <x:v>Equity</x:v>
      </x:c>
      <x:c r="E16" s="57" t="str">
        <x:v>Equity</x:v>
      </x:c>
    </x:row>
    <x:row r="17">
      <x:c r="A17" s="55" t="str">
        <x:v>4001</x:v>
      </x:c>
      <x:c r="B17" s="56" t="str">
        <x:v>Sales Revenue 0</x:v>
      </x:c>
      <x:c r="C17" s="56" t="str">
        <x:v>PL</x:v>
      </x:c>
      <x:c r="D17" s="56" t="str">
        <x:v>Revenue</x:v>
      </x:c>
      <x:c r="E17" s="57" t="str">
        <x:v>Revenue</x:v>
      </x:c>
    </x:row>
    <x:row r="18">
      <x:c r="A18" s="55" t="str">
        <x:v>4002</x:v>
      </x:c>
      <x:c r="B18" s="56" t="str">
        <x:v>Sales Revenue 1</x:v>
      </x:c>
      <x:c r="C18" s="56" t="str">
        <x:v>PL</x:v>
      </x:c>
      <x:c r="D18" s="56" t="str">
        <x:v>Revenue</x:v>
      </x:c>
      <x:c r="E18" s="57" t="str">
        <x:v>Revenue</x:v>
      </x:c>
    </x:row>
    <x:row r="19">
      <x:c r="A19" s="55" t="str">
        <x:v>4003</x:v>
      </x:c>
      <x:c r="B19" s="56" t="str">
        <x:v>Sales Revenue 2</x:v>
      </x:c>
      <x:c r="C19" s="56" t="str">
        <x:v>PL</x:v>
      </x:c>
      <x:c r="D19" s="56" t="str">
        <x:v>Revenue</x:v>
      </x:c>
      <x:c r="E19" s="57" t="str">
        <x:v>Revenue</x:v>
      </x:c>
    </x:row>
    <x:row r="20">
      <x:c r="A20" s="55" t="str">
        <x:v>5001</x:v>
      </x:c>
      <x:c r="B20" s="56" t="str">
        <x:v>COGS 0</x:v>
      </x:c>
      <x:c r="C20" s="56" t="str">
        <x:v>PL</x:v>
      </x:c>
      <x:c r="D20" s="56" t="str">
        <x:v>COGS</x:v>
      </x:c>
      <x:c r="E20" s="57" t="str">
        <x:v>COGS</x:v>
      </x:c>
    </x:row>
    <x:row r="21">
      <x:c r="A21" s="55" t="str">
        <x:v>5002</x:v>
      </x:c>
      <x:c r="B21" s="56" t="str">
        <x:v>COGS 1</x:v>
      </x:c>
      <x:c r="C21" s="56" t="str">
        <x:v>PL</x:v>
      </x:c>
      <x:c r="D21" s="56" t="str">
        <x:v>COGS</x:v>
      </x:c>
      <x:c r="E21" s="57" t="str">
        <x:v>COGS</x:v>
      </x:c>
    </x:row>
    <x:row r="22">
      <x:c r="A22" s="55" t="str">
        <x:v>5003</x:v>
      </x:c>
      <x:c r="B22" s="56" t="str">
        <x:v>COGS 2</x:v>
      </x:c>
      <x:c r="C22" s="56" t="str">
        <x:v>PL</x:v>
      </x:c>
      <x:c r="D22" s="56" t="str">
        <x:v>COGS</x:v>
      </x:c>
      <x:c r="E22" s="57" t="str">
        <x:v>COGS</x:v>
      </x:c>
    </x:row>
    <x:row r="23">
      <x:c r="A23" s="55" t="str">
        <x:v>6001</x:v>
      </x:c>
      <x:c r="B23" s="56" t="str">
        <x:v>Salaries Expense 0</x:v>
      </x:c>
      <x:c r="C23" s="56" t="str">
        <x:v>PL</x:v>
      </x:c>
      <x:c r="D23" s="56" t="str">
        <x:v>Operating Expenses</x:v>
      </x:c>
      <x:c r="E23" s="57" t="str">
        <x:v>Salaries</x:v>
      </x:c>
    </x:row>
    <x:row r="24">
      <x:c r="A24" s="55" t="str">
        <x:v>6002</x:v>
      </x:c>
      <x:c r="B24" s="56" t="str">
        <x:v>Salaries Expense 1</x:v>
      </x:c>
      <x:c r="C24" s="56" t="str">
        <x:v>PL</x:v>
      </x:c>
      <x:c r="D24" s="56" t="str">
        <x:v>Operating Expenses</x:v>
      </x:c>
      <x:c r="E24" s="57" t="str">
        <x:v>Salaries</x:v>
      </x:c>
    </x:row>
    <x:row r="25">
      <x:c r="A25" s="55" t="str">
        <x:v>6003</x:v>
      </x:c>
      <x:c r="B25" s="56" t="str">
        <x:v>Salaries Expense 2</x:v>
      </x:c>
      <x:c r="C25" s="56" t="str">
        <x:v>PL</x:v>
      </x:c>
      <x:c r="D25" s="56" t="str">
        <x:v>Operating Expenses</x:v>
      </x:c>
      <x:c r="E25" s="57" t="str">
        <x:v>Salaries</x:v>
      </x:c>
    </x:row>
    <x:row r="26">
      <x:c r="A26" s="55" t="str">
        <x:v>6101</x:v>
      </x:c>
      <x:c r="B26" s="56" t="str">
        <x:v>Rent Expense 0</x:v>
      </x:c>
      <x:c r="C26" s="56" t="str">
        <x:v>PL</x:v>
      </x:c>
      <x:c r="D26" s="56" t="str">
        <x:v>Operating Expenses</x:v>
      </x:c>
      <x:c r="E26" s="57" t="str">
        <x:v>Rent</x:v>
      </x:c>
    </x:row>
    <x:row r="27">
      <x:c r="A27" s="55" t="str">
        <x:v>6102</x:v>
      </x:c>
      <x:c r="B27" s="56" t="str">
        <x:v>Rent Expense 1</x:v>
      </x:c>
      <x:c r="C27" s="56" t="str">
        <x:v>PL</x:v>
      </x:c>
      <x:c r="D27" s="56" t="str">
        <x:v>Operating Expenses</x:v>
      </x:c>
      <x:c r="E27" s="57" t="str">
        <x:v>Rent</x:v>
      </x:c>
    </x:row>
    <x:row r="28">
      <x:c r="A28" s="55" t="str">
        <x:v>6103</x:v>
      </x:c>
      <x:c r="B28" s="56" t="str">
        <x:v>Rent Expense 2</x:v>
      </x:c>
      <x:c r="C28" s="56" t="str">
        <x:v>PL</x:v>
      </x:c>
      <x:c r="D28" s="56" t="str">
        <x:v>Operating Expenses</x:v>
      </x:c>
      <x:c r="E28" s="57" t="str">
        <x:v>Rent</x:v>
      </x:c>
    </x:row>
    <x:row r="29">
      <x:c r="A29" s="55" t="str">
        <x:v>6201</x:v>
      </x:c>
      <x:c r="B29" s="56" t="str">
        <x:v>Software Expense 0</x:v>
      </x:c>
      <x:c r="C29" s="56" t="str">
        <x:v>PL</x:v>
      </x:c>
      <x:c r="D29" s="56" t="str">
        <x:v>Operating Expenses</x:v>
      </x:c>
      <x:c r="E29" s="57" t="str">
        <x:v>Software</x:v>
      </x:c>
    </x:row>
    <x:row r="30">
      <x:c r="A30" s="55" t="str">
        <x:v>6202</x:v>
      </x:c>
      <x:c r="B30" s="56" t="str">
        <x:v>Software Expense 1</x:v>
      </x:c>
      <x:c r="C30" s="56" t="str">
        <x:v>PL</x:v>
      </x:c>
      <x:c r="D30" s="56" t="str">
        <x:v>Operating Expenses</x:v>
      </x:c>
      <x:c r="E30" s="57" t="str">
        <x:v>Software</x:v>
      </x:c>
    </x:row>
    <x:row r="31">
      <x:c r="A31" s="58" t="str">
        <x:v>6203</x:v>
      </x:c>
      <x:c r="B31" s="59" t="str">
        <x:v>Software Expense 2</x:v>
      </x:c>
      <x:c r="C31" s="59" t="str">
        <x:v>PL</x:v>
      </x:c>
      <x:c r="D31" s="59" t="str">
        <x:v>Operating Expenses</x:v>
      </x:c>
      <x:c r="E31" s="60" t="str">
        <x:v>Software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4" hidden="0" customWidth="1"/>
    <x:col min="4" max="4" width="14" hidden="0" customWidth="1"/>
    <x:col min="5" max="5" width="14" hidden="0" customWidth="1"/>
    <x:col min="6" max="6" width="13" hidden="0" customWidth="1"/>
    <x:col min="7" max="7" width="18" hidden="0" customWidth="1"/>
    <x:col min="8" max="8" width="22" hidden="0" customWidth="1"/>
    <x:col min="9" max="9" width="15" hidden="0" customWidth="1"/>
  </x:cols>
  <x:sheetData>
    <x:row r="1" ht="30" customHeight="1">
      <x:c r="A1" s="86" t="str">
        <x:v>Account_No</x:v>
      </x:c>
      <x:c r="B1" s="87" t="str">
        <x:v>Account_Name</x:v>
      </x:c>
      <x:c r="C1" s="87" t="str">
        <x:v>Debit</x:v>
      </x:c>
      <x:c r="D1" s="87" t="str">
        <x:v>Credit</x:v>
      </x:c>
      <x:c r="E1" s="87" t="str">
        <x:v>Net_Balance</x:v>
      </x:c>
      <x:c r="F1" s="87" t="str">
        <x:v>Statement</x:v>
      </x:c>
      <x:c r="G1" s="87" t="str">
        <x:v>Section</x:v>
      </x:c>
      <x:c r="H1" s="87" t="str">
        <x:v>FS_Line</x:v>
      </x:c>
      <x:c r="I1" s="88" t="str">
        <x:v>Mapping_Status</x:v>
      </x:c>
    </x:row>
    <x:row r="2">
      <x:c r="A2" s="55" t="str">
        <x:v>1001</x:v>
      </x:c>
      <x:c r="B2" s="56" t="str">
        <x:v>Cash 0</x:v>
      </x:c>
      <x:c r="C2" s="92" t="n">
        <x:v>45831.77</x:v>
      </x:c>
      <x:c r="D2" s="92" t="n">
        <x:v>0</x:v>
      </x:c>
      <x:c r="E2" s="92" t="n">
        <x:f>C2-D2</x:f>
        <x:v>45831.77</x:v>
      </x:c>
      <x:c r="F2" s="56" t="str">
        <x:f>XLOOKUP(A2,Mapping!$A:$A,Mapping!$C:$C,"Unmapped")</x:f>
        <x:v>BS</x:v>
      </x:c>
      <x:c r="G2" s="56" t="str">
        <x:f>XLOOKUP(A2,Mapping!$A:$A,Mapping!$D:$D,"Unmapped")</x:f>
        <x:v>Assets</x:v>
      </x:c>
      <x:c r="H2" s="56" t="str">
        <x:f>XLOOKUP(A2,Mapping!$A:$A,Mapping!$E:$E,"Unmapped")</x:f>
        <x:v>Cash</x:v>
      </x:c>
      <x:c r="I2" s="57" t="str">
        <x:f>IF(F2="Unmapped","Review","Mapped")</x:f>
        <x:v>Mapped</x:v>
      </x:c>
    </x:row>
    <x:row r="3">
      <x:c r="A3" s="55" t="str">
        <x:v>1002</x:v>
      </x:c>
      <x:c r="B3" s="56" t="str">
        <x:v>Cash 1</x:v>
      </x:c>
      <x:c r="C3" s="92" t="n">
        <x:v>20514.37</x:v>
      </x:c>
      <x:c r="D3" s="92" t="n">
        <x:v>0</x:v>
      </x:c>
      <x:c r="E3" s="92" t="n">
        <x:f>C3-D3</x:f>
        <x:v>20514.37</x:v>
      </x:c>
      <x:c r="F3" s="56" t="str">
        <x:f>XLOOKUP(A3,Mapping!$A:$A,Mapping!$C:$C,"Unmapped")</x:f>
        <x:v>BS</x:v>
      </x:c>
      <x:c r="G3" s="56" t="str">
        <x:f>XLOOKUP(A3,Mapping!$A:$A,Mapping!$D:$D,"Unmapped")</x:f>
        <x:v>Assets</x:v>
      </x:c>
      <x:c r="H3" s="56" t="str">
        <x:f>XLOOKUP(A3,Mapping!$A:$A,Mapping!$E:$E,"Unmapped")</x:f>
        <x:v>Cash</x:v>
      </x:c>
      <x:c r="I3" s="57" t="str">
        <x:f>IF(F3="Unmapped","Review","Mapped")</x:f>
        <x:v>Mapped</x:v>
      </x:c>
    </x:row>
    <x:row r="4">
      <x:c r="A4" s="55" t="str">
        <x:v>1003</x:v>
      </x:c>
      <x:c r="B4" s="56" t="str">
        <x:v>Cash 2</x:v>
      </x:c>
      <x:c r="C4" s="92" t="n">
        <x:v>21532.49</x:v>
      </x:c>
      <x:c r="D4" s="92" t="n">
        <x:v>0</x:v>
      </x:c>
      <x:c r="E4" s="92" t="n">
        <x:f>C4-D4</x:f>
        <x:v>21532.49</x:v>
      </x:c>
      <x:c r="F4" s="56" t="str">
        <x:f>XLOOKUP(A4,Mapping!$A:$A,Mapping!$C:$C,"Unmapped")</x:f>
        <x:v>BS</x:v>
      </x:c>
      <x:c r="G4" s="56" t="str">
        <x:f>XLOOKUP(A4,Mapping!$A:$A,Mapping!$D:$D,"Unmapped")</x:f>
        <x:v>Assets</x:v>
      </x:c>
      <x:c r="H4" s="56" t="str">
        <x:f>XLOOKUP(A4,Mapping!$A:$A,Mapping!$E:$E,"Unmapped")</x:f>
        <x:v>Cash</x:v>
      </x:c>
      <x:c r="I4" s="57" t="str">
        <x:f>IF(F4="Unmapped","Review","Mapped")</x:f>
        <x:v>Mapped</x:v>
      </x:c>
    </x:row>
    <x:row r="5">
      <x:c r="A5" s="55" t="str">
        <x:v>1101</x:v>
      </x:c>
      <x:c r="B5" s="56" t="str">
        <x:v>Accounts Receivable 0</x:v>
      </x:c>
      <x:c r="C5" s="92" t="n">
        <x:v>23165.81</x:v>
      </x:c>
      <x:c r="D5" s="92" t="n">
        <x:v>0</x:v>
      </x:c>
      <x:c r="E5" s="92" t="n">
        <x:f>C5-D5</x:f>
        <x:v>23165.81</x:v>
      </x:c>
      <x:c r="F5" s="56" t="str">
        <x:f>XLOOKUP(A5,Mapping!$A:$A,Mapping!$C:$C,"Unmapped")</x:f>
        <x:v>BS</x:v>
      </x:c>
      <x:c r="G5" s="56" t="str">
        <x:f>XLOOKUP(A5,Mapping!$A:$A,Mapping!$D:$D,"Unmapped")</x:f>
        <x:v>Assets</x:v>
      </x:c>
      <x:c r="H5" s="56" t="str">
        <x:f>XLOOKUP(A5,Mapping!$A:$A,Mapping!$E:$E,"Unmapped")</x:f>
        <x:v>Accounts Receivable</x:v>
      </x:c>
      <x:c r="I5" s="57" t="str">
        <x:f>IF(F5="Unmapped","Review","Mapped")</x:f>
        <x:v>Mapped</x:v>
      </x:c>
    </x:row>
    <x:row r="6">
      <x:c r="A6" s="55" t="str">
        <x:v>1102</x:v>
      </x:c>
      <x:c r="B6" s="56" t="str">
        <x:v>Accounts Receivable 1</x:v>
      </x:c>
      <x:c r="C6" s="92" t="n">
        <x:v>25390.29</x:v>
      </x:c>
      <x:c r="D6" s="92" t="n">
        <x:v>0</x:v>
      </x:c>
      <x:c r="E6" s="92" t="n">
        <x:f>C6-D6</x:f>
        <x:v>25390.29</x:v>
      </x:c>
      <x:c r="F6" s="56" t="str">
        <x:f>XLOOKUP(A6,Mapping!$A:$A,Mapping!$C:$C,"Unmapped")</x:f>
        <x:v>BS</x:v>
      </x:c>
      <x:c r="G6" s="56" t="str">
        <x:f>XLOOKUP(A6,Mapping!$A:$A,Mapping!$D:$D,"Unmapped")</x:f>
        <x:v>Assets</x:v>
      </x:c>
      <x:c r="H6" s="56" t="str">
        <x:f>XLOOKUP(A6,Mapping!$A:$A,Mapping!$E:$E,"Unmapped")</x:f>
        <x:v>Accounts Receivable</x:v>
      </x:c>
      <x:c r="I6" s="57" t="str">
        <x:f>IF(F6="Unmapped","Review","Mapped")</x:f>
        <x:v>Mapped</x:v>
      </x:c>
    </x:row>
    <x:row r="7">
      <x:c r="A7" s="55" t="str">
        <x:v>1103</x:v>
      </x:c>
      <x:c r="B7" s="56" t="str">
        <x:v>Accounts Receivable 2</x:v>
      </x:c>
      <x:c r="C7" s="92" t="n">
        <x:v>46646.03</x:v>
      </x:c>
      <x:c r="D7" s="92" t="n">
        <x:v>0</x:v>
      </x:c>
      <x:c r="E7" s="92" t="n">
        <x:f>C7-D7</x:f>
        <x:v>46646.03</x:v>
      </x:c>
      <x:c r="F7" s="56" t="str">
        <x:f>XLOOKUP(A7,Mapping!$A:$A,Mapping!$C:$C,"Unmapped")</x:f>
        <x:v>BS</x:v>
      </x:c>
      <x:c r="G7" s="56" t="str">
        <x:f>XLOOKUP(A7,Mapping!$A:$A,Mapping!$D:$D,"Unmapped")</x:f>
        <x:v>Assets</x:v>
      </x:c>
      <x:c r="H7" s="56" t="str">
        <x:f>XLOOKUP(A7,Mapping!$A:$A,Mapping!$E:$E,"Unmapped")</x:f>
        <x:v>Accounts Receivable</x:v>
      </x:c>
      <x:c r="I7" s="57" t="str">
        <x:f>IF(F7="Unmapped","Review","Mapped")</x:f>
        <x:v>Mapped</x:v>
      </x:c>
    </x:row>
    <x:row r="8">
      <x:c r="A8" s="55" t="str">
        <x:v>1201</x:v>
      </x:c>
      <x:c r="B8" s="56" t="str">
        <x:v>Inventory 0</x:v>
      </x:c>
      <x:c r="C8" s="92" t="n">
        <x:v>48154.12</x:v>
      </x:c>
      <x:c r="D8" s="92" t="n">
        <x:v>0</x:v>
      </x:c>
      <x:c r="E8" s="92" t="n">
        <x:f>C8-D8</x:f>
        <x:v>48154.12</x:v>
      </x:c>
      <x:c r="F8" s="56" t="str">
        <x:f>XLOOKUP(A8,Mapping!$A:$A,Mapping!$C:$C,"Unmapped")</x:f>
        <x:v>BS</x:v>
      </x:c>
      <x:c r="G8" s="56" t="str">
        <x:f>XLOOKUP(A8,Mapping!$A:$A,Mapping!$D:$D,"Unmapped")</x:f>
        <x:v>Assets</x:v>
      </x:c>
      <x:c r="H8" s="56" t="str">
        <x:f>XLOOKUP(A8,Mapping!$A:$A,Mapping!$E:$E,"Unmapped")</x:f>
        <x:v>Inventory</x:v>
      </x:c>
      <x:c r="I8" s="57" t="str">
        <x:f>IF(F8="Unmapped","Review","Mapped")</x:f>
        <x:v>Mapped</x:v>
      </x:c>
    </x:row>
    <x:row r="9">
      <x:c r="A9" s="55" t="str">
        <x:v>1202</x:v>
      </x:c>
      <x:c r="B9" s="56" t="str">
        <x:v>Inventory 1</x:v>
      </x:c>
      <x:c r="C9" s="92" t="n">
        <x:v>16359.3</x:v>
      </x:c>
      <x:c r="D9" s="92" t="n">
        <x:v>0</x:v>
      </x:c>
      <x:c r="E9" s="92" t="n">
        <x:f>C9-D9</x:f>
        <x:v>16359.3</x:v>
      </x:c>
      <x:c r="F9" s="56" t="str">
        <x:f>XLOOKUP(A9,Mapping!$A:$A,Mapping!$C:$C,"Unmapped")</x:f>
        <x:v>BS</x:v>
      </x:c>
      <x:c r="G9" s="56" t="str">
        <x:f>XLOOKUP(A9,Mapping!$A:$A,Mapping!$D:$D,"Unmapped")</x:f>
        <x:v>Assets</x:v>
      </x:c>
      <x:c r="H9" s="56" t="str">
        <x:f>XLOOKUP(A9,Mapping!$A:$A,Mapping!$E:$E,"Unmapped")</x:f>
        <x:v>Inventory</x:v>
      </x:c>
      <x:c r="I9" s="57" t="str">
        <x:f>IF(F9="Unmapped","Review","Mapped")</x:f>
        <x:v>Mapped</x:v>
      </x:c>
    </x:row>
    <x:row r="10">
      <x:c r="A10" s="55" t="str">
        <x:v>1203</x:v>
      </x:c>
      <x:c r="B10" s="56" t="str">
        <x:v>Inventory 2</x:v>
      </x:c>
      <x:c r="C10" s="92" t="n">
        <x:v>56043.37</x:v>
      </x:c>
      <x:c r="D10" s="92" t="n">
        <x:v>0</x:v>
      </x:c>
      <x:c r="E10" s="92" t="n">
        <x:f>C10-D10</x:f>
        <x:v>56043.37</x:v>
      </x:c>
      <x:c r="F10" s="56" t="str">
        <x:f>XLOOKUP(A10,Mapping!$A:$A,Mapping!$C:$C,"Unmapped")</x:f>
        <x:v>BS</x:v>
      </x:c>
      <x:c r="G10" s="56" t="str">
        <x:f>XLOOKUP(A10,Mapping!$A:$A,Mapping!$D:$D,"Unmapped")</x:f>
        <x:v>Assets</x:v>
      </x:c>
      <x:c r="H10" s="56" t="str">
        <x:f>XLOOKUP(A10,Mapping!$A:$A,Mapping!$E:$E,"Unmapped")</x:f>
        <x:v>Inventory</x:v>
      </x:c>
      <x:c r="I10" s="57" t="str">
        <x:f>IF(F10="Unmapped","Review","Mapped")</x:f>
        <x:v>Mapped</x:v>
      </x:c>
    </x:row>
    <x:row r="11">
      <x:c r="A11" s="55" t="str">
        <x:v>2001</x:v>
      </x:c>
      <x:c r="B11" s="56" t="str">
        <x:v>Accounts Payable 0</x:v>
      </x:c>
      <x:c r="C11" s="92" t="n">
        <x:v>0</x:v>
      </x:c>
      <x:c r="D11" s="92" t="n">
        <x:v>63100.77</x:v>
      </x:c>
      <x:c r="E11" s="92" t="n">
        <x:f>C11-D11</x:f>
        <x:v>-63100.77</x:v>
      </x:c>
      <x:c r="F11" s="56" t="str">
        <x:f>XLOOKUP(A11,Mapping!$A:$A,Mapping!$C:$C,"Unmapped")</x:f>
        <x:v>BS</x:v>
      </x:c>
      <x:c r="G11" s="56" t="str">
        <x:f>XLOOKUP(A11,Mapping!$A:$A,Mapping!$D:$D,"Unmapped")</x:f>
        <x:v>Liabilities</x:v>
      </x:c>
      <x:c r="H11" s="56" t="str">
        <x:f>XLOOKUP(A11,Mapping!$A:$A,Mapping!$E:$E,"Unmapped")</x:f>
        <x:v>Accounts Payable</x:v>
      </x:c>
      <x:c r="I11" s="57" t="str">
        <x:f>IF(F11="Unmapped","Review","Mapped")</x:f>
        <x:v>Mapped</x:v>
      </x:c>
    </x:row>
    <x:row r="12">
      <x:c r="A12" s="55" t="str">
        <x:v>2002</x:v>
      </x:c>
      <x:c r="B12" s="56" t="str">
        <x:v>Accounts Payable 1</x:v>
      </x:c>
      <x:c r="C12" s="92" t="n">
        <x:v>0</x:v>
      </x:c>
      <x:c r="D12" s="92" t="n">
        <x:v>2956.97</x:v>
      </x:c>
      <x:c r="E12" s="92" t="n">
        <x:f>C12-D12</x:f>
        <x:v>-2956.97</x:v>
      </x:c>
      <x:c r="F12" s="56" t="str">
        <x:f>XLOOKUP(A12,Mapping!$A:$A,Mapping!$C:$C,"Unmapped")</x:f>
        <x:v>BS</x:v>
      </x:c>
      <x:c r="G12" s="56" t="str">
        <x:f>XLOOKUP(A12,Mapping!$A:$A,Mapping!$D:$D,"Unmapped")</x:f>
        <x:v>Liabilities</x:v>
      </x:c>
      <x:c r="H12" s="56" t="str">
        <x:f>XLOOKUP(A12,Mapping!$A:$A,Mapping!$E:$E,"Unmapped")</x:f>
        <x:v>Accounts Payable</x:v>
      </x:c>
      <x:c r="I12" s="57" t="str">
        <x:f>IF(F12="Unmapped","Review","Mapped")</x:f>
        <x:v>Mapped</x:v>
      </x:c>
    </x:row>
    <x:row r="13">
      <x:c r="A13" s="55" t="str">
        <x:v>2003</x:v>
      </x:c>
      <x:c r="B13" s="56" t="str">
        <x:v>Accounts Payable 2</x:v>
      </x:c>
      <x:c r="C13" s="92" t="n">
        <x:v>0</x:v>
      </x:c>
      <x:c r="D13" s="92" t="n">
        <x:v>35911.8</x:v>
      </x:c>
      <x:c r="E13" s="92" t="n">
        <x:f>C13-D13</x:f>
        <x:v>-35911.8</x:v>
      </x:c>
      <x:c r="F13" s="56" t="str">
        <x:f>XLOOKUP(A13,Mapping!$A:$A,Mapping!$C:$C,"Unmapped")</x:f>
        <x:v>BS</x:v>
      </x:c>
      <x:c r="G13" s="56" t="str">
        <x:f>XLOOKUP(A13,Mapping!$A:$A,Mapping!$D:$D,"Unmapped")</x:f>
        <x:v>Liabilities</x:v>
      </x:c>
      <x:c r="H13" s="56" t="str">
        <x:f>XLOOKUP(A13,Mapping!$A:$A,Mapping!$E:$E,"Unmapped")</x:f>
        <x:v>Accounts Payable</x:v>
      </x:c>
      <x:c r="I13" s="57" t="str">
        <x:f>IF(F13="Unmapped","Review","Mapped")</x:f>
        <x:v>Mapped</x:v>
      </x:c>
    </x:row>
    <x:row r="14">
      <x:c r="A14" s="55" t="str">
        <x:v>3001</x:v>
      </x:c>
      <x:c r="B14" s="56" t="str">
        <x:v>Equity 0</x:v>
      </x:c>
      <x:c r="C14" s="92" t="n">
        <x:v>0</x:v>
      </x:c>
      <x:c r="D14" s="92" t="n">
        <x:v>68099.46</x:v>
      </x:c>
      <x:c r="E14" s="92" t="n">
        <x:f>C14-D14</x:f>
        <x:v>-68099.46</x:v>
      </x:c>
      <x:c r="F14" s="56" t="str">
        <x:f>XLOOKUP(A14,Mapping!$A:$A,Mapping!$C:$C,"Unmapped")</x:f>
        <x:v>BS</x:v>
      </x:c>
      <x:c r="G14" s="56" t="str">
        <x:f>XLOOKUP(A14,Mapping!$A:$A,Mapping!$D:$D,"Unmapped")</x:f>
        <x:v>Equity</x:v>
      </x:c>
      <x:c r="H14" s="56" t="str">
        <x:f>XLOOKUP(A14,Mapping!$A:$A,Mapping!$E:$E,"Unmapped")</x:f>
        <x:v>Equity</x:v>
      </x:c>
      <x:c r="I14" s="57" t="str">
        <x:f>IF(F14="Unmapped","Review","Mapped")</x:f>
        <x:v>Mapped</x:v>
      </x:c>
    </x:row>
    <x:row r="15">
      <x:c r="A15" s="55" t="str">
        <x:v>3002</x:v>
      </x:c>
      <x:c r="B15" s="56" t="str">
        <x:v>Equity 1</x:v>
      </x:c>
      <x:c r="C15" s="92" t="n">
        <x:v>0</x:v>
      </x:c>
      <x:c r="D15" s="92" t="n">
        <x:v>22504.46</x:v>
      </x:c>
      <x:c r="E15" s="92" t="n">
        <x:f>C15-D15</x:f>
        <x:v>-22504.46</x:v>
      </x:c>
      <x:c r="F15" s="56" t="str">
        <x:f>XLOOKUP(A15,Mapping!$A:$A,Mapping!$C:$C,"Unmapped")</x:f>
        <x:v>BS</x:v>
      </x:c>
      <x:c r="G15" s="56" t="str">
        <x:f>XLOOKUP(A15,Mapping!$A:$A,Mapping!$D:$D,"Unmapped")</x:f>
        <x:v>Equity</x:v>
      </x:c>
      <x:c r="H15" s="56" t="str">
        <x:f>XLOOKUP(A15,Mapping!$A:$A,Mapping!$E:$E,"Unmapped")</x:f>
        <x:v>Equity</x:v>
      </x:c>
      <x:c r="I15" s="57" t="str">
        <x:f>IF(F15="Unmapped","Review","Mapped")</x:f>
        <x:v>Mapped</x:v>
      </x:c>
    </x:row>
    <x:row r="16">
      <x:c r="A16" s="55" t="str">
        <x:v>3003</x:v>
      </x:c>
      <x:c r="B16" s="56" t="str">
        <x:v>Equity 2</x:v>
      </x:c>
      <x:c r="C16" s="92" t="n">
        <x:v>0</x:v>
      </x:c>
      <x:c r="D16" s="92" t="n">
        <x:v>14717.48</x:v>
      </x:c>
      <x:c r="E16" s="92" t="n">
        <x:f>C16-D16</x:f>
        <x:v>-14717.48</x:v>
      </x:c>
      <x:c r="F16" s="56" t="str">
        <x:f>XLOOKUP(A16,Mapping!$A:$A,Mapping!$C:$C,"Unmapped")</x:f>
        <x:v>BS</x:v>
      </x:c>
      <x:c r="G16" s="56" t="str">
        <x:f>XLOOKUP(A16,Mapping!$A:$A,Mapping!$D:$D,"Unmapped")</x:f>
        <x:v>Equity</x:v>
      </x:c>
      <x:c r="H16" s="56" t="str">
        <x:f>XLOOKUP(A16,Mapping!$A:$A,Mapping!$E:$E,"Unmapped")</x:f>
        <x:v>Equity</x:v>
      </x:c>
      <x:c r="I16" s="57" t="str">
        <x:f>IF(F16="Unmapped","Review","Mapped")</x:f>
        <x:v>Mapped</x:v>
      </x:c>
    </x:row>
    <x:row r="17">
      <x:c r="A17" s="55" t="str">
        <x:v>4001</x:v>
      </x:c>
      <x:c r="B17" s="56" t="str">
        <x:v>Sales Revenue 0</x:v>
      </x:c>
      <x:c r="C17" s="92" t="n">
        <x:v>0</x:v>
      </x:c>
      <x:c r="D17" s="92" t="n">
        <x:v>13891.86</x:v>
      </x:c>
      <x:c r="E17" s="92" t="n">
        <x:f>C17-D17</x:f>
        <x:v>-13891.86</x:v>
      </x:c>
      <x:c r="F17" s="56" t="str">
        <x:f>XLOOKUP(A17,Mapping!$A:$A,Mapping!$C:$C,"Unmapped")</x:f>
        <x:v>PL</x:v>
      </x:c>
      <x:c r="G17" s="56" t="str">
        <x:f>XLOOKUP(A17,Mapping!$A:$A,Mapping!$D:$D,"Unmapped")</x:f>
        <x:v>Revenue</x:v>
      </x:c>
      <x:c r="H17" s="56" t="str">
        <x:f>XLOOKUP(A17,Mapping!$A:$A,Mapping!$E:$E,"Unmapped")</x:f>
        <x:v>Revenue</x:v>
      </x:c>
      <x:c r="I17" s="57" t="str">
        <x:f>IF(F17="Unmapped","Review","Mapped")</x:f>
        <x:v>Mapped</x:v>
      </x:c>
    </x:row>
    <x:row r="18">
      <x:c r="A18" s="55" t="str">
        <x:v>4002</x:v>
      </x:c>
      <x:c r="B18" s="56" t="str">
        <x:v>Sales Revenue 1</x:v>
      </x:c>
      <x:c r="C18" s="92" t="n">
        <x:v>0</x:v>
      </x:c>
      <x:c r="D18" s="92" t="n">
        <x:v>33175.86</x:v>
      </x:c>
      <x:c r="E18" s="92" t="n">
        <x:f>C18-D18</x:f>
        <x:v>-33175.86</x:v>
      </x:c>
      <x:c r="F18" s="56" t="str">
        <x:f>XLOOKUP(A18,Mapping!$A:$A,Mapping!$C:$C,"Unmapped")</x:f>
        <x:v>PL</x:v>
      </x:c>
      <x:c r="G18" s="56" t="str">
        <x:f>XLOOKUP(A18,Mapping!$A:$A,Mapping!$D:$D,"Unmapped")</x:f>
        <x:v>Revenue</x:v>
      </x:c>
      <x:c r="H18" s="56" t="str">
        <x:f>XLOOKUP(A18,Mapping!$A:$A,Mapping!$E:$E,"Unmapped")</x:f>
        <x:v>Revenue</x:v>
      </x:c>
      <x:c r="I18" s="57" t="str">
        <x:f>IF(F18="Unmapped","Review","Mapped")</x:f>
        <x:v>Mapped</x:v>
      </x:c>
    </x:row>
    <x:row r="19">
      <x:c r="A19" s="55" t="str">
        <x:v>4003</x:v>
      </x:c>
      <x:c r="B19" s="56" t="str">
        <x:v>Sales Revenue 2</x:v>
      </x:c>
      <x:c r="C19" s="92" t="n">
        <x:v>0</x:v>
      </x:c>
      <x:c r="D19" s="92" t="n">
        <x:v>32821.14</x:v>
      </x:c>
      <x:c r="E19" s="92" t="n">
        <x:f>C19-D19</x:f>
        <x:v>-32821.14</x:v>
      </x:c>
      <x:c r="F19" s="56" t="str">
        <x:f>XLOOKUP(A19,Mapping!$A:$A,Mapping!$C:$C,"Unmapped")</x:f>
        <x:v>PL</x:v>
      </x:c>
      <x:c r="G19" s="56" t="str">
        <x:f>XLOOKUP(A19,Mapping!$A:$A,Mapping!$D:$D,"Unmapped")</x:f>
        <x:v>Revenue</x:v>
      </x:c>
      <x:c r="H19" s="56" t="str">
        <x:f>XLOOKUP(A19,Mapping!$A:$A,Mapping!$E:$E,"Unmapped")</x:f>
        <x:v>Revenue</x:v>
      </x:c>
      <x:c r="I19" s="57" t="str">
        <x:f>IF(F19="Unmapped","Review","Mapped")</x:f>
        <x:v>Mapped</x:v>
      </x:c>
    </x:row>
    <x:row r="20">
      <x:c r="A20" s="55" t="str">
        <x:v>5001</x:v>
      </x:c>
      <x:c r="B20" s="56" t="str">
        <x:v>COGS 0</x:v>
      </x:c>
      <x:c r="C20" s="92" t="n">
        <x:v>37602.31</x:v>
      </x:c>
      <x:c r="D20" s="92" t="n">
        <x:v>0</x:v>
      </x:c>
      <x:c r="E20" s="92" t="n">
        <x:f>C20-D20</x:f>
        <x:v>37602.31</x:v>
      </x:c>
      <x:c r="F20" s="56" t="str">
        <x:f>XLOOKUP(A20,Mapping!$A:$A,Mapping!$C:$C,"Unmapped")</x:f>
        <x:v>PL</x:v>
      </x:c>
      <x:c r="G20" s="56" t="str">
        <x:f>XLOOKUP(A20,Mapping!$A:$A,Mapping!$D:$D,"Unmapped")</x:f>
        <x:v>COGS</x:v>
      </x:c>
      <x:c r="H20" s="56" t="str">
        <x:f>XLOOKUP(A20,Mapping!$A:$A,Mapping!$E:$E,"Unmapped")</x:f>
        <x:v>COGS</x:v>
      </x:c>
      <x:c r="I20" s="57" t="str">
        <x:f>IF(F20="Unmapped","Review","Mapped")</x:f>
        <x:v>Mapped</x:v>
      </x:c>
    </x:row>
    <x:row r="21">
      <x:c r="A21" s="55" t="str">
        <x:v>5002</x:v>
      </x:c>
      <x:c r="B21" s="56" t="str">
        <x:v>COGS 1</x:v>
      </x:c>
      <x:c r="C21" s="92" t="n">
        <x:v>56265.02</x:v>
      </x:c>
      <x:c r="D21" s="92" t="n">
        <x:v>0</x:v>
      </x:c>
      <x:c r="E21" s="92" t="n">
        <x:f>C21-D21</x:f>
        <x:v>56265.02</x:v>
      </x:c>
      <x:c r="F21" s="56" t="str">
        <x:f>XLOOKUP(A21,Mapping!$A:$A,Mapping!$C:$C,"Unmapped")</x:f>
        <x:v>PL</x:v>
      </x:c>
      <x:c r="G21" s="56" t="str">
        <x:f>XLOOKUP(A21,Mapping!$A:$A,Mapping!$D:$D,"Unmapped")</x:f>
        <x:v>COGS</x:v>
      </x:c>
      <x:c r="H21" s="56" t="str">
        <x:f>XLOOKUP(A21,Mapping!$A:$A,Mapping!$E:$E,"Unmapped")</x:f>
        <x:v>COGS</x:v>
      </x:c>
      <x:c r="I21" s="57" t="str">
        <x:f>IF(F21="Unmapped","Review","Mapped")</x:f>
        <x:v>Mapped</x:v>
      </x:c>
    </x:row>
    <x:row r="22">
      <x:c r="A22" s="55" t="str">
        <x:v>5003</x:v>
      </x:c>
      <x:c r="B22" s="56" t="str">
        <x:v>COGS 2</x:v>
      </x:c>
      <x:c r="C22" s="92" t="n">
        <x:v>21457.38</x:v>
      </x:c>
      <x:c r="D22" s="92" t="n">
        <x:v>0</x:v>
      </x:c>
      <x:c r="E22" s="92" t="n">
        <x:f>C22-D22</x:f>
        <x:v>21457.38</x:v>
      </x:c>
      <x:c r="F22" s="56" t="str">
        <x:f>XLOOKUP(A22,Mapping!$A:$A,Mapping!$C:$C,"Unmapped")</x:f>
        <x:v>PL</x:v>
      </x:c>
      <x:c r="G22" s="56" t="str">
        <x:f>XLOOKUP(A22,Mapping!$A:$A,Mapping!$D:$D,"Unmapped")</x:f>
        <x:v>COGS</x:v>
      </x:c>
      <x:c r="H22" s="56" t="str">
        <x:f>XLOOKUP(A22,Mapping!$A:$A,Mapping!$E:$E,"Unmapped")</x:f>
        <x:v>COGS</x:v>
      </x:c>
      <x:c r="I22" s="57" t="str">
        <x:f>IF(F22="Unmapped","Review","Mapped")</x:f>
        <x:v>Mapped</x:v>
      </x:c>
    </x:row>
    <x:row r="23">
      <x:c r="A23" s="55" t="str">
        <x:v>6001</x:v>
      </x:c>
      <x:c r="B23" s="56" t="str">
        <x:v>Salaries Expense 0</x:v>
      </x:c>
      <x:c r="C23" s="92" t="n">
        <x:v>57873.02</x:v>
      </x:c>
      <x:c r="D23" s="92" t="n">
        <x:v>0</x:v>
      </x:c>
      <x:c r="E23" s="92" t="n">
        <x:f>C23-D23</x:f>
        <x:v>57873.02</x:v>
      </x:c>
      <x:c r="F23" s="56" t="str">
        <x:f>XLOOKUP(A23,Mapping!$A:$A,Mapping!$C:$C,"Unmapped")</x:f>
        <x:v>PL</x:v>
      </x:c>
      <x:c r="G23" s="56" t="str">
        <x:f>XLOOKUP(A23,Mapping!$A:$A,Mapping!$D:$D,"Unmapped")</x:f>
        <x:v>Operating Expenses</x:v>
      </x:c>
      <x:c r="H23" s="56" t="str">
        <x:f>XLOOKUP(A23,Mapping!$A:$A,Mapping!$E:$E,"Unmapped")</x:f>
        <x:v>Salaries</x:v>
      </x:c>
      <x:c r="I23" s="57" t="str">
        <x:f>IF(F23="Unmapped","Review","Mapped")</x:f>
        <x:v>Mapped</x:v>
      </x:c>
    </x:row>
    <x:row r="24">
      <x:c r="A24" s="55" t="str">
        <x:v>6002</x:v>
      </x:c>
      <x:c r="B24" s="56" t="str">
        <x:v>Salaries Expense 1</x:v>
      </x:c>
      <x:c r="C24" s="92" t="n">
        <x:v>36882.32</x:v>
      </x:c>
      <x:c r="D24" s="92" t="n">
        <x:v>0</x:v>
      </x:c>
      <x:c r="E24" s="92" t="n">
        <x:f>C24-D24</x:f>
        <x:v>36882.32</x:v>
      </x:c>
      <x:c r="F24" s="56" t="str">
        <x:f>XLOOKUP(A24,Mapping!$A:$A,Mapping!$C:$C,"Unmapped")</x:f>
        <x:v>PL</x:v>
      </x:c>
      <x:c r="G24" s="56" t="str">
        <x:f>XLOOKUP(A24,Mapping!$A:$A,Mapping!$D:$D,"Unmapped")</x:f>
        <x:v>Operating Expenses</x:v>
      </x:c>
      <x:c r="H24" s="56" t="str">
        <x:f>XLOOKUP(A24,Mapping!$A:$A,Mapping!$E:$E,"Unmapped")</x:f>
        <x:v>Salaries</x:v>
      </x:c>
      <x:c r="I24" s="57" t="str">
        <x:f>IF(F24="Unmapped","Review","Mapped")</x:f>
        <x:v>Mapped</x:v>
      </x:c>
    </x:row>
    <x:row r="25">
      <x:c r="A25" s="55" t="str">
        <x:v>6003</x:v>
      </x:c>
      <x:c r="B25" s="56" t="str">
        <x:v>Salaries Expense 2</x:v>
      </x:c>
      <x:c r="C25" s="92" t="n">
        <x:v>11500.35</x:v>
      </x:c>
      <x:c r="D25" s="92" t="n">
        <x:v>0</x:v>
      </x:c>
      <x:c r="E25" s="92" t="n">
        <x:f>C25-D25</x:f>
        <x:v>11500.35</x:v>
      </x:c>
      <x:c r="F25" s="56" t="str">
        <x:f>XLOOKUP(A25,Mapping!$A:$A,Mapping!$C:$C,"Unmapped")</x:f>
        <x:v>PL</x:v>
      </x:c>
      <x:c r="G25" s="56" t="str">
        <x:f>XLOOKUP(A25,Mapping!$A:$A,Mapping!$D:$D,"Unmapped")</x:f>
        <x:v>Operating Expenses</x:v>
      </x:c>
      <x:c r="H25" s="56" t="str">
        <x:f>XLOOKUP(A25,Mapping!$A:$A,Mapping!$E:$E,"Unmapped")</x:f>
        <x:v>Salaries</x:v>
      </x:c>
      <x:c r="I25" s="57" t="str">
        <x:f>IF(F25="Unmapped","Review","Mapped")</x:f>
        <x:v>Mapped</x:v>
      </x:c>
    </x:row>
    <x:row r="26">
      <x:c r="A26" s="55" t="str">
        <x:v>6101</x:v>
      </x:c>
      <x:c r="B26" s="56" t="str">
        <x:v>Rent Expense 0</x:v>
      </x:c>
      <x:c r="C26" s="92" t="n">
        <x:v>25187.23</x:v>
      </x:c>
      <x:c r="D26" s="92" t="n">
        <x:v>0</x:v>
      </x:c>
      <x:c r="E26" s="92" t="n">
        <x:f>C26-D26</x:f>
        <x:v>25187.23</x:v>
      </x:c>
      <x:c r="F26" s="56" t="str">
        <x:f>XLOOKUP(A26,Mapping!$A:$A,Mapping!$C:$C,"Unmapped")</x:f>
        <x:v>PL</x:v>
      </x:c>
      <x:c r="G26" s="56" t="str">
        <x:f>XLOOKUP(A26,Mapping!$A:$A,Mapping!$D:$D,"Unmapped")</x:f>
        <x:v>Operating Expenses</x:v>
      </x:c>
      <x:c r="H26" s="56" t="str">
        <x:f>XLOOKUP(A26,Mapping!$A:$A,Mapping!$E:$E,"Unmapped")</x:f>
        <x:v>Rent</x:v>
      </x:c>
      <x:c r="I26" s="57" t="str">
        <x:f>IF(F26="Unmapped","Review","Mapped")</x:f>
        <x:v>Mapped</x:v>
      </x:c>
    </x:row>
    <x:row r="27">
      <x:c r="A27" s="55" t="str">
        <x:v>6102</x:v>
      </x:c>
      <x:c r="B27" s="56" t="str">
        <x:v>Rent Expense 1</x:v>
      </x:c>
      <x:c r="C27" s="92" t="n">
        <x:v>33383.73</x:v>
      </x:c>
      <x:c r="D27" s="92" t="n">
        <x:v>0</x:v>
      </x:c>
      <x:c r="E27" s="92" t="n">
        <x:f>C27-D27</x:f>
        <x:v>33383.73</x:v>
      </x:c>
      <x:c r="F27" s="56" t="str">
        <x:f>XLOOKUP(A27,Mapping!$A:$A,Mapping!$C:$C,"Unmapped")</x:f>
        <x:v>PL</x:v>
      </x:c>
      <x:c r="G27" s="56" t="str">
        <x:f>XLOOKUP(A27,Mapping!$A:$A,Mapping!$D:$D,"Unmapped")</x:f>
        <x:v>Operating Expenses</x:v>
      </x:c>
      <x:c r="H27" s="56" t="str">
        <x:f>XLOOKUP(A27,Mapping!$A:$A,Mapping!$E:$E,"Unmapped")</x:f>
        <x:v>Rent</x:v>
      </x:c>
      <x:c r="I27" s="57" t="str">
        <x:f>IF(F27="Unmapped","Review","Mapped")</x:f>
        <x:v>Mapped</x:v>
      </x:c>
    </x:row>
    <x:row r="28">
      <x:c r="A28" s="55" t="str">
        <x:v>6103</x:v>
      </x:c>
      <x:c r="B28" s="56" t="str">
        <x:v>Rent Expense 2</x:v>
      </x:c>
      <x:c r="C28" s="92" t="n">
        <x:v>54346.8</x:v>
      </x:c>
      <x:c r="D28" s="92" t="n">
        <x:v>0</x:v>
      </x:c>
      <x:c r="E28" s="92" t="n">
        <x:f>C28-D28</x:f>
        <x:v>54346.8</x:v>
      </x:c>
      <x:c r="F28" s="56" t="str">
        <x:f>XLOOKUP(A28,Mapping!$A:$A,Mapping!$C:$C,"Unmapped")</x:f>
        <x:v>PL</x:v>
      </x:c>
      <x:c r="G28" s="56" t="str">
        <x:f>XLOOKUP(A28,Mapping!$A:$A,Mapping!$D:$D,"Unmapped")</x:f>
        <x:v>Operating Expenses</x:v>
      </x:c>
      <x:c r="H28" s="56" t="str">
        <x:f>XLOOKUP(A28,Mapping!$A:$A,Mapping!$E:$E,"Unmapped")</x:f>
        <x:v>Rent</x:v>
      </x:c>
      <x:c r="I28" s="57" t="str">
        <x:f>IF(F28="Unmapped","Review","Mapped")</x:f>
        <x:v>Mapped</x:v>
      </x:c>
    </x:row>
    <x:row r="29">
      <x:c r="A29" s="55" t="str">
        <x:v>6201</x:v>
      </x:c>
      <x:c r="B29" s="56" t="str">
        <x:v>Software Expense 0</x:v>
      </x:c>
      <x:c r="C29" s="92" t="n">
        <x:v>11875.51</x:v>
      </x:c>
      <x:c r="D29" s="92" t="n">
        <x:v>0</x:v>
      </x:c>
      <x:c r="E29" s="92" t="n">
        <x:f>C29-D29</x:f>
        <x:v>11875.51</x:v>
      </x:c>
      <x:c r="F29" s="56" t="str">
        <x:f>XLOOKUP(A29,Mapping!$A:$A,Mapping!$C:$C,"Unmapped")</x:f>
        <x:v>PL</x:v>
      </x:c>
      <x:c r="G29" s="56" t="str">
        <x:f>XLOOKUP(A29,Mapping!$A:$A,Mapping!$D:$D,"Unmapped")</x:f>
        <x:v>Operating Expenses</x:v>
      </x:c>
      <x:c r="H29" s="56" t="str">
        <x:f>XLOOKUP(A29,Mapping!$A:$A,Mapping!$E:$E,"Unmapped")</x:f>
        <x:v>Software</x:v>
      </x:c>
      <x:c r="I29" s="57" t="str">
        <x:f>IF(F29="Unmapped","Review","Mapped")</x:f>
        <x:v>Mapped</x:v>
      </x:c>
    </x:row>
    <x:row r="30">
      <x:c r="A30" s="55" t="str">
        <x:v>6202</x:v>
      </x:c>
      <x:c r="B30" s="56" t="str">
        <x:v>Software Expense 1</x:v>
      </x:c>
      <x:c r="C30" s="92" t="n">
        <x:v>54007.23</x:v>
      </x:c>
      <x:c r="D30" s="92" t="n">
        <x:v>0</x:v>
      </x:c>
      <x:c r="E30" s="92" t="n">
        <x:f>C30-D30</x:f>
        <x:v>54007.23</x:v>
      </x:c>
      <x:c r="F30" s="56" t="str">
        <x:f>XLOOKUP(A30,Mapping!$A:$A,Mapping!$C:$C,"Unmapped")</x:f>
        <x:v>PL</x:v>
      </x:c>
      <x:c r="G30" s="56" t="str">
        <x:f>XLOOKUP(A30,Mapping!$A:$A,Mapping!$D:$D,"Unmapped")</x:f>
        <x:v>Operating Expenses</x:v>
      </x:c>
      <x:c r="H30" s="56" t="str">
        <x:f>XLOOKUP(A30,Mapping!$A:$A,Mapping!$E:$E,"Unmapped")</x:f>
        <x:v>Software</x:v>
      </x:c>
      <x:c r="I30" s="57" t="str">
        <x:f>IF(F30="Unmapped","Review","Mapped")</x:f>
        <x:v>Mapped</x:v>
      </x:c>
    </x:row>
    <x:row r="31">
      <x:c r="A31" s="55" t="str">
        <x:v>6203</x:v>
      </x:c>
      <x:c r="B31" s="56" t="str">
        <x:v>Software Expense 2</x:v>
      </x:c>
      <x:c r="C31" s="92" t="n">
        <x:v>33228.35</x:v>
      </x:c>
      <x:c r="D31" s="92" t="n">
        <x:v>0</x:v>
      </x:c>
      <x:c r="E31" s="92" t="n">
        <x:f>C31-D31</x:f>
        <x:v>33228.35</x:v>
      </x:c>
      <x:c r="F31" s="56" t="str">
        <x:f>XLOOKUP(A31,Mapping!$A:$A,Mapping!$C:$C,"Unmapped")</x:f>
        <x:v>PL</x:v>
      </x:c>
      <x:c r="G31" s="56" t="str">
        <x:f>XLOOKUP(A31,Mapping!$A:$A,Mapping!$D:$D,"Unmapped")</x:f>
        <x:v>Operating Expenses</x:v>
      </x:c>
      <x:c r="H31" s="56" t="str">
        <x:f>XLOOKUP(A31,Mapping!$A:$A,Mapping!$E:$E,"Unmapped")</x:f>
        <x:v>Software</x:v>
      </x:c>
      <x:c r="I31" s="57" t="str">
        <x:f>IF(F31="Unmapped","Review","Mapped")</x:f>
        <x:v>Mapped</x:v>
      </x:c>
    </x:row>
    <x:row r="32">
      <x:c r="A32" s="55" t="str">
        <x:v>9991</x:v>
      </x:c>
      <x:c r="B32" s="56" t="str">
        <x:v>Unmapped Account 1</x:v>
      </x:c>
      <x:c r="C32" s="92" t="n">
        <x:v>3080.3</x:v>
      </x:c>
      <x:c r="D32" s="92" t="n">
        <x:v>0</x:v>
      </x:c>
      <x:c r="E32" s="92" t="n">
        <x:f>C32-D32</x:f>
        <x:v>3080.3</x:v>
      </x:c>
      <x:c r="F32" s="56" t="str">
        <x:f>XLOOKUP(A32,Mapping!$A:$A,Mapping!$C:$C,"Unmapped")</x:f>
        <x:v>Unmapped</x:v>
      </x:c>
      <x:c r="G32" s="56" t="str">
        <x:f>XLOOKUP(A32,Mapping!$A:$A,Mapping!$D:$D,"Unmapped")</x:f>
        <x:v>Unmapped</x:v>
      </x:c>
      <x:c r="H32" s="56" t="str">
        <x:f>XLOOKUP(A32,Mapping!$A:$A,Mapping!$E:$E,"Unmapped")</x:f>
        <x:v>Unmapped</x:v>
      </x:c>
      <x:c r="I32" s="57" t="str">
        <x:f>IF(F32="Unmapped","Review","Mapped")</x:f>
        <x:v>Review</x:v>
      </x:c>
    </x:row>
    <x:row r="33">
      <x:c r="A33" s="55" t="str">
        <x:v>9992</x:v>
      </x:c>
      <x:c r="B33" s="56" t="str">
        <x:v>Unmapped Account 2</x:v>
      </x:c>
      <x:c r="C33" s="92" t="n">
        <x:v>4638.71</x:v>
      </x:c>
      <x:c r="D33" s="92" t="n">
        <x:v>0</x:v>
      </x:c>
      <x:c r="E33" s="92" t="n">
        <x:f>C33-D33</x:f>
        <x:v>4638.71</x:v>
      </x:c>
      <x:c r="F33" s="56" t="str">
        <x:f>XLOOKUP(A33,Mapping!$A:$A,Mapping!$C:$C,"Unmapped")</x:f>
        <x:v>Unmapped</x:v>
      </x:c>
      <x:c r="G33" s="56" t="str">
        <x:f>XLOOKUP(A33,Mapping!$A:$A,Mapping!$D:$D,"Unmapped")</x:f>
        <x:v>Unmapped</x:v>
      </x:c>
      <x:c r="H33" s="56" t="str">
        <x:f>XLOOKUP(A33,Mapping!$A:$A,Mapping!$E:$E,"Unmapped")</x:f>
        <x:v>Unmapped</x:v>
      </x:c>
      <x:c r="I33" s="57" t="str">
        <x:f>IF(F33="Unmapped","Review","Mapped")</x:f>
        <x:v>Review</x:v>
      </x:c>
    </x:row>
    <x:row r="34">
      <x:c r="A34" s="55" t="str">
        <x:v>9993</x:v>
      </x:c>
      <x:c r="B34" s="56" t="str">
        <x:v>Unmapped Account 3</x:v>
      </x:c>
      <x:c r="C34" s="92" t="n">
        <x:v>3004.74</x:v>
      </x:c>
      <x:c r="D34" s="92" t="n">
        <x:v>0</x:v>
      </x:c>
      <x:c r="E34" s="92" t="n">
        <x:f>C34-D34</x:f>
        <x:v>3004.74</x:v>
      </x:c>
      <x:c r="F34" s="56" t="str">
        <x:f>XLOOKUP(A34,Mapping!$A:$A,Mapping!$C:$C,"Unmapped")</x:f>
        <x:v>Unmapped</x:v>
      </x:c>
      <x:c r="G34" s="56" t="str">
        <x:f>XLOOKUP(A34,Mapping!$A:$A,Mapping!$D:$D,"Unmapped")</x:f>
        <x:v>Unmapped</x:v>
      </x:c>
      <x:c r="H34" s="56" t="str">
        <x:f>XLOOKUP(A34,Mapping!$A:$A,Mapping!$E:$E,"Unmapped")</x:f>
        <x:v>Unmapped</x:v>
      </x:c>
      <x:c r="I34" s="57" t="str">
        <x:f>IF(F34="Unmapped","Review","Mapped")</x:f>
        <x:v>Review</x:v>
      </x:c>
    </x:row>
    <x:row r="35">
      <x:c r="A35" s="55" t="str">
        <x:v>9994</x:v>
      </x:c>
      <x:c r="B35" s="56" t="str">
        <x:v>Unmapped Account 4</x:v>
      </x:c>
      <x:c r="C35" s="92" t="n">
        <x:v>827.74</x:v>
      </x:c>
      <x:c r="D35" s="92" t="n">
        <x:v>0</x:v>
      </x:c>
      <x:c r="E35" s="92" t="n">
        <x:f>C35-D35</x:f>
        <x:v>827.74</x:v>
      </x:c>
      <x:c r="F35" s="56" t="str">
        <x:f>XLOOKUP(A35,Mapping!$A:$A,Mapping!$C:$C,"Unmapped")</x:f>
        <x:v>Unmapped</x:v>
      </x:c>
      <x:c r="G35" s="56" t="str">
        <x:f>XLOOKUP(A35,Mapping!$A:$A,Mapping!$D:$D,"Unmapped")</x:f>
        <x:v>Unmapped</x:v>
      </x:c>
      <x:c r="H35" s="56" t="str">
        <x:f>XLOOKUP(A35,Mapping!$A:$A,Mapping!$E:$E,"Unmapped")</x:f>
        <x:v>Unmapped</x:v>
      </x:c>
      <x:c r="I35" s="57" t="str">
        <x:f>IF(F35="Unmapped","Review","Mapped")</x:f>
        <x:v>Review</x:v>
      </x:c>
    </x:row>
    <x:row r="36">
      <x:c r="A36" s="58" t="str">
        <x:v>9995</x:v>
      </x:c>
      <x:c r="B36" s="59" t="str">
        <x:v>Unmapped Account 5</x:v>
      </x:c>
      <x:c r="C36" s="93" t="n">
        <x:v>890.6</x:v>
      </x:c>
      <x:c r="D36" s="93" t="n">
        <x:v>0</x:v>
      </x:c>
      <x:c r="E36" s="93" t="n">
        <x:f>C36-D36</x:f>
        <x:v>890.6</x:v>
      </x:c>
      <x:c r="F36" s="59" t="str">
        <x:f>XLOOKUP(A36,Mapping!$A:$A,Mapping!$C:$C,"Unmapped")</x:f>
        <x:v>Unmapped</x:v>
      </x:c>
      <x:c r="G36" s="59" t="str">
        <x:f>XLOOKUP(A36,Mapping!$A:$A,Mapping!$D:$D,"Unmapped")</x:f>
        <x:v>Unmapped</x:v>
      </x:c>
      <x:c r="H36" s="59" t="str">
        <x:f>XLOOKUP(A36,Mapping!$A:$A,Mapping!$E:$E,"Unmapped")</x:f>
        <x:v>Unmapped</x:v>
      </x:c>
      <x:c r="I36" s="60" t="str">
        <x:f>IF(F36="Unmapped","Review","Mapped")</x:f>
        <x:v>Review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</x:cols>
  <x:sheetData>
    <x:row r="1" ht="30" customHeight="1">
      <x:c r="A1" s="22" t="str">
        <x:v>Financial Statement Line</x:v>
      </x:c>
      <x:c r="B1" s="22" t="str">
        <x:v>Amount</x:v>
      </x:c>
    </x:row>
    <x:row r="2">
      <x:c r="A2" s="29" t="str">
        <x:v>Income Statement</x:v>
      </x:c>
      <x:c r="B2" s="29" t="str"/>
    </x:row>
    <x:row r="3">
      <x:c r="A3" t="str">
        <x:v>Revenue</x:v>
      </x:c>
      <x:c r="B3" s="96" t="n">
        <x:f>-SUMIF(Trial_Balance!$H:$H,A3,Trial_Balance!$E:$E)</x:f>
        <x:v>79888.86</x:v>
      </x:c>
    </x:row>
    <x:row r="4">
      <x:c r="A4" t="str">
        <x:v>COGS</x:v>
      </x:c>
      <x:c r="B4" s="96" t="n">
        <x:f>SUMIF(Trial_Balance!$H:$H,A4,Trial_Balance!$E:$E)</x:f>
        <x:v>115324.70999999999</x:v>
      </x:c>
    </x:row>
    <x:row r="5">
      <x:c r="A5" t="str">
        <x:v>Gross Profit</x:v>
      </x:c>
      <x:c r="B5" s="96" t="n">
        <x:f>B3-B4</x:f>
        <x:v>-35435.84999999999</x:v>
      </x:c>
    </x:row>
    <x:row r="6">
      <x:c r="A6" t="str">
        <x:v>Salaries</x:v>
      </x:c>
      <x:c r="B6" s="96" t="n">
        <x:f>SUMIF(Trial_Balance!$H:$H,A6,Trial_Balance!$E:$E)</x:f>
        <x:v>106255.69</x:v>
      </x:c>
    </x:row>
    <x:row r="7">
      <x:c r="A7" t="str">
        <x:v>Rent</x:v>
      </x:c>
      <x:c r="B7" s="96" t="n">
        <x:f>SUMIF(Trial_Balance!$H:$H,A7,Trial_Balance!$E:$E)</x:f>
        <x:v>112917.76000000001</x:v>
      </x:c>
    </x:row>
    <x:row r="8">
      <x:c r="A8" t="str">
        <x:v>Software</x:v>
      </x:c>
      <x:c r="B8" s="96" t="n">
        <x:f>SUMIF(Trial_Balance!$H:$H,A8,Trial_Balance!$E:$E)</x:f>
        <x:v>99111.09</x:v>
      </x:c>
    </x:row>
    <x:row r="9">
      <x:c r="A9" t="str">
        <x:v>Operating Income</x:v>
      </x:c>
      <x:c r="B9" s="96" t="n">
        <x:f>B5-SUM(B6:B8)</x:f>
        <x:v>-353720.39</x:v>
      </x:c>
    </x:row>
    <x:row r="10">
      <x:c r="A10" t="str"/>
      <x:c r="B10" s="96" t="str"/>
    </x:row>
    <x:row r="11">
      <x:c r="A11" s="29" t="str">
        <x:v>Balance Sheet</x:v>
      </x:c>
      <x:c r="B11" s="97" t="str"/>
    </x:row>
    <x:row r="12">
      <x:c r="A12" t="str">
        <x:v>Cash</x:v>
      </x:c>
      <x:c r="B12" s="96" t="n">
        <x:f>SUMIF(Trial_Balance!$H:$H,A12,Trial_Balance!$E:$E)</x:f>
        <x:v>87878.63</x:v>
      </x:c>
    </x:row>
    <x:row r="13">
      <x:c r="A13" t="str">
        <x:v>Accounts Receivable</x:v>
      </x:c>
      <x:c r="B13" s="96" t="n">
        <x:f>SUMIF(Trial_Balance!$H:$H,A13,Trial_Balance!$E:$E)</x:f>
        <x:v>95202.13</x:v>
      </x:c>
    </x:row>
    <x:row r="14">
      <x:c r="A14" t="str">
        <x:v>Inventory</x:v>
      </x:c>
      <x:c r="B14" s="96" t="n">
        <x:f>SUMIF(Trial_Balance!$H:$H,A14,Trial_Balance!$E:$E)</x:f>
        <x:v>120556.79000000001</x:v>
      </x:c>
    </x:row>
    <x:row r="15">
      <x:c r="A15" t="str">
        <x:v>Total Assets</x:v>
      </x:c>
      <x:c r="B15" s="96" t="n">
        <x:f>SUM(B12:B14)</x:f>
        <x:v>303637.55000000005</x:v>
      </x:c>
    </x:row>
    <x:row r="16">
      <x:c r="A16" t="str">
        <x:v>Accounts Payable</x:v>
      </x:c>
      <x:c r="B16" s="96" t="n">
        <x:f>-SUMIF(Trial_Balance!$H:$H,A16,Trial_Balance!$E:$E)</x:f>
        <x:v>101969.54</x:v>
      </x:c>
    </x:row>
    <x:row r="17">
      <x:c r="A17" t="str">
        <x:v>Equity</x:v>
      </x:c>
      <x:c r="B17" s="96" t="n">
        <x:f>-SUMIF(Trial_Balance!$H:$H,A17,Trial_Balance!$E:$E)</x:f>
        <x:v>105321.40000000001</x:v>
      </x:c>
    </x:row>
    <x:row r="18">
      <x:c r="A18" t="str">
        <x:v>Total Liabilities + Equity</x:v>
      </x:c>
      <x:c r="B18" s="96" t="n">
        <x:f>SUM(B16:B17)</x:f>
        <x:v>207290.94</x:v>
      </x:c>
    </x:row>
    <x:row r="19">
      <x:c r="A19" t="str">
        <x:v>Balance Check</x:v>
      </x:c>
      <x:c r="B19" s="96" t="n">
        <x:f>B15-B18</x:f>
        <x:v>96346.61000000004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5" hidden="0" customWidth="1"/>
  </x:cols>
  <x:sheetData>
    <x:row r="1" ht="30" customHeight="1">
      <x:c r="A1" s="104" t="str">
        <x:v>Account_No</x:v>
      </x:c>
      <x:c r="B1" s="104" t="str">
        <x:v>Account_Name</x:v>
      </x:c>
      <x:c r="C1" s="104" t="str">
        <x:v>Debit</x:v>
      </x:c>
      <x:c r="D1" s="104" t="str">
        <x:v>Credit</x:v>
      </x:c>
      <x:c r="E1" s="104" t="str">
        <x:v>Net_Balance</x:v>
      </x:c>
      <x:c r="F1" s="104" t="str">
        <x:v>Statement</x:v>
      </x:c>
      <x:c r="G1" s="104" t="str">
        <x:v>Section</x:v>
      </x:c>
      <x:c r="H1" s="104" t="str">
        <x:v>FS_Line</x:v>
      </x:c>
      <x:c r="I1" s="104" t="str">
        <x:v>Mapping_Status</x:v>
      </x:c>
    </x:row>
    <x:row r="2">
      <x:c r="A2" t="e">
        <x:f>FILTER(Trial_Balance!A:I,Trial_Balance!I:I="Review","No unmapped accounts")</x:f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8" customHeight="1">
      <x:c r="A1" s="112" t="str">
        <x:v>GL Mapping Dashboard</x:v>
      </x:c>
      <x:c r="B1" s="112"/>
      <x:c r="C1" s="112"/>
      <x:c r="D1" s="112"/>
      <x:c r="E1" s="112"/>
      <x:c r="F1" s="112"/>
      <x:c r="G1" s="112"/>
      <x:c r="H1" s="112"/>
      <x:c r="I1" s="112"/>
      <x:c r="J1" s="112"/>
      <x:c r="K1" s="112"/>
      <x:c r="L1" s="112"/>
    </x:row>
    <x:row r="2" ht="22" customHeight="1">
      <x:c r="A2" s="13" t="str">
        <x:v>Self-directed portfolio project with realistic sample data, formulas, controls, and dashboard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4" ht="30" customHeight="1">
      <x:c r="A4" s="22" t="str">
        <x:v>KPI</x:v>
      </x:c>
      <x:c r="B4" s="22" t="str">
        <x:v>Value</x:v>
      </x:c>
      <x:c r="D4" s="41" t="str">
        <x:v>Category</x:v>
      </x:c>
      <x:c r="E4" s="41" t="str">
        <x:v>Value</x:v>
      </x:c>
    </x:row>
    <x:row r="5">
      <x:c r="A5" s="121" t="str">
        <x:v>Total Debit</x:v>
      </x:c>
      <x:c r="B5" s="126" t="n">
        <x:f>SUM(Trial_Balance!$C:$C)</x:f>
        <x:v>749688.89</x:v>
      </x:c>
      <x:c r="D5" t="str">
        <x:v>Assets</x:v>
      </x:c>
      <x:c r="E5" s="116" t="n">
        <x:f>SUMIF(Trial_Balance!$G:$G,D5,Trial_Balance!$E:$E)</x:f>
        <x:v>303637.55</x:v>
      </x:c>
    </x:row>
    <x:row r="6">
      <x:c r="A6" s="121" t="str">
        <x:v>Total Credit</x:v>
      </x:c>
      <x:c r="B6" s="126" t="n">
        <x:f>SUM(Trial_Balance!$D:$D)</x:f>
        <x:v>287179.8</x:v>
      </x:c>
      <x:c r="D6" t="str">
        <x:v>Liabilities</x:v>
      </x:c>
      <x:c r="E6" s="116" t="n">
        <x:f>SUMIF(Trial_Balance!$G:$G,D6,Trial_Balance!$E:$E)</x:f>
        <x:v>-101969.54</x:v>
      </x:c>
    </x:row>
    <x:row r="7">
      <x:c r="A7" s="121" t="str">
        <x:v>TB Difference</x:v>
      </x:c>
      <x:c r="B7" s="126" t="n">
        <x:f>B5-B6</x:f>
        <x:v>462509.09</x:v>
      </x:c>
      <x:c r="D7" t="str">
        <x:v>Equity</x:v>
      </x:c>
      <x:c r="E7" s="116" t="n">
        <x:f>SUMIF(Trial_Balance!$G:$G,D7,Trial_Balance!$E:$E)</x:f>
        <x:v>-105321.40000000001</x:v>
      </x:c>
    </x:row>
    <x:row r="8">
      <x:c r="A8" s="121" t="str">
        <x:v>Unmapped Accounts</x:v>
      </x:c>
      <x:c r="B8" s="127" t="n">
        <x:f>COUNTIF(Trial_Balance!$I:$I,"Review")</x:f>
        <x:v>5</x:v>
      </x:c>
      <x:c r="D8" t="str">
        <x:v>Operating Expenses</x:v>
      </x:c>
      <x:c r="E8" s="116" t="n">
        <x:f>SUMIF(Trial_Balance!$G:$G,D8,Trial_Balance!$E:$E)</x:f>
        <x:v>318284.54</x:v>
      </x:c>
    </x:row>
    <x:row r="9">
      <x:c r="A9" s="121" t="str">
        <x:v>Operating Income</x:v>
      </x:c>
      <x:c r="B9" s="126" t="n">
        <x:f>FS_Builder!$B$9</x:f>
        <x:v>-353720.39</x:v>
      </x:c>
    </x:row>
  </x:sheetData>
  <x:mergeCells>
    <x:mergeCell ref="A1:L1"/>
    <x:mergeCell ref="A2:L2"/>
  </x:mergeCells>
  <x:pageMargins left="0.7" right="0.7" top="0.75" bottom="0.75" header="0.3" footer="0.3"/>
  <x:drawing xmlns:r="http://schemas.openxmlformats.org/officeDocument/2006/relationships" r:id="R13faa070420840e7"/>
</x:worksheet>
</file>