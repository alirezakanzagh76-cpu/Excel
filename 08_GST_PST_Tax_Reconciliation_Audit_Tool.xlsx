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7cffc52c6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87db6c104f044d0"/>
    <x:sheet xmlns:r="http://schemas.openxmlformats.org/officeDocument/2006/relationships" name="Data" sheetId="2" r:id="R08b19e1b36dd4e31"/>
    <x:sheet xmlns:r="http://schemas.openxmlformats.org/officeDocument/2006/relationships" name="Exceptions" sheetId="3" r:id="R2c834818a5d74019"/>
    <x:sheet xmlns:r="http://schemas.openxmlformats.org/officeDocument/2006/relationships" name="Dashboard" sheetId="4" r:id="R993416122c38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0"/>
    <x:numFmt numFmtId="202" formatCode="0.0%"/>
    <x:numFmt numFmtId="203" formatCode="$#,##0"/>
    <x:numFmt numFmtId="204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7030A0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6" borderId="11" xfId="0" applyNumberFormat="1" applyFont="1" applyFill="1" applyBorder="1" applyAlignment="1">
      <x:alignment horizontal="center" vertical="center" wrapText="1"/>
    </x:xf>
    <x:xf numFmtId="0" fontId="3" fillId="6" borderId="12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horizontal="right"/>
    </x:xf>
    <x:xf numFmtId="204" fontId="4" fillId="0" borderId="0" xfId="0" applyNumberFormat="1" applyFont="1" applyFill="1" applyBorder="1" applyAlignment="1">
      <x:alignment horizontal="right"/>
    </x:xf>
    <x:xf numFmtId="203" fontId="4" fillId="0" borderId="1" xfId="0" applyNumberFormat="1" applyFont="1" applyFill="1" applyBorder="1"/>
    <x:xf numFmtId="204" fontId="4" fillId="0" borderId="1" xfId="0" applyNumberFormat="1" applyFont="1" applyFill="1" applyBorder="1"/>
    <x:xf numFmtId="203" fontId="4" fillId="0" borderId="1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a2e58fddd454d" /><Relationship Type="http://schemas.openxmlformats.org/officeDocument/2006/relationships/theme" Target="/xl/theme/theme1.xml" Id="R97e9cd1e46f04127" /><Relationship Type="http://schemas.openxmlformats.org/officeDocument/2006/relationships/sharedStrings" Target="/xl/sharedStrings.xml" Id="Ree58ff4c1c1b418f" /><Relationship Type="http://schemas.openxmlformats.org/officeDocument/2006/relationships/worksheet" Target="/xl/worksheets/sheet1.xml" Id="R887db6c104f044d0" /><Relationship Type="http://schemas.openxmlformats.org/officeDocument/2006/relationships/worksheet" Target="/xl/worksheets/sheet2.xml" Id="R08b19e1b36dd4e31" /><Relationship Type="http://schemas.openxmlformats.org/officeDocument/2006/relationships/worksheet" Target="/xl/worksheets/sheet3.xml" Id="R2c834818a5d74019" /><Relationship Type="http://schemas.openxmlformats.org/officeDocument/2006/relationships/worksheet" Target="/xl/worksheets/sheet4.xml" Id="R993416122c3841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001373df3542b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001373df3542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2f21dba8bd1485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GST/PST Tax Reconciliation &amp; Audit Tool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Accounting teams must verify sales tax charged, input tax credits, and tax variances before filing tax returns.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Expected tax formulas, GST/PST rate lookup, tax variance checks, review flags, tax return summary, dashboard.</x:v>
      </x:c>
    </x:row>
    <x:row r="8" ht="52" customHeight="1">
      <x:c r="A8" s="30" t="str">
        <x:v>Workbook Sheets</x:v>
      </x:c>
      <x:c r="B8" s="35" t="str">
        <x:v>README, Data, Exceptions, Dashboard</x:v>
      </x:c>
    </x:row>
    <x:row r="9" ht="52" customHeight="1">
      <x:c r="A9" s="30" t="str">
        <x:v>Interview Talking Points</x:v>
      </x:c>
      <x:c r="B9" s="35" t="str">
        <x:v>Show how the workbook supports audit-ready tax review and catches wrong tax amounts.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8" hidden="0" customWidth="1"/>
    <x:col min="5" max="5" width="10" hidden="0" customWidth="1"/>
    <x:col min="6" max="6" width="15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30" customHeight="1">
      <x:c r="A1" s="48" t="str">
        <x:v>Doc_ID</x:v>
      </x:c>
      <x:c r="B1" s="49" t="str">
        <x:v>Doc_Type</x:v>
      </x:c>
      <x:c r="C1" s="49" t="str">
        <x:v>Date</x:v>
      </x:c>
      <x:c r="D1" s="49" t="str">
        <x:v>Party</x:v>
      </x:c>
      <x:c r="E1" s="49" t="str">
        <x:v>Province</x:v>
      </x:c>
      <x:c r="F1" s="49" t="str">
        <x:v>Taxable_Amount</x:v>
      </x:c>
      <x:c r="G1" s="49" t="str">
        <x:v>Tax_Rate</x:v>
      </x:c>
      <x:c r="H1" s="49" t="str">
        <x:v>Tax_Recorded</x:v>
      </x:c>
      <x:c r="I1" s="49" t="str">
        <x:v>Expected_Tax</x:v>
      </x:c>
      <x:c r="J1" s="49" t="str">
        <x:v>Tax_Variance</x:v>
      </x:c>
      <x:c r="K1" s="49" t="str">
        <x:v>Status</x:v>
      </x:c>
      <x:c r="L1" s="50" t="str">
        <x:v>ITC_Eligible</x:v>
      </x:c>
    </x:row>
    <x:row r="2">
      <x:c r="A2" s="57" t="str">
        <x:v>TAX-0001</x:v>
      </x:c>
      <x:c r="B2" s="58" t="str">
        <x:v>Sales</x:v>
      </x:c>
      <x:c r="C2" s="78" t="n">
        <x:v>46157</x:v>
      </x:c>
      <x:c r="D2" s="58" t="str">
        <x:v>Party 70</x:v>
      </x:c>
      <x:c r="E2" s="58" t="str">
        <x:v>AB</x:v>
      </x:c>
      <x:c r="F2" s="82" t="n">
        <x:v>24249.51</x:v>
      </x:c>
      <x:c r="G2" s="86" t="n">
        <x:v>0.05</x:v>
      </x:c>
      <x:c r="H2" s="82" t="n">
        <x:v>1212.48</x:v>
      </x:c>
      <x:c r="I2" s="82" t="n">
        <x:f>F2*G2</x:f>
        <x:v>1212.4755</x:v>
      </x:c>
      <x:c r="J2" s="82" t="n">
        <x:f>H2-I2</x:f>
        <x:v>0.004500000000007276</x:v>
      </x:c>
      <x:c r="K2" s="58" t="str">
        <x:f>IF(ABS(J2)&gt;1,"Review","OK")</x:f>
        <x:v>OK</x:v>
      </x:c>
      <x:c r="L2" s="59" t="str">
        <x:v>N/A</x:v>
      </x:c>
    </x:row>
    <x:row r="3">
      <x:c r="A3" s="57" t="str">
        <x:v>TAX-0002</x:v>
      </x:c>
      <x:c r="B3" s="58" t="str">
        <x:v>Purchase</x:v>
      </x:c>
      <x:c r="C3" s="78" t="n">
        <x:v>46123</x:v>
      </x:c>
      <x:c r="D3" s="58" t="str">
        <x:v>Party 88</x:v>
      </x:c>
      <x:c r="E3" s="58" t="str">
        <x:v>ON</x:v>
      </x:c>
      <x:c r="F3" s="82" t="n">
        <x:v>18027.14</x:v>
      </x:c>
      <x:c r="G3" s="86" t="n">
        <x:v>0.13</x:v>
      </x:c>
      <x:c r="H3" s="82" t="n">
        <x:v>2340.06</x:v>
      </x:c>
      <x:c r="I3" s="82" t="n">
        <x:f>F3*G3</x:f>
        <x:v>2343.5282</x:v>
      </x:c>
      <x:c r="J3" s="82" t="n">
        <x:f>H3-I3</x:f>
        <x:v>-3.4682000000002517</x:v>
      </x:c>
      <x:c r="K3" s="58" t="str">
        <x:f>IF(ABS(J3)&gt;1,"Review","OK")</x:f>
        <x:v>Review</x:v>
      </x:c>
      <x:c r="L3" s="59" t="str">
        <x:v>No</x:v>
      </x:c>
    </x:row>
    <x:row r="4">
      <x:c r="A4" s="57" t="str">
        <x:v>TAX-0003</x:v>
      </x:c>
      <x:c r="B4" s="58" t="str">
        <x:v>Sales</x:v>
      </x:c>
      <x:c r="C4" s="78" t="n">
        <x:v>46126</x:v>
      </x:c>
      <x:c r="D4" s="58" t="str">
        <x:v>Party 59</x:v>
      </x:c>
      <x:c r="E4" s="58" t="str">
        <x:v>AB</x:v>
      </x:c>
      <x:c r="F4" s="82" t="n">
        <x:v>3743.28</x:v>
      </x:c>
      <x:c r="G4" s="86" t="n">
        <x:v>0.05</x:v>
      </x:c>
      <x:c r="H4" s="82" t="n">
        <x:v>184.11</x:v>
      </x:c>
      <x:c r="I4" s="82" t="n">
        <x:f>F4*G4</x:f>
        <x:v>187.16400000000002</x:v>
      </x:c>
      <x:c r="J4" s="82" t="n">
        <x:f>H4-I4</x:f>
        <x:v>-3.054000000000002</x:v>
      </x:c>
      <x:c r="K4" s="58" t="str">
        <x:f>IF(ABS(J4)&gt;1,"Review","OK")</x:f>
        <x:v>Review</x:v>
      </x:c>
      <x:c r="L4" s="59" t="str">
        <x:v>N/A</x:v>
      </x:c>
    </x:row>
    <x:row r="5">
      <x:c r="A5" s="57" t="str">
        <x:v>TAX-0004</x:v>
      </x:c>
      <x:c r="B5" s="58" t="str">
        <x:v>Purchase</x:v>
      </x:c>
      <x:c r="C5" s="78" t="n">
        <x:v>46138</x:v>
      </x:c>
      <x:c r="D5" s="58" t="str">
        <x:v>Party 58</x:v>
      </x:c>
      <x:c r="E5" s="58" t="str">
        <x:v>ON</x:v>
      </x:c>
      <x:c r="F5" s="82" t="n">
        <x:v>13730.26</x:v>
      </x:c>
      <x:c r="G5" s="86" t="n">
        <x:v>0.13</x:v>
      </x:c>
      <x:c r="H5" s="82" t="n">
        <x:v>1784.93</x:v>
      </x:c>
      <x:c r="I5" s="82" t="n">
        <x:f>F5*G5</x:f>
        <x:v>1784.9338</x:v>
      </x:c>
      <x:c r="J5" s="82" t="n">
        <x:f>H5-I5</x:f>
        <x:v>-0.0037999999999556167</x:v>
      </x:c>
      <x:c r="K5" s="58" t="str">
        <x:f>IF(ABS(J5)&gt;1,"Review","OK")</x:f>
        <x:v>OK</x:v>
      </x:c>
      <x:c r="L5" s="59" t="str">
        <x:v>No</x:v>
      </x:c>
    </x:row>
    <x:row r="6">
      <x:c r="A6" s="57" t="str">
        <x:v>TAX-0005</x:v>
      </x:c>
      <x:c r="B6" s="58" t="str">
        <x:v>Purchase</x:v>
      </x:c>
      <x:c r="C6" s="78" t="n">
        <x:v>46133</x:v>
      </x:c>
      <x:c r="D6" s="58" t="str">
        <x:v>Party 19</x:v>
      </x:c>
      <x:c r="E6" s="58" t="str">
        <x:v>QC</x:v>
      </x:c>
      <x:c r="F6" s="82" t="n">
        <x:v>21475.2</x:v>
      </x:c>
      <x:c r="G6" s="86" t="n">
        <x:v>0.14975</x:v>
      </x:c>
      <x:c r="H6" s="82" t="n">
        <x:v>3215.91</x:v>
      </x:c>
      <x:c r="I6" s="82" t="n">
        <x:f>F6*G6</x:f>
        <x:v>3215.9112</x:v>
      </x:c>
      <x:c r="J6" s="82" t="n">
        <x:f>H6-I6</x:f>
        <x:v>-0.0012000000001535227</x:v>
      </x:c>
      <x:c r="K6" s="58" t="str">
        <x:f>IF(ABS(J6)&gt;1,"Review","OK")</x:f>
        <x:v>OK</x:v>
      </x:c>
      <x:c r="L6" s="59" t="str">
        <x:v>No</x:v>
      </x:c>
    </x:row>
    <x:row r="7">
      <x:c r="A7" s="57" t="str">
        <x:v>TAX-0006</x:v>
      </x:c>
      <x:c r="B7" s="58" t="str">
        <x:v>Purchase</x:v>
      </x:c>
      <x:c r="C7" s="78" t="n">
        <x:v>46146</x:v>
      </x:c>
      <x:c r="D7" s="58" t="str">
        <x:v>Party 21</x:v>
      </x:c>
      <x:c r="E7" s="58" t="str">
        <x:v>QC</x:v>
      </x:c>
      <x:c r="F7" s="82" t="n">
        <x:v>9903.55</x:v>
      </x:c>
      <x:c r="G7" s="86" t="n">
        <x:v>0.14975</x:v>
      </x:c>
      <x:c r="H7" s="82" t="n">
        <x:v>1483.06</x:v>
      </x:c>
      <x:c r="I7" s="82" t="n">
        <x:f>F7*G7</x:f>
        <x:v>1483.0566124999998</x:v>
      </x:c>
      <x:c r="J7" s="82" t="n">
        <x:f>H7-I7</x:f>
        <x:v>0.0033875000001444278</x:v>
      </x:c>
      <x:c r="K7" s="58" t="str">
        <x:f>IF(ABS(J7)&gt;1,"Review","OK")</x:f>
        <x:v>OK</x:v>
      </x:c>
      <x:c r="L7" s="59" t="str">
        <x:v>No</x:v>
      </x:c>
    </x:row>
    <x:row r="8">
      <x:c r="A8" s="57" t="str">
        <x:v>TAX-0007</x:v>
      </x:c>
      <x:c r="B8" s="58" t="str">
        <x:v>Sales</x:v>
      </x:c>
      <x:c r="C8" s="78" t="n">
        <x:v>46120</x:v>
      </x:c>
      <x:c r="D8" s="58" t="str">
        <x:v>Party 90</x:v>
      </x:c>
      <x:c r="E8" s="58" t="str">
        <x:v>BC</x:v>
      </x:c>
      <x:c r="F8" s="82" t="n">
        <x:v>2573.69</x:v>
      </x:c>
      <x:c r="G8" s="86" t="n">
        <x:v>0.12</x:v>
      </x:c>
      <x:c r="H8" s="82" t="n">
        <x:v>312.37</x:v>
      </x:c>
      <x:c r="I8" s="82" t="n">
        <x:f>F8*G8</x:f>
        <x:v>308.8428</x:v>
      </x:c>
      <x:c r="J8" s="82" t="n">
        <x:f>H8-I8</x:f>
        <x:v>3.5271999999999935</x:v>
      </x:c>
      <x:c r="K8" s="58" t="str">
        <x:f>IF(ABS(J8)&gt;1,"Review","OK")</x:f>
        <x:v>Review</x:v>
      </x:c>
      <x:c r="L8" s="59" t="str">
        <x:v>N/A</x:v>
      </x:c>
    </x:row>
    <x:row r="9">
      <x:c r="A9" s="57" t="str">
        <x:v>TAX-0008</x:v>
      </x:c>
      <x:c r="B9" s="58" t="str">
        <x:v>Purchase</x:v>
      </x:c>
      <x:c r="C9" s="78" t="n">
        <x:v>46157</x:v>
      </x:c>
      <x:c r="D9" s="58" t="str">
        <x:v>Party 27</x:v>
      </x:c>
      <x:c r="E9" s="58" t="str">
        <x:v>ON</x:v>
      </x:c>
      <x:c r="F9" s="82" t="n">
        <x:v>3766.91</x:v>
      </x:c>
      <x:c r="G9" s="86" t="n">
        <x:v>0.13</x:v>
      </x:c>
      <x:c r="H9" s="82" t="n">
        <x:v>496.52</x:v>
      </x:c>
      <x:c r="I9" s="82" t="n">
        <x:f>F9*G9</x:f>
        <x:v>489.6983</x:v>
      </x:c>
      <x:c r="J9" s="82" t="n">
        <x:f>H9-I9</x:f>
        <x:v>6.821699999999964</x:v>
      </x:c>
      <x:c r="K9" s="58" t="str">
        <x:f>IF(ABS(J9)&gt;1,"Review","OK")</x:f>
        <x:v>Review</x:v>
      </x:c>
      <x:c r="L9" s="59" t="str">
        <x:v>No</x:v>
      </x:c>
    </x:row>
    <x:row r="10">
      <x:c r="A10" s="57" t="str">
        <x:v>TAX-0009</x:v>
      </x:c>
      <x:c r="B10" s="58" t="str">
        <x:v>Purchase</x:v>
      </x:c>
      <x:c r="C10" s="78" t="n">
        <x:v>46193</x:v>
      </x:c>
      <x:c r="D10" s="58" t="str">
        <x:v>Party 57</x:v>
      </x:c>
      <x:c r="E10" s="58" t="str">
        <x:v>AB</x:v>
      </x:c>
      <x:c r="F10" s="82" t="n">
        <x:v>16277.91</x:v>
      </x:c>
      <x:c r="G10" s="86" t="n">
        <x:v>0.05</x:v>
      </x:c>
      <x:c r="H10" s="82" t="n">
        <x:v>813.9</x:v>
      </x:c>
      <x:c r="I10" s="82" t="n">
        <x:f>F10*G10</x:f>
        <x:v>813.8955000000001</x:v>
      </x:c>
      <x:c r="J10" s="82" t="n">
        <x:f>H10-I10</x:f>
        <x:v>0.004499999999893589</x:v>
      </x:c>
      <x:c r="K10" s="58" t="str">
        <x:f>IF(ABS(J10)&gt;1,"Review","OK")</x:f>
        <x:v>OK</x:v>
      </x:c>
      <x:c r="L10" s="59" t="str">
        <x:v>Yes</x:v>
      </x:c>
    </x:row>
    <x:row r="11">
      <x:c r="A11" s="57" t="str">
        <x:v>TAX-0010</x:v>
      </x:c>
      <x:c r="B11" s="58" t="str">
        <x:v>Purchase</x:v>
      </x:c>
      <x:c r="C11" s="78" t="n">
        <x:v>46192</x:v>
      </x:c>
      <x:c r="D11" s="58" t="str">
        <x:v>Party 82</x:v>
      </x:c>
      <x:c r="E11" s="58" t="str">
        <x:v>AB</x:v>
      </x:c>
      <x:c r="F11" s="82" t="n">
        <x:v>23969.13</x:v>
      </x:c>
      <x:c r="G11" s="86" t="n">
        <x:v>0.05</x:v>
      </x:c>
      <x:c r="H11" s="82" t="n">
        <x:v>1199.84</x:v>
      </x:c>
      <x:c r="I11" s="82" t="n">
        <x:f>F11*G11</x:f>
        <x:v>1198.4565</x:v>
      </x:c>
      <x:c r="J11" s="82" t="n">
        <x:f>H11-I11</x:f>
        <x:v>1.3834999999999127</x:v>
      </x:c>
      <x:c r="K11" s="58" t="str">
        <x:f>IF(ABS(J11)&gt;1,"Review","OK")</x:f>
        <x:v>Review</x:v>
      </x:c>
      <x:c r="L11" s="59" t="str">
        <x:v>No</x:v>
      </x:c>
    </x:row>
    <x:row r="12">
      <x:c r="A12" s="57" t="str">
        <x:v>TAX-0011</x:v>
      </x:c>
      <x:c r="B12" s="58" t="str">
        <x:v>Sales</x:v>
      </x:c>
      <x:c r="C12" s="78" t="n">
        <x:v>46203</x:v>
      </x:c>
      <x:c r="D12" s="58" t="str">
        <x:v>Party 71</x:v>
      </x:c>
      <x:c r="E12" s="58" t="str">
        <x:v>AB</x:v>
      </x:c>
      <x:c r="F12" s="82" t="n">
        <x:v>960.32</x:v>
      </x:c>
      <x:c r="G12" s="86" t="n">
        <x:v>0.05</x:v>
      </x:c>
      <x:c r="H12" s="82" t="n">
        <x:v>48.02</x:v>
      </x:c>
      <x:c r="I12" s="82" t="n">
        <x:f>F12*G12</x:f>
        <x:v>48.016000000000005</x:v>
      </x:c>
      <x:c r="J12" s="82" t="n">
        <x:f>H12-I12</x:f>
        <x:v>0.003999999999997783</x:v>
      </x:c>
      <x:c r="K12" s="58" t="str">
        <x:f>IF(ABS(J12)&gt;1,"Review","OK")</x:f>
        <x:v>OK</x:v>
      </x:c>
      <x:c r="L12" s="59" t="str">
        <x:v>N/A</x:v>
      </x:c>
    </x:row>
    <x:row r="13">
      <x:c r="A13" s="57" t="str">
        <x:v>TAX-0012</x:v>
      </x:c>
      <x:c r="B13" s="58" t="str">
        <x:v>Sales</x:v>
      </x:c>
      <x:c r="C13" s="78" t="n">
        <x:v>46196</x:v>
      </x:c>
      <x:c r="D13" s="58" t="str">
        <x:v>Party 80</x:v>
      </x:c>
      <x:c r="E13" s="58" t="str">
        <x:v>AB</x:v>
      </x:c>
      <x:c r="F13" s="82" t="n">
        <x:v>18592.44</x:v>
      </x:c>
      <x:c r="G13" s="86" t="n">
        <x:v>0.05</x:v>
      </x:c>
      <x:c r="H13" s="82" t="n">
        <x:v>931.33</x:v>
      </x:c>
      <x:c r="I13" s="82" t="n">
        <x:f>F13*G13</x:f>
        <x:v>929.622</x:v>
      </x:c>
      <x:c r="J13" s="82" t="n">
        <x:f>H13-I13</x:f>
        <x:v>1.7080000000000837</x:v>
      </x:c>
      <x:c r="K13" s="58" t="str">
        <x:f>IF(ABS(J13)&gt;1,"Review","OK")</x:f>
        <x:v>Review</x:v>
      </x:c>
      <x:c r="L13" s="59" t="str">
        <x:v>N/A</x:v>
      </x:c>
    </x:row>
    <x:row r="14">
      <x:c r="A14" s="57" t="str">
        <x:v>TAX-0013</x:v>
      </x:c>
      <x:c r="B14" s="58" t="str">
        <x:v>Purchase</x:v>
      </x:c>
      <x:c r="C14" s="78" t="n">
        <x:v>46168</x:v>
      </x:c>
      <x:c r="D14" s="58" t="str">
        <x:v>Party 81</x:v>
      </x:c>
      <x:c r="E14" s="58" t="str">
        <x:v>BC</x:v>
      </x:c>
      <x:c r="F14" s="82" t="n">
        <x:v>15407.27</x:v>
      </x:c>
      <x:c r="G14" s="86" t="n">
        <x:v>0.12</x:v>
      </x:c>
      <x:c r="H14" s="82" t="n">
        <x:v>1840.43</x:v>
      </x:c>
      <x:c r="I14" s="82" t="n">
        <x:f>F14*G14</x:f>
        <x:v>1848.8724</x:v>
      </x:c>
      <x:c r="J14" s="82" t="n">
        <x:f>H14-I14</x:f>
        <x:v>-8.442399999999907</x:v>
      </x:c>
      <x:c r="K14" s="58" t="str">
        <x:f>IF(ABS(J14)&gt;1,"Review","OK")</x:f>
        <x:v>Review</x:v>
      </x:c>
      <x:c r="L14" s="59" t="str">
        <x:v>Yes</x:v>
      </x:c>
    </x:row>
    <x:row r="15">
      <x:c r="A15" s="57" t="str">
        <x:v>TAX-0014</x:v>
      </x:c>
      <x:c r="B15" s="58" t="str">
        <x:v>Sales</x:v>
      </x:c>
      <x:c r="C15" s="78" t="n">
        <x:v>46153</x:v>
      </x:c>
      <x:c r="D15" s="58" t="str">
        <x:v>Party 12</x:v>
      </x:c>
      <x:c r="E15" s="58" t="str">
        <x:v>QC</x:v>
      </x:c>
      <x:c r="F15" s="82" t="n">
        <x:v>21689.2</x:v>
      </x:c>
      <x:c r="G15" s="86" t="n">
        <x:v>0.14975</x:v>
      </x:c>
      <x:c r="H15" s="82" t="n">
        <x:v>3244.78</x:v>
      </x:c>
      <x:c r="I15" s="82" t="n">
        <x:f>F15*G15</x:f>
        <x:v>3247.9577</x:v>
      </x:c>
      <x:c r="J15" s="82" t="n">
        <x:f>H15-I15</x:f>
        <x:v>-3.1776999999997315</x:v>
      </x:c>
      <x:c r="K15" s="58" t="str">
        <x:f>IF(ABS(J15)&gt;1,"Review","OK")</x:f>
        <x:v>Review</x:v>
      </x:c>
      <x:c r="L15" s="59" t="str">
        <x:v>N/A</x:v>
      </x:c>
    </x:row>
    <x:row r="16">
      <x:c r="A16" s="57" t="str">
        <x:v>TAX-0015</x:v>
      </x:c>
      <x:c r="B16" s="58" t="str">
        <x:v>Purchase</x:v>
      </x:c>
      <x:c r="C16" s="78" t="n">
        <x:v>46191</x:v>
      </x:c>
      <x:c r="D16" s="58" t="str">
        <x:v>Party 6</x:v>
      </x:c>
      <x:c r="E16" s="58" t="str">
        <x:v>BC</x:v>
      </x:c>
      <x:c r="F16" s="82" t="n">
        <x:v>15840.98</x:v>
      </x:c>
      <x:c r="G16" s="86" t="n">
        <x:v>0.12</x:v>
      </x:c>
      <x:c r="H16" s="82" t="n">
        <x:v>1900.92</x:v>
      </x:c>
      <x:c r="I16" s="82" t="n">
        <x:f>F16*G16</x:f>
        <x:v>1900.9175999999998</x:v>
      </x:c>
      <x:c r="J16" s="82" t="n">
        <x:f>H16-I16</x:f>
        <x:v>0.0024000000003070454</x:v>
      </x:c>
      <x:c r="K16" s="58" t="str">
        <x:f>IF(ABS(J16)&gt;1,"Review","OK")</x:f>
        <x:v>OK</x:v>
      </x:c>
      <x:c r="L16" s="59" t="str">
        <x:v>Yes</x:v>
      </x:c>
    </x:row>
    <x:row r="17">
      <x:c r="A17" s="57" t="str">
        <x:v>TAX-0016</x:v>
      </x:c>
      <x:c r="B17" s="58" t="str">
        <x:v>Purchase</x:v>
      </x:c>
      <x:c r="C17" s="78" t="n">
        <x:v>46139</x:v>
      </x:c>
      <x:c r="D17" s="58" t="str">
        <x:v>Party 35</x:v>
      </x:c>
      <x:c r="E17" s="58" t="str">
        <x:v>AB</x:v>
      </x:c>
      <x:c r="F17" s="82" t="n">
        <x:v>4568.77</x:v>
      </x:c>
      <x:c r="G17" s="86" t="n">
        <x:v>0.05</x:v>
      </x:c>
      <x:c r="H17" s="82" t="n">
        <x:v>228.44</x:v>
      </x:c>
      <x:c r="I17" s="82" t="n">
        <x:f>F17*G17</x:f>
        <x:v>228.43850000000003</x:v>
      </x:c>
      <x:c r="J17" s="82" t="n">
        <x:f>H17-I17</x:f>
        <x:v>0.0014999999999645297</x:v>
      </x:c>
      <x:c r="K17" s="58" t="str">
        <x:f>IF(ABS(J17)&gt;1,"Review","OK")</x:f>
        <x:v>OK</x:v>
      </x:c>
      <x:c r="L17" s="59" t="str">
        <x:v>Yes</x:v>
      </x:c>
    </x:row>
    <x:row r="18">
      <x:c r="A18" s="57" t="str">
        <x:v>TAX-0017</x:v>
      </x:c>
      <x:c r="B18" s="58" t="str">
        <x:v>Sales</x:v>
      </x:c>
      <x:c r="C18" s="78" t="n">
        <x:v>46185</x:v>
      </x:c>
      <x:c r="D18" s="58" t="str">
        <x:v>Party 31</x:v>
      </x:c>
      <x:c r="E18" s="58" t="str">
        <x:v>AB</x:v>
      </x:c>
      <x:c r="F18" s="82" t="n">
        <x:v>7581.07</x:v>
      </x:c>
      <x:c r="G18" s="86" t="n">
        <x:v>0.05</x:v>
      </x:c>
      <x:c r="H18" s="82" t="n">
        <x:v>379.05</x:v>
      </x:c>
      <x:c r="I18" s="82" t="n">
        <x:f>F18*G18</x:f>
        <x:v>379.0535</x:v>
      </x:c>
      <x:c r="J18" s="82" t="n">
        <x:f>H18-I18</x:f>
        <x:v>-0.0034999999999740794</x:v>
      </x:c>
      <x:c r="K18" s="58" t="str">
        <x:f>IF(ABS(J18)&gt;1,"Review","OK")</x:f>
        <x:v>OK</x:v>
      </x:c>
      <x:c r="L18" s="59" t="str">
        <x:v>N/A</x:v>
      </x:c>
    </x:row>
    <x:row r="19">
      <x:c r="A19" s="57" t="str">
        <x:v>TAX-0018</x:v>
      </x:c>
      <x:c r="B19" s="58" t="str">
        <x:v>Purchase</x:v>
      </x:c>
      <x:c r="C19" s="78" t="n">
        <x:v>46132</x:v>
      </x:c>
      <x:c r="D19" s="58" t="str">
        <x:v>Party 27</x:v>
      </x:c>
      <x:c r="E19" s="58" t="str">
        <x:v>BC</x:v>
      </x:c>
      <x:c r="F19" s="82" t="n">
        <x:v>21873.08</x:v>
      </x:c>
      <x:c r="G19" s="86" t="n">
        <x:v>0.12</x:v>
      </x:c>
      <x:c r="H19" s="82" t="n">
        <x:v>2624.77</x:v>
      </x:c>
      <x:c r="I19" s="82" t="n">
        <x:f>F19*G19</x:f>
        <x:v>2624.7696</x:v>
      </x:c>
      <x:c r="J19" s="82" t="n">
        <x:f>H19-I19</x:f>
        <x:v>0.0003999999998995918</x:v>
      </x:c>
      <x:c r="K19" s="58" t="str">
        <x:f>IF(ABS(J19)&gt;1,"Review","OK")</x:f>
        <x:v>OK</x:v>
      </x:c>
      <x:c r="L19" s="59" t="str">
        <x:v>No</x:v>
      </x:c>
    </x:row>
    <x:row r="20">
      <x:c r="A20" s="57" t="str">
        <x:v>TAX-0019</x:v>
      </x:c>
      <x:c r="B20" s="58" t="str">
        <x:v>Purchase</x:v>
      </x:c>
      <x:c r="C20" s="78" t="n">
        <x:v>46136</x:v>
      </x:c>
      <x:c r="D20" s="58" t="str">
        <x:v>Party 89</x:v>
      </x:c>
      <x:c r="E20" s="58" t="str">
        <x:v>BC</x:v>
      </x:c>
      <x:c r="F20" s="82" t="n">
        <x:v>23451.42</x:v>
      </x:c>
      <x:c r="G20" s="86" t="n">
        <x:v>0.12</x:v>
      </x:c>
      <x:c r="H20" s="82" t="n">
        <x:v>2821.38</x:v>
      </x:c>
      <x:c r="I20" s="82" t="n">
        <x:f>F20*G20</x:f>
        <x:v>2814.1703999999995</x:v>
      </x:c>
      <x:c r="J20" s="82" t="n">
        <x:f>H20-I20</x:f>
        <x:v>7.2096000000005915</x:v>
      </x:c>
      <x:c r="K20" s="58" t="str">
        <x:f>IF(ABS(J20)&gt;1,"Review","OK")</x:f>
        <x:v>Review</x:v>
      </x:c>
      <x:c r="L20" s="59" t="str">
        <x:v>Yes</x:v>
      </x:c>
    </x:row>
    <x:row r="21">
      <x:c r="A21" s="57" t="str">
        <x:v>TAX-0020</x:v>
      </x:c>
      <x:c r="B21" s="58" t="str">
        <x:v>Purchase</x:v>
      </x:c>
      <x:c r="C21" s="78" t="n">
        <x:v>46175</x:v>
      </x:c>
      <x:c r="D21" s="58" t="str">
        <x:v>Party 85</x:v>
      </x:c>
      <x:c r="E21" s="58" t="str">
        <x:v>QC</x:v>
      </x:c>
      <x:c r="F21" s="82" t="n">
        <x:v>22497.41</x:v>
      </x:c>
      <x:c r="G21" s="86" t="n">
        <x:v>0.14975</x:v>
      </x:c>
      <x:c r="H21" s="82" t="n">
        <x:v>3368.99</x:v>
      </x:c>
      <x:c r="I21" s="82" t="n">
        <x:f>F21*G21</x:f>
        <x:v>3368.9871475</x:v>
      </x:c>
      <x:c r="J21" s="82" t="n">
        <x:f>H21-I21</x:f>
        <x:v>0.0028524999997898703</x:v>
      </x:c>
      <x:c r="K21" s="58" t="str">
        <x:f>IF(ABS(J21)&gt;1,"Review","OK")</x:f>
        <x:v>OK</x:v>
      </x:c>
      <x:c r="L21" s="59" t="str">
        <x:v>Yes</x:v>
      </x:c>
    </x:row>
    <x:row r="22">
      <x:c r="A22" s="57" t="str">
        <x:v>TAX-0021</x:v>
      </x:c>
      <x:c r="B22" s="58" t="str">
        <x:v>Sales</x:v>
      </x:c>
      <x:c r="C22" s="78" t="n">
        <x:v>46118</x:v>
      </x:c>
      <x:c r="D22" s="58" t="str">
        <x:v>Party 31</x:v>
      </x:c>
      <x:c r="E22" s="58" t="str">
        <x:v>ON</x:v>
      </x:c>
      <x:c r="F22" s="82" t="n">
        <x:v>22828.11</x:v>
      </x:c>
      <x:c r="G22" s="86" t="n">
        <x:v>0.13</x:v>
      </x:c>
      <x:c r="H22" s="82" t="n">
        <x:v>2967.65</x:v>
      </x:c>
      <x:c r="I22" s="82" t="n">
        <x:f>F22*G22</x:f>
        <x:v>2967.6543</x:v>
      </x:c>
      <x:c r="J22" s="82" t="n">
        <x:f>H22-I22</x:f>
        <x:v>-0.00430000000005748</x:v>
      </x:c>
      <x:c r="K22" s="58" t="str">
        <x:f>IF(ABS(J22)&gt;1,"Review","OK")</x:f>
        <x:v>OK</x:v>
      </x:c>
      <x:c r="L22" s="59" t="str">
        <x:v>N/A</x:v>
      </x:c>
    </x:row>
    <x:row r="23">
      <x:c r="A23" s="57" t="str">
        <x:v>TAX-0022</x:v>
      </x:c>
      <x:c r="B23" s="58" t="str">
        <x:v>Sales</x:v>
      </x:c>
      <x:c r="C23" s="78" t="n">
        <x:v>46152</x:v>
      </x:c>
      <x:c r="D23" s="58" t="str">
        <x:v>Party 78</x:v>
      </x:c>
      <x:c r="E23" s="58" t="str">
        <x:v>QC</x:v>
      </x:c>
      <x:c r="F23" s="82" t="n">
        <x:v>24477.27</x:v>
      </x:c>
      <x:c r="G23" s="86" t="n">
        <x:v>0.14975</x:v>
      </x:c>
      <x:c r="H23" s="82" t="n">
        <x:v>3665.47</x:v>
      </x:c>
      <x:c r="I23" s="82" t="n">
        <x:f>F23*G23</x:f>
        <x:v>3665.4711825</x:v>
      </x:c>
      <x:c r="J23" s="82" t="n">
        <x:f>H23-I23</x:f>
        <x:v>-0.0011825000001408625</x:v>
      </x:c>
      <x:c r="K23" s="58" t="str">
        <x:f>IF(ABS(J23)&gt;1,"Review","OK")</x:f>
        <x:v>OK</x:v>
      </x:c>
      <x:c r="L23" s="59" t="str">
        <x:v>N/A</x:v>
      </x:c>
    </x:row>
    <x:row r="24">
      <x:c r="A24" s="57" t="str">
        <x:v>TAX-0023</x:v>
      </x:c>
      <x:c r="B24" s="58" t="str">
        <x:v>Purchase</x:v>
      </x:c>
      <x:c r="C24" s="78" t="n">
        <x:v>46133</x:v>
      </x:c>
      <x:c r="D24" s="58" t="str">
        <x:v>Party 7</x:v>
      </x:c>
      <x:c r="E24" s="58" t="str">
        <x:v>ON</x:v>
      </x:c>
      <x:c r="F24" s="82" t="n">
        <x:v>4701.95</x:v>
      </x:c>
      <x:c r="G24" s="86" t="n">
        <x:v>0.13</x:v>
      </x:c>
      <x:c r="H24" s="82" t="n">
        <x:v>610.83</x:v>
      </x:c>
      <x:c r="I24" s="82" t="n">
        <x:f>F24*G24</x:f>
        <x:v>611.2535</x:v>
      </x:c>
      <x:c r="J24" s="82" t="n">
        <x:f>H24-I24</x:f>
        <x:v>-0.42349999999999</x:v>
      </x:c>
      <x:c r="K24" s="58" t="str">
        <x:f>IF(ABS(J24)&gt;1,"Review","OK")</x:f>
        <x:v>OK</x:v>
      </x:c>
      <x:c r="L24" s="59" t="str">
        <x:v>No</x:v>
      </x:c>
    </x:row>
    <x:row r="25">
      <x:c r="A25" s="57" t="str">
        <x:v>TAX-0024</x:v>
      </x:c>
      <x:c r="B25" s="58" t="str">
        <x:v>Sales</x:v>
      </x:c>
      <x:c r="C25" s="78" t="n">
        <x:v>46203</x:v>
      </x:c>
      <x:c r="D25" s="58" t="str">
        <x:v>Party 27</x:v>
      </x:c>
      <x:c r="E25" s="58" t="str">
        <x:v>BC</x:v>
      </x:c>
      <x:c r="F25" s="82" t="n">
        <x:v>7729.66</x:v>
      </x:c>
      <x:c r="G25" s="86" t="n">
        <x:v>0.12</x:v>
      </x:c>
      <x:c r="H25" s="82" t="n">
        <x:v>927.56</x:v>
      </x:c>
      <x:c r="I25" s="82" t="n">
        <x:f>F25*G25</x:f>
        <x:v>927.5591999999999</x:v>
      </x:c>
      <x:c r="J25" s="82" t="n">
        <x:f>H25-I25</x:f>
        <x:v>0.0008000000000265572</x:v>
      </x:c>
      <x:c r="K25" s="58" t="str">
        <x:f>IF(ABS(J25)&gt;1,"Review","OK")</x:f>
        <x:v>OK</x:v>
      </x:c>
      <x:c r="L25" s="59" t="str">
        <x:v>N/A</x:v>
      </x:c>
    </x:row>
    <x:row r="26">
      <x:c r="A26" s="57" t="str">
        <x:v>TAX-0025</x:v>
      </x:c>
      <x:c r="B26" s="58" t="str">
        <x:v>Purchase</x:v>
      </x:c>
      <x:c r="C26" s="78" t="n">
        <x:v>46147</x:v>
      </x:c>
      <x:c r="D26" s="58" t="str">
        <x:v>Party 9</x:v>
      </x:c>
      <x:c r="E26" s="58" t="str">
        <x:v>AB</x:v>
      </x:c>
      <x:c r="F26" s="82" t="n">
        <x:v>8371.58</x:v>
      </x:c>
      <x:c r="G26" s="86" t="n">
        <x:v>0.05</x:v>
      </x:c>
      <x:c r="H26" s="82" t="n">
        <x:v>418.58</x:v>
      </x:c>
      <x:c r="I26" s="82" t="n">
        <x:f>F26*G26</x:f>
        <x:v>418.579</x:v>
      </x:c>
      <x:c r="J26" s="82" t="n">
        <x:f>H26-I26</x:f>
        <x:v>0.0009999999999763531</x:v>
      </x:c>
      <x:c r="K26" s="58" t="str">
        <x:f>IF(ABS(J26)&gt;1,"Review","OK")</x:f>
        <x:v>OK</x:v>
      </x:c>
      <x:c r="L26" s="59" t="str">
        <x:v>No</x:v>
      </x:c>
    </x:row>
    <x:row r="27">
      <x:c r="A27" s="57" t="str">
        <x:v>TAX-0026</x:v>
      </x:c>
      <x:c r="B27" s="58" t="str">
        <x:v>Purchase</x:v>
      </x:c>
      <x:c r="C27" s="78" t="n">
        <x:v>46182</x:v>
      </x:c>
      <x:c r="D27" s="58" t="str">
        <x:v>Party 42</x:v>
      </x:c>
      <x:c r="E27" s="58" t="str">
        <x:v>BC</x:v>
      </x:c>
      <x:c r="F27" s="82" t="n">
        <x:v>19544.29</x:v>
      </x:c>
      <x:c r="G27" s="86" t="n">
        <x:v>0.12</x:v>
      </x:c>
      <x:c r="H27" s="82" t="n">
        <x:v>2345.31</x:v>
      </x:c>
      <x:c r="I27" s="82" t="n">
        <x:f>F27*G27</x:f>
        <x:v>2345.3148</x:v>
      </x:c>
      <x:c r="J27" s="82" t="n">
        <x:f>H27-I27</x:f>
        <x:v>-0.0048000000001593435</x:v>
      </x:c>
      <x:c r="K27" s="58" t="str">
        <x:f>IF(ABS(J27)&gt;1,"Review","OK")</x:f>
        <x:v>OK</x:v>
      </x:c>
      <x:c r="L27" s="59" t="str">
        <x:v>Yes</x:v>
      </x:c>
    </x:row>
    <x:row r="28">
      <x:c r="A28" s="57" t="str">
        <x:v>TAX-0027</x:v>
      </x:c>
      <x:c r="B28" s="58" t="str">
        <x:v>Sales</x:v>
      </x:c>
      <x:c r="C28" s="78" t="n">
        <x:v>46115</x:v>
      </x:c>
      <x:c r="D28" s="58" t="str">
        <x:v>Party 64</x:v>
      </x:c>
      <x:c r="E28" s="58" t="str">
        <x:v>ON</x:v>
      </x:c>
      <x:c r="F28" s="82" t="n">
        <x:v>10453.08</x:v>
      </x:c>
      <x:c r="G28" s="86" t="n">
        <x:v>0.13</x:v>
      </x:c>
      <x:c r="H28" s="82" t="n">
        <x:v>1366.73</x:v>
      </x:c>
      <x:c r="I28" s="82" t="n">
        <x:f>F28*G28</x:f>
        <x:v>1358.9004</x:v>
      </x:c>
      <x:c r="J28" s="82" t="n">
        <x:f>H28-I28</x:f>
        <x:v>7.829600000000028</x:v>
      </x:c>
      <x:c r="K28" s="58" t="str">
        <x:f>IF(ABS(J28)&gt;1,"Review","OK")</x:f>
        <x:v>Review</x:v>
      </x:c>
      <x:c r="L28" s="59" t="str">
        <x:v>N/A</x:v>
      </x:c>
    </x:row>
    <x:row r="29">
      <x:c r="A29" s="57" t="str">
        <x:v>TAX-0028</x:v>
      </x:c>
      <x:c r="B29" s="58" t="str">
        <x:v>Purchase</x:v>
      </x:c>
      <x:c r="C29" s="78" t="n">
        <x:v>46158</x:v>
      </x:c>
      <x:c r="D29" s="58" t="str">
        <x:v>Party 69</x:v>
      </x:c>
      <x:c r="E29" s="58" t="str">
        <x:v>QC</x:v>
      </x:c>
      <x:c r="F29" s="82" t="n">
        <x:v>10871.64</x:v>
      </x:c>
      <x:c r="G29" s="86" t="n">
        <x:v>0.14975</x:v>
      </x:c>
      <x:c r="H29" s="82" t="n">
        <x:v>1628.03</x:v>
      </x:c>
      <x:c r="I29" s="82" t="n">
        <x:f>F29*G29</x:f>
        <x:v>1628.0280899999998</x:v>
      </x:c>
      <x:c r="J29" s="82" t="n">
        <x:f>H29-I29</x:f>
        <x:v>0.0019100000001799344</x:v>
      </x:c>
      <x:c r="K29" s="58" t="str">
        <x:f>IF(ABS(J29)&gt;1,"Review","OK")</x:f>
        <x:v>OK</x:v>
      </x:c>
      <x:c r="L29" s="59" t="str">
        <x:v>No</x:v>
      </x:c>
    </x:row>
    <x:row r="30">
      <x:c r="A30" s="57" t="str">
        <x:v>TAX-0029</x:v>
      </x:c>
      <x:c r="B30" s="58" t="str">
        <x:v>Purchase</x:v>
      </x:c>
      <x:c r="C30" s="78" t="n">
        <x:v>46194</x:v>
      </x:c>
      <x:c r="D30" s="58" t="str">
        <x:v>Party 39</x:v>
      </x:c>
      <x:c r="E30" s="58" t="str">
        <x:v>AB</x:v>
      </x:c>
      <x:c r="F30" s="82" t="n">
        <x:v>18171</x:v>
      </x:c>
      <x:c r="G30" s="86" t="n">
        <x:v>0.05</x:v>
      </x:c>
      <x:c r="H30" s="82" t="n">
        <x:v>908.55</x:v>
      </x:c>
      <x:c r="I30" s="82" t="n">
        <x:f>F30*G30</x:f>
        <x:v>908.5500000000001</x:v>
      </x:c>
      <x:c r="J30" s="82" t="n">
        <x:f>H30-I30</x:f>
        <x:v>-1.1368683772161603e-13</x:v>
      </x:c>
      <x:c r="K30" s="58" t="str">
        <x:f>IF(ABS(J30)&gt;1,"Review","OK")</x:f>
        <x:v>OK</x:v>
      </x:c>
      <x:c r="L30" s="59" t="str">
        <x:v>Yes</x:v>
      </x:c>
    </x:row>
    <x:row r="31">
      <x:c r="A31" s="57" t="str">
        <x:v>TAX-0030</x:v>
      </x:c>
      <x:c r="B31" s="58" t="str">
        <x:v>Purchase</x:v>
      </x:c>
      <x:c r="C31" s="78" t="n">
        <x:v>46149</x:v>
      </x:c>
      <x:c r="D31" s="58" t="str">
        <x:v>Party 17</x:v>
      </x:c>
      <x:c r="E31" s="58" t="str">
        <x:v>BC</x:v>
      </x:c>
      <x:c r="F31" s="82" t="n">
        <x:v>19116.91</x:v>
      </x:c>
      <x:c r="G31" s="86" t="n">
        <x:v>0.12</x:v>
      </x:c>
      <x:c r="H31" s="82" t="n">
        <x:v>2293.51</x:v>
      </x:c>
      <x:c r="I31" s="82" t="n">
        <x:f>F31*G31</x:f>
        <x:v>2294.0292</x:v>
      </x:c>
      <x:c r="J31" s="82" t="n">
        <x:f>H31-I31</x:f>
        <x:v>-0.5191999999997279</x:v>
      </x:c>
      <x:c r="K31" s="58" t="str">
        <x:f>IF(ABS(J31)&gt;1,"Review","OK")</x:f>
        <x:v>OK</x:v>
      </x:c>
      <x:c r="L31" s="59" t="str">
        <x:v>Yes</x:v>
      </x:c>
    </x:row>
    <x:row r="32">
      <x:c r="A32" s="57" t="str">
        <x:v>TAX-0031</x:v>
      </x:c>
      <x:c r="B32" s="58" t="str">
        <x:v>Sales</x:v>
      </x:c>
      <x:c r="C32" s="78" t="n">
        <x:v>46151</x:v>
      </x:c>
      <x:c r="D32" s="58" t="str">
        <x:v>Party 89</x:v>
      </x:c>
      <x:c r="E32" s="58" t="str">
        <x:v>BC</x:v>
      </x:c>
      <x:c r="F32" s="82" t="n">
        <x:v>10738.82</x:v>
      </x:c>
      <x:c r="G32" s="86" t="n">
        <x:v>0.12</x:v>
      </x:c>
      <x:c r="H32" s="82" t="n">
        <x:v>1281.69</x:v>
      </x:c>
      <x:c r="I32" s="82" t="n">
        <x:f>F32*G32</x:f>
        <x:v>1288.6584</x:v>
      </x:c>
      <x:c r="J32" s="82" t="n">
        <x:f>H32-I32</x:f>
        <x:v>-6.968399999999974</x:v>
      </x:c>
      <x:c r="K32" s="58" t="str">
        <x:f>IF(ABS(J32)&gt;1,"Review","OK")</x:f>
        <x:v>Review</x:v>
      </x:c>
      <x:c r="L32" s="59" t="str">
        <x:v>N/A</x:v>
      </x:c>
    </x:row>
    <x:row r="33">
      <x:c r="A33" s="57" t="str">
        <x:v>TAX-0032</x:v>
      </x:c>
      <x:c r="B33" s="58" t="str">
        <x:v>Sales</x:v>
      </x:c>
      <x:c r="C33" s="78" t="n">
        <x:v>46181</x:v>
      </x:c>
      <x:c r="D33" s="58" t="str">
        <x:v>Party 72</x:v>
      </x:c>
      <x:c r="E33" s="58" t="str">
        <x:v>QC</x:v>
      </x:c>
      <x:c r="F33" s="82" t="n">
        <x:v>458.25</x:v>
      </x:c>
      <x:c r="G33" s="86" t="n">
        <x:v>0.14975</x:v>
      </x:c>
      <x:c r="H33" s="82" t="n">
        <x:v>73.43</x:v>
      </x:c>
      <x:c r="I33" s="82" t="n">
        <x:f>F33*G33</x:f>
        <x:v>68.62293749999999</x:v>
      </x:c>
      <x:c r="J33" s="82" t="n">
        <x:f>H33-I33</x:f>
        <x:v>4.807062500000015</x:v>
      </x:c>
      <x:c r="K33" s="58" t="str">
        <x:f>IF(ABS(J33)&gt;1,"Review","OK")</x:f>
        <x:v>Review</x:v>
      </x:c>
      <x:c r="L33" s="59" t="str">
        <x:v>N/A</x:v>
      </x:c>
    </x:row>
    <x:row r="34">
      <x:c r="A34" s="57" t="str">
        <x:v>TAX-0033</x:v>
      </x:c>
      <x:c r="B34" s="58" t="str">
        <x:v>Sales</x:v>
      </x:c>
      <x:c r="C34" s="78" t="n">
        <x:v>46143</x:v>
      </x:c>
      <x:c r="D34" s="58" t="str">
        <x:v>Party 35</x:v>
      </x:c>
      <x:c r="E34" s="58" t="str">
        <x:v>AB</x:v>
      </x:c>
      <x:c r="F34" s="82" t="n">
        <x:v>14526.3</x:v>
      </x:c>
      <x:c r="G34" s="86" t="n">
        <x:v>0.05</x:v>
      </x:c>
      <x:c r="H34" s="82" t="n">
        <x:v>726.32</x:v>
      </x:c>
      <x:c r="I34" s="82" t="n">
        <x:f>F34*G34</x:f>
        <x:v>726.315</x:v>
      </x:c>
      <x:c r="J34" s="82" t="n">
        <x:f>H34-I34</x:f>
        <x:v>0.0049999999999954525</x:v>
      </x:c>
      <x:c r="K34" s="58" t="str">
        <x:f>IF(ABS(J34)&gt;1,"Review","OK")</x:f>
        <x:v>OK</x:v>
      </x:c>
      <x:c r="L34" s="59" t="str">
        <x:v>N/A</x:v>
      </x:c>
    </x:row>
    <x:row r="35">
      <x:c r="A35" s="57" t="str">
        <x:v>TAX-0034</x:v>
      </x:c>
      <x:c r="B35" s="58" t="str">
        <x:v>Sales</x:v>
      </x:c>
      <x:c r="C35" s="78" t="n">
        <x:v>46155</x:v>
      </x:c>
      <x:c r="D35" s="58" t="str">
        <x:v>Party 74</x:v>
      </x:c>
      <x:c r="E35" s="58" t="str">
        <x:v>AB</x:v>
      </x:c>
      <x:c r="F35" s="82" t="n">
        <x:v>14830.57</x:v>
      </x:c>
      <x:c r="G35" s="86" t="n">
        <x:v>0.05</x:v>
      </x:c>
      <x:c r="H35" s="82" t="n">
        <x:v>741.53</x:v>
      </x:c>
      <x:c r="I35" s="82" t="n">
        <x:f>F35*G35</x:f>
        <x:v>741.5285</x:v>
      </x:c>
      <x:c r="J35" s="82" t="n">
        <x:f>H35-I35</x:f>
        <x:v>0.0014999999999645297</x:v>
      </x:c>
      <x:c r="K35" s="58" t="str">
        <x:f>IF(ABS(J35)&gt;1,"Review","OK")</x:f>
        <x:v>OK</x:v>
      </x:c>
      <x:c r="L35" s="59" t="str">
        <x:v>N/A</x:v>
      </x:c>
    </x:row>
    <x:row r="36">
      <x:c r="A36" s="57" t="str">
        <x:v>TAX-0035</x:v>
      </x:c>
      <x:c r="B36" s="58" t="str">
        <x:v>Sales</x:v>
      </x:c>
      <x:c r="C36" s="78" t="n">
        <x:v>46117</x:v>
      </x:c>
      <x:c r="D36" s="58" t="str">
        <x:v>Party 72</x:v>
      </x:c>
      <x:c r="E36" s="58" t="str">
        <x:v>BC</x:v>
      </x:c>
      <x:c r="F36" s="82" t="n">
        <x:v>23754.2</x:v>
      </x:c>
      <x:c r="G36" s="86" t="n">
        <x:v>0.12</x:v>
      </x:c>
      <x:c r="H36" s="82" t="n">
        <x:v>2850.5</x:v>
      </x:c>
      <x:c r="I36" s="82" t="n">
        <x:f>F36*G36</x:f>
        <x:v>2850.504</x:v>
      </x:c>
      <x:c r="J36" s="82" t="n">
        <x:f>H36-I36</x:f>
        <x:v>-0.0039999999999054126</x:v>
      </x:c>
      <x:c r="K36" s="58" t="str">
        <x:f>IF(ABS(J36)&gt;1,"Review","OK")</x:f>
        <x:v>OK</x:v>
      </x:c>
      <x:c r="L36" s="59" t="str">
        <x:v>N/A</x:v>
      </x:c>
    </x:row>
    <x:row r="37">
      <x:c r="A37" s="57" t="str">
        <x:v>TAX-0036</x:v>
      </x:c>
      <x:c r="B37" s="58" t="str">
        <x:v>Purchase</x:v>
      </x:c>
      <x:c r="C37" s="78" t="n">
        <x:v>46132</x:v>
      </x:c>
      <x:c r="D37" s="58" t="str">
        <x:v>Party 62</x:v>
      </x:c>
      <x:c r="E37" s="58" t="str">
        <x:v>AB</x:v>
      </x:c>
      <x:c r="F37" s="82" t="n">
        <x:v>9217.06</x:v>
      </x:c>
      <x:c r="G37" s="86" t="n">
        <x:v>0.05</x:v>
      </x:c>
      <x:c r="H37" s="82" t="n">
        <x:v>460.85</x:v>
      </x:c>
      <x:c r="I37" s="82" t="n">
        <x:f>F37*G37</x:f>
        <x:v>460.853</x:v>
      </x:c>
      <x:c r="J37" s="82" t="n">
        <x:f>H37-I37</x:f>
        <x:v>-0.002999999999985903</x:v>
      </x:c>
      <x:c r="K37" s="58" t="str">
        <x:f>IF(ABS(J37)&gt;1,"Review","OK")</x:f>
        <x:v>OK</x:v>
      </x:c>
      <x:c r="L37" s="59" t="str">
        <x:v>Yes</x:v>
      </x:c>
    </x:row>
    <x:row r="38">
      <x:c r="A38" s="57" t="str">
        <x:v>TAX-0037</x:v>
      </x:c>
      <x:c r="B38" s="58" t="str">
        <x:v>Purchase</x:v>
      </x:c>
      <x:c r="C38" s="78" t="n">
        <x:v>46114</x:v>
      </x:c>
      <x:c r="D38" s="58" t="str">
        <x:v>Party 65</x:v>
      </x:c>
      <x:c r="E38" s="58" t="str">
        <x:v>AB</x:v>
      </x:c>
      <x:c r="F38" s="82" t="n">
        <x:v>24140.39</x:v>
      </x:c>
      <x:c r="G38" s="86" t="n">
        <x:v>0.05</x:v>
      </x:c>
      <x:c r="H38" s="82" t="n">
        <x:v>1210.17</x:v>
      </x:c>
      <x:c r="I38" s="82" t="n">
        <x:f>F38*G38</x:f>
        <x:v>1207.0195</x:v>
      </x:c>
      <x:c r="J38" s="82" t="n">
        <x:f>H38-I38</x:f>
        <x:v>3.1504999999999654</x:v>
      </x:c>
      <x:c r="K38" s="58" t="str">
        <x:f>IF(ABS(J38)&gt;1,"Review","OK")</x:f>
        <x:v>Review</x:v>
      </x:c>
      <x:c r="L38" s="59" t="str">
        <x:v>No</x:v>
      </x:c>
    </x:row>
    <x:row r="39">
      <x:c r="A39" s="57" t="str">
        <x:v>TAX-0038</x:v>
      </x:c>
      <x:c r="B39" s="58" t="str">
        <x:v>Sales</x:v>
      </x:c>
      <x:c r="C39" s="78" t="n">
        <x:v>46116</x:v>
      </x:c>
      <x:c r="D39" s="58" t="str">
        <x:v>Party 73</x:v>
      </x:c>
      <x:c r="E39" s="58" t="str">
        <x:v>ON</x:v>
      </x:c>
      <x:c r="F39" s="82" t="n">
        <x:v>3292.98</x:v>
      </x:c>
      <x:c r="G39" s="86" t="n">
        <x:v>0.13</x:v>
      </x:c>
      <x:c r="H39" s="82" t="n">
        <x:v>428.09</x:v>
      </x:c>
      <x:c r="I39" s="82" t="n">
        <x:f>F39*G39</x:f>
        <x:v>428.0874</x:v>
      </x:c>
      <x:c r="J39" s="82" t="n">
        <x:f>H39-I39</x:f>
        <x:v>0.002599999999972624</x:v>
      </x:c>
      <x:c r="K39" s="58" t="str">
        <x:f>IF(ABS(J39)&gt;1,"Review","OK")</x:f>
        <x:v>OK</x:v>
      </x:c>
      <x:c r="L39" s="59" t="str">
        <x:v>N/A</x:v>
      </x:c>
    </x:row>
    <x:row r="40">
      <x:c r="A40" s="57" t="str">
        <x:v>TAX-0039</x:v>
      </x:c>
      <x:c r="B40" s="58" t="str">
        <x:v>Sales</x:v>
      </x:c>
      <x:c r="C40" s="78" t="n">
        <x:v>46178</x:v>
      </x:c>
      <x:c r="D40" s="58" t="str">
        <x:v>Party 81</x:v>
      </x:c>
      <x:c r="E40" s="58" t="str">
        <x:v>BC</x:v>
      </x:c>
      <x:c r="F40" s="82" t="n">
        <x:v>2227.86</x:v>
      </x:c>
      <x:c r="G40" s="86" t="n">
        <x:v>0.12</x:v>
      </x:c>
      <x:c r="H40" s="82" t="n">
        <x:v>267.34</x:v>
      </x:c>
      <x:c r="I40" s="82" t="n">
        <x:f>F40*G40</x:f>
        <x:v>267.3432</x:v>
      </x:c>
      <x:c r="J40" s="82" t="n">
        <x:f>H40-I40</x:f>
        <x:v>-0.0032000000000493856</x:v>
      </x:c>
      <x:c r="K40" s="58" t="str">
        <x:f>IF(ABS(J40)&gt;1,"Review","OK")</x:f>
        <x:v>OK</x:v>
      </x:c>
      <x:c r="L40" s="59" t="str">
        <x:v>N/A</x:v>
      </x:c>
    </x:row>
    <x:row r="41">
      <x:c r="A41" s="57" t="str">
        <x:v>TAX-0040</x:v>
      </x:c>
      <x:c r="B41" s="58" t="str">
        <x:v>Sales</x:v>
      </x:c>
      <x:c r="C41" s="78" t="n">
        <x:v>46133</x:v>
      </x:c>
      <x:c r="D41" s="58" t="str">
        <x:v>Party 29</x:v>
      </x:c>
      <x:c r="E41" s="58" t="str">
        <x:v>QC</x:v>
      </x:c>
      <x:c r="F41" s="82" t="n">
        <x:v>3359.19</x:v>
      </x:c>
      <x:c r="G41" s="86" t="n">
        <x:v>0.14975</x:v>
      </x:c>
      <x:c r="H41" s="82" t="n">
        <x:v>503.04</x:v>
      </x:c>
      <x:c r="I41" s="82" t="n">
        <x:f>F41*G41</x:f>
        <x:v>503.0387025</x:v>
      </x:c>
      <x:c r="J41" s="82" t="n">
        <x:f>H41-I41</x:f>
        <x:v>0.0012975000000210457</x:v>
      </x:c>
      <x:c r="K41" s="58" t="str">
        <x:f>IF(ABS(J41)&gt;1,"Review","OK")</x:f>
        <x:v>OK</x:v>
      </x:c>
      <x:c r="L41" s="59" t="str">
        <x:v>N/A</x:v>
      </x:c>
    </x:row>
    <x:row r="42">
      <x:c r="A42" s="57" t="str">
        <x:v>TAX-0041</x:v>
      </x:c>
      <x:c r="B42" s="58" t="str">
        <x:v>Purchase</x:v>
      </x:c>
      <x:c r="C42" s="78" t="n">
        <x:v>46140</x:v>
      </x:c>
      <x:c r="D42" s="58" t="str">
        <x:v>Party 90</x:v>
      </x:c>
      <x:c r="E42" s="58" t="str">
        <x:v>BC</x:v>
      </x:c>
      <x:c r="F42" s="82" t="n">
        <x:v>18734.66</x:v>
      </x:c>
      <x:c r="G42" s="86" t="n">
        <x:v>0.12</x:v>
      </x:c>
      <x:c r="H42" s="82" t="n">
        <x:v>2248.16</x:v>
      </x:c>
      <x:c r="I42" s="82" t="n">
        <x:f>F42*G42</x:f>
        <x:v>2248.1592</x:v>
      </x:c>
      <x:c r="J42" s="82" t="n">
        <x:f>H42-I42</x:f>
        <x:v>0.0007999999997991836</x:v>
      </x:c>
      <x:c r="K42" s="58" t="str">
        <x:f>IF(ABS(J42)&gt;1,"Review","OK")</x:f>
        <x:v>OK</x:v>
      </x:c>
      <x:c r="L42" s="59" t="str">
        <x:v>Yes</x:v>
      </x:c>
    </x:row>
    <x:row r="43">
      <x:c r="A43" s="57" t="str">
        <x:v>TAX-0042</x:v>
      </x:c>
      <x:c r="B43" s="58" t="str">
        <x:v>Purchase</x:v>
      </x:c>
      <x:c r="C43" s="78" t="n">
        <x:v>46156</x:v>
      </x:c>
      <x:c r="D43" s="58" t="str">
        <x:v>Party 85</x:v>
      </x:c>
      <x:c r="E43" s="58" t="str">
        <x:v>BC</x:v>
      </x:c>
      <x:c r="F43" s="82" t="n">
        <x:v>22867.79</x:v>
      </x:c>
      <x:c r="G43" s="86" t="n">
        <x:v>0.12</x:v>
      </x:c>
      <x:c r="H43" s="82" t="n">
        <x:v>2744.13</x:v>
      </x:c>
      <x:c r="I43" s="82" t="n">
        <x:f>F43*G43</x:f>
        <x:v>2744.1348</x:v>
      </x:c>
      <x:c r="J43" s="82" t="n">
        <x:f>H43-I43</x:f>
        <x:v>-0.004799999999704596</x:v>
      </x:c>
      <x:c r="K43" s="58" t="str">
        <x:f>IF(ABS(J43)&gt;1,"Review","OK")</x:f>
        <x:v>OK</x:v>
      </x:c>
      <x:c r="L43" s="59" t="str">
        <x:v>Yes</x:v>
      </x:c>
    </x:row>
    <x:row r="44">
      <x:c r="A44" s="57" t="str">
        <x:v>TAX-0043</x:v>
      </x:c>
      <x:c r="B44" s="58" t="str">
        <x:v>Sales</x:v>
      </x:c>
      <x:c r="C44" s="78" t="n">
        <x:v>46125</x:v>
      </x:c>
      <x:c r="D44" s="58" t="str">
        <x:v>Party 18</x:v>
      </x:c>
      <x:c r="E44" s="58" t="str">
        <x:v>ON</x:v>
      </x:c>
      <x:c r="F44" s="82" t="n">
        <x:v>19044.85</x:v>
      </x:c>
      <x:c r="G44" s="86" t="n">
        <x:v>0.13</x:v>
      </x:c>
      <x:c r="H44" s="82" t="n">
        <x:v>2475.83</x:v>
      </x:c>
      <x:c r="I44" s="82" t="n">
        <x:f>F44*G44</x:f>
        <x:v>2475.8305</x:v>
      </x:c>
      <x:c r="J44" s="82" t="n">
        <x:f>H44-I44</x:f>
        <x:v>-0.0005000000001018634</x:v>
      </x:c>
      <x:c r="K44" s="58" t="str">
        <x:f>IF(ABS(J44)&gt;1,"Review","OK")</x:f>
        <x:v>OK</x:v>
      </x:c>
      <x:c r="L44" s="59" t="str">
        <x:v>N/A</x:v>
      </x:c>
    </x:row>
    <x:row r="45">
      <x:c r="A45" s="57" t="str">
        <x:v>TAX-0044</x:v>
      </x:c>
      <x:c r="B45" s="58" t="str">
        <x:v>Sales</x:v>
      </x:c>
      <x:c r="C45" s="78" t="n">
        <x:v>46115</x:v>
      </x:c>
      <x:c r="D45" s="58" t="str">
        <x:v>Party 78</x:v>
      </x:c>
      <x:c r="E45" s="58" t="str">
        <x:v>BC</x:v>
      </x:c>
      <x:c r="F45" s="82" t="n">
        <x:v>17770.26</x:v>
      </x:c>
      <x:c r="G45" s="86" t="n">
        <x:v>0.12</x:v>
      </x:c>
      <x:c r="H45" s="82" t="n">
        <x:v>2132.43</x:v>
      </x:c>
      <x:c r="I45" s="82" t="n">
        <x:f>F45*G45</x:f>
        <x:v>2132.4311999999995</x:v>
      </x:c>
      <x:c r="J45" s="82" t="n">
        <x:f>H45-I45</x:f>
        <x:v>-0.0011999999996987754</x:v>
      </x:c>
      <x:c r="K45" s="58" t="str">
        <x:f>IF(ABS(J45)&gt;1,"Review","OK")</x:f>
        <x:v>OK</x:v>
      </x:c>
      <x:c r="L45" s="59" t="str">
        <x:v>N/A</x:v>
      </x:c>
    </x:row>
    <x:row r="46">
      <x:c r="A46" s="57" t="str">
        <x:v>TAX-0045</x:v>
      </x:c>
      <x:c r="B46" s="58" t="str">
        <x:v>Purchase</x:v>
      </x:c>
      <x:c r="C46" s="78" t="n">
        <x:v>46193</x:v>
      </x:c>
      <x:c r="D46" s="58" t="str">
        <x:v>Party 37</x:v>
      </x:c>
      <x:c r="E46" s="58" t="str">
        <x:v>QC</x:v>
      </x:c>
      <x:c r="F46" s="82" t="n">
        <x:v>24209.46</x:v>
      </x:c>
      <x:c r="G46" s="86" t="n">
        <x:v>0.14975</x:v>
      </x:c>
      <x:c r="H46" s="82" t="n">
        <x:v>3625.37</x:v>
      </x:c>
      <x:c r="I46" s="82" t="n">
        <x:f>F46*G46</x:f>
        <x:v>3625.366635</x:v>
      </x:c>
      <x:c r="J46" s="82" t="n">
        <x:f>H46-I46</x:f>
        <x:v>0.0033650000000307045</x:v>
      </x:c>
      <x:c r="K46" s="58" t="str">
        <x:f>IF(ABS(J46)&gt;1,"Review","OK")</x:f>
        <x:v>OK</x:v>
      </x:c>
      <x:c r="L46" s="59" t="str">
        <x:v>No</x:v>
      </x:c>
    </x:row>
    <x:row r="47">
      <x:c r="A47" s="57" t="str">
        <x:v>TAX-0046</x:v>
      </x:c>
      <x:c r="B47" s="58" t="str">
        <x:v>Sales</x:v>
      </x:c>
      <x:c r="C47" s="78" t="n">
        <x:v>46125</x:v>
      </x:c>
      <x:c r="D47" s="58" t="str">
        <x:v>Party 51</x:v>
      </x:c>
      <x:c r="E47" s="58" t="str">
        <x:v>AB</x:v>
      </x:c>
      <x:c r="F47" s="82" t="n">
        <x:v>21997.01</x:v>
      </x:c>
      <x:c r="G47" s="86" t="n">
        <x:v>0.05</x:v>
      </x:c>
      <x:c r="H47" s="82" t="n">
        <x:v>1099.85</x:v>
      </x:c>
      <x:c r="I47" s="82" t="n">
        <x:f>F47*G47</x:f>
        <x:v>1099.8505</x:v>
      </x:c>
      <x:c r="J47" s="82" t="n">
        <x:f>H47-I47</x:f>
        <x:v>-0.0005000000001018634</x:v>
      </x:c>
      <x:c r="K47" s="58" t="str">
        <x:f>IF(ABS(J47)&gt;1,"Review","OK")</x:f>
        <x:v>OK</x:v>
      </x:c>
      <x:c r="L47" s="59" t="str">
        <x:v>N/A</x:v>
      </x:c>
    </x:row>
    <x:row r="48">
      <x:c r="A48" s="57" t="str">
        <x:v>TAX-0047</x:v>
      </x:c>
      <x:c r="B48" s="58" t="str">
        <x:v>Sales</x:v>
      </x:c>
      <x:c r="C48" s="78" t="n">
        <x:v>46169</x:v>
      </x:c>
      <x:c r="D48" s="58" t="str">
        <x:v>Party 64</x:v>
      </x:c>
      <x:c r="E48" s="58" t="str">
        <x:v>AB</x:v>
      </x:c>
      <x:c r="F48" s="82" t="n">
        <x:v>4779.78</x:v>
      </x:c>
      <x:c r="G48" s="86" t="n">
        <x:v>0.05</x:v>
      </x:c>
      <x:c r="H48" s="82" t="n">
        <x:v>238.99</x:v>
      </x:c>
      <x:c r="I48" s="82" t="n">
        <x:f>F48*G48</x:f>
        <x:v>238.989</x:v>
      </x:c>
      <x:c r="J48" s="82" t="n">
        <x:f>H48-I48</x:f>
        <x:v>0.0010000000000047748</x:v>
      </x:c>
      <x:c r="K48" s="58" t="str">
        <x:f>IF(ABS(J48)&gt;1,"Review","OK")</x:f>
        <x:v>OK</x:v>
      </x:c>
      <x:c r="L48" s="59" t="str">
        <x:v>N/A</x:v>
      </x:c>
    </x:row>
    <x:row r="49">
      <x:c r="A49" s="57" t="str">
        <x:v>TAX-0048</x:v>
      </x:c>
      <x:c r="B49" s="58" t="str">
        <x:v>Purchase</x:v>
      </x:c>
      <x:c r="C49" s="78" t="n">
        <x:v>46125</x:v>
      </x:c>
      <x:c r="D49" s="58" t="str">
        <x:v>Party 71</x:v>
      </x:c>
      <x:c r="E49" s="58" t="str">
        <x:v>QC</x:v>
      </x:c>
      <x:c r="F49" s="82" t="n">
        <x:v>2842.29</x:v>
      </x:c>
      <x:c r="G49" s="86" t="n">
        <x:v>0.14975</x:v>
      </x:c>
      <x:c r="H49" s="82" t="n">
        <x:v>433.86</x:v>
      </x:c>
      <x:c r="I49" s="82" t="n">
        <x:f>F49*G49</x:f>
        <x:v>425.6329275</x:v>
      </x:c>
      <x:c r="J49" s="82" t="n">
        <x:f>H49-I49</x:f>
        <x:v>8.22707250000002</x:v>
      </x:c>
      <x:c r="K49" s="58" t="str">
        <x:f>IF(ABS(J49)&gt;1,"Review","OK")</x:f>
        <x:v>Review</x:v>
      </x:c>
      <x:c r="L49" s="59" t="str">
        <x:v>No</x:v>
      </x:c>
    </x:row>
    <x:row r="50">
      <x:c r="A50" s="57" t="str">
        <x:v>TAX-0049</x:v>
      </x:c>
      <x:c r="B50" s="58" t="str">
        <x:v>Sales</x:v>
      </x:c>
      <x:c r="C50" s="78" t="n">
        <x:v>46173</x:v>
      </x:c>
      <x:c r="D50" s="58" t="str">
        <x:v>Party 73</x:v>
      </x:c>
      <x:c r="E50" s="58" t="str">
        <x:v>ON</x:v>
      </x:c>
      <x:c r="F50" s="82" t="n">
        <x:v>8806.48</x:v>
      </x:c>
      <x:c r="G50" s="86" t="n">
        <x:v>0.13</x:v>
      </x:c>
      <x:c r="H50" s="82" t="n">
        <x:v>1144.84</x:v>
      </x:c>
      <x:c r="I50" s="82" t="n">
        <x:f>F50*G50</x:f>
        <x:v>1144.8424</x:v>
      </x:c>
      <x:c r="J50" s="82" t="n">
        <x:f>H50-I50</x:f>
        <x:v>-0.0024000000000796717</x:v>
      </x:c>
      <x:c r="K50" s="58" t="str">
        <x:f>IF(ABS(J50)&gt;1,"Review","OK")</x:f>
        <x:v>OK</x:v>
      </x:c>
      <x:c r="L50" s="59" t="str">
        <x:v>N/A</x:v>
      </x:c>
    </x:row>
    <x:row r="51">
      <x:c r="A51" s="57" t="str">
        <x:v>TAX-0050</x:v>
      </x:c>
      <x:c r="B51" s="58" t="str">
        <x:v>Sales</x:v>
      </x:c>
      <x:c r="C51" s="78" t="n">
        <x:v>46199</x:v>
      </x:c>
      <x:c r="D51" s="58" t="str">
        <x:v>Party 48</x:v>
      </x:c>
      <x:c r="E51" s="58" t="str">
        <x:v>ON</x:v>
      </x:c>
      <x:c r="F51" s="82" t="n">
        <x:v>791.02</x:v>
      </x:c>
      <x:c r="G51" s="86" t="n">
        <x:v>0.13</x:v>
      </x:c>
      <x:c r="H51" s="82" t="n">
        <x:v>102.83</x:v>
      </x:c>
      <x:c r="I51" s="82" t="n">
        <x:f>F51*G51</x:f>
        <x:v>102.8326</x:v>
      </x:c>
      <x:c r="J51" s="82" t="n">
        <x:f>H51-I51</x:f>
        <x:v>-0.002600000000001046</x:v>
      </x:c>
      <x:c r="K51" s="58" t="str">
        <x:f>IF(ABS(J51)&gt;1,"Review","OK")</x:f>
        <x:v>OK</x:v>
      </x:c>
      <x:c r="L51" s="59" t="str">
        <x:v>N/A</x:v>
      </x:c>
    </x:row>
    <x:row r="52">
      <x:c r="A52" s="57" t="str">
        <x:v>TAX-0051</x:v>
      </x:c>
      <x:c r="B52" s="58" t="str">
        <x:v>Purchase</x:v>
      </x:c>
      <x:c r="C52" s="78" t="n">
        <x:v>46191</x:v>
      </x:c>
      <x:c r="D52" s="58" t="str">
        <x:v>Party 82</x:v>
      </x:c>
      <x:c r="E52" s="58" t="str">
        <x:v>ON</x:v>
      </x:c>
      <x:c r="F52" s="82" t="n">
        <x:v>20243.6</x:v>
      </x:c>
      <x:c r="G52" s="86" t="n">
        <x:v>0.13</x:v>
      </x:c>
      <x:c r="H52" s="82" t="n">
        <x:v>2638.61</x:v>
      </x:c>
      <x:c r="I52" s="82" t="n">
        <x:f>F52*G52</x:f>
        <x:v>2631.668</x:v>
      </x:c>
      <x:c r="J52" s="82" t="n">
        <x:f>H52-I52</x:f>
        <x:v>6.942000000000007</x:v>
      </x:c>
      <x:c r="K52" s="58" t="str">
        <x:f>IF(ABS(J52)&gt;1,"Review","OK")</x:f>
        <x:v>Review</x:v>
      </x:c>
      <x:c r="L52" s="59" t="str">
        <x:v>No</x:v>
      </x:c>
    </x:row>
    <x:row r="53">
      <x:c r="A53" s="57" t="str">
        <x:v>TAX-0052</x:v>
      </x:c>
      <x:c r="B53" s="58" t="str">
        <x:v>Purchase</x:v>
      </x:c>
      <x:c r="C53" s="78" t="n">
        <x:v>46132</x:v>
      </x:c>
      <x:c r="D53" s="58" t="str">
        <x:v>Party 48</x:v>
      </x:c>
      <x:c r="E53" s="58" t="str">
        <x:v>BC</x:v>
      </x:c>
      <x:c r="F53" s="82" t="n">
        <x:v>22625.59</x:v>
      </x:c>
      <x:c r="G53" s="86" t="n">
        <x:v>0.12</x:v>
      </x:c>
      <x:c r="H53" s="82" t="n">
        <x:v>2715.07</x:v>
      </x:c>
      <x:c r="I53" s="82" t="n">
        <x:f>F53*G53</x:f>
        <x:v>2715.0708</x:v>
      </x:c>
      <x:c r="J53" s="82" t="n">
        <x:f>H53-I53</x:f>
        <x:v>-0.0007999999997991836</x:v>
      </x:c>
      <x:c r="K53" s="58" t="str">
        <x:f>IF(ABS(J53)&gt;1,"Review","OK")</x:f>
        <x:v>OK</x:v>
      </x:c>
      <x:c r="L53" s="59" t="str">
        <x:v>Yes</x:v>
      </x:c>
    </x:row>
    <x:row r="54">
      <x:c r="A54" s="57" t="str">
        <x:v>TAX-0053</x:v>
      </x:c>
      <x:c r="B54" s="58" t="str">
        <x:v>Sales</x:v>
      </x:c>
      <x:c r="C54" s="78" t="n">
        <x:v>46203</x:v>
      </x:c>
      <x:c r="D54" s="58" t="str">
        <x:v>Party 78</x:v>
      </x:c>
      <x:c r="E54" s="58" t="str">
        <x:v>AB</x:v>
      </x:c>
      <x:c r="F54" s="82" t="n">
        <x:v>21766.93</x:v>
      </x:c>
      <x:c r="G54" s="86" t="n">
        <x:v>0.05</x:v>
      </x:c>
      <x:c r="H54" s="82" t="n">
        <x:v>1088.35</x:v>
      </x:c>
      <x:c r="I54" s="82" t="n">
        <x:f>F54*G54</x:f>
        <x:v>1088.3465</x:v>
      </x:c>
      <x:c r="J54" s="82" t="n">
        <x:f>H54-I54</x:f>
        <x:v>0.003499999999803549</x:v>
      </x:c>
      <x:c r="K54" s="58" t="str">
        <x:f>IF(ABS(J54)&gt;1,"Review","OK")</x:f>
        <x:v>OK</x:v>
      </x:c>
      <x:c r="L54" s="59" t="str">
        <x:v>N/A</x:v>
      </x:c>
    </x:row>
    <x:row r="55">
      <x:c r="A55" s="57" t="str">
        <x:v>TAX-0054</x:v>
      </x:c>
      <x:c r="B55" s="58" t="str">
        <x:v>Purchase</x:v>
      </x:c>
      <x:c r="C55" s="78" t="n">
        <x:v>46119</x:v>
      </x:c>
      <x:c r="D55" s="58" t="str">
        <x:v>Party 72</x:v>
      </x:c>
      <x:c r="E55" s="58" t="str">
        <x:v>AB</x:v>
      </x:c>
      <x:c r="F55" s="82" t="n">
        <x:v>14641.76</x:v>
      </x:c>
      <x:c r="G55" s="86" t="n">
        <x:v>0.05</x:v>
      </x:c>
      <x:c r="H55" s="82" t="n">
        <x:v>732.09</x:v>
      </x:c>
      <x:c r="I55" s="82" t="n">
        <x:f>F55*G55</x:f>
        <x:v>732.0880000000001</x:v>
      </x:c>
      <x:c r="J55" s="82" t="n">
        <x:f>H55-I55</x:f>
        <x:v>0.0019999999999527063</x:v>
      </x:c>
      <x:c r="K55" s="58" t="str">
        <x:f>IF(ABS(J55)&gt;1,"Review","OK")</x:f>
        <x:v>OK</x:v>
      </x:c>
      <x:c r="L55" s="59" t="str">
        <x:v>Yes</x:v>
      </x:c>
    </x:row>
    <x:row r="56">
      <x:c r="A56" s="57" t="str">
        <x:v>TAX-0055</x:v>
      </x:c>
      <x:c r="B56" s="58" t="str">
        <x:v>Sales</x:v>
      </x:c>
      <x:c r="C56" s="78" t="n">
        <x:v>46127</x:v>
      </x:c>
      <x:c r="D56" s="58" t="str">
        <x:v>Party 87</x:v>
      </x:c>
      <x:c r="E56" s="58" t="str">
        <x:v>ON</x:v>
      </x:c>
      <x:c r="F56" s="82" t="n">
        <x:v>15613.03</x:v>
      </x:c>
      <x:c r="G56" s="86" t="n">
        <x:v>0.13</x:v>
      </x:c>
      <x:c r="H56" s="82" t="n">
        <x:v>2023.29</x:v>
      </x:c>
      <x:c r="I56" s="82" t="n">
        <x:f>F56*G56</x:f>
        <x:v>2029.6939000000002</x:v>
      </x:c>
      <x:c r="J56" s="82" t="n">
        <x:f>H56-I56</x:f>
        <x:v>-6.403900000000249</x:v>
      </x:c>
      <x:c r="K56" s="58" t="str">
        <x:f>IF(ABS(J56)&gt;1,"Review","OK")</x:f>
        <x:v>Review</x:v>
      </x:c>
      <x:c r="L56" s="59" t="str">
        <x:v>N/A</x:v>
      </x:c>
    </x:row>
    <x:row r="57">
      <x:c r="A57" s="57" t="str">
        <x:v>TAX-0056</x:v>
      </x:c>
      <x:c r="B57" s="58" t="str">
        <x:v>Sales</x:v>
      </x:c>
      <x:c r="C57" s="78" t="n">
        <x:v>46120</x:v>
      </x:c>
      <x:c r="D57" s="58" t="str">
        <x:v>Party 23</x:v>
      </x:c>
      <x:c r="E57" s="58" t="str">
        <x:v>BC</x:v>
      </x:c>
      <x:c r="F57" s="82" t="n">
        <x:v>21192.03</x:v>
      </x:c>
      <x:c r="G57" s="86" t="n">
        <x:v>0.12</x:v>
      </x:c>
      <x:c r="H57" s="82" t="n">
        <x:v>2543.04</x:v>
      </x:c>
      <x:c r="I57" s="82" t="n">
        <x:f>F57*G57</x:f>
        <x:v>2543.0436</x:v>
      </x:c>
      <x:c r="J57" s="82" t="n">
        <x:f>H57-I57</x:f>
        <x:v>-0.0036000000000058208</x:v>
      </x:c>
      <x:c r="K57" s="58" t="str">
        <x:f>IF(ABS(J57)&gt;1,"Review","OK")</x:f>
        <x:v>OK</x:v>
      </x:c>
      <x:c r="L57" s="59" t="str">
        <x:v>N/A</x:v>
      </x:c>
    </x:row>
    <x:row r="58">
      <x:c r="A58" s="57" t="str">
        <x:v>TAX-0057</x:v>
      </x:c>
      <x:c r="B58" s="58" t="str">
        <x:v>Sales</x:v>
      </x:c>
      <x:c r="C58" s="78" t="n">
        <x:v>46195</x:v>
      </x:c>
      <x:c r="D58" s="58" t="str">
        <x:v>Party 50</x:v>
      </x:c>
      <x:c r="E58" s="58" t="str">
        <x:v>QC</x:v>
      </x:c>
      <x:c r="F58" s="82" t="n">
        <x:v>20263.8</x:v>
      </x:c>
      <x:c r="G58" s="86" t="n">
        <x:v>0.14975</x:v>
      </x:c>
      <x:c r="H58" s="82" t="n">
        <x:v>3034.5</x:v>
      </x:c>
      <x:c r="I58" s="82" t="n">
        <x:f>F58*G58</x:f>
        <x:v>3034.5040499999996</x:v>
      </x:c>
      <x:c r="J58" s="82" t="n">
        <x:f>H58-I58</x:f>
        <x:v>-0.004049999999551801</x:v>
      </x:c>
      <x:c r="K58" s="58" t="str">
        <x:f>IF(ABS(J58)&gt;1,"Review","OK")</x:f>
        <x:v>OK</x:v>
      </x:c>
      <x:c r="L58" s="59" t="str">
        <x:v>N/A</x:v>
      </x:c>
    </x:row>
    <x:row r="59">
      <x:c r="A59" s="57" t="str">
        <x:v>TAX-0058</x:v>
      </x:c>
      <x:c r="B59" s="58" t="str">
        <x:v>Purchase</x:v>
      </x:c>
      <x:c r="C59" s="78" t="n">
        <x:v>46196</x:v>
      </x:c>
      <x:c r="D59" s="58" t="str">
        <x:v>Party 8</x:v>
      </x:c>
      <x:c r="E59" s="58" t="str">
        <x:v>BC</x:v>
      </x:c>
      <x:c r="F59" s="82" t="n">
        <x:v>5616.89</x:v>
      </x:c>
      <x:c r="G59" s="86" t="n">
        <x:v>0.12</x:v>
      </x:c>
      <x:c r="H59" s="82" t="n">
        <x:v>674.03</x:v>
      </x:c>
      <x:c r="I59" s="82" t="n">
        <x:f>F59*G59</x:f>
        <x:v>674.0268</x:v>
      </x:c>
      <x:c r="J59" s="82" t="n">
        <x:f>H59-I59</x:f>
        <x:v>0.003199999999992542</x:v>
      </x:c>
      <x:c r="K59" s="58" t="str">
        <x:f>IF(ABS(J59)&gt;1,"Review","OK")</x:f>
        <x:v>OK</x:v>
      </x:c>
      <x:c r="L59" s="59" t="str">
        <x:v>Yes</x:v>
      </x:c>
    </x:row>
    <x:row r="60">
      <x:c r="A60" s="57" t="str">
        <x:v>TAX-0059</x:v>
      </x:c>
      <x:c r="B60" s="58" t="str">
        <x:v>Purchase</x:v>
      </x:c>
      <x:c r="C60" s="78" t="n">
        <x:v>46171</x:v>
      </x:c>
      <x:c r="D60" s="58" t="str">
        <x:v>Party 89</x:v>
      </x:c>
      <x:c r="E60" s="58" t="str">
        <x:v>ON</x:v>
      </x:c>
      <x:c r="F60" s="82" t="n">
        <x:v>8579.11</x:v>
      </x:c>
      <x:c r="G60" s="86" t="n">
        <x:v>0.13</x:v>
      </x:c>
      <x:c r="H60" s="82" t="n">
        <x:v>1115.28</x:v>
      </x:c>
      <x:c r="I60" s="82" t="n">
        <x:f>F60*G60</x:f>
        <x:v>1115.2843</x:v>
      </x:c>
      <x:c r="J60" s="82" t="n">
        <x:f>H60-I60</x:f>
        <x:v>-0.00430000000005748</x:v>
      </x:c>
      <x:c r="K60" s="58" t="str">
        <x:f>IF(ABS(J60)&gt;1,"Review","OK")</x:f>
        <x:v>OK</x:v>
      </x:c>
      <x:c r="L60" s="59" t="str">
        <x:v>No</x:v>
      </x:c>
    </x:row>
    <x:row r="61">
      <x:c r="A61" s="57" t="str">
        <x:v>TAX-0060</x:v>
      </x:c>
      <x:c r="B61" s="58" t="str">
        <x:v>Purchase</x:v>
      </x:c>
      <x:c r="C61" s="78" t="n">
        <x:v>46193</x:v>
      </x:c>
      <x:c r="D61" s="58" t="str">
        <x:v>Party 86</x:v>
      </x:c>
      <x:c r="E61" s="58" t="str">
        <x:v>AB</x:v>
      </x:c>
      <x:c r="F61" s="82" t="n">
        <x:v>11889.2</x:v>
      </x:c>
      <x:c r="G61" s="86" t="n">
        <x:v>0.05</x:v>
      </x:c>
      <x:c r="H61" s="82" t="n">
        <x:v>594.46</x:v>
      </x:c>
      <x:c r="I61" s="82" t="n">
        <x:f>F61*G61</x:f>
        <x:v>594.46</x:v>
      </x:c>
      <x:c r="J61" s="82" t="n">
        <x:f>H61-I61</x:f>
        <x:v>0</x:v>
      </x:c>
      <x:c r="K61" s="58" t="str">
        <x:f>IF(ABS(J61)&gt;1,"Review","OK")</x:f>
        <x:v>OK</x:v>
      </x:c>
      <x:c r="L61" s="59" t="str">
        <x:v>Yes</x:v>
      </x:c>
    </x:row>
    <x:row r="62">
      <x:c r="A62" s="57" t="str">
        <x:v>TAX-0061</x:v>
      </x:c>
      <x:c r="B62" s="58" t="str">
        <x:v>Purchase</x:v>
      </x:c>
      <x:c r="C62" s="78" t="n">
        <x:v>46165</x:v>
      </x:c>
      <x:c r="D62" s="58" t="str">
        <x:v>Party 26</x:v>
      </x:c>
      <x:c r="E62" s="58" t="str">
        <x:v>AB</x:v>
      </x:c>
      <x:c r="F62" s="82" t="n">
        <x:v>16789.89</x:v>
      </x:c>
      <x:c r="G62" s="86" t="n">
        <x:v>0.05</x:v>
      </x:c>
      <x:c r="H62" s="82" t="n">
        <x:v>839.49</x:v>
      </x:c>
      <x:c r="I62" s="82" t="n">
        <x:f>F62*G62</x:f>
        <x:v>839.4945</x:v>
      </x:c>
      <x:c r="J62" s="82" t="n">
        <x:f>H62-I62</x:f>
        <x:v>-0.004500000000007276</x:v>
      </x:c>
      <x:c r="K62" s="58" t="str">
        <x:f>IF(ABS(J62)&gt;1,"Review","OK")</x:f>
        <x:v>OK</x:v>
      </x:c>
      <x:c r="L62" s="59" t="str">
        <x:v>No</x:v>
      </x:c>
    </x:row>
    <x:row r="63">
      <x:c r="A63" s="57" t="str">
        <x:v>TAX-0062</x:v>
      </x:c>
      <x:c r="B63" s="58" t="str">
        <x:v>Sales</x:v>
      </x:c>
      <x:c r="C63" s="78" t="n">
        <x:v>46184</x:v>
      </x:c>
      <x:c r="D63" s="58" t="str">
        <x:v>Party 77</x:v>
      </x:c>
      <x:c r="E63" s="58" t="str">
        <x:v>AB</x:v>
      </x:c>
      <x:c r="F63" s="82" t="n">
        <x:v>10360.75</x:v>
      </x:c>
      <x:c r="G63" s="86" t="n">
        <x:v>0.05</x:v>
      </x:c>
      <x:c r="H63" s="82" t="n">
        <x:v>518.04</x:v>
      </x:c>
      <x:c r="I63" s="82" t="n">
        <x:f>F63*G63</x:f>
        <x:v>518.0375</x:v>
      </x:c>
      <x:c r="J63" s="82" t="n">
        <x:f>H63-I63</x:f>
        <x:v>0.002499999999940883</x:v>
      </x:c>
      <x:c r="K63" s="58" t="str">
        <x:f>IF(ABS(J63)&gt;1,"Review","OK")</x:f>
        <x:v>OK</x:v>
      </x:c>
      <x:c r="L63" s="59" t="str">
        <x:v>N/A</x:v>
      </x:c>
    </x:row>
    <x:row r="64">
      <x:c r="A64" s="57" t="str">
        <x:v>TAX-0063</x:v>
      </x:c>
      <x:c r="B64" s="58" t="str">
        <x:v>Purchase</x:v>
      </x:c>
      <x:c r="C64" s="78" t="n">
        <x:v>46196</x:v>
      </x:c>
      <x:c r="D64" s="58" t="str">
        <x:v>Party 71</x:v>
      </x:c>
      <x:c r="E64" s="58" t="str">
        <x:v>BC</x:v>
      </x:c>
      <x:c r="F64" s="82" t="n">
        <x:v>17971.26</x:v>
      </x:c>
      <x:c r="G64" s="86" t="n">
        <x:v>0.12</x:v>
      </x:c>
      <x:c r="H64" s="82" t="n">
        <x:v>2156.55</x:v>
      </x:c>
      <x:c r="I64" s="82" t="n">
        <x:f>F64*G64</x:f>
        <x:v>2156.5512</x:v>
      </x:c>
      <x:c r="J64" s="82" t="n">
        <x:f>H64-I64</x:f>
        <x:v>-0.0011999999996987754</x:v>
      </x:c>
      <x:c r="K64" s="58" t="str">
        <x:f>IF(ABS(J64)&gt;1,"Review","OK")</x:f>
        <x:v>OK</x:v>
      </x:c>
      <x:c r="L64" s="59" t="str">
        <x:v>No</x:v>
      </x:c>
    </x:row>
    <x:row r="65">
      <x:c r="A65" s="57" t="str">
        <x:v>TAX-0064</x:v>
      </x:c>
      <x:c r="B65" s="58" t="str">
        <x:v>Purchase</x:v>
      </x:c>
      <x:c r="C65" s="78" t="n">
        <x:v>46132</x:v>
      </x:c>
      <x:c r="D65" s="58" t="str">
        <x:v>Party 35</x:v>
      </x:c>
      <x:c r="E65" s="58" t="str">
        <x:v>BC</x:v>
      </x:c>
      <x:c r="F65" s="82" t="n">
        <x:v>13477.72</x:v>
      </x:c>
      <x:c r="G65" s="86" t="n">
        <x:v>0.12</x:v>
      </x:c>
      <x:c r="H65" s="82" t="n">
        <x:v>1617.33</x:v>
      </x:c>
      <x:c r="I65" s="82" t="n">
        <x:f>F65*G65</x:f>
        <x:v>1617.3264</x:v>
      </x:c>
      <x:c r="J65" s="82" t="n">
        <x:f>H65-I65</x:f>
        <x:v>0.0036000000000058208</x:v>
      </x:c>
      <x:c r="K65" s="58" t="str">
        <x:f>IF(ABS(J65)&gt;1,"Review","OK")</x:f>
        <x:v>OK</x:v>
      </x:c>
      <x:c r="L65" s="59" t="str">
        <x:v>Yes</x:v>
      </x:c>
    </x:row>
    <x:row r="66">
      <x:c r="A66" s="57" t="str">
        <x:v>TAX-0065</x:v>
      </x:c>
      <x:c r="B66" s="58" t="str">
        <x:v>Purchase</x:v>
      </x:c>
      <x:c r="C66" s="78" t="n">
        <x:v>46165</x:v>
      </x:c>
      <x:c r="D66" s="58" t="str">
        <x:v>Party 4</x:v>
      </x:c>
      <x:c r="E66" s="58" t="str">
        <x:v>BC</x:v>
      </x:c>
      <x:c r="F66" s="82" t="n">
        <x:v>16046.4</x:v>
      </x:c>
      <x:c r="G66" s="86" t="n">
        <x:v>0.12</x:v>
      </x:c>
      <x:c r="H66" s="82" t="n">
        <x:v>1925.57</x:v>
      </x:c>
      <x:c r="I66" s="82" t="n">
        <x:f>F66*G66</x:f>
        <x:v>1925.568</x:v>
      </x:c>
      <x:c r="J66" s="82" t="n">
        <x:f>H66-I66</x:f>
        <x:v>0.0019999999999527063</x:v>
      </x:c>
      <x:c r="K66" s="58" t="str">
        <x:f>IF(ABS(J66)&gt;1,"Review","OK")</x:f>
        <x:v>OK</x:v>
      </x:c>
      <x:c r="L66" s="59" t="str">
        <x:v>Yes</x:v>
      </x:c>
    </x:row>
    <x:row r="67">
      <x:c r="A67" s="57" t="str">
        <x:v>TAX-0066</x:v>
      </x:c>
      <x:c r="B67" s="58" t="str">
        <x:v>Sales</x:v>
      </x:c>
      <x:c r="C67" s="78" t="n">
        <x:v>46151</x:v>
      </x:c>
      <x:c r="D67" s="58" t="str">
        <x:v>Party 13</x:v>
      </x:c>
      <x:c r="E67" s="58" t="str">
        <x:v>AB</x:v>
      </x:c>
      <x:c r="F67" s="82" t="n">
        <x:v>10017.2</x:v>
      </x:c>
      <x:c r="G67" s="86" t="n">
        <x:v>0.05</x:v>
      </x:c>
      <x:c r="H67" s="82" t="n">
        <x:v>493.46</x:v>
      </x:c>
      <x:c r="I67" s="82" t="n">
        <x:f>F67*G67</x:f>
        <x:v>500.86000000000007</x:v>
      </x:c>
      <x:c r="J67" s="82" t="n">
        <x:f>H67-I67</x:f>
        <x:v>-7.400000000000091</x:v>
      </x:c>
      <x:c r="K67" s="58" t="str">
        <x:f>IF(ABS(J67)&gt;1,"Review","OK")</x:f>
        <x:v>Review</x:v>
      </x:c>
      <x:c r="L67" s="59" t="str">
        <x:v>N/A</x:v>
      </x:c>
    </x:row>
    <x:row r="68">
      <x:c r="A68" s="57" t="str">
        <x:v>TAX-0067</x:v>
      </x:c>
      <x:c r="B68" s="58" t="str">
        <x:v>Purchase</x:v>
      </x:c>
      <x:c r="C68" s="78" t="n">
        <x:v>46122</x:v>
      </x:c>
      <x:c r="D68" s="58" t="str">
        <x:v>Party 35</x:v>
      </x:c>
      <x:c r="E68" s="58" t="str">
        <x:v>QC</x:v>
      </x:c>
      <x:c r="F68" s="82" t="n">
        <x:v>13185.98</x:v>
      </x:c>
      <x:c r="G68" s="86" t="n">
        <x:v>0.14975</x:v>
      </x:c>
      <x:c r="H68" s="82" t="n">
        <x:v>1974.6</x:v>
      </x:c>
      <x:c r="I68" s="82" t="n">
        <x:f>F68*G68</x:f>
        <x:v>1974.6005049999999</x:v>
      </x:c>
      <x:c r="J68" s="82" t="n">
        <x:f>H68-I68</x:f>
        <x:v>-0.0005049999999755528</x:v>
      </x:c>
      <x:c r="K68" s="58" t="str">
        <x:f>IF(ABS(J68)&gt;1,"Review","OK")</x:f>
        <x:v>OK</x:v>
      </x:c>
      <x:c r="L68" s="59" t="str">
        <x:v>Yes</x:v>
      </x:c>
    </x:row>
    <x:row r="69">
      <x:c r="A69" s="57" t="str">
        <x:v>TAX-0068</x:v>
      </x:c>
      <x:c r="B69" s="58" t="str">
        <x:v>Sales</x:v>
      </x:c>
      <x:c r="C69" s="78" t="n">
        <x:v>46168</x:v>
      </x:c>
      <x:c r="D69" s="58" t="str">
        <x:v>Party 44</x:v>
      </x:c>
      <x:c r="E69" s="58" t="str">
        <x:v>BC</x:v>
      </x:c>
      <x:c r="F69" s="82" t="n">
        <x:v>5274.35</x:v>
      </x:c>
      <x:c r="G69" s="86" t="n">
        <x:v>0.12</x:v>
      </x:c>
      <x:c r="H69" s="82" t="n">
        <x:v>632.92</x:v>
      </x:c>
      <x:c r="I69" s="82" t="n">
        <x:f>F69*G69</x:f>
        <x:v>632.922</x:v>
      </x:c>
      <x:c r="J69" s="82" t="n">
        <x:f>H69-I69</x:f>
        <x:v>-0.002000000000066393</x:v>
      </x:c>
      <x:c r="K69" s="58" t="str">
        <x:f>IF(ABS(J69)&gt;1,"Review","OK")</x:f>
        <x:v>OK</x:v>
      </x:c>
      <x:c r="L69" s="59" t="str">
        <x:v>N/A</x:v>
      </x:c>
    </x:row>
    <x:row r="70">
      <x:c r="A70" s="57" t="str">
        <x:v>TAX-0069</x:v>
      </x:c>
      <x:c r="B70" s="58" t="str">
        <x:v>Purchase</x:v>
      </x:c>
      <x:c r="C70" s="78" t="n">
        <x:v>46141</x:v>
      </x:c>
      <x:c r="D70" s="58" t="str">
        <x:v>Party 25</x:v>
      </x:c>
      <x:c r="E70" s="58" t="str">
        <x:v>QC</x:v>
      </x:c>
      <x:c r="F70" s="82" t="n">
        <x:v>19558.23</x:v>
      </x:c>
      <x:c r="G70" s="86" t="n">
        <x:v>0.14975</x:v>
      </x:c>
      <x:c r="H70" s="82" t="n">
        <x:v>2920.6</x:v>
      </x:c>
      <x:c r="I70" s="82" t="n">
        <x:f>F70*G70</x:f>
        <x:v>2928.8449425</x:v>
      </x:c>
      <x:c r="J70" s="82" t="n">
        <x:f>H70-I70</x:f>
        <x:v>-8.24494249999998</x:v>
      </x:c>
      <x:c r="K70" s="58" t="str">
        <x:f>IF(ABS(J70)&gt;1,"Review","OK")</x:f>
        <x:v>Review</x:v>
      </x:c>
      <x:c r="L70" s="59" t="str">
        <x:v>Yes</x:v>
      </x:c>
    </x:row>
    <x:row r="71">
      <x:c r="A71" s="57" t="str">
        <x:v>TAX-0070</x:v>
      </x:c>
      <x:c r="B71" s="58" t="str">
        <x:v>Purchase</x:v>
      </x:c>
      <x:c r="C71" s="78" t="n">
        <x:v>46119</x:v>
      </x:c>
      <x:c r="D71" s="58" t="str">
        <x:v>Party 4</x:v>
      </x:c>
      <x:c r="E71" s="58" t="str">
        <x:v>ON</x:v>
      </x:c>
      <x:c r="F71" s="82" t="n">
        <x:v>8796.29</x:v>
      </x:c>
      <x:c r="G71" s="86" t="n">
        <x:v>0.13</x:v>
      </x:c>
      <x:c r="H71" s="82" t="n">
        <x:v>1143.52</x:v>
      </x:c>
      <x:c r="I71" s="82" t="n">
        <x:f>F71*G71</x:f>
        <x:v>1143.5177</x:v>
      </x:c>
      <x:c r="J71" s="82" t="n">
        <x:f>H71-I71</x:f>
        <x:v>0.0022999999998774</x:v>
      </x:c>
      <x:c r="K71" s="58" t="str">
        <x:f>IF(ABS(J71)&gt;1,"Review","OK")</x:f>
        <x:v>OK</x:v>
      </x:c>
      <x:c r="L71" s="59" t="str">
        <x:v>No</x:v>
      </x:c>
    </x:row>
    <x:row r="72">
      <x:c r="A72" s="57" t="str">
        <x:v>TAX-0071</x:v>
      </x:c>
      <x:c r="B72" s="58" t="str">
        <x:v>Purchase</x:v>
      </x:c>
      <x:c r="C72" s="78" t="n">
        <x:v>46130</x:v>
      </x:c>
      <x:c r="D72" s="58" t="str">
        <x:v>Party 89</x:v>
      </x:c>
      <x:c r="E72" s="58" t="str">
        <x:v>BC</x:v>
      </x:c>
      <x:c r="F72" s="82" t="n">
        <x:v>22281.2</x:v>
      </x:c>
      <x:c r="G72" s="86" t="n">
        <x:v>0.12</x:v>
      </x:c>
      <x:c r="H72" s="82" t="n">
        <x:v>2673.74</x:v>
      </x:c>
      <x:c r="I72" s="82" t="n">
        <x:f>F72*G72</x:f>
        <x:v>2673.744</x:v>
      </x:c>
      <x:c r="J72" s="82" t="n">
        <x:f>H72-I72</x:f>
        <x:v>-0.00400000000036016</x:v>
      </x:c>
      <x:c r="K72" s="58" t="str">
        <x:f>IF(ABS(J72)&gt;1,"Review","OK")</x:f>
        <x:v>OK</x:v>
      </x:c>
      <x:c r="L72" s="59" t="str">
        <x:v>Yes</x:v>
      </x:c>
    </x:row>
    <x:row r="73">
      <x:c r="A73" s="57" t="str">
        <x:v>TAX-0072</x:v>
      </x:c>
      <x:c r="B73" s="58" t="str">
        <x:v>Purchase</x:v>
      </x:c>
      <x:c r="C73" s="78" t="n">
        <x:v>46153</x:v>
      </x:c>
      <x:c r="D73" s="58" t="str">
        <x:v>Party 20</x:v>
      </x:c>
      <x:c r="E73" s="58" t="str">
        <x:v>AB</x:v>
      </x:c>
      <x:c r="F73" s="82" t="n">
        <x:v>20078.07</x:v>
      </x:c>
      <x:c r="G73" s="86" t="n">
        <x:v>0.05</x:v>
      </x:c>
      <x:c r="H73" s="82" t="n">
        <x:v>1003.9</x:v>
      </x:c>
      <x:c r="I73" s="82" t="n">
        <x:f>F73*G73</x:f>
        <x:v>1003.9035</x:v>
      </x:c>
      <x:c r="J73" s="82" t="n">
        <x:f>H73-I73</x:f>
        <x:v>-0.003500000000030923</x:v>
      </x:c>
      <x:c r="K73" s="58" t="str">
        <x:f>IF(ABS(J73)&gt;1,"Review","OK")</x:f>
        <x:v>OK</x:v>
      </x:c>
      <x:c r="L73" s="59" t="str">
        <x:v>No</x:v>
      </x:c>
    </x:row>
    <x:row r="74">
      <x:c r="A74" s="57" t="str">
        <x:v>TAX-0073</x:v>
      </x:c>
      <x:c r="B74" s="58" t="str">
        <x:v>Sales</x:v>
      </x:c>
      <x:c r="C74" s="78" t="n">
        <x:v>46132</x:v>
      </x:c>
      <x:c r="D74" s="58" t="str">
        <x:v>Party 30</x:v>
      </x:c>
      <x:c r="E74" s="58" t="str">
        <x:v>ON</x:v>
      </x:c>
      <x:c r="F74" s="82" t="n">
        <x:v>14883.24</x:v>
      </x:c>
      <x:c r="G74" s="86" t="n">
        <x:v>0.13</x:v>
      </x:c>
      <x:c r="H74" s="82" t="n">
        <x:v>1934.82</x:v>
      </x:c>
      <x:c r="I74" s="82" t="n">
        <x:f>F74*G74</x:f>
        <x:v>1934.8212</x:v>
      </x:c>
      <x:c r="J74" s="82" t="n">
        <x:f>H74-I74</x:f>
        <x:v>-0.0012000000001535227</x:v>
      </x:c>
      <x:c r="K74" s="58" t="str">
        <x:f>IF(ABS(J74)&gt;1,"Review","OK")</x:f>
        <x:v>OK</x:v>
      </x:c>
      <x:c r="L74" s="59" t="str">
        <x:v>N/A</x:v>
      </x:c>
    </x:row>
    <x:row r="75">
      <x:c r="A75" s="57" t="str">
        <x:v>TAX-0074</x:v>
      </x:c>
      <x:c r="B75" s="58" t="str">
        <x:v>Purchase</x:v>
      </x:c>
      <x:c r="C75" s="78" t="n">
        <x:v>46138</x:v>
      </x:c>
      <x:c r="D75" s="58" t="str">
        <x:v>Party 8</x:v>
      </x:c>
      <x:c r="E75" s="58" t="str">
        <x:v>ON</x:v>
      </x:c>
      <x:c r="F75" s="82" t="n">
        <x:v>17993.37</x:v>
      </x:c>
      <x:c r="G75" s="86" t="n">
        <x:v>0.13</x:v>
      </x:c>
      <x:c r="H75" s="82" t="n">
        <x:v>2337.22</x:v>
      </x:c>
      <x:c r="I75" s="82" t="n">
        <x:f>F75*G75</x:f>
        <x:v>2339.1381</x:v>
      </x:c>
      <x:c r="J75" s="82" t="n">
        <x:f>H75-I75</x:f>
        <x:v>-1.9181000000003223</x:v>
      </x:c>
      <x:c r="K75" s="58" t="str">
        <x:f>IF(ABS(J75)&gt;1,"Review","OK")</x:f>
        <x:v>Review</x:v>
      </x:c>
      <x:c r="L75" s="59" t="str">
        <x:v>Yes</x:v>
      </x:c>
    </x:row>
    <x:row r="76">
      <x:c r="A76" s="57" t="str">
        <x:v>TAX-0075</x:v>
      </x:c>
      <x:c r="B76" s="58" t="str">
        <x:v>Sales</x:v>
      </x:c>
      <x:c r="C76" s="78" t="n">
        <x:v>46187</x:v>
      </x:c>
      <x:c r="D76" s="58" t="str">
        <x:v>Party 54</x:v>
      </x:c>
      <x:c r="E76" s="58" t="str">
        <x:v>AB</x:v>
      </x:c>
      <x:c r="F76" s="82" t="n">
        <x:v>18032.75</x:v>
      </x:c>
      <x:c r="G76" s="86" t="n">
        <x:v>0.05</x:v>
      </x:c>
      <x:c r="H76" s="82" t="n">
        <x:v>901.64</x:v>
      </x:c>
      <x:c r="I76" s="82" t="n">
        <x:f>F76*G76</x:f>
        <x:v>901.6375</x:v>
      </x:c>
      <x:c r="J76" s="82" t="n">
        <x:f>H76-I76</x:f>
        <x:v>0.002499999999940883</x:v>
      </x:c>
      <x:c r="K76" s="58" t="str">
        <x:f>IF(ABS(J76)&gt;1,"Review","OK")</x:f>
        <x:v>OK</x:v>
      </x:c>
      <x:c r="L76" s="59" t="str">
        <x:v>N/A</x:v>
      </x:c>
    </x:row>
    <x:row r="77">
      <x:c r="A77" s="57" t="str">
        <x:v>TAX-0076</x:v>
      </x:c>
      <x:c r="B77" s="58" t="str">
        <x:v>Purchase</x:v>
      </x:c>
      <x:c r="C77" s="78" t="n">
        <x:v>46165</x:v>
      </x:c>
      <x:c r="D77" s="58" t="str">
        <x:v>Party 1</x:v>
      </x:c>
      <x:c r="E77" s="58" t="str">
        <x:v>ON</x:v>
      </x:c>
      <x:c r="F77" s="82" t="n">
        <x:v>23101.16</x:v>
      </x:c>
      <x:c r="G77" s="86" t="n">
        <x:v>0.13</x:v>
      </x:c>
      <x:c r="H77" s="82" t="n">
        <x:v>3003.15</x:v>
      </x:c>
      <x:c r="I77" s="82" t="n">
        <x:f>F77*G77</x:f>
        <x:v>3003.1508</x:v>
      </x:c>
      <x:c r="J77" s="82" t="n">
        <x:f>H77-I77</x:f>
        <x:v>-0.0007999999997991836</x:v>
      </x:c>
      <x:c r="K77" s="58" t="str">
        <x:f>IF(ABS(J77)&gt;1,"Review","OK")</x:f>
        <x:v>OK</x:v>
      </x:c>
      <x:c r="L77" s="59" t="str">
        <x:v>No</x:v>
      </x:c>
    </x:row>
    <x:row r="78">
      <x:c r="A78" s="57" t="str">
        <x:v>TAX-0077</x:v>
      </x:c>
      <x:c r="B78" s="58" t="str">
        <x:v>Purchase</x:v>
      </x:c>
      <x:c r="C78" s="78" t="n">
        <x:v>46135</x:v>
      </x:c>
      <x:c r="D78" s="58" t="str">
        <x:v>Party 49</x:v>
      </x:c>
      <x:c r="E78" s="58" t="str">
        <x:v>BC</x:v>
      </x:c>
      <x:c r="F78" s="82" t="n">
        <x:v>2118.95</x:v>
      </x:c>
      <x:c r="G78" s="86" t="n">
        <x:v>0.12</x:v>
      </x:c>
      <x:c r="H78" s="82" t="n">
        <x:v>254.27</x:v>
      </x:c>
      <x:c r="I78" s="82" t="n">
        <x:f>F78*G78</x:f>
        <x:v>254.27399999999997</x:v>
      </x:c>
      <x:c r="J78" s="82" t="n">
        <x:f>H78-I78</x:f>
        <x:v>-0.003999999999962256</x:v>
      </x:c>
      <x:c r="K78" s="58" t="str">
        <x:f>IF(ABS(J78)&gt;1,"Review","OK")</x:f>
        <x:v>OK</x:v>
      </x:c>
      <x:c r="L78" s="59" t="str">
        <x:v>No</x:v>
      </x:c>
    </x:row>
    <x:row r="79">
      <x:c r="A79" s="57" t="str">
        <x:v>TAX-0078</x:v>
      </x:c>
      <x:c r="B79" s="58" t="str">
        <x:v>Purchase</x:v>
      </x:c>
      <x:c r="C79" s="78" t="n">
        <x:v>46134</x:v>
      </x:c>
      <x:c r="D79" s="58" t="str">
        <x:v>Party 14</x:v>
      </x:c>
      <x:c r="E79" s="58" t="str">
        <x:v>QC</x:v>
      </x:c>
      <x:c r="F79" s="82" t="n">
        <x:v>11511.15</x:v>
      </x:c>
      <x:c r="G79" s="86" t="n">
        <x:v>0.14975</x:v>
      </x:c>
      <x:c r="H79" s="82" t="n">
        <x:v>1733.51</x:v>
      </x:c>
      <x:c r="I79" s="82" t="n">
        <x:f>F79*G79</x:f>
        <x:v>1723.7947124999998</x:v>
      </x:c>
      <x:c r="J79" s="82" t="n">
        <x:f>H79-I79</x:f>
        <x:v>9.715287500000159</x:v>
      </x:c>
      <x:c r="K79" s="58" t="str">
        <x:f>IF(ABS(J79)&gt;1,"Review","OK")</x:f>
        <x:v>Review</x:v>
      </x:c>
      <x:c r="L79" s="59" t="str">
        <x:v>Yes</x:v>
      </x:c>
    </x:row>
    <x:row r="80">
      <x:c r="A80" s="57" t="str">
        <x:v>TAX-0079</x:v>
      </x:c>
      <x:c r="B80" s="58" t="str">
        <x:v>Sales</x:v>
      </x:c>
      <x:c r="C80" s="78" t="n">
        <x:v>46197</x:v>
      </x:c>
      <x:c r="D80" s="58" t="str">
        <x:v>Party 38</x:v>
      </x:c>
      <x:c r="E80" s="58" t="str">
        <x:v>ON</x:v>
      </x:c>
      <x:c r="F80" s="82" t="n">
        <x:v>7887.66</x:v>
      </x:c>
      <x:c r="G80" s="86" t="n">
        <x:v>0.13</x:v>
      </x:c>
      <x:c r="H80" s="82" t="n">
        <x:v>1025.4</x:v>
      </x:c>
      <x:c r="I80" s="82" t="n">
        <x:f>F80*G80</x:f>
        <x:v>1025.3958</x:v>
      </x:c>
      <x:c r="J80" s="82" t="n">
        <x:f>H80-I80</x:f>
        <x:v>0.004200000000082582</x:v>
      </x:c>
      <x:c r="K80" s="58" t="str">
        <x:f>IF(ABS(J80)&gt;1,"Review","OK")</x:f>
        <x:v>OK</x:v>
      </x:c>
      <x:c r="L80" s="59" t="str">
        <x:v>N/A</x:v>
      </x:c>
    </x:row>
    <x:row r="81">
      <x:c r="A81" s="57" t="str">
        <x:v>TAX-0080</x:v>
      </x:c>
      <x:c r="B81" s="58" t="str">
        <x:v>Purchase</x:v>
      </x:c>
      <x:c r="C81" s="78" t="n">
        <x:v>46198</x:v>
      </x:c>
      <x:c r="D81" s="58" t="str">
        <x:v>Party 20</x:v>
      </x:c>
      <x:c r="E81" s="58" t="str">
        <x:v>AB</x:v>
      </x:c>
      <x:c r="F81" s="82" t="n">
        <x:v>21658.28</x:v>
      </x:c>
      <x:c r="G81" s="86" t="n">
        <x:v>0.05</x:v>
      </x:c>
      <x:c r="H81" s="82" t="n">
        <x:v>1082.91</x:v>
      </x:c>
      <x:c r="I81" s="82" t="n">
        <x:f>F81*G81</x:f>
        <x:v>1082.914</x:v>
      </x:c>
      <x:c r="J81" s="82" t="n">
        <x:f>H81-I81</x:f>
        <x:v>-0.0039999999999054126</x:v>
      </x:c>
      <x:c r="K81" s="58" t="str">
        <x:f>IF(ABS(J81)&gt;1,"Review","OK")</x:f>
        <x:v>OK</x:v>
      </x:c>
      <x:c r="L81" s="59" t="str">
        <x:v>No</x:v>
      </x:c>
    </x:row>
    <x:row r="82">
      <x:c r="A82" s="57" t="str">
        <x:v>TAX-0081</x:v>
      </x:c>
      <x:c r="B82" s="58" t="str">
        <x:v>Purchase</x:v>
      </x:c>
      <x:c r="C82" s="78" t="n">
        <x:v>46201</x:v>
      </x:c>
      <x:c r="D82" s="58" t="str">
        <x:v>Party 48</x:v>
      </x:c>
      <x:c r="E82" s="58" t="str">
        <x:v>QC</x:v>
      </x:c>
      <x:c r="F82" s="82" t="n">
        <x:v>13601.86</x:v>
      </x:c>
      <x:c r="G82" s="86" t="n">
        <x:v>0.14975</x:v>
      </x:c>
      <x:c r="H82" s="82" t="n">
        <x:v>2029.18</x:v>
      </x:c>
      <x:c r="I82" s="82" t="n">
        <x:f>F82*G82</x:f>
        <x:v>2036.878535</x:v>
      </x:c>
      <x:c r="J82" s="82" t="n">
        <x:f>H82-I82</x:f>
        <x:v>-7.698534999999993</x:v>
      </x:c>
      <x:c r="K82" s="58" t="str">
        <x:f>IF(ABS(J82)&gt;1,"Review","OK")</x:f>
        <x:v>Review</x:v>
      </x:c>
      <x:c r="L82" s="59" t="str">
        <x:v>Yes</x:v>
      </x:c>
    </x:row>
    <x:row r="83">
      <x:c r="A83" s="57" t="str">
        <x:v>TAX-0082</x:v>
      </x:c>
      <x:c r="B83" s="58" t="str">
        <x:v>Sales</x:v>
      </x:c>
      <x:c r="C83" s="78" t="n">
        <x:v>46118</x:v>
      </x:c>
      <x:c r="D83" s="58" t="str">
        <x:v>Party 23</x:v>
      </x:c>
      <x:c r="E83" s="58" t="str">
        <x:v>ON</x:v>
      </x:c>
      <x:c r="F83" s="82" t="n">
        <x:v>10939.15</x:v>
      </x:c>
      <x:c r="G83" s="86" t="n">
        <x:v>0.13</x:v>
      </x:c>
      <x:c r="H83" s="82" t="n">
        <x:v>1422.09</x:v>
      </x:c>
      <x:c r="I83" s="82" t="n">
        <x:f>F83*G83</x:f>
        <x:v>1422.0895</x:v>
      </x:c>
      <x:c r="J83" s="82" t="n">
        <x:f>H83-I83</x:f>
        <x:v>0.0004999999998744897</x:v>
      </x:c>
      <x:c r="K83" s="58" t="str">
        <x:f>IF(ABS(J83)&gt;1,"Review","OK")</x:f>
        <x:v>OK</x:v>
      </x:c>
      <x:c r="L83" s="59" t="str">
        <x:v>N/A</x:v>
      </x:c>
    </x:row>
    <x:row r="84">
      <x:c r="A84" s="57" t="str">
        <x:v>TAX-0083</x:v>
      </x:c>
      <x:c r="B84" s="58" t="str">
        <x:v>Sales</x:v>
      </x:c>
      <x:c r="C84" s="78" t="n">
        <x:v>46121</x:v>
      </x:c>
      <x:c r="D84" s="58" t="str">
        <x:v>Party 69</x:v>
      </x:c>
      <x:c r="E84" s="58" t="str">
        <x:v>ON</x:v>
      </x:c>
      <x:c r="F84" s="82" t="n">
        <x:v>16814.93</x:v>
      </x:c>
      <x:c r="G84" s="86" t="n">
        <x:v>0.13</x:v>
      </x:c>
      <x:c r="H84" s="82" t="n">
        <x:v>2185.94</x:v>
      </x:c>
      <x:c r="I84" s="82" t="n">
        <x:f>F84*G84</x:f>
        <x:v>2185.9409</x:v>
      </x:c>
      <x:c r="J84" s="82" t="n">
        <x:f>H84-I84</x:f>
        <x:v>-0.0009000000000014552</x:v>
      </x:c>
      <x:c r="K84" s="58" t="str">
        <x:f>IF(ABS(J84)&gt;1,"Review","OK")</x:f>
        <x:v>OK</x:v>
      </x:c>
      <x:c r="L84" s="59" t="str">
        <x:v>N/A</x:v>
      </x:c>
    </x:row>
    <x:row r="85">
      <x:c r="A85" s="57" t="str">
        <x:v>TAX-0084</x:v>
      </x:c>
      <x:c r="B85" s="58" t="str">
        <x:v>Sales</x:v>
      </x:c>
      <x:c r="C85" s="78" t="n">
        <x:v>46124</x:v>
      </x:c>
      <x:c r="D85" s="58" t="str">
        <x:v>Party 6</x:v>
      </x:c>
      <x:c r="E85" s="58" t="str">
        <x:v>ON</x:v>
      </x:c>
      <x:c r="F85" s="82" t="n">
        <x:v>10914.68</x:v>
      </x:c>
      <x:c r="G85" s="86" t="n">
        <x:v>0.13</x:v>
      </x:c>
      <x:c r="H85" s="82" t="n">
        <x:v>1418.91</x:v>
      </x:c>
      <x:c r="I85" s="82" t="n">
        <x:f>F85*G85</x:f>
        <x:v>1418.9084</x:v>
      </x:c>
      <x:c r="J85" s="82" t="n">
        <x:f>H85-I85</x:f>
        <x:v>0.0016000000000531145</x:v>
      </x:c>
      <x:c r="K85" s="58" t="str">
        <x:f>IF(ABS(J85)&gt;1,"Review","OK")</x:f>
        <x:v>OK</x:v>
      </x:c>
      <x:c r="L85" s="59" t="str">
        <x:v>N/A</x:v>
      </x:c>
    </x:row>
    <x:row r="86">
      <x:c r="A86" s="57" t="str">
        <x:v>TAX-0085</x:v>
      </x:c>
      <x:c r="B86" s="58" t="str">
        <x:v>Sales</x:v>
      </x:c>
      <x:c r="C86" s="78" t="n">
        <x:v>46169</x:v>
      </x:c>
      <x:c r="D86" s="58" t="str">
        <x:v>Party 37</x:v>
      </x:c>
      <x:c r="E86" s="58" t="str">
        <x:v>ON</x:v>
      </x:c>
      <x:c r="F86" s="82" t="n">
        <x:v>12639.83</x:v>
      </x:c>
      <x:c r="G86" s="86" t="n">
        <x:v>0.13</x:v>
      </x:c>
      <x:c r="H86" s="82" t="n">
        <x:v>1643.18</x:v>
      </x:c>
      <x:c r="I86" s="82" t="n">
        <x:f>F86*G86</x:f>
        <x:v>1643.1779000000001</x:v>
      </x:c>
      <x:c r="J86" s="82" t="n">
        <x:f>H86-I86</x:f>
        <x:v>0.0020999999999276042</x:v>
      </x:c>
      <x:c r="K86" s="58" t="str">
        <x:f>IF(ABS(J86)&gt;1,"Review","OK")</x:f>
        <x:v>OK</x:v>
      </x:c>
      <x:c r="L86" s="59" t="str">
        <x:v>N/A</x:v>
      </x:c>
    </x:row>
    <x:row r="87">
      <x:c r="A87" s="57" t="str">
        <x:v>TAX-0086</x:v>
      </x:c>
      <x:c r="B87" s="58" t="str">
        <x:v>Purchase</x:v>
      </x:c>
      <x:c r="C87" s="78" t="n">
        <x:v>46167</x:v>
      </x:c>
      <x:c r="D87" s="58" t="str">
        <x:v>Party 80</x:v>
      </x:c>
      <x:c r="E87" s="58" t="str">
        <x:v>QC</x:v>
      </x:c>
      <x:c r="F87" s="82" t="n">
        <x:v>18748.94</x:v>
      </x:c>
      <x:c r="G87" s="86" t="n">
        <x:v>0.14975</x:v>
      </x:c>
      <x:c r="H87" s="82" t="n">
        <x:v>2807.65</x:v>
      </x:c>
      <x:c r="I87" s="82" t="n">
        <x:f>F87*G87</x:f>
        <x:v>2807.6537649999996</x:v>
      </x:c>
      <x:c r="J87" s="82" t="n">
        <x:f>H87-I87</x:f>
        <x:v>-0.003764999999475549</x:v>
      </x:c>
      <x:c r="K87" s="58" t="str">
        <x:f>IF(ABS(J87)&gt;1,"Review","OK")</x:f>
        <x:v>OK</x:v>
      </x:c>
      <x:c r="L87" s="59" t="str">
        <x:v>No</x:v>
      </x:c>
    </x:row>
    <x:row r="88">
      <x:c r="A88" s="57" t="str">
        <x:v>TAX-0087</x:v>
      </x:c>
      <x:c r="B88" s="58" t="str">
        <x:v>Sales</x:v>
      </x:c>
      <x:c r="C88" s="78" t="n">
        <x:v>46157</x:v>
      </x:c>
      <x:c r="D88" s="58" t="str">
        <x:v>Party 68</x:v>
      </x:c>
      <x:c r="E88" s="58" t="str">
        <x:v>AB</x:v>
      </x:c>
      <x:c r="F88" s="82" t="n">
        <x:v>16785.54</x:v>
      </x:c>
      <x:c r="G88" s="86" t="n">
        <x:v>0.05</x:v>
      </x:c>
      <x:c r="H88" s="82" t="n">
        <x:v>839.28</x:v>
      </x:c>
      <x:c r="I88" s="82" t="n">
        <x:f>F88*G88</x:f>
        <x:v>839.277</x:v>
      </x:c>
      <x:c r="J88" s="82" t="n">
        <x:f>H88-I88</x:f>
        <x:v>0.0029999999999290594</x:v>
      </x:c>
      <x:c r="K88" s="58" t="str">
        <x:f>IF(ABS(J88)&gt;1,"Review","OK")</x:f>
        <x:v>OK</x:v>
      </x:c>
      <x:c r="L88" s="59" t="str">
        <x:v>N/A</x:v>
      </x:c>
    </x:row>
    <x:row r="89">
      <x:c r="A89" s="57" t="str">
        <x:v>TAX-0088</x:v>
      </x:c>
      <x:c r="B89" s="58" t="str">
        <x:v>Sales</x:v>
      </x:c>
      <x:c r="C89" s="78" t="n">
        <x:v>46136</x:v>
      </x:c>
      <x:c r="D89" s="58" t="str">
        <x:v>Party 45</x:v>
      </x:c>
      <x:c r="E89" s="58" t="str">
        <x:v>AB</x:v>
      </x:c>
      <x:c r="F89" s="82" t="n">
        <x:v>18901.35</x:v>
      </x:c>
      <x:c r="G89" s="86" t="n">
        <x:v>0.05</x:v>
      </x:c>
      <x:c r="H89" s="82" t="n">
        <x:v>945.07</x:v>
      </x:c>
      <x:c r="I89" s="82" t="n">
        <x:f>F89*G89</x:f>
        <x:v>945.0675</x:v>
      </x:c>
      <x:c r="J89" s="82" t="n">
        <x:f>H89-I89</x:f>
        <x:v>0.0025000000000545697</x:v>
      </x:c>
      <x:c r="K89" s="58" t="str">
        <x:f>IF(ABS(J89)&gt;1,"Review","OK")</x:f>
        <x:v>OK</x:v>
      </x:c>
      <x:c r="L89" s="59" t="str">
        <x:v>N/A</x:v>
      </x:c>
    </x:row>
    <x:row r="90">
      <x:c r="A90" s="57" t="str">
        <x:v>TAX-0089</x:v>
      </x:c>
      <x:c r="B90" s="58" t="str">
        <x:v>Purchase</x:v>
      </x:c>
      <x:c r="C90" s="78" t="n">
        <x:v>46157</x:v>
      </x:c>
      <x:c r="D90" s="58" t="str">
        <x:v>Party 14</x:v>
      </x:c>
      <x:c r="E90" s="58" t="str">
        <x:v>QC</x:v>
      </x:c>
      <x:c r="F90" s="82" t="n">
        <x:v>24539.97</x:v>
      </x:c>
      <x:c r="G90" s="86" t="n">
        <x:v>0.14975</x:v>
      </x:c>
      <x:c r="H90" s="82" t="n">
        <x:v>3671.82</x:v>
      </x:c>
      <x:c r="I90" s="82" t="n">
        <x:f>F90*G90</x:f>
        <x:v>3674.8605075</x:v>
      </x:c>
      <x:c r="J90" s="82" t="n">
        <x:f>H90-I90</x:f>
        <x:v>-3.040507499999876</x:v>
      </x:c>
      <x:c r="K90" s="58" t="str">
        <x:f>IF(ABS(J90)&gt;1,"Review","OK")</x:f>
        <x:v>Review</x:v>
      </x:c>
      <x:c r="L90" s="59" t="str">
        <x:v>Yes</x:v>
      </x:c>
    </x:row>
    <x:row r="91">
      <x:c r="A91" s="57" t="str">
        <x:v>TAX-0090</x:v>
      </x:c>
      <x:c r="B91" s="58" t="str">
        <x:v>Sales</x:v>
      </x:c>
      <x:c r="C91" s="78" t="n">
        <x:v>46187</x:v>
      </x:c>
      <x:c r="D91" s="58" t="str">
        <x:v>Party 63</x:v>
      </x:c>
      <x:c r="E91" s="58" t="str">
        <x:v>BC</x:v>
      </x:c>
      <x:c r="F91" s="82" t="n">
        <x:v>24523.67</x:v>
      </x:c>
      <x:c r="G91" s="86" t="n">
        <x:v>0.12</x:v>
      </x:c>
      <x:c r="H91" s="82" t="n">
        <x:v>2942.84</x:v>
      </x:c>
      <x:c r="I91" s="82" t="n">
        <x:f>F91*G91</x:f>
        <x:v>2942.8403999999996</x:v>
      </x:c>
      <x:c r="J91" s="82" t="n">
        <x:f>H91-I91</x:f>
        <x:v>-0.00039999999944484443</x:v>
      </x:c>
      <x:c r="K91" s="58" t="str">
        <x:f>IF(ABS(J91)&gt;1,"Review","OK")</x:f>
        <x:v>OK</x:v>
      </x:c>
      <x:c r="L91" s="59" t="str">
        <x:v>N/A</x:v>
      </x:c>
    </x:row>
    <x:row r="92">
      <x:c r="A92" s="57" t="str">
        <x:v>TAX-0091</x:v>
      </x:c>
      <x:c r="B92" s="58" t="str">
        <x:v>Purchase</x:v>
      </x:c>
      <x:c r="C92" s="78" t="n">
        <x:v>46118</x:v>
      </x:c>
      <x:c r="D92" s="58" t="str">
        <x:v>Party 42</x:v>
      </x:c>
      <x:c r="E92" s="58" t="str">
        <x:v>ON</x:v>
      </x:c>
      <x:c r="F92" s="82" t="n">
        <x:v>12628.89</x:v>
      </x:c>
      <x:c r="G92" s="86" t="n">
        <x:v>0.13</x:v>
      </x:c>
      <x:c r="H92" s="82" t="n">
        <x:v>1641.76</x:v>
      </x:c>
      <x:c r="I92" s="82" t="n">
        <x:f>F92*G92</x:f>
        <x:v>1641.7557</x:v>
      </x:c>
      <x:c r="J92" s="82" t="n">
        <x:f>H92-I92</x:f>
        <x:v>0.00430000000005748</x:v>
      </x:c>
      <x:c r="K92" s="58" t="str">
        <x:f>IF(ABS(J92)&gt;1,"Review","OK")</x:f>
        <x:v>OK</x:v>
      </x:c>
      <x:c r="L92" s="59" t="str">
        <x:v>No</x:v>
      </x:c>
    </x:row>
    <x:row r="93">
      <x:c r="A93" s="57" t="str">
        <x:v>TAX-0092</x:v>
      </x:c>
      <x:c r="B93" s="58" t="str">
        <x:v>Sales</x:v>
      </x:c>
      <x:c r="C93" s="78" t="n">
        <x:v>46123</x:v>
      </x:c>
      <x:c r="D93" s="58" t="str">
        <x:v>Party 67</x:v>
      </x:c>
      <x:c r="E93" s="58" t="str">
        <x:v>BC</x:v>
      </x:c>
      <x:c r="F93" s="82" t="n">
        <x:v>24724.09</x:v>
      </x:c>
      <x:c r="G93" s="86" t="n">
        <x:v>0.12</x:v>
      </x:c>
      <x:c r="H93" s="82" t="n">
        <x:v>2966.89</x:v>
      </x:c>
      <x:c r="I93" s="82" t="n">
        <x:f>F93*G93</x:f>
        <x:v>2966.8908</x:v>
      </x:c>
      <x:c r="J93" s="82" t="n">
        <x:f>H93-I93</x:f>
        <x:v>-0.0008000000002539309</x:v>
      </x:c>
      <x:c r="K93" s="58" t="str">
        <x:f>IF(ABS(J93)&gt;1,"Review","OK")</x:f>
        <x:v>OK</x:v>
      </x:c>
      <x:c r="L93" s="59" t="str">
        <x:v>N/A</x:v>
      </x:c>
    </x:row>
    <x:row r="94">
      <x:c r="A94" s="57" t="str">
        <x:v>TAX-0093</x:v>
      </x:c>
      <x:c r="B94" s="58" t="str">
        <x:v>Sales</x:v>
      </x:c>
      <x:c r="C94" s="78" t="n">
        <x:v>46193</x:v>
      </x:c>
      <x:c r="D94" s="58" t="str">
        <x:v>Party 53</x:v>
      </x:c>
      <x:c r="E94" s="58" t="str">
        <x:v>QC</x:v>
      </x:c>
      <x:c r="F94" s="82" t="n">
        <x:v>20411.88</x:v>
      </x:c>
      <x:c r="G94" s="86" t="n">
        <x:v>0.14975</x:v>
      </x:c>
      <x:c r="H94" s="82" t="n">
        <x:v>3056.68</x:v>
      </x:c>
      <x:c r="I94" s="82" t="n">
        <x:f>F94*G94</x:f>
        <x:v>3056.6790300000002</x:v>
      </x:c>
      <x:c r="J94" s="82" t="n">
        <x:f>H94-I94</x:f>
        <x:v>0.0009699999995973485</x:v>
      </x:c>
      <x:c r="K94" s="58" t="str">
        <x:f>IF(ABS(J94)&gt;1,"Review","OK")</x:f>
        <x:v>OK</x:v>
      </x:c>
      <x:c r="L94" s="59" t="str">
        <x:v>N/A</x:v>
      </x:c>
    </x:row>
    <x:row r="95">
      <x:c r="A95" s="57" t="str">
        <x:v>TAX-0094</x:v>
      </x:c>
      <x:c r="B95" s="58" t="str">
        <x:v>Sales</x:v>
      </x:c>
      <x:c r="C95" s="78" t="n">
        <x:v>46135</x:v>
      </x:c>
      <x:c r="D95" s="58" t="str">
        <x:v>Party 79</x:v>
      </x:c>
      <x:c r="E95" s="58" t="str">
        <x:v>BC</x:v>
      </x:c>
      <x:c r="F95" s="82" t="n">
        <x:v>1973.2</x:v>
      </x:c>
      <x:c r="G95" s="86" t="n">
        <x:v>0.12</x:v>
      </x:c>
      <x:c r="H95" s="82" t="n">
        <x:v>239.17</x:v>
      </x:c>
      <x:c r="I95" s="82" t="n">
        <x:f>F95*G95</x:f>
        <x:v>236.784</x:v>
      </x:c>
      <x:c r="J95" s="82" t="n">
        <x:f>H95-I95</x:f>
        <x:v>2.3859999999999957</x:v>
      </x:c>
      <x:c r="K95" s="58" t="str">
        <x:f>IF(ABS(J95)&gt;1,"Review","OK")</x:f>
        <x:v>Review</x:v>
      </x:c>
      <x:c r="L95" s="59" t="str">
        <x:v>N/A</x:v>
      </x:c>
    </x:row>
    <x:row r="96">
      <x:c r="A96" s="57" t="str">
        <x:v>TAX-0095</x:v>
      </x:c>
      <x:c r="B96" s="58" t="str">
        <x:v>Sales</x:v>
      </x:c>
      <x:c r="C96" s="78" t="n">
        <x:v>46145</x:v>
      </x:c>
      <x:c r="D96" s="58" t="str">
        <x:v>Party 9</x:v>
      </x:c>
      <x:c r="E96" s="58" t="str">
        <x:v>AB</x:v>
      </x:c>
      <x:c r="F96" s="82" t="n">
        <x:v>19878.16</x:v>
      </x:c>
      <x:c r="G96" s="86" t="n">
        <x:v>0.05</x:v>
      </x:c>
      <x:c r="H96" s="82" t="n">
        <x:v>993.91</x:v>
      </x:c>
      <x:c r="I96" s="82" t="n">
        <x:f>F96*G96</x:f>
        <x:v>993.908</x:v>
      </x:c>
      <x:c r="J96" s="82" t="n">
        <x:f>H96-I96</x:f>
        <x:v>0.0019999999999527063</x:v>
      </x:c>
      <x:c r="K96" s="58" t="str">
        <x:f>IF(ABS(J96)&gt;1,"Review","OK")</x:f>
        <x:v>OK</x:v>
      </x:c>
      <x:c r="L96" s="59" t="str">
        <x:v>N/A</x:v>
      </x:c>
    </x:row>
    <x:row r="97">
      <x:c r="A97" s="57" t="str">
        <x:v>TAX-0096</x:v>
      </x:c>
      <x:c r="B97" s="58" t="str">
        <x:v>Purchase</x:v>
      </x:c>
      <x:c r="C97" s="78" t="n">
        <x:v>46189</x:v>
      </x:c>
      <x:c r="D97" s="58" t="str">
        <x:v>Party 4</x:v>
      </x:c>
      <x:c r="E97" s="58" t="str">
        <x:v>AB</x:v>
      </x:c>
      <x:c r="F97" s="82" t="n">
        <x:v>21361.21</x:v>
      </x:c>
      <x:c r="G97" s="86" t="n">
        <x:v>0.05</x:v>
      </x:c>
      <x:c r="H97" s="82" t="n">
        <x:v>1068.06</x:v>
      </x:c>
      <x:c r="I97" s="82" t="n">
        <x:f>F97*G97</x:f>
        <x:v>1068.0605</x:v>
      </x:c>
      <x:c r="J97" s="82" t="n">
        <x:f>H97-I97</x:f>
        <x:v>-0.0005000000001018634</x:v>
      </x:c>
      <x:c r="K97" s="58" t="str">
        <x:f>IF(ABS(J97)&gt;1,"Review","OK")</x:f>
        <x:v>OK</x:v>
      </x:c>
      <x:c r="L97" s="59" t="str">
        <x:v>Yes</x:v>
      </x:c>
    </x:row>
    <x:row r="98">
      <x:c r="A98" s="57" t="str">
        <x:v>TAX-0097</x:v>
      </x:c>
      <x:c r="B98" s="58" t="str">
        <x:v>Purchase</x:v>
      </x:c>
      <x:c r="C98" s="78" t="n">
        <x:v>46181</x:v>
      </x:c>
      <x:c r="D98" s="58" t="str">
        <x:v>Party 36</x:v>
      </x:c>
      <x:c r="E98" s="58" t="str">
        <x:v>BC</x:v>
      </x:c>
      <x:c r="F98" s="82" t="n">
        <x:v>14349.24</x:v>
      </x:c>
      <x:c r="G98" s="86" t="n">
        <x:v>0.12</x:v>
      </x:c>
      <x:c r="H98" s="82" t="n">
        <x:v>1721.91</x:v>
      </x:c>
      <x:c r="I98" s="82" t="n">
        <x:f>F98*G98</x:f>
        <x:v>1721.9088</x:v>
      </x:c>
      <x:c r="J98" s="82" t="n">
        <x:f>H98-I98</x:f>
        <x:v>0.0012000000001535227</x:v>
      </x:c>
      <x:c r="K98" s="58" t="str">
        <x:f>IF(ABS(J98)&gt;1,"Review","OK")</x:f>
        <x:v>OK</x:v>
      </x:c>
      <x:c r="L98" s="59" t="str">
        <x:v>No</x:v>
      </x:c>
    </x:row>
    <x:row r="99">
      <x:c r="A99" s="57" t="str">
        <x:v>TAX-0098</x:v>
      </x:c>
      <x:c r="B99" s="58" t="str">
        <x:v>Purchase</x:v>
      </x:c>
      <x:c r="C99" s="78" t="n">
        <x:v>46201</x:v>
      </x:c>
      <x:c r="D99" s="58" t="str">
        <x:v>Party 41</x:v>
      </x:c>
      <x:c r="E99" s="58" t="str">
        <x:v>BC</x:v>
      </x:c>
      <x:c r="F99" s="82" t="n">
        <x:v>18986.09</x:v>
      </x:c>
      <x:c r="G99" s="86" t="n">
        <x:v>0.12</x:v>
      </x:c>
      <x:c r="H99" s="82" t="n">
        <x:v>2268.48</x:v>
      </x:c>
      <x:c r="I99" s="82" t="n">
        <x:f>F99*G99</x:f>
        <x:v>2278.3307999999997</x:v>
      </x:c>
      <x:c r="J99" s="82" t="n">
        <x:f>H99-I99</x:f>
        <x:v>-9.850799999999708</x:v>
      </x:c>
      <x:c r="K99" s="58" t="str">
        <x:f>IF(ABS(J99)&gt;1,"Review","OK")</x:f>
        <x:v>Review</x:v>
      </x:c>
      <x:c r="L99" s="59" t="str">
        <x:v>Yes</x:v>
      </x:c>
    </x:row>
    <x:row r="100">
      <x:c r="A100" s="57" t="str">
        <x:v>TAX-0099</x:v>
      </x:c>
      <x:c r="B100" s="58" t="str">
        <x:v>Purchase</x:v>
      </x:c>
      <x:c r="C100" s="78" t="n">
        <x:v>46125</x:v>
      </x:c>
      <x:c r="D100" s="58" t="str">
        <x:v>Party 15</x:v>
      </x:c>
      <x:c r="E100" s="58" t="str">
        <x:v>BC</x:v>
      </x:c>
      <x:c r="F100" s="82" t="n">
        <x:v>13891.22</x:v>
      </x:c>
      <x:c r="G100" s="86" t="n">
        <x:v>0.12</x:v>
      </x:c>
      <x:c r="H100" s="82" t="n">
        <x:v>1666.95</x:v>
      </x:c>
      <x:c r="I100" s="82" t="n">
        <x:f>F100*G100</x:f>
        <x:v>1666.9463999999998</x:v>
      </x:c>
      <x:c r="J100" s="82" t="n">
        <x:f>H100-I100</x:f>
        <x:v>0.0036000000002331944</x:v>
      </x:c>
      <x:c r="K100" s="58" t="str">
        <x:f>IF(ABS(J100)&gt;1,"Review","OK")</x:f>
        <x:v>OK</x:v>
      </x:c>
      <x:c r="L100" s="59" t="str">
        <x:v>Yes</x:v>
      </x:c>
    </x:row>
    <x:row r="101">
      <x:c r="A101" s="57" t="str">
        <x:v>TAX-0100</x:v>
      </x:c>
      <x:c r="B101" s="58" t="str">
        <x:v>Purchase</x:v>
      </x:c>
      <x:c r="C101" s="78" t="n">
        <x:v>46196</x:v>
      </x:c>
      <x:c r="D101" s="58" t="str">
        <x:v>Party 43</x:v>
      </x:c>
      <x:c r="E101" s="58" t="str">
        <x:v>BC</x:v>
      </x:c>
      <x:c r="F101" s="82" t="n">
        <x:v>24368.51</x:v>
      </x:c>
      <x:c r="G101" s="86" t="n">
        <x:v>0.12</x:v>
      </x:c>
      <x:c r="H101" s="82" t="n">
        <x:v>2924.22</x:v>
      </x:c>
      <x:c r="I101" s="82" t="n">
        <x:f>F101*G101</x:f>
        <x:v>2924.2211999999995</x:v>
      </x:c>
      <x:c r="J101" s="82" t="n">
        <x:f>H101-I101</x:f>
        <x:v>-0.0011999999996987754</x:v>
      </x:c>
      <x:c r="K101" s="58" t="str">
        <x:f>IF(ABS(J101)&gt;1,"Review","OK")</x:f>
        <x:v>OK</x:v>
      </x:c>
      <x:c r="L101" s="59" t="str">
        <x:v>Yes</x:v>
      </x:c>
    </x:row>
    <x:row r="102">
      <x:c r="A102" s="57" t="str">
        <x:v>TAX-0101</x:v>
      </x:c>
      <x:c r="B102" s="58" t="str">
        <x:v>Purchase</x:v>
      </x:c>
      <x:c r="C102" s="78" t="n">
        <x:v>46137</x:v>
      </x:c>
      <x:c r="D102" s="58" t="str">
        <x:v>Party 73</x:v>
      </x:c>
      <x:c r="E102" s="58" t="str">
        <x:v>BC</x:v>
      </x:c>
      <x:c r="F102" s="82" t="n">
        <x:v>2411.78</x:v>
      </x:c>
      <x:c r="G102" s="86" t="n">
        <x:v>0.12</x:v>
      </x:c>
      <x:c r="H102" s="82" t="n">
        <x:v>289.41</x:v>
      </x:c>
      <x:c r="I102" s="82" t="n">
        <x:f>F102*G102</x:f>
        <x:v>289.41360000000003</x:v>
      </x:c>
      <x:c r="J102" s="82" t="n">
        <x:f>H102-I102</x:f>
        <x:v>-0.0036000000000058208</x:v>
      </x:c>
      <x:c r="K102" s="58" t="str">
        <x:f>IF(ABS(J102)&gt;1,"Review","OK")</x:f>
        <x:v>OK</x:v>
      </x:c>
      <x:c r="L102" s="59" t="str">
        <x:v>Yes</x:v>
      </x:c>
    </x:row>
    <x:row r="103">
      <x:c r="A103" s="57" t="str">
        <x:v>TAX-0102</x:v>
      </x:c>
      <x:c r="B103" s="58" t="str">
        <x:v>Purchase</x:v>
      </x:c>
      <x:c r="C103" s="78" t="n">
        <x:v>46133</x:v>
      </x:c>
      <x:c r="D103" s="58" t="str">
        <x:v>Party 63</x:v>
      </x:c>
      <x:c r="E103" s="58" t="str">
        <x:v>QC</x:v>
      </x:c>
      <x:c r="F103" s="82" t="n">
        <x:v>5584.45</x:v>
      </x:c>
      <x:c r="G103" s="86" t="n">
        <x:v>0.14975</x:v>
      </x:c>
      <x:c r="H103" s="82" t="n">
        <x:v>836.27</x:v>
      </x:c>
      <x:c r="I103" s="82" t="n">
        <x:f>F103*G103</x:f>
        <x:v>836.2713875</x:v>
      </x:c>
      <x:c r="J103" s="82" t="n">
        <x:f>H103-I103</x:f>
        <x:v>-0.0013874999999643478</x:v>
      </x:c>
      <x:c r="K103" s="58" t="str">
        <x:f>IF(ABS(J103)&gt;1,"Review","OK")</x:f>
        <x:v>OK</x:v>
      </x:c>
      <x:c r="L103" s="59" t="str">
        <x:v>Yes</x:v>
      </x:c>
    </x:row>
    <x:row r="104">
      <x:c r="A104" s="57" t="str">
        <x:v>TAX-0103</x:v>
      </x:c>
      <x:c r="B104" s="58" t="str">
        <x:v>Sales</x:v>
      </x:c>
      <x:c r="C104" s="78" t="n">
        <x:v>46143</x:v>
      </x:c>
      <x:c r="D104" s="58" t="str">
        <x:v>Party 29</x:v>
      </x:c>
      <x:c r="E104" s="58" t="str">
        <x:v>BC</x:v>
      </x:c>
      <x:c r="F104" s="82" t="n">
        <x:v>3541.56</x:v>
      </x:c>
      <x:c r="G104" s="86" t="n">
        <x:v>0.12</x:v>
      </x:c>
      <x:c r="H104" s="82" t="n">
        <x:v>424.99</x:v>
      </x:c>
      <x:c r="I104" s="82" t="n">
        <x:f>F104*G104</x:f>
        <x:v>424.9872</x:v>
      </x:c>
      <x:c r="J104" s="82" t="n">
        <x:f>H104-I104</x:f>
        <x:v>0.002800000000036107</x:v>
      </x:c>
      <x:c r="K104" s="58" t="str">
        <x:f>IF(ABS(J104)&gt;1,"Review","OK")</x:f>
        <x:v>OK</x:v>
      </x:c>
      <x:c r="L104" s="59" t="str">
        <x:v>N/A</x:v>
      </x:c>
    </x:row>
    <x:row r="105">
      <x:c r="A105" s="57" t="str">
        <x:v>TAX-0104</x:v>
      </x:c>
      <x:c r="B105" s="58" t="str">
        <x:v>Sales</x:v>
      </x:c>
      <x:c r="C105" s="78" t="n">
        <x:v>46133</x:v>
      </x:c>
      <x:c r="D105" s="58" t="str">
        <x:v>Party 53</x:v>
      </x:c>
      <x:c r="E105" s="58" t="str">
        <x:v>AB</x:v>
      </x:c>
      <x:c r="F105" s="82" t="n">
        <x:v>22770.96</x:v>
      </x:c>
      <x:c r="G105" s="86" t="n">
        <x:v>0.05</x:v>
      </x:c>
      <x:c r="H105" s="82" t="n">
        <x:v>1138.55</x:v>
      </x:c>
      <x:c r="I105" s="82" t="n">
        <x:f>F105*G105</x:f>
        <x:v>1138.548</x:v>
      </x:c>
      <x:c r="J105" s="82" t="n">
        <x:f>H105-I105</x:f>
        <x:v>0.0019999999999527063</x:v>
      </x:c>
      <x:c r="K105" s="58" t="str">
        <x:f>IF(ABS(J105)&gt;1,"Review","OK")</x:f>
        <x:v>OK</x:v>
      </x:c>
      <x:c r="L105" s="59" t="str">
        <x:v>N/A</x:v>
      </x:c>
    </x:row>
    <x:row r="106">
      <x:c r="A106" s="57" t="str">
        <x:v>TAX-0105</x:v>
      </x:c>
      <x:c r="B106" s="58" t="str">
        <x:v>Sales</x:v>
      </x:c>
      <x:c r="C106" s="78" t="n">
        <x:v>46167</x:v>
      </x:c>
      <x:c r="D106" s="58" t="str">
        <x:v>Party 64</x:v>
      </x:c>
      <x:c r="E106" s="58" t="str">
        <x:v>AB</x:v>
      </x:c>
      <x:c r="F106" s="82" t="n">
        <x:v>18272.67</x:v>
      </x:c>
      <x:c r="G106" s="86" t="n">
        <x:v>0.05</x:v>
      </x:c>
      <x:c r="H106" s="82" t="n">
        <x:v>913.63</x:v>
      </x:c>
      <x:c r="I106" s="82" t="n">
        <x:f>F106*G106</x:f>
        <x:v>913.6334999999999</x:v>
      </x:c>
      <x:c r="J106" s="82" t="n">
        <x:f>H106-I106</x:f>
        <x:v>-0.003499999999917236</x:v>
      </x:c>
      <x:c r="K106" s="58" t="str">
        <x:f>IF(ABS(J106)&gt;1,"Review","OK")</x:f>
        <x:v>OK</x:v>
      </x:c>
      <x:c r="L106" s="59" t="str">
        <x:v>N/A</x:v>
      </x:c>
    </x:row>
    <x:row r="107">
      <x:c r="A107" s="57" t="str">
        <x:v>TAX-0106</x:v>
      </x:c>
      <x:c r="B107" s="58" t="str">
        <x:v>Purchase</x:v>
      </x:c>
      <x:c r="C107" s="78" t="n">
        <x:v>46132</x:v>
      </x:c>
      <x:c r="D107" s="58" t="str">
        <x:v>Party 56</x:v>
      </x:c>
      <x:c r="E107" s="58" t="str">
        <x:v>ON</x:v>
      </x:c>
      <x:c r="F107" s="82" t="n">
        <x:v>15559.01</x:v>
      </x:c>
      <x:c r="G107" s="86" t="n">
        <x:v>0.13</x:v>
      </x:c>
      <x:c r="H107" s="82" t="n">
        <x:v>2022.67</x:v>
      </x:c>
      <x:c r="I107" s="82" t="n">
        <x:f>F107*G107</x:f>
        <x:v>2022.6713000000002</x:v>
      </x:c>
      <x:c r="J107" s="82" t="n">
        <x:f>H107-I107</x:f>
        <x:v>-0.0013000000001284207</x:v>
      </x:c>
      <x:c r="K107" s="58" t="str">
        <x:f>IF(ABS(J107)&gt;1,"Review","OK")</x:f>
        <x:v>OK</x:v>
      </x:c>
      <x:c r="L107" s="59" t="str">
        <x:v>No</x:v>
      </x:c>
    </x:row>
    <x:row r="108">
      <x:c r="A108" s="57" t="str">
        <x:v>TAX-0107</x:v>
      </x:c>
      <x:c r="B108" s="58" t="str">
        <x:v>Sales</x:v>
      </x:c>
      <x:c r="C108" s="78" t="n">
        <x:v>46118</x:v>
      </x:c>
      <x:c r="D108" s="58" t="str">
        <x:v>Party 74</x:v>
      </x:c>
      <x:c r="E108" s="58" t="str">
        <x:v>AB</x:v>
      </x:c>
      <x:c r="F108" s="82" t="n">
        <x:v>13687.03</x:v>
      </x:c>
      <x:c r="G108" s="86" t="n">
        <x:v>0.05</x:v>
      </x:c>
      <x:c r="H108" s="82" t="n">
        <x:v>684.35</x:v>
      </x:c>
      <x:c r="I108" s="82" t="n">
        <x:f>F108*G108</x:f>
        <x:v>684.3515000000001</x:v>
      </x:c>
      <x:c r="J108" s="82" t="n">
        <x:f>H108-I108</x:f>
        <x:v>-0.0015000000000782165</x:v>
      </x:c>
      <x:c r="K108" s="58" t="str">
        <x:f>IF(ABS(J108)&gt;1,"Review","OK")</x:f>
        <x:v>OK</x:v>
      </x:c>
      <x:c r="L108" s="59" t="str">
        <x:v>N/A</x:v>
      </x:c>
    </x:row>
    <x:row r="109">
      <x:c r="A109" s="57" t="str">
        <x:v>TAX-0108</x:v>
      </x:c>
      <x:c r="B109" s="58" t="str">
        <x:v>Purchase</x:v>
      </x:c>
      <x:c r="C109" s="78" t="n">
        <x:v>46160</x:v>
      </x:c>
      <x:c r="D109" s="58" t="str">
        <x:v>Party 44</x:v>
      </x:c>
      <x:c r="E109" s="58" t="str">
        <x:v>AB</x:v>
      </x:c>
      <x:c r="F109" s="82" t="n">
        <x:v>8921.9</x:v>
      </x:c>
      <x:c r="G109" s="86" t="n">
        <x:v>0.05</x:v>
      </x:c>
      <x:c r="H109" s="82" t="n">
        <x:v>440.88</x:v>
      </x:c>
      <x:c r="I109" s="82" t="n">
        <x:f>F109*G109</x:f>
        <x:v>446.095</x:v>
      </x:c>
      <x:c r="J109" s="82" t="n">
        <x:f>H109-I109</x:f>
        <x:v>-5.215000000000032</x:v>
      </x:c>
      <x:c r="K109" s="58" t="str">
        <x:f>IF(ABS(J109)&gt;1,"Review","OK")</x:f>
        <x:v>Review</x:v>
      </x:c>
      <x:c r="L109" s="59" t="str">
        <x:v>Yes</x:v>
      </x:c>
    </x:row>
    <x:row r="110">
      <x:c r="A110" s="57" t="str">
        <x:v>TAX-0109</x:v>
      </x:c>
      <x:c r="B110" s="58" t="str">
        <x:v>Purchase</x:v>
      </x:c>
      <x:c r="C110" s="78" t="n">
        <x:v>46185</x:v>
      </x:c>
      <x:c r="D110" s="58" t="str">
        <x:v>Party 50</x:v>
      </x:c>
      <x:c r="E110" s="58" t="str">
        <x:v>BC</x:v>
      </x:c>
      <x:c r="F110" s="82" t="n">
        <x:v>320.92</x:v>
      </x:c>
      <x:c r="G110" s="86" t="n">
        <x:v>0.12</x:v>
      </x:c>
      <x:c r="H110" s="82" t="n">
        <x:v>47.58</x:v>
      </x:c>
      <x:c r="I110" s="82" t="n">
        <x:f>F110*G110</x:f>
        <x:v>38.5104</x:v>
      </x:c>
      <x:c r="J110" s="82" t="n">
        <x:f>H110-I110</x:f>
        <x:v>9.069600000000001</x:v>
      </x:c>
      <x:c r="K110" s="58" t="str">
        <x:f>IF(ABS(J110)&gt;1,"Review","OK")</x:f>
        <x:v>Review</x:v>
      </x:c>
      <x:c r="L110" s="59" t="str">
        <x:v>No</x:v>
      </x:c>
    </x:row>
    <x:row r="111">
      <x:c r="A111" s="57" t="str">
        <x:v>TAX-0110</x:v>
      </x:c>
      <x:c r="B111" s="58" t="str">
        <x:v>Sales</x:v>
      </x:c>
      <x:c r="C111" s="78" t="n">
        <x:v>46199</x:v>
      </x:c>
      <x:c r="D111" s="58" t="str">
        <x:v>Party 54</x:v>
      </x:c>
      <x:c r="E111" s="58" t="str">
        <x:v>QC</x:v>
      </x:c>
      <x:c r="F111" s="82" t="n">
        <x:v>10121.55</x:v>
      </x:c>
      <x:c r="G111" s="86" t="n">
        <x:v>0.14975</x:v>
      </x:c>
      <x:c r="H111" s="82" t="n">
        <x:v>1515.7</x:v>
      </x:c>
      <x:c r="I111" s="82" t="n">
        <x:f>F111*G111</x:f>
        <x:v>1515.7021124999999</x:v>
      </x:c>
      <x:c r="J111" s="82" t="n">
        <x:f>H111-I111</x:f>
        <x:v>-0.0021124999998392013</x:v>
      </x:c>
      <x:c r="K111" s="58" t="str">
        <x:f>IF(ABS(J111)&gt;1,"Review","OK")</x:f>
        <x:v>OK</x:v>
      </x:c>
      <x:c r="L111" s="59" t="str">
        <x:v>N/A</x:v>
      </x:c>
    </x:row>
    <x:row r="112">
      <x:c r="A112" s="57" t="str">
        <x:v>TAX-0111</x:v>
      </x:c>
      <x:c r="B112" s="58" t="str">
        <x:v>Sales</x:v>
      </x:c>
      <x:c r="C112" s="78" t="n">
        <x:v>46143</x:v>
      </x:c>
      <x:c r="D112" s="58" t="str">
        <x:v>Party 90</x:v>
      </x:c>
      <x:c r="E112" s="58" t="str">
        <x:v>AB</x:v>
      </x:c>
      <x:c r="F112" s="82" t="n">
        <x:v>7112.79</x:v>
      </x:c>
      <x:c r="G112" s="86" t="n">
        <x:v>0.05</x:v>
      </x:c>
      <x:c r="H112" s="82" t="n">
        <x:v>355.64</x:v>
      </x:c>
      <x:c r="I112" s="82" t="n">
        <x:f>F112*G112</x:f>
        <x:v>355.6395</x:v>
      </x:c>
      <x:c r="J112" s="82" t="n">
        <x:f>H112-I112</x:f>
        <x:v>0.0004999999999881766</x:v>
      </x:c>
      <x:c r="K112" s="58" t="str">
        <x:f>IF(ABS(J112)&gt;1,"Review","OK")</x:f>
        <x:v>OK</x:v>
      </x:c>
      <x:c r="L112" s="59" t="str">
        <x:v>N/A</x:v>
      </x:c>
    </x:row>
    <x:row r="113">
      <x:c r="A113" s="57" t="str">
        <x:v>TAX-0112</x:v>
      </x:c>
      <x:c r="B113" s="58" t="str">
        <x:v>Sales</x:v>
      </x:c>
      <x:c r="C113" s="78" t="n">
        <x:v>46174</x:v>
      </x:c>
      <x:c r="D113" s="58" t="str">
        <x:v>Party 55</x:v>
      </x:c>
      <x:c r="E113" s="58" t="str">
        <x:v>QC</x:v>
      </x:c>
      <x:c r="F113" s="82" t="n">
        <x:v>4212.75</x:v>
      </x:c>
      <x:c r="G113" s="86" t="n">
        <x:v>0.14975</x:v>
      </x:c>
      <x:c r="H113" s="82" t="n">
        <x:v>630.86</x:v>
      </x:c>
      <x:c r="I113" s="82" t="n">
        <x:f>F113*G113</x:f>
        <x:v>630.8593125</x:v>
      </x:c>
      <x:c r="J113" s="82" t="n">
        <x:f>H113-I113</x:f>
        <x:v>0.0006875000000263753</x:v>
      </x:c>
      <x:c r="K113" s="58" t="str">
        <x:f>IF(ABS(J113)&gt;1,"Review","OK")</x:f>
        <x:v>OK</x:v>
      </x:c>
      <x:c r="L113" s="59" t="str">
        <x:v>N/A</x:v>
      </x:c>
    </x:row>
    <x:row r="114">
      <x:c r="A114" s="57" t="str">
        <x:v>TAX-0113</x:v>
      </x:c>
      <x:c r="B114" s="58" t="str">
        <x:v>Sales</x:v>
      </x:c>
      <x:c r="C114" s="78" t="n">
        <x:v>46192</x:v>
      </x:c>
      <x:c r="D114" s="58" t="str">
        <x:v>Party 52</x:v>
      </x:c>
      <x:c r="E114" s="58" t="str">
        <x:v>AB</x:v>
      </x:c>
      <x:c r="F114" s="82" t="n">
        <x:v>13906.56</x:v>
      </x:c>
      <x:c r="G114" s="86" t="n">
        <x:v>0.05</x:v>
      </x:c>
      <x:c r="H114" s="82" t="n">
        <x:v>698.24</x:v>
      </x:c>
      <x:c r="I114" s="82" t="n">
        <x:f>F114*G114</x:f>
        <x:v>695.328</x:v>
      </x:c>
      <x:c r="J114" s="82" t="n">
        <x:f>H114-I114</x:f>
        <x:v>2.9120000000000346</x:v>
      </x:c>
      <x:c r="K114" s="58" t="str">
        <x:f>IF(ABS(J114)&gt;1,"Review","OK")</x:f>
        <x:v>Review</x:v>
      </x:c>
      <x:c r="L114" s="59" t="str">
        <x:v>N/A</x:v>
      </x:c>
    </x:row>
    <x:row r="115">
      <x:c r="A115" s="57" t="str">
        <x:v>TAX-0114</x:v>
      </x:c>
      <x:c r="B115" s="58" t="str">
        <x:v>Sales</x:v>
      </x:c>
      <x:c r="C115" s="78" t="n">
        <x:v>46153</x:v>
      </x:c>
      <x:c r="D115" s="58" t="str">
        <x:v>Party 23</x:v>
      </x:c>
      <x:c r="E115" s="58" t="str">
        <x:v>ON</x:v>
      </x:c>
      <x:c r="F115" s="82" t="n">
        <x:v>19638.69</x:v>
      </x:c>
      <x:c r="G115" s="86" t="n">
        <x:v>0.13</x:v>
      </x:c>
      <x:c r="H115" s="82" t="n">
        <x:v>2553.03</x:v>
      </x:c>
      <x:c r="I115" s="82" t="n">
        <x:f>F115*G115</x:f>
        <x:v>2553.0297</x:v>
      </x:c>
      <x:c r="J115" s="82" t="n">
        <x:f>H115-I115</x:f>
        <x:v>0.0003000000001520675</x:v>
      </x:c>
      <x:c r="K115" s="58" t="str">
        <x:f>IF(ABS(J115)&gt;1,"Review","OK")</x:f>
        <x:v>OK</x:v>
      </x:c>
      <x:c r="L115" s="59" t="str">
        <x:v>N/A</x:v>
      </x:c>
    </x:row>
    <x:row r="116">
      <x:c r="A116" s="57" t="str">
        <x:v>TAX-0115</x:v>
      </x:c>
      <x:c r="B116" s="58" t="str">
        <x:v>Purchase</x:v>
      </x:c>
      <x:c r="C116" s="78" t="n">
        <x:v>46141</x:v>
      </x:c>
      <x:c r="D116" s="58" t="str">
        <x:v>Party 83</x:v>
      </x:c>
      <x:c r="E116" s="58" t="str">
        <x:v>BC</x:v>
      </x:c>
      <x:c r="F116" s="82" t="n">
        <x:v>8580.8</x:v>
      </x:c>
      <x:c r="G116" s="86" t="n">
        <x:v>0.12</x:v>
      </x:c>
      <x:c r="H116" s="82" t="n">
        <x:v>1029.7</x:v>
      </x:c>
      <x:c r="I116" s="82" t="n">
        <x:f>F116*G116</x:f>
        <x:v>1029.696</x:v>
      </x:c>
      <x:c r="J116" s="82" t="n">
        <x:f>H116-I116</x:f>
        <x:v>0.004000000000132786</x:v>
      </x:c>
      <x:c r="K116" s="58" t="str">
        <x:f>IF(ABS(J116)&gt;1,"Review","OK")</x:f>
        <x:v>OK</x:v>
      </x:c>
      <x:c r="L116" s="59" t="str">
        <x:v>No</x:v>
      </x:c>
    </x:row>
    <x:row r="117">
      <x:c r="A117" s="57" t="str">
        <x:v>TAX-0116</x:v>
      </x:c>
      <x:c r="B117" s="58" t="str">
        <x:v>Sales</x:v>
      </x:c>
      <x:c r="C117" s="78" t="n">
        <x:v>46196</x:v>
      </x:c>
      <x:c r="D117" s="58" t="str">
        <x:v>Party 89</x:v>
      </x:c>
      <x:c r="E117" s="58" t="str">
        <x:v>ON</x:v>
      </x:c>
      <x:c r="F117" s="82" t="n">
        <x:v>12814.03</x:v>
      </x:c>
      <x:c r="G117" s="86" t="n">
        <x:v>0.13</x:v>
      </x:c>
      <x:c r="H117" s="82" t="n">
        <x:v>1665.82</x:v>
      </x:c>
      <x:c r="I117" s="82" t="n">
        <x:f>F117*G117</x:f>
        <x:v>1665.8239</x:v>
      </x:c>
      <x:c r="J117" s="82" t="n">
        <x:f>H117-I117</x:f>
        <x:v>-0.0039000000001578883</x:v>
      </x:c>
      <x:c r="K117" s="58" t="str">
        <x:f>IF(ABS(J117)&gt;1,"Review","OK")</x:f>
        <x:v>OK</x:v>
      </x:c>
      <x:c r="L117" s="59" t="str">
        <x:v>N/A</x:v>
      </x:c>
    </x:row>
    <x:row r="118">
      <x:c r="A118" s="57" t="str">
        <x:v>TAX-0117</x:v>
      </x:c>
      <x:c r="B118" s="58" t="str">
        <x:v>Purchase</x:v>
      </x:c>
      <x:c r="C118" s="78" t="n">
        <x:v>46148</x:v>
      </x:c>
      <x:c r="D118" s="58" t="str">
        <x:v>Party 28</x:v>
      </x:c>
      <x:c r="E118" s="58" t="str">
        <x:v>QC</x:v>
      </x:c>
      <x:c r="F118" s="82" t="n">
        <x:v>5717.11</x:v>
      </x:c>
      <x:c r="G118" s="86" t="n">
        <x:v>0.14975</x:v>
      </x:c>
      <x:c r="H118" s="82" t="n">
        <x:v>856.14</x:v>
      </x:c>
      <x:c r="I118" s="82" t="n">
        <x:f>F118*G118</x:f>
        <x:v>856.1372224999999</x:v>
      </x:c>
      <x:c r="J118" s="82" t="n">
        <x:f>H118-I118</x:f>
        <x:v>0.002777500000092914</x:v>
      </x:c>
      <x:c r="K118" s="58" t="str">
        <x:f>IF(ABS(J118)&gt;1,"Review","OK")</x:f>
        <x:v>OK</x:v>
      </x:c>
      <x:c r="L118" s="59" t="str">
        <x:v>No</x:v>
      </x:c>
    </x:row>
    <x:row r="119">
      <x:c r="A119" s="57" t="str">
        <x:v>TAX-0118</x:v>
      </x:c>
      <x:c r="B119" s="58" t="str">
        <x:v>Purchase</x:v>
      </x:c>
      <x:c r="C119" s="78" t="n">
        <x:v>46140</x:v>
      </x:c>
      <x:c r="D119" s="58" t="str">
        <x:v>Party 88</x:v>
      </x:c>
      <x:c r="E119" s="58" t="str">
        <x:v>AB</x:v>
      </x:c>
      <x:c r="F119" s="82" t="n">
        <x:v>2560.53</x:v>
      </x:c>
      <x:c r="G119" s="86" t="n">
        <x:v>0.05</x:v>
      </x:c>
      <x:c r="H119" s="82" t="n">
        <x:v>128.03</x:v>
      </x:c>
      <x:c r="I119" s="82" t="n">
        <x:f>F119*G119</x:f>
        <x:v>128.02650000000003</x:v>
      </x:c>
      <x:c r="J119" s="82" t="n">
        <x:f>H119-I119</x:f>
        <x:v>0.0034999999999740794</x:v>
      </x:c>
      <x:c r="K119" s="58" t="str">
        <x:f>IF(ABS(J119)&gt;1,"Review","OK")</x:f>
        <x:v>OK</x:v>
      </x:c>
      <x:c r="L119" s="59" t="str">
        <x:v>Yes</x:v>
      </x:c>
    </x:row>
    <x:row r="120">
      <x:c r="A120" s="57" t="str">
        <x:v>TAX-0119</x:v>
      </x:c>
      <x:c r="B120" s="58" t="str">
        <x:v>Sales</x:v>
      </x:c>
      <x:c r="C120" s="78" t="n">
        <x:v>46157</x:v>
      </x:c>
      <x:c r="D120" s="58" t="str">
        <x:v>Party 29</x:v>
      </x:c>
      <x:c r="E120" s="58" t="str">
        <x:v>QC</x:v>
      </x:c>
      <x:c r="F120" s="82" t="n">
        <x:v>23250.79</x:v>
      </x:c>
      <x:c r="G120" s="86" t="n">
        <x:v>0.14975</x:v>
      </x:c>
      <x:c r="H120" s="82" t="n">
        <x:v>3481.81</x:v>
      </x:c>
      <x:c r="I120" s="82" t="n">
        <x:f>F120*G120</x:f>
        <x:v>3481.8058025</x:v>
      </x:c>
      <x:c r="J120" s="82" t="n">
        <x:f>H120-I120</x:f>
        <x:v>0.004197499999918364</x:v>
      </x:c>
      <x:c r="K120" s="58" t="str">
        <x:f>IF(ABS(J120)&gt;1,"Review","OK")</x:f>
        <x:v>OK</x:v>
      </x:c>
      <x:c r="L120" s="59" t="str">
        <x:v>N/A</x:v>
      </x:c>
    </x:row>
    <x:row r="121">
      <x:c r="A121" s="57" t="str">
        <x:v>TAX-0120</x:v>
      </x:c>
      <x:c r="B121" s="58" t="str">
        <x:v>Sales</x:v>
      </x:c>
      <x:c r="C121" s="78" t="n">
        <x:v>46203</x:v>
      </x:c>
      <x:c r="D121" s="58" t="str">
        <x:v>Party 81</x:v>
      </x:c>
      <x:c r="E121" s="58" t="str">
        <x:v>ON</x:v>
      </x:c>
      <x:c r="F121" s="82" t="n">
        <x:v>4426.45</x:v>
      </x:c>
      <x:c r="G121" s="86" t="n">
        <x:v>0.13</x:v>
      </x:c>
      <x:c r="H121" s="82" t="n">
        <x:v>573.55</x:v>
      </x:c>
      <x:c r="I121" s="82" t="n">
        <x:f>F121*G121</x:f>
        <x:v>575.4385</x:v>
      </x:c>
      <x:c r="J121" s="82" t="n">
        <x:f>H121-I121</x:f>
        <x:v>-1.8885000000000218</x:v>
      </x:c>
      <x:c r="K121" s="58" t="str">
        <x:f>IF(ABS(J121)&gt;1,"Review","OK")</x:f>
        <x:v>Review</x:v>
      </x:c>
      <x:c r="L121" s="59" t="str">
        <x:v>N/A</x:v>
      </x:c>
    </x:row>
    <x:row r="122">
      <x:c r="A122" s="57" t="str">
        <x:v>TAX-0121</x:v>
      </x:c>
      <x:c r="B122" s="58" t="str">
        <x:v>Sales</x:v>
      </x:c>
      <x:c r="C122" s="78" t="n">
        <x:v>46195</x:v>
      </x:c>
      <x:c r="D122" s="58" t="str">
        <x:v>Party 31</x:v>
      </x:c>
      <x:c r="E122" s="58" t="str">
        <x:v>ON</x:v>
      </x:c>
      <x:c r="F122" s="82" t="n">
        <x:v>5101.15</x:v>
      </x:c>
      <x:c r="G122" s="86" t="n">
        <x:v>0.13</x:v>
      </x:c>
      <x:c r="H122" s="82" t="n">
        <x:v>666.13</x:v>
      </x:c>
      <x:c r="I122" s="82" t="n">
        <x:f>F122*G122</x:f>
        <x:v>663.1495</x:v>
      </x:c>
      <x:c r="J122" s="82" t="n">
        <x:f>H122-I122</x:f>
        <x:v>2.9805000000000064</x:v>
      </x:c>
      <x:c r="K122" s="58" t="str">
        <x:f>IF(ABS(J122)&gt;1,"Review","OK")</x:f>
        <x:v>Review</x:v>
      </x:c>
      <x:c r="L122" s="59" t="str">
        <x:v>N/A</x:v>
      </x:c>
    </x:row>
    <x:row r="123">
      <x:c r="A123" s="57" t="str">
        <x:v>TAX-0122</x:v>
      </x:c>
      <x:c r="B123" s="58" t="str">
        <x:v>Sales</x:v>
      </x:c>
      <x:c r="C123" s="78" t="n">
        <x:v>46190</x:v>
      </x:c>
      <x:c r="D123" s="58" t="str">
        <x:v>Party 53</x:v>
      </x:c>
      <x:c r="E123" s="58" t="str">
        <x:v>BC</x:v>
      </x:c>
      <x:c r="F123" s="82" t="n">
        <x:v>3373.49</x:v>
      </x:c>
      <x:c r="G123" s="86" t="n">
        <x:v>0.12</x:v>
      </x:c>
      <x:c r="H123" s="82" t="n">
        <x:v>404.82</x:v>
      </x:c>
      <x:c r="I123" s="82" t="n">
        <x:f>F123*G123</x:f>
        <x:v>404.81879999999995</x:v>
      </x:c>
      <x:c r="J123" s="82" t="n">
        <x:f>H123-I123</x:f>
        <x:v>0.0012000000000398359</x:v>
      </x:c>
      <x:c r="K123" s="58" t="str">
        <x:f>IF(ABS(J123)&gt;1,"Review","OK")</x:f>
        <x:v>OK</x:v>
      </x:c>
      <x:c r="L123" s="59" t="str">
        <x:v>N/A</x:v>
      </x:c>
    </x:row>
    <x:row r="124">
      <x:c r="A124" s="57" t="str">
        <x:v>TAX-0123</x:v>
      </x:c>
      <x:c r="B124" s="58" t="str">
        <x:v>Purchase</x:v>
      </x:c>
      <x:c r="C124" s="78" t="n">
        <x:v>46167</x:v>
      </x:c>
      <x:c r="D124" s="58" t="str">
        <x:v>Party 73</x:v>
      </x:c>
      <x:c r="E124" s="58" t="str">
        <x:v>AB</x:v>
      </x:c>
      <x:c r="F124" s="82" t="n">
        <x:v>8279.4</x:v>
      </x:c>
      <x:c r="G124" s="86" t="n">
        <x:v>0.05</x:v>
      </x:c>
      <x:c r="H124" s="82" t="n">
        <x:v>421.47</x:v>
      </x:c>
      <x:c r="I124" s="82" t="n">
        <x:f>F124*G124</x:f>
        <x:v>413.97</x:v>
      </x:c>
      <x:c r="J124" s="82" t="n">
        <x:f>H124-I124</x:f>
        <x:v>7.5</x:v>
      </x:c>
      <x:c r="K124" s="58" t="str">
        <x:f>IF(ABS(J124)&gt;1,"Review","OK")</x:f>
        <x:v>Review</x:v>
      </x:c>
      <x:c r="L124" s="59" t="str">
        <x:v>No</x:v>
      </x:c>
    </x:row>
    <x:row r="125">
      <x:c r="A125" s="57" t="str">
        <x:v>TAX-0124</x:v>
      </x:c>
      <x:c r="B125" s="58" t="str">
        <x:v>Sales</x:v>
      </x:c>
      <x:c r="C125" s="78" t="n">
        <x:v>46149</x:v>
      </x:c>
      <x:c r="D125" s="58" t="str">
        <x:v>Party 86</x:v>
      </x:c>
      <x:c r="E125" s="58" t="str">
        <x:v>BC</x:v>
      </x:c>
      <x:c r="F125" s="82" t="n">
        <x:v>16018.48</x:v>
      </x:c>
      <x:c r="G125" s="86" t="n">
        <x:v>0.12</x:v>
      </x:c>
      <x:c r="H125" s="82" t="n">
        <x:v>1922.22</x:v>
      </x:c>
      <x:c r="I125" s="82" t="n">
        <x:f>F125*G125</x:f>
        <x:v>1922.2176</x:v>
      </x:c>
      <x:c r="J125" s="82" t="n">
        <x:f>H125-I125</x:f>
        <x:v>0.0024000000000796717</x:v>
      </x:c>
      <x:c r="K125" s="58" t="str">
        <x:f>IF(ABS(J125)&gt;1,"Review","OK")</x:f>
        <x:v>OK</x:v>
      </x:c>
      <x:c r="L125" s="59" t="str">
        <x:v>N/A</x:v>
      </x:c>
    </x:row>
    <x:row r="126">
      <x:c r="A126" s="57" t="str">
        <x:v>TAX-0125</x:v>
      </x:c>
      <x:c r="B126" s="58" t="str">
        <x:v>Sales</x:v>
      </x:c>
      <x:c r="C126" s="78" t="n">
        <x:v>46178</x:v>
      </x:c>
      <x:c r="D126" s="58" t="str">
        <x:v>Party 3</x:v>
      </x:c>
      <x:c r="E126" s="58" t="str">
        <x:v>BC</x:v>
      </x:c>
      <x:c r="F126" s="82" t="n">
        <x:v>4098.82</x:v>
      </x:c>
      <x:c r="G126" s="86" t="n">
        <x:v>0.12</x:v>
      </x:c>
      <x:c r="H126" s="82" t="n">
        <x:v>491.86</x:v>
      </x:c>
      <x:c r="I126" s="82" t="n">
        <x:f>F126*G126</x:f>
        <x:v>491.85839999999996</x:v>
      </x:c>
      <x:c r="J126" s="82" t="n">
        <x:f>H126-I126</x:f>
        <x:v>0.0016000000000531145</x:v>
      </x:c>
      <x:c r="K126" s="58" t="str">
        <x:f>IF(ABS(J126)&gt;1,"Review","OK")</x:f>
        <x:v>OK</x:v>
      </x:c>
      <x:c r="L126" s="59" t="str">
        <x:v>N/A</x:v>
      </x:c>
    </x:row>
    <x:row r="127">
      <x:c r="A127" s="57" t="str">
        <x:v>TAX-0126</x:v>
      </x:c>
      <x:c r="B127" s="58" t="str">
        <x:v>Purchase</x:v>
      </x:c>
      <x:c r="C127" s="78" t="n">
        <x:v>46127</x:v>
      </x:c>
      <x:c r="D127" s="58" t="str">
        <x:v>Party 57</x:v>
      </x:c>
      <x:c r="E127" s="58" t="str">
        <x:v>ON</x:v>
      </x:c>
      <x:c r="F127" s="82" t="n">
        <x:v>6971.11</x:v>
      </x:c>
      <x:c r="G127" s="86" t="n">
        <x:v>0.13</x:v>
      </x:c>
      <x:c r="H127" s="82" t="n">
        <x:v>906.24</x:v>
      </x:c>
      <x:c r="I127" s="82" t="n">
        <x:f>F127*G127</x:f>
        <x:v>906.2443</x:v>
      </x:c>
      <x:c r="J127" s="82" t="n">
        <x:f>H127-I127</x:f>
        <x:v>-0.004299999999943793</x:v>
      </x:c>
      <x:c r="K127" s="58" t="str">
        <x:f>IF(ABS(J127)&gt;1,"Review","OK")</x:f>
        <x:v>OK</x:v>
      </x:c>
      <x:c r="L127" s="59" t="str">
        <x:v>No</x:v>
      </x:c>
    </x:row>
    <x:row r="128">
      <x:c r="A128" s="57" t="str">
        <x:v>TAX-0127</x:v>
      </x:c>
      <x:c r="B128" s="58" t="str">
        <x:v>Purchase</x:v>
      </x:c>
      <x:c r="C128" s="78" t="n">
        <x:v>46194</x:v>
      </x:c>
      <x:c r="D128" s="58" t="str">
        <x:v>Party 51</x:v>
      </x:c>
      <x:c r="E128" s="58" t="str">
        <x:v>ON</x:v>
      </x:c>
      <x:c r="F128" s="82" t="n">
        <x:v>9345.16</x:v>
      </x:c>
      <x:c r="G128" s="86" t="n">
        <x:v>0.13</x:v>
      </x:c>
      <x:c r="H128" s="82" t="n">
        <x:v>1214.87</x:v>
      </x:c>
      <x:c r="I128" s="82" t="n">
        <x:f>F128*G128</x:f>
        <x:v>1214.8708</x:v>
      </x:c>
      <x:c r="J128" s="82" t="n">
        <x:f>H128-I128</x:f>
        <x:v>-0.0008000000000265572</x:v>
      </x:c>
      <x:c r="K128" s="58" t="str">
        <x:f>IF(ABS(J128)&gt;1,"Review","OK")</x:f>
        <x:v>OK</x:v>
      </x:c>
      <x:c r="L128" s="59" t="str">
        <x:v>No</x:v>
      </x:c>
    </x:row>
    <x:row r="129">
      <x:c r="A129" s="57" t="str">
        <x:v>TAX-0128</x:v>
      </x:c>
      <x:c r="B129" s="58" t="str">
        <x:v>Sales</x:v>
      </x:c>
      <x:c r="C129" s="78" t="n">
        <x:v>46166</x:v>
      </x:c>
      <x:c r="D129" s="58" t="str">
        <x:v>Party 70</x:v>
      </x:c>
      <x:c r="E129" s="58" t="str">
        <x:v>QC</x:v>
      </x:c>
      <x:c r="F129" s="82" t="n">
        <x:v>17076.33</x:v>
      </x:c>
      <x:c r="G129" s="86" t="n">
        <x:v>0.14975</x:v>
      </x:c>
      <x:c r="H129" s="82" t="n">
        <x:v>2563.16</x:v>
      </x:c>
      <x:c r="I129" s="82" t="n">
        <x:f>F129*G129</x:f>
        <x:v>2557.1804175</x:v>
      </x:c>
      <x:c r="J129" s="82" t="n">
        <x:f>H129-I129</x:f>
        <x:v>5.979582499999651</x:v>
      </x:c>
      <x:c r="K129" s="58" t="str">
        <x:f>IF(ABS(J129)&gt;1,"Review","OK")</x:f>
        <x:v>Review</x:v>
      </x:c>
      <x:c r="L129" s="59" t="str">
        <x:v>N/A</x:v>
      </x:c>
    </x:row>
    <x:row r="130">
      <x:c r="A130" s="57" t="str">
        <x:v>TAX-0129</x:v>
      </x:c>
      <x:c r="B130" s="58" t="str">
        <x:v>Purchase</x:v>
      </x:c>
      <x:c r="C130" s="78" t="n">
        <x:v>46126</x:v>
      </x:c>
      <x:c r="D130" s="58" t="str">
        <x:v>Party 78</x:v>
      </x:c>
      <x:c r="E130" s="58" t="str">
        <x:v>ON</x:v>
      </x:c>
      <x:c r="F130" s="82" t="n">
        <x:v>17605.54</x:v>
      </x:c>
      <x:c r="G130" s="86" t="n">
        <x:v>0.13</x:v>
      </x:c>
      <x:c r="H130" s="82" t="n">
        <x:v>2279.34</x:v>
      </x:c>
      <x:c r="I130" s="82" t="n">
        <x:f>F130*G130</x:f>
        <x:v>2288.7202</x:v>
      </x:c>
      <x:c r="J130" s="82" t="n">
        <x:f>H130-I130</x:f>
        <x:v>-9.380200000000059</x:v>
      </x:c>
      <x:c r="K130" s="58" t="str">
        <x:f>IF(ABS(J130)&gt;1,"Review","OK")</x:f>
        <x:v>Review</x:v>
      </x:c>
      <x:c r="L130" s="59" t="str">
        <x:v>Yes</x:v>
      </x:c>
    </x:row>
    <x:row r="131">
      <x:c r="A131" s="57" t="str">
        <x:v>TAX-0130</x:v>
      </x:c>
      <x:c r="B131" s="58" t="str">
        <x:v>Purchase</x:v>
      </x:c>
      <x:c r="C131" s="78" t="n">
        <x:v>46184</x:v>
      </x:c>
      <x:c r="D131" s="58" t="str">
        <x:v>Party 68</x:v>
      </x:c>
      <x:c r="E131" s="58" t="str">
        <x:v>BC</x:v>
      </x:c>
      <x:c r="F131" s="82" t="n">
        <x:v>291.71</x:v>
      </x:c>
      <x:c r="G131" s="86" t="n">
        <x:v>0.12</x:v>
      </x:c>
      <x:c r="H131" s="82" t="n">
        <x:v>35.01</x:v>
      </x:c>
      <x:c r="I131" s="82" t="n">
        <x:f>F131*G131</x:f>
        <x:v>35.005199999999995</x:v>
      </x:c>
      <x:c r="J131" s="82" t="n">
        <x:f>H131-I131</x:f>
        <x:v>0.004800000000003024</x:v>
      </x:c>
      <x:c r="K131" s="58" t="str">
        <x:f>IF(ABS(J131)&gt;1,"Review","OK")</x:f>
        <x:v>OK</x:v>
      </x:c>
      <x:c r="L131" s="59" t="str">
        <x:v>No</x:v>
      </x:c>
    </x:row>
    <x:row r="132">
      <x:c r="A132" s="57" t="str">
        <x:v>TAX-0131</x:v>
      </x:c>
      <x:c r="B132" s="58" t="str">
        <x:v>Sales</x:v>
      </x:c>
      <x:c r="C132" s="78" t="n">
        <x:v>46176</x:v>
      </x:c>
      <x:c r="D132" s="58" t="str">
        <x:v>Party 86</x:v>
      </x:c>
      <x:c r="E132" s="58" t="str">
        <x:v>ON</x:v>
      </x:c>
      <x:c r="F132" s="82" t="n">
        <x:v>20856.94</x:v>
      </x:c>
      <x:c r="G132" s="86" t="n">
        <x:v>0.13</x:v>
      </x:c>
      <x:c r="H132" s="82" t="n">
        <x:v>2709.7</x:v>
      </x:c>
      <x:c r="I132" s="82" t="n">
        <x:f>F132*G132</x:f>
        <x:v>2711.4022</x:v>
      </x:c>
      <x:c r="J132" s="82" t="n">
        <x:f>H132-I132</x:f>
        <x:v>-1.7022000000001754</x:v>
      </x:c>
      <x:c r="K132" s="58" t="str">
        <x:f>IF(ABS(J132)&gt;1,"Review","OK")</x:f>
        <x:v>Review</x:v>
      </x:c>
      <x:c r="L132" s="59" t="str">
        <x:v>N/A</x:v>
      </x:c>
    </x:row>
    <x:row r="133">
      <x:c r="A133" s="57" t="str">
        <x:v>TAX-0132</x:v>
      </x:c>
      <x:c r="B133" s="58" t="str">
        <x:v>Sales</x:v>
      </x:c>
      <x:c r="C133" s="78" t="n">
        <x:v>46113</x:v>
      </x:c>
      <x:c r="D133" s="58" t="str">
        <x:v>Party 68</x:v>
      </x:c>
      <x:c r="E133" s="58" t="str">
        <x:v>AB</x:v>
      </x:c>
      <x:c r="F133" s="82" t="n">
        <x:v>18798.61</x:v>
      </x:c>
      <x:c r="G133" s="86" t="n">
        <x:v>0.05</x:v>
      </x:c>
      <x:c r="H133" s="82" t="n">
        <x:v>939.93</x:v>
      </x:c>
      <x:c r="I133" s="82" t="n">
        <x:f>F133*G133</x:f>
        <x:v>939.9305</x:v>
      </x:c>
      <x:c r="J133" s="82" t="n">
        <x:f>H133-I133</x:f>
        <x:v>-0.0005000000001018634</x:v>
      </x:c>
      <x:c r="K133" s="58" t="str">
        <x:f>IF(ABS(J133)&gt;1,"Review","OK")</x:f>
        <x:v>OK</x:v>
      </x:c>
      <x:c r="L133" s="59" t="str">
        <x:v>N/A</x:v>
      </x:c>
    </x:row>
    <x:row r="134">
      <x:c r="A134" s="57" t="str">
        <x:v>TAX-0133</x:v>
      </x:c>
      <x:c r="B134" s="58" t="str">
        <x:v>Purchase</x:v>
      </x:c>
      <x:c r="C134" s="78" t="n">
        <x:v>46146</x:v>
      </x:c>
      <x:c r="D134" s="58" t="str">
        <x:v>Party 45</x:v>
      </x:c>
      <x:c r="E134" s="58" t="str">
        <x:v>ON</x:v>
      </x:c>
      <x:c r="F134" s="82" t="n">
        <x:v>906.16</x:v>
      </x:c>
      <x:c r="G134" s="86" t="n">
        <x:v>0.13</x:v>
      </x:c>
      <x:c r="H134" s="82" t="n">
        <x:v>117.8</x:v>
      </x:c>
      <x:c r="I134" s="82" t="n">
        <x:f>F134*G134</x:f>
        <x:v>117.8008</x:v>
      </x:c>
      <x:c r="J134" s="82" t="n">
        <x:f>H134-I134</x:f>
        <x:v>-0.0007999999999981355</x:v>
      </x:c>
      <x:c r="K134" s="58" t="str">
        <x:f>IF(ABS(J134)&gt;1,"Review","OK")</x:f>
        <x:v>OK</x:v>
      </x:c>
      <x:c r="L134" s="59" t="str">
        <x:v>No</x:v>
      </x:c>
    </x:row>
    <x:row r="135">
      <x:c r="A135" s="57" t="str">
        <x:v>TAX-0134</x:v>
      </x:c>
      <x:c r="B135" s="58" t="str">
        <x:v>Purchase</x:v>
      </x:c>
      <x:c r="C135" s="78" t="n">
        <x:v>46120</x:v>
      </x:c>
      <x:c r="D135" s="58" t="str">
        <x:v>Party 73</x:v>
      </x:c>
      <x:c r="E135" s="58" t="str">
        <x:v>QC</x:v>
      </x:c>
      <x:c r="F135" s="82" t="n">
        <x:v>11574.73</x:v>
      </x:c>
      <x:c r="G135" s="86" t="n">
        <x:v>0.14975</x:v>
      </x:c>
      <x:c r="H135" s="82" t="n">
        <x:v>1733.32</x:v>
      </x:c>
      <x:c r="I135" s="82" t="n">
        <x:f>F135*G135</x:f>
        <x:v>1733.3158174999999</x:v>
      </x:c>
      <x:c r="J135" s="82" t="n">
        <x:f>H135-I135</x:f>
        <x:v>0.004182500000069922</x:v>
      </x:c>
      <x:c r="K135" s="58" t="str">
        <x:f>IF(ABS(J135)&gt;1,"Review","OK")</x:f>
        <x:v>OK</x:v>
      </x:c>
      <x:c r="L135" s="59" t="str">
        <x:v>No</x:v>
      </x:c>
    </x:row>
    <x:row r="136">
      <x:c r="A136" s="57" t="str">
        <x:v>TAX-0135</x:v>
      </x:c>
      <x:c r="B136" s="58" t="str">
        <x:v>Purchase</x:v>
      </x:c>
      <x:c r="C136" s="78" t="n">
        <x:v>46130</x:v>
      </x:c>
      <x:c r="D136" s="58" t="str">
        <x:v>Party 23</x:v>
      </x:c>
      <x:c r="E136" s="58" t="str">
        <x:v>AB</x:v>
      </x:c>
      <x:c r="F136" s="82" t="n">
        <x:v>5392.55</x:v>
      </x:c>
      <x:c r="G136" s="86" t="n">
        <x:v>0.05</x:v>
      </x:c>
      <x:c r="H136" s="82" t="n">
        <x:v>269.63</x:v>
      </x:c>
      <x:c r="I136" s="82" t="n">
        <x:f>F136*G136</x:f>
        <x:v>269.6275</x:v>
      </x:c>
      <x:c r="J136" s="82" t="n">
        <x:f>H136-I136</x:f>
        <x:v>0.0024999999999977263</x:v>
      </x:c>
      <x:c r="K136" s="58" t="str">
        <x:f>IF(ABS(J136)&gt;1,"Review","OK")</x:f>
        <x:v>OK</x:v>
      </x:c>
      <x:c r="L136" s="59" t="str">
        <x:v>No</x:v>
      </x:c>
    </x:row>
    <x:row r="137">
      <x:c r="A137" s="57" t="str">
        <x:v>TAX-0136</x:v>
      </x:c>
      <x:c r="B137" s="58" t="str">
        <x:v>Sales</x:v>
      </x:c>
      <x:c r="C137" s="78" t="n">
        <x:v>46120</x:v>
      </x:c>
      <x:c r="D137" s="58" t="str">
        <x:v>Party 7</x:v>
      </x:c>
      <x:c r="E137" s="58" t="str">
        <x:v>AB</x:v>
      </x:c>
      <x:c r="F137" s="82" t="n">
        <x:v>4833.66</x:v>
      </x:c>
      <x:c r="G137" s="86" t="n">
        <x:v>0.05</x:v>
      </x:c>
      <x:c r="H137" s="82" t="n">
        <x:v>241.68</x:v>
      </x:c>
      <x:c r="I137" s="82" t="n">
        <x:f>F137*G137</x:f>
        <x:v>241.683</x:v>
      </x:c>
      <x:c r="J137" s="82" t="n">
        <x:f>H137-I137</x:f>
        <x:v>-0.002999999999985903</x:v>
      </x:c>
      <x:c r="K137" s="58" t="str">
        <x:f>IF(ABS(J137)&gt;1,"Review","OK")</x:f>
        <x:v>OK</x:v>
      </x:c>
      <x:c r="L137" s="59" t="str">
        <x:v>N/A</x:v>
      </x:c>
    </x:row>
    <x:row r="138">
      <x:c r="A138" s="57" t="str">
        <x:v>TAX-0137</x:v>
      </x:c>
      <x:c r="B138" s="58" t="str">
        <x:v>Sales</x:v>
      </x:c>
      <x:c r="C138" s="78" t="n">
        <x:v>46128</x:v>
      </x:c>
      <x:c r="D138" s="58" t="str">
        <x:v>Party 85</x:v>
      </x:c>
      <x:c r="E138" s="58" t="str">
        <x:v>AB</x:v>
      </x:c>
      <x:c r="F138" s="82" t="n">
        <x:v>22548.45</x:v>
      </x:c>
      <x:c r="G138" s="86" t="n">
        <x:v>0.05</x:v>
      </x:c>
      <x:c r="H138" s="82" t="n">
        <x:v>1127.42</x:v>
      </x:c>
      <x:c r="I138" s="82" t="n">
        <x:f>F138*G138</x:f>
        <x:v>1127.4225000000001</x:v>
      </x:c>
      <x:c r="J138" s="82" t="n">
        <x:f>H138-I138</x:f>
        <x:v>-0.0025000000000545697</x:v>
      </x:c>
      <x:c r="K138" s="58" t="str">
        <x:f>IF(ABS(J138)&gt;1,"Review","OK")</x:f>
        <x:v>OK</x:v>
      </x:c>
      <x:c r="L138" s="59" t="str">
        <x:v>N/A</x:v>
      </x:c>
    </x:row>
    <x:row r="139">
      <x:c r="A139" s="57" t="str">
        <x:v>TAX-0138</x:v>
      </x:c>
      <x:c r="B139" s="58" t="str">
        <x:v>Sales</x:v>
      </x:c>
      <x:c r="C139" s="78" t="n">
        <x:v>46169</x:v>
      </x:c>
      <x:c r="D139" s="58" t="str">
        <x:v>Party 35</x:v>
      </x:c>
      <x:c r="E139" s="58" t="str">
        <x:v>BC</x:v>
      </x:c>
      <x:c r="F139" s="82" t="n">
        <x:v>11323.85</x:v>
      </x:c>
      <x:c r="G139" s="86" t="n">
        <x:v>0.12</x:v>
      </x:c>
      <x:c r="H139" s="82" t="n">
        <x:v>1358.86</x:v>
      </x:c>
      <x:c r="I139" s="82" t="n">
        <x:f>F139*G139</x:f>
        <x:v>1358.862</x:v>
      </x:c>
      <x:c r="J139" s="82" t="n">
        <x:f>H139-I139</x:f>
        <x:v>-0.00200000000018008</x:v>
      </x:c>
      <x:c r="K139" s="58" t="str">
        <x:f>IF(ABS(J139)&gt;1,"Review","OK")</x:f>
        <x:v>OK</x:v>
      </x:c>
      <x:c r="L139" s="59" t="str">
        <x:v>N/A</x:v>
      </x:c>
    </x:row>
    <x:row r="140">
      <x:c r="A140" s="57" t="str">
        <x:v>TAX-0139</x:v>
      </x:c>
      <x:c r="B140" s="58" t="str">
        <x:v>Sales</x:v>
      </x:c>
      <x:c r="C140" s="78" t="n">
        <x:v>46127</x:v>
      </x:c>
      <x:c r="D140" s="58" t="str">
        <x:v>Party 24</x:v>
      </x:c>
      <x:c r="E140" s="58" t="str">
        <x:v>BC</x:v>
      </x:c>
      <x:c r="F140" s="82" t="n">
        <x:v>17601.98</x:v>
      </x:c>
      <x:c r="G140" s="86" t="n">
        <x:v>0.12</x:v>
      </x:c>
      <x:c r="H140" s="82" t="n">
        <x:v>2112.24</x:v>
      </x:c>
      <x:c r="I140" s="82" t="n">
        <x:f>F140*G140</x:f>
        <x:v>2112.2376</x:v>
      </x:c>
      <x:c r="J140" s="82" t="n">
        <x:f>H140-I140</x:f>
        <x:v>0.002399999999852298</x:v>
      </x:c>
      <x:c r="K140" s="58" t="str">
        <x:f>IF(ABS(J140)&gt;1,"Review","OK")</x:f>
        <x:v>OK</x:v>
      </x:c>
      <x:c r="L140" s="59" t="str">
        <x:v>N/A</x:v>
      </x:c>
    </x:row>
    <x:row r="141">
      <x:c r="A141" s="57" t="str">
        <x:v>TAX-0140</x:v>
      </x:c>
      <x:c r="B141" s="58" t="str">
        <x:v>Purchase</x:v>
      </x:c>
      <x:c r="C141" s="78" t="n">
        <x:v>46141</x:v>
      </x:c>
      <x:c r="D141" s="58" t="str">
        <x:v>Party 51</x:v>
      </x:c>
      <x:c r="E141" s="58" t="str">
        <x:v>ON</x:v>
      </x:c>
      <x:c r="F141" s="82" t="n">
        <x:v>1975.29</x:v>
      </x:c>
      <x:c r="G141" s="86" t="n">
        <x:v>0.13</x:v>
      </x:c>
      <x:c r="H141" s="82" t="n">
        <x:v>256.79</x:v>
      </x:c>
      <x:c r="I141" s="82" t="n">
        <x:f>F141*G141</x:f>
        <x:v>256.78770000000003</x:v>
      </x:c>
      <x:c r="J141" s="82" t="n">
        <x:f>H141-I141</x:f>
        <x:v>0.002299999999991087</x:v>
      </x:c>
      <x:c r="K141" s="58" t="str">
        <x:f>IF(ABS(J141)&gt;1,"Review","OK")</x:f>
        <x:v>OK</x:v>
      </x:c>
      <x:c r="L141" s="59" t="str">
        <x:v>Yes</x:v>
      </x:c>
    </x:row>
    <x:row r="142">
      <x:c r="A142" s="57" t="str">
        <x:v>TAX-0141</x:v>
      </x:c>
      <x:c r="B142" s="58" t="str">
        <x:v>Purchase</x:v>
      </x:c>
      <x:c r="C142" s="78" t="n">
        <x:v>46125</x:v>
      </x:c>
      <x:c r="D142" s="58" t="str">
        <x:v>Party 16</x:v>
      </x:c>
      <x:c r="E142" s="58" t="str">
        <x:v>QC</x:v>
      </x:c>
      <x:c r="F142" s="82" t="n">
        <x:v>24809.07</x:v>
      </x:c>
      <x:c r="G142" s="86" t="n">
        <x:v>0.14975</x:v>
      </x:c>
      <x:c r="H142" s="82" t="n">
        <x:v>3721.89</x:v>
      </x:c>
      <x:c r="I142" s="82" t="n">
        <x:f>F142*G142</x:f>
        <x:v>3715.1582325</x:v>
      </x:c>
      <x:c r="J142" s="82" t="n">
        <x:f>H142-I142</x:f>
        <x:v>6.731767499999933</x:v>
      </x:c>
      <x:c r="K142" s="58" t="str">
        <x:f>IF(ABS(J142)&gt;1,"Review","OK")</x:f>
        <x:v>Review</x:v>
      </x:c>
      <x:c r="L142" s="59" t="str">
        <x:v>No</x:v>
      </x:c>
    </x:row>
    <x:row r="143">
      <x:c r="A143" s="57" t="str">
        <x:v>TAX-0142</x:v>
      </x:c>
      <x:c r="B143" s="58" t="str">
        <x:v>Sales</x:v>
      </x:c>
      <x:c r="C143" s="78" t="n">
        <x:v>46117</x:v>
      </x:c>
      <x:c r="D143" s="58" t="str">
        <x:v>Party 86</x:v>
      </x:c>
      <x:c r="E143" s="58" t="str">
        <x:v>BC</x:v>
      </x:c>
      <x:c r="F143" s="82" t="n">
        <x:v>11933.16</x:v>
      </x:c>
      <x:c r="G143" s="86" t="n">
        <x:v>0.12</x:v>
      </x:c>
      <x:c r="H143" s="82" t="n">
        <x:v>1431.98</x:v>
      </x:c>
      <x:c r="I143" s="82" t="n">
        <x:f>F143*G143</x:f>
        <x:v>1431.9792</x:v>
      </x:c>
      <x:c r="J143" s="82" t="n">
        <x:f>H143-I143</x:f>
        <x:v>0.0008000000000265572</x:v>
      </x:c>
      <x:c r="K143" s="58" t="str">
        <x:f>IF(ABS(J143)&gt;1,"Review","OK")</x:f>
        <x:v>OK</x:v>
      </x:c>
      <x:c r="L143" s="59" t="str">
        <x:v>N/A</x:v>
      </x:c>
    </x:row>
    <x:row r="144">
      <x:c r="A144" s="57" t="str">
        <x:v>TAX-0143</x:v>
      </x:c>
      <x:c r="B144" s="58" t="str">
        <x:v>Purchase</x:v>
      </x:c>
      <x:c r="C144" s="78" t="n">
        <x:v>46150</x:v>
      </x:c>
      <x:c r="D144" s="58" t="str">
        <x:v>Party 46</x:v>
      </x:c>
      <x:c r="E144" s="58" t="str">
        <x:v>ON</x:v>
      </x:c>
      <x:c r="F144" s="82" t="n">
        <x:v>8814.21</x:v>
      </x:c>
      <x:c r="G144" s="86" t="n">
        <x:v>0.13</x:v>
      </x:c>
      <x:c r="H144" s="82" t="n">
        <x:v>1145.85</x:v>
      </x:c>
      <x:c r="I144" s="82" t="n">
        <x:f>F144*G144</x:f>
        <x:v>1145.8473</x:v>
      </x:c>
      <x:c r="J144" s="82" t="n">
        <x:f>H144-I144</x:f>
        <x:v>0.0027000000000043656</x:v>
      </x:c>
      <x:c r="K144" s="58" t="str">
        <x:f>IF(ABS(J144)&gt;1,"Review","OK")</x:f>
        <x:v>OK</x:v>
      </x:c>
      <x:c r="L144" s="59" t="str">
        <x:v>No</x:v>
      </x:c>
    </x:row>
    <x:row r="145">
      <x:c r="A145" s="57" t="str">
        <x:v>TAX-0144</x:v>
      </x:c>
      <x:c r="B145" s="58" t="str">
        <x:v>Sales</x:v>
      </x:c>
      <x:c r="C145" s="78" t="n">
        <x:v>46178</x:v>
      </x:c>
      <x:c r="D145" s="58" t="str">
        <x:v>Party 85</x:v>
      </x:c>
      <x:c r="E145" s="58" t="str">
        <x:v>ON</x:v>
      </x:c>
      <x:c r="F145" s="82" t="n">
        <x:v>18176.62</x:v>
      </x:c>
      <x:c r="G145" s="86" t="n">
        <x:v>0.13</x:v>
      </x:c>
      <x:c r="H145" s="82" t="n">
        <x:v>2362.96</x:v>
      </x:c>
      <x:c r="I145" s="82" t="n">
        <x:f>F145*G145</x:f>
        <x:v>2362.9606</x:v>
      </x:c>
      <x:c r="J145" s="82" t="n">
        <x:f>H145-I145</x:f>
        <x:v>-0.0005999999998493877</x:v>
      </x:c>
      <x:c r="K145" s="58" t="str">
        <x:f>IF(ABS(J145)&gt;1,"Review","OK")</x:f>
        <x:v>OK</x:v>
      </x:c>
      <x:c r="L145" s="59" t="str">
        <x:v>N/A</x:v>
      </x:c>
    </x:row>
    <x:row r="146">
      <x:c r="A146" s="57" t="str">
        <x:v>TAX-0145</x:v>
      </x:c>
      <x:c r="B146" s="58" t="str">
        <x:v>Purchase</x:v>
      </x:c>
      <x:c r="C146" s="78" t="n">
        <x:v>46150</x:v>
      </x:c>
      <x:c r="D146" s="58" t="str">
        <x:v>Party 15</x:v>
      </x:c>
      <x:c r="E146" s="58" t="str">
        <x:v>ON</x:v>
      </x:c>
      <x:c r="F146" s="82" t="n">
        <x:v>24663.35</x:v>
      </x:c>
      <x:c r="G146" s="86" t="n">
        <x:v>0.13</x:v>
      </x:c>
      <x:c r="H146" s="82" t="n">
        <x:v>3206.24</x:v>
      </x:c>
      <x:c r="I146" s="82" t="n">
        <x:f>F146*G146</x:f>
        <x:v>3206.2355</x:v>
      </x:c>
      <x:c r="J146" s="82" t="n">
        <x:f>H146-I146</x:f>
        <x:v>0.004500000000007276</x:v>
      </x:c>
      <x:c r="K146" s="58" t="str">
        <x:f>IF(ABS(J146)&gt;1,"Review","OK")</x:f>
        <x:v>OK</x:v>
      </x:c>
      <x:c r="L146" s="59" t="str">
        <x:v>Yes</x:v>
      </x:c>
    </x:row>
    <x:row r="147">
      <x:c r="A147" s="57" t="str">
        <x:v>TAX-0146</x:v>
      </x:c>
      <x:c r="B147" s="58" t="str">
        <x:v>Sales</x:v>
      </x:c>
      <x:c r="C147" s="78" t="n">
        <x:v>46180</x:v>
      </x:c>
      <x:c r="D147" s="58" t="str">
        <x:v>Party 88</x:v>
      </x:c>
      <x:c r="E147" s="58" t="str">
        <x:v>ON</x:v>
      </x:c>
      <x:c r="F147" s="82" t="n">
        <x:v>10373.39</x:v>
      </x:c>
      <x:c r="G147" s="86" t="n">
        <x:v>0.13</x:v>
      </x:c>
      <x:c r="H147" s="82" t="n">
        <x:v>1348.54</x:v>
      </x:c>
      <x:c r="I147" s="82" t="n">
        <x:f>F147*G147</x:f>
        <x:v>1348.5407</x:v>
      </x:c>
      <x:c r="J147" s="82" t="n">
        <x:f>H147-I147</x:f>
        <x:v>-0.0007000000000516593</x:v>
      </x:c>
      <x:c r="K147" s="58" t="str">
        <x:f>IF(ABS(J147)&gt;1,"Review","OK")</x:f>
        <x:v>OK</x:v>
      </x:c>
      <x:c r="L147" s="59" t="str">
        <x:v>N/A</x:v>
      </x:c>
    </x:row>
    <x:row r="148">
      <x:c r="A148" s="57" t="str">
        <x:v>TAX-0147</x:v>
      </x:c>
      <x:c r="B148" s="58" t="str">
        <x:v>Purchase</x:v>
      </x:c>
      <x:c r="C148" s="78" t="n">
        <x:v>46203</x:v>
      </x:c>
      <x:c r="D148" s="58" t="str">
        <x:v>Party 43</x:v>
      </x:c>
      <x:c r="E148" s="58" t="str">
        <x:v>ON</x:v>
      </x:c>
      <x:c r="F148" s="82" t="n">
        <x:v>23199.75</x:v>
      </x:c>
      <x:c r="G148" s="86" t="n">
        <x:v>0.13</x:v>
      </x:c>
      <x:c r="H148" s="82" t="n">
        <x:v>3015.97</x:v>
      </x:c>
      <x:c r="I148" s="82" t="n">
        <x:f>F148*G148</x:f>
        <x:v>3015.9675</x:v>
      </x:c>
      <x:c r="J148" s="82" t="n">
        <x:f>H148-I148</x:f>
        <x:v>0.0024999999995998223</x:v>
      </x:c>
      <x:c r="K148" s="58" t="str">
        <x:f>IF(ABS(J148)&gt;1,"Review","OK")</x:f>
        <x:v>OK</x:v>
      </x:c>
      <x:c r="L148" s="59" t="str">
        <x:v>Yes</x:v>
      </x:c>
    </x:row>
    <x:row r="149">
      <x:c r="A149" s="57" t="str">
        <x:v>TAX-0148</x:v>
      </x:c>
      <x:c r="B149" s="58" t="str">
        <x:v>Sales</x:v>
      </x:c>
      <x:c r="C149" s="78" t="n">
        <x:v>46141</x:v>
      </x:c>
      <x:c r="D149" s="58" t="str">
        <x:v>Party 57</x:v>
      </x:c>
      <x:c r="E149" s="58" t="str">
        <x:v>ON</x:v>
      </x:c>
      <x:c r="F149" s="82" t="n">
        <x:v>11314.44</x:v>
      </x:c>
      <x:c r="G149" s="86" t="n">
        <x:v>0.13</x:v>
      </x:c>
      <x:c r="H149" s="82" t="n">
        <x:v>1470.88</x:v>
      </x:c>
      <x:c r="I149" s="82" t="n">
        <x:f>F149*G149</x:f>
        <x:v>1470.8772000000001</x:v>
      </x:c>
      <x:c r="J149" s="82" t="n">
        <x:f>H149-I149</x:f>
        <x:v>0.0027999999999792635</x:v>
      </x:c>
      <x:c r="K149" s="58" t="str">
        <x:f>IF(ABS(J149)&gt;1,"Review","OK")</x:f>
        <x:v>OK</x:v>
      </x:c>
      <x:c r="L149" s="59" t="str">
        <x:v>N/A</x:v>
      </x:c>
    </x:row>
    <x:row r="150">
      <x:c r="A150" s="57" t="str">
        <x:v>TAX-0149</x:v>
      </x:c>
      <x:c r="B150" s="58" t="str">
        <x:v>Sales</x:v>
      </x:c>
      <x:c r="C150" s="78" t="n">
        <x:v>46120</x:v>
      </x:c>
      <x:c r="D150" s="58" t="str">
        <x:v>Party 29</x:v>
      </x:c>
      <x:c r="E150" s="58" t="str">
        <x:v>QC</x:v>
      </x:c>
      <x:c r="F150" s="82" t="n">
        <x:v>10482.17</x:v>
      </x:c>
      <x:c r="G150" s="86" t="n">
        <x:v>0.14975</x:v>
      </x:c>
      <x:c r="H150" s="82" t="n">
        <x:v>1569.7</x:v>
      </x:c>
      <x:c r="I150" s="82" t="n">
        <x:f>F150*G150</x:f>
        <x:v>1569.7049574999999</x:v>
      </x:c>
      <x:c r="J150" s="82" t="n">
        <x:f>H150-I150</x:f>
        <x:v>-0.004957499999818538</x:v>
      </x:c>
      <x:c r="K150" s="58" t="str">
        <x:f>IF(ABS(J150)&gt;1,"Review","OK")</x:f>
        <x:v>OK</x:v>
      </x:c>
      <x:c r="L150" s="59" t="str">
        <x:v>N/A</x:v>
      </x:c>
    </x:row>
    <x:row r="151">
      <x:c r="A151" s="57" t="str">
        <x:v>TAX-0150</x:v>
      </x:c>
      <x:c r="B151" s="58" t="str">
        <x:v>Sales</x:v>
      </x:c>
      <x:c r="C151" s="78" t="n">
        <x:v>46133</x:v>
      </x:c>
      <x:c r="D151" s="58" t="str">
        <x:v>Party 54</x:v>
      </x:c>
      <x:c r="E151" s="58" t="str">
        <x:v>ON</x:v>
      </x:c>
      <x:c r="F151" s="82" t="n">
        <x:v>21785.17</x:v>
      </x:c>
      <x:c r="G151" s="86" t="n">
        <x:v>0.13</x:v>
      </x:c>
      <x:c r="H151" s="82" t="n">
        <x:v>2832.07</x:v>
      </x:c>
      <x:c r="I151" s="82" t="n">
        <x:f>F151*G151</x:f>
        <x:v>2832.0721</x:v>
      </x:c>
      <x:c r="J151" s="82" t="n">
        <x:f>H151-I151</x:f>
        <x:v>-0.0020999999997002305</x:v>
      </x:c>
      <x:c r="K151" s="58" t="str">
        <x:f>IF(ABS(J151)&gt;1,"Review","OK")</x:f>
        <x:v>OK</x:v>
      </x:c>
      <x:c r="L151" s="59" t="str">
        <x:v>N/A</x:v>
      </x:c>
    </x:row>
    <x:row r="152">
      <x:c r="A152" s="57" t="str">
        <x:v>TAX-0151</x:v>
      </x:c>
      <x:c r="B152" s="58" t="str">
        <x:v>Sales</x:v>
      </x:c>
      <x:c r="C152" s="78" t="n">
        <x:v>46173</x:v>
      </x:c>
      <x:c r="D152" s="58" t="str">
        <x:v>Party 83</x:v>
      </x:c>
      <x:c r="E152" s="58" t="str">
        <x:v>ON</x:v>
      </x:c>
      <x:c r="F152" s="82" t="n">
        <x:v>3122.41</x:v>
      </x:c>
      <x:c r="G152" s="86" t="n">
        <x:v>0.13</x:v>
      </x:c>
      <x:c r="H152" s="82" t="n">
        <x:v>405.91</x:v>
      </x:c>
      <x:c r="I152" s="82" t="n">
        <x:f>F152*G152</x:f>
        <x:v>405.9133</x:v>
      </x:c>
      <x:c r="J152" s="82" t="n">
        <x:f>H152-I152</x:f>
        <x:v>-0.00329999999996744</x:v>
      </x:c>
      <x:c r="K152" s="58" t="str">
        <x:f>IF(ABS(J152)&gt;1,"Review","OK")</x:f>
        <x:v>OK</x:v>
      </x:c>
      <x:c r="L152" s="59" t="str">
        <x:v>N/A</x:v>
      </x:c>
    </x:row>
    <x:row r="153">
      <x:c r="A153" s="57" t="str">
        <x:v>TAX-0152</x:v>
      </x:c>
      <x:c r="B153" s="58" t="str">
        <x:v>Purchase</x:v>
      </x:c>
      <x:c r="C153" s="78" t="n">
        <x:v>46172</x:v>
      </x:c>
      <x:c r="D153" s="58" t="str">
        <x:v>Party 50</x:v>
      </x:c>
      <x:c r="E153" s="58" t="str">
        <x:v>QC</x:v>
      </x:c>
      <x:c r="F153" s="82" t="n">
        <x:v>23102.87</x:v>
      </x:c>
      <x:c r="G153" s="86" t="n">
        <x:v>0.14975</x:v>
      </x:c>
      <x:c r="H153" s="82" t="n">
        <x:v>3459.65</x:v>
      </x:c>
      <x:c r="I153" s="82" t="n">
        <x:f>F153*G153</x:f>
        <x:v>3459.6547825</x:v>
      </x:c>
      <x:c r="J153" s="82" t="n">
        <x:f>H153-I153</x:f>
        <x:v>-0.004782499999691936</x:v>
      </x:c>
      <x:c r="K153" s="58" t="str">
        <x:f>IF(ABS(J153)&gt;1,"Review","OK")</x:f>
        <x:v>OK</x:v>
      </x:c>
      <x:c r="L153" s="59" t="str">
        <x:v>Yes</x:v>
      </x:c>
    </x:row>
    <x:row r="154">
      <x:c r="A154" s="57" t="str">
        <x:v>TAX-0153</x:v>
      </x:c>
      <x:c r="B154" s="58" t="str">
        <x:v>Sales</x:v>
      </x:c>
      <x:c r="C154" s="78" t="n">
        <x:v>46189</x:v>
      </x:c>
      <x:c r="D154" s="58" t="str">
        <x:v>Party 59</x:v>
      </x:c>
      <x:c r="E154" s="58" t="str">
        <x:v>AB</x:v>
      </x:c>
      <x:c r="F154" s="82" t="n">
        <x:v>13137.61</x:v>
      </x:c>
      <x:c r="G154" s="86" t="n">
        <x:v>0.05</x:v>
      </x:c>
      <x:c r="H154" s="82" t="n">
        <x:v>656.88</x:v>
      </x:c>
      <x:c r="I154" s="82" t="n">
        <x:f>F154*G154</x:f>
        <x:v>656.8805000000001</x:v>
      </x:c>
      <x:c r="J154" s="82" t="n">
        <x:f>H154-I154</x:f>
        <x:v>-0.0005000000001018634</x:v>
      </x:c>
      <x:c r="K154" s="58" t="str">
        <x:f>IF(ABS(J154)&gt;1,"Review","OK")</x:f>
        <x:v>OK</x:v>
      </x:c>
      <x:c r="L154" s="59" t="str">
        <x:v>N/A</x:v>
      </x:c>
    </x:row>
    <x:row r="155">
      <x:c r="A155" s="57" t="str">
        <x:v>TAX-0154</x:v>
      </x:c>
      <x:c r="B155" s="58" t="str">
        <x:v>Purchase</x:v>
      </x:c>
      <x:c r="C155" s="78" t="n">
        <x:v>46193</x:v>
      </x:c>
      <x:c r="D155" s="58" t="str">
        <x:v>Party 17</x:v>
      </x:c>
      <x:c r="E155" s="58" t="str">
        <x:v>QC</x:v>
      </x:c>
      <x:c r="F155" s="82" t="n">
        <x:v>11258.27</x:v>
      </x:c>
      <x:c r="G155" s="86" t="n">
        <x:v>0.14975</x:v>
      </x:c>
      <x:c r="H155" s="82" t="n">
        <x:v>1685.93</x:v>
      </x:c>
      <x:c r="I155" s="82" t="n">
        <x:f>F155*G155</x:f>
        <x:v>1685.9259325</x:v>
      </x:c>
      <x:c r="J155" s="82" t="n">
        <x:f>H155-I155</x:f>
        <x:v>0.0040675000000192085</x:v>
      </x:c>
      <x:c r="K155" s="58" t="str">
        <x:f>IF(ABS(J155)&gt;1,"Review","OK")</x:f>
        <x:v>OK</x:v>
      </x:c>
      <x:c r="L155" s="59" t="str">
        <x:v>Yes</x:v>
      </x:c>
    </x:row>
    <x:row r="156">
      <x:c r="A156" s="57" t="str">
        <x:v>TAX-0155</x:v>
      </x:c>
      <x:c r="B156" s="58" t="str">
        <x:v>Purchase</x:v>
      </x:c>
      <x:c r="C156" s="78" t="n">
        <x:v>46182</x:v>
      </x:c>
      <x:c r="D156" s="58" t="str">
        <x:v>Party 13</x:v>
      </x:c>
      <x:c r="E156" s="58" t="str">
        <x:v>ON</x:v>
      </x:c>
      <x:c r="F156" s="82" t="n">
        <x:v>3981.1</x:v>
      </x:c>
      <x:c r="G156" s="86" t="n">
        <x:v>0.13</x:v>
      </x:c>
      <x:c r="H156" s="82" t="n">
        <x:v>515.75</x:v>
      </x:c>
      <x:c r="I156" s="82" t="n">
        <x:f>F156*G156</x:f>
        <x:v>517.543</x:v>
      </x:c>
      <x:c r="J156" s="82" t="n">
        <x:f>H156-I156</x:f>
        <x:v>-1.7930000000000064</x:v>
      </x:c>
      <x:c r="K156" s="58" t="str">
        <x:f>IF(ABS(J156)&gt;1,"Review","OK")</x:f>
        <x:v>Review</x:v>
      </x:c>
      <x:c r="L156" s="59" t="str">
        <x:v>Yes</x:v>
      </x:c>
    </x:row>
    <x:row r="157">
      <x:c r="A157" s="57" t="str">
        <x:v>TAX-0156</x:v>
      </x:c>
      <x:c r="B157" s="58" t="str">
        <x:v>Sales</x:v>
      </x:c>
      <x:c r="C157" s="78" t="n">
        <x:v>46138</x:v>
      </x:c>
      <x:c r="D157" s="58" t="str">
        <x:v>Party 44</x:v>
      </x:c>
      <x:c r="E157" s="58" t="str">
        <x:v>ON</x:v>
      </x:c>
      <x:c r="F157" s="82" t="n">
        <x:v>12175.29</x:v>
      </x:c>
      <x:c r="G157" s="86" t="n">
        <x:v>0.13</x:v>
      </x:c>
      <x:c r="H157" s="82" t="n">
        <x:v>1582.79</x:v>
      </x:c>
      <x:c r="I157" s="82" t="n">
        <x:f>F157*G157</x:f>
        <x:v>1582.7877</x:v>
      </x:c>
      <x:c r="J157" s="82" t="n">
        <x:f>H157-I157</x:f>
        <x:v>0.0022999999998774</x:v>
      </x:c>
      <x:c r="K157" s="58" t="str">
        <x:f>IF(ABS(J157)&gt;1,"Review","OK")</x:f>
        <x:v>OK</x:v>
      </x:c>
      <x:c r="L157" s="59" t="str">
        <x:v>N/A</x:v>
      </x:c>
    </x:row>
    <x:row r="158">
      <x:c r="A158" s="57" t="str">
        <x:v>TAX-0157</x:v>
      </x:c>
      <x:c r="B158" s="58" t="str">
        <x:v>Sales</x:v>
      </x:c>
      <x:c r="C158" s="78" t="n">
        <x:v>46140</x:v>
      </x:c>
      <x:c r="D158" s="58" t="str">
        <x:v>Party 12</x:v>
      </x:c>
      <x:c r="E158" s="58" t="str">
        <x:v>BC</x:v>
      </x:c>
      <x:c r="F158" s="82" t="n">
        <x:v>1866.32</x:v>
      </x:c>
      <x:c r="G158" s="86" t="n">
        <x:v>0.12</x:v>
      </x:c>
      <x:c r="H158" s="82" t="n">
        <x:v>223.96</x:v>
      </x:c>
      <x:c r="I158" s="82" t="n">
        <x:f>F158*G158</x:f>
        <x:v>223.95839999999998</x:v>
      </x:c>
      <x:c r="J158" s="82" t="n">
        <x:f>H158-I158</x:f>
        <x:v>0.0016000000000246928</x:v>
      </x:c>
      <x:c r="K158" s="58" t="str">
        <x:f>IF(ABS(J158)&gt;1,"Review","OK")</x:f>
        <x:v>OK</x:v>
      </x:c>
      <x:c r="L158" s="59" t="str">
        <x:v>N/A</x:v>
      </x:c>
    </x:row>
    <x:row r="159">
      <x:c r="A159" s="57" t="str">
        <x:v>TAX-0158</x:v>
      </x:c>
      <x:c r="B159" s="58" t="str">
        <x:v>Sales</x:v>
      </x:c>
      <x:c r="C159" s="78" t="n">
        <x:v>46139</x:v>
      </x:c>
      <x:c r="D159" s="58" t="str">
        <x:v>Party 50</x:v>
      </x:c>
      <x:c r="E159" s="58" t="str">
        <x:v>BC</x:v>
      </x:c>
      <x:c r="F159" s="82" t="n">
        <x:v>2029.35</x:v>
      </x:c>
      <x:c r="G159" s="86" t="n">
        <x:v>0.12</x:v>
      </x:c>
      <x:c r="H159" s="82" t="n">
        <x:v>246.98</x:v>
      </x:c>
      <x:c r="I159" s="82" t="n">
        <x:f>F159*G159</x:f>
        <x:v>243.522</x:v>
      </x:c>
      <x:c r="J159" s="82" t="n">
        <x:f>H159-I159</x:f>
        <x:v>3.4579999999999984</x:v>
      </x:c>
      <x:c r="K159" s="58" t="str">
        <x:f>IF(ABS(J159)&gt;1,"Review","OK")</x:f>
        <x:v>Review</x:v>
      </x:c>
      <x:c r="L159" s="59" t="str">
        <x:v>N/A</x:v>
      </x:c>
    </x:row>
    <x:row r="160">
      <x:c r="A160" s="57" t="str">
        <x:v>TAX-0159</x:v>
      </x:c>
      <x:c r="B160" s="58" t="str">
        <x:v>Sales</x:v>
      </x:c>
      <x:c r="C160" s="78" t="n">
        <x:v>46139</x:v>
      </x:c>
      <x:c r="D160" s="58" t="str">
        <x:v>Party 23</x:v>
      </x:c>
      <x:c r="E160" s="58" t="str">
        <x:v>ON</x:v>
      </x:c>
      <x:c r="F160" s="82" t="n">
        <x:v>4988.56</x:v>
      </x:c>
      <x:c r="G160" s="86" t="n">
        <x:v>0.13</x:v>
      </x:c>
      <x:c r="H160" s="82" t="n">
        <x:v>648.51</x:v>
      </x:c>
      <x:c r="I160" s="82" t="n">
        <x:f>F160*G160</x:f>
        <x:v>648.5128000000001</x:v>
      </x:c>
      <x:c r="J160" s="82" t="n">
        <x:f>H160-I160</x:f>
        <x:v>-0.0028000000000929504</x:v>
      </x:c>
      <x:c r="K160" s="58" t="str">
        <x:f>IF(ABS(J160)&gt;1,"Review","OK")</x:f>
        <x:v>OK</x:v>
      </x:c>
      <x:c r="L160" s="59" t="str">
        <x:v>N/A</x:v>
      </x:c>
    </x:row>
    <x:row r="161">
      <x:c r="A161" s="60" t="str">
        <x:v>TAX-0160</x:v>
      </x:c>
      <x:c r="B161" s="61" t="str">
        <x:v>Sales</x:v>
      </x:c>
      <x:c r="C161" s="79" t="n">
        <x:v>46161</x:v>
      </x:c>
      <x:c r="D161" s="61" t="str">
        <x:v>Party 17</x:v>
      </x:c>
      <x:c r="E161" s="61" t="str">
        <x:v>AB</x:v>
      </x:c>
      <x:c r="F161" s="83" t="n">
        <x:v>996.3</x:v>
      </x:c>
      <x:c r="G161" s="87" t="n">
        <x:v>0.05</x:v>
      </x:c>
      <x:c r="H161" s="83" t="n">
        <x:v>49.81</x:v>
      </x:c>
      <x:c r="I161" s="83" t="n">
        <x:f>F161*G161</x:f>
        <x:v>49.815</x:v>
      </x:c>
      <x:c r="J161" s="83" t="n">
        <x:f>H161-I161</x:f>
        <x:v>-0.0049999999999954525</x:v>
      </x:c>
      <x:c r="K161" s="61" t="str">
        <x:f>IF(ABS(J161)&gt;1,"Review","OK")</x:f>
        <x:v>OK</x:v>
      </x:c>
      <x:c r="L161" s="62" t="str">
        <x:v>N/A</x:v>
      </x:c>
    </x:row>
  </x:sheetData>
  <x:conditionalFormatting sqref="K2:K161">
    <x:cfRule type="expression" dxfId="0" priority="1">
      <x:formula>K2="Review"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5" hidden="0" customWidth="1"/>
  </x:cols>
  <x:sheetData>
    <x:row r="1" ht="30" customHeight="1">
      <x:c r="A1" s="94" t="str">
        <x:v>Doc_ID</x:v>
      </x:c>
      <x:c r="B1" s="94" t="str">
        <x:v>Doc_Type</x:v>
      </x:c>
      <x:c r="C1" s="94" t="str">
        <x:v>Date</x:v>
      </x:c>
      <x:c r="D1" s="94" t="str">
        <x:v>Party</x:v>
      </x:c>
      <x:c r="E1" s="94" t="str">
        <x:v>Province</x:v>
      </x:c>
      <x:c r="F1" s="94" t="str">
        <x:v>Taxable_Amount</x:v>
      </x:c>
      <x:c r="G1" s="94" t="str">
        <x:v>Tax_Rate</x:v>
      </x:c>
      <x:c r="H1" s="94" t="str">
        <x:v>Tax_Recorded</x:v>
      </x:c>
      <x:c r="I1" s="94" t="str">
        <x:v>Expected_Tax</x:v>
      </x:c>
      <x:c r="J1" s="94" t="str">
        <x:v>Tax_Variance</x:v>
      </x:c>
      <x:c r="K1" s="94" t="str">
        <x:v>Status</x:v>
      </x:c>
      <x:c r="L1" s="94" t="str">
        <x:v>ITC_Eligible</x:v>
      </x:c>
    </x:row>
    <x:row r="2">
      <x:c r="A2" t="e">
        <x:f>FILTER(Data!A:L,Data!K:K="Review","No tax review items")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102" t="str">
        <x:v>GST/PST Tax Dashboard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42" t="str">
        <x:v>KPI</x:v>
      </x:c>
      <x:c r="B4" s="42" t="str">
        <x:v>Value</x:v>
      </x:c>
      <x:c r="D4" s="125" t="str">
        <x:v>Category</x:v>
      </x:c>
      <x:c r="E4" s="125" t="str">
        <x:v>Value</x:v>
      </x:c>
    </x:row>
    <x:row r="5">
      <x:c r="A5" s="111" t="str">
        <x:v>Sales Tax Collected</x:v>
      </x:c>
      <x:c r="B5" s="116" t="n">
        <x:f>SUMIFS(Data!$H:$H,Data!$B:$B,"Sales")</x:f>
        <x:v>106160.84000000001</x:v>
      </x:c>
      <x:c r="D5" t="str">
        <x:v>ON</x:v>
      </x:c>
      <x:c r="E5" s="106" t="n">
        <x:f>SUMIF(Data!$E:$E,D5,Data!$H:$H)</x:f>
        <x:v>70752.89</x:v>
      </x:c>
    </x:row>
    <x:row r="6">
      <x:c r="A6" s="111" t="str">
        <x:v>ITC Tax Paid</x:v>
      </x:c>
      <x:c r="B6" s="116" t="n">
        <x:f>SUMIFS(Data!$H:$H,Data!$B:$B,"Purchase",Data!$L:$L,"Yes")</x:f>
        <x:v>71615.75999999998</x:v>
      </x:c>
      <x:c r="D6" t="str">
        <x:v>BC</x:v>
      </x:c>
      <x:c r="E6" s="106" t="n">
        <x:f>SUMIF(Data!$E:$E,D6,Data!$H:$H)</x:f>
        <x:v>66533.09000000001</x:v>
      </x:c>
    </x:row>
    <x:row r="7">
      <x:c r="A7" s="111" t="str">
        <x:v>Net Tax Payable</x:v>
      </x:c>
      <x:c r="B7" s="116" t="n">
        <x:f>B5-B6</x:f>
        <x:v>34545.08000000003</x:v>
      </x:c>
      <x:c r="D7" t="str">
        <x:v>AB</x:v>
      </x:c>
      <x:c r="E7" s="106" t="n">
        <x:f>SUMIF(Data!$E:$E,D7,Data!$H:$H)</x:f>
        <x:v>29968.810000000005</x:v>
      </x:c>
    </x:row>
    <x:row r="8">
      <x:c r="A8" s="111" t="str">
        <x:v>Tax Review Items</x:v>
      </x:c>
      <x:c r="B8" s="117" t="n">
        <x:f>COUNTIF(Data!$K:$K,"Review")</x:f>
        <x:v>36</x:v>
      </x:c>
      <x:c r="D8" t="str">
        <x:v>QC</x:v>
      </x:c>
      <x:c r="E8" s="106" t="n">
        <x:f>SUMIF(Data!$E:$E,D8,Data!$H:$H)</x:f>
        <x:v>64524.90999999998</x:v>
      </x:c>
    </x:row>
    <x:row r="9">
      <x:c r="A9" s="111" t="str">
        <x:v>Non-Eligible ITC</x:v>
      </x:c>
      <x:c r="B9" s="116" t="n">
        <x:f>SUMIFS(Data!$H:$H,Data!$B:$B,"Purchase",Data!$L:$L,"No")</x:f>
        <x:v>54003.100000000006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32f21dba8bd14857"/>
</x:worksheet>
</file>