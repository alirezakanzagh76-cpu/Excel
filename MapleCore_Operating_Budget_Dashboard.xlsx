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224ed944a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Overview" sheetId="1" r:id="Ra71cf3ed964a4ec5"/>
    <x:sheet xmlns:r="http://schemas.openxmlformats.org/officeDocument/2006/relationships" name="Budget Data" sheetId="2" r:id="Rd6b0a0786e3b4f01"/>
    <x:sheet xmlns:r="http://schemas.openxmlformats.org/officeDocument/2006/relationships" name="Dashboard" sheetId="3" r:id="R86081736ca2547d1"/>
    <x:sheet xmlns:r="http://schemas.openxmlformats.org/officeDocument/2006/relationships" name="Summary" sheetId="4" r:id="Rf7a9ffb6ac96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2"/>
      <x:color rgb="1F4E78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6F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201" fontId="0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201" fontId="0" fillId="3" borderId="1" xfId="0" applyNumberFormat="1" applyFont="1" applyFill="1" applyBorder="1"/>
    <x:xf numFmtId="0" fontId="5" fillId="3" borderId="1" xfId="0" applyNumberFormat="1" applyFont="1" applyFill="1" applyBorder="1"/>
    <x:xf numFmtId="201" fontId="5" fillId="3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/>
    </x:xf>
    <x:xf numFmtId="200" fontId="5" fillId="4" borderId="0" xfId="0" applyNumberFormat="1" applyFont="1" applyFill="1" applyBorder="1" applyAlignment="1">
      <x:alignment horizontal="center"/>
    </x:xf>
    <x:xf numFmtId="200" fontId="5" fillId="4" borderId="1" xfId="0" applyNumberFormat="1" applyFont="1" applyFill="1" applyBorder="1" applyAlignment="1">
      <x:alignment horizontal="center"/>
    </x:xf>
    <x:xf numFmtId="201" fontId="5" fillId="4" borderId="0" xfId="0" applyNumberFormat="1" applyFont="1" applyFill="1" applyBorder="1" applyAlignment="1">
      <x:alignment horizontal="center"/>
    </x:xf>
    <x:xf numFmtId="201" fontId="5" fillId="4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B91C1C"/>
      </x:font>
      <x:fill>
        <x:patternFill patternType="solid">
          <x:bgColor rgb="FECACA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e4e19bddc430b" /><Relationship Type="http://schemas.openxmlformats.org/officeDocument/2006/relationships/theme" Target="/xl/theme/theme1.xml" Id="R3246c48eaf724d21" /><Relationship Type="http://schemas.openxmlformats.org/officeDocument/2006/relationships/sharedStrings" Target="/xl/sharedStrings.xml" Id="Re0e1fbb6fcb041f5" /><Relationship Type="http://schemas.openxmlformats.org/officeDocument/2006/relationships/worksheet" Target="/xl/worksheets/sheet1.xml" Id="Ra71cf3ed964a4ec5" /><Relationship Type="http://schemas.openxmlformats.org/officeDocument/2006/relationships/worksheet" Target="/xl/worksheets/sheet2.xml" Id="Rd6b0a0786e3b4f01" /><Relationship Type="http://schemas.openxmlformats.org/officeDocument/2006/relationships/worksheet" Target="/xl/worksheets/sheet3.xml" Id="R86081736ca2547d1" /><Relationship Type="http://schemas.openxmlformats.org/officeDocument/2006/relationships/worksheet" Target="/xl/worksheets/sheet4.xml" Id="Rf7a9ffb6ac9644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b5023c79eb4462" /><Relationship Type="http://schemas.openxmlformats.org/officeDocument/2006/relationships/chart" Target="/xl/drawings/charts/chart2.xml" Id="R9540670a98f84320" /><Relationship Type="http://schemas.openxmlformats.org/officeDocument/2006/relationships/chart" Target="/xl/drawings/charts/chart3.xml" Id="R6b42ca8053fe47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vs Expenses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'Dashboard'!$B$7:$B$12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'Dashboard'!$C$7:$C$12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Net Profit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'Dashboard'!$B$7:$B$12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'Dashboard'!$C$7:$C$12</c:f>
              <c:numCache>
                <c:formatCode>$#,##0.00</c:formatCode>
                <c:ptCount val="0"/>
              </c:numCache>
            </c:numRef>
          </c:val>
        </c:ser>
        <c:ser>
          <c:idx val="2"/>
          <c:order val="2"/>
          <c:tx>
            <c:v>Net Profit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'Dashboard'!$D$7:$D$12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Expense Breakdown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Total</c:v>
          </c:tx>
          <c:cat>
            <c:strRef>
              <c:f>'Summary'!$A$20:$A$25</c:f>
              <c:strCache>
                <c:ptCount val="0"/>
              </c:strCache>
            </c:strRef>
          </c:cat>
          <c:val>
            <c:numRef>
              <c:f>'Summary'!$B$20:$B$25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b5023c79eb4462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40670a98f84320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42ca8053fe47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53e67c0c5114a7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2" t="str">
        <x:v>MapleCore Consulting Inc.</x:v>
      </x:c>
      <x:c r="B1" s="12"/>
      <x:c r="C1" s="12"/>
      <x:c r="D1" s="12"/>
      <x:c r="E1" s="12"/>
      <x:c r="F1" s="12"/>
      <x:c r="G1" s="12"/>
      <x:c r="H1" s="12"/>
    </x:row>
    <x:row r="2">
      <x:c r="A2" s="12" t="str">
        <x:v>Operating Budget &amp; Financial Performance Report</x:v>
      </x:c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 t="str">
        <x:v>Company Overview</x:v>
      </x:c>
      <x:c r="B4" s="13"/>
      <x:c r="C4" s="13"/>
      <x:c r="D4" s="13"/>
      <x:c r="E4" s="13"/>
      <x:c r="F4" s="13"/>
      <x:c r="G4" s="13"/>
      <x:c r="H4" s="13"/>
    </x:row>
    <x:row r="5">
      <x:c r="A5" s="13" t="str">
        <x:v>MapleCore Consulting Inc. is a Canadian consulting company. The company helps small businesses improve operations and financial planning.</x:v>
      </x:c>
      <x:c r="B5" s="13"/>
      <x:c r="C5" s="13"/>
      <x:c r="D5" s="13"/>
      <x:c r="E5" s="13"/>
      <x:c r="F5" s="13"/>
      <x:c r="G5" s="13"/>
      <x:c r="H5" s="13"/>
    </x:row>
    <x:row r="6">
      <x:c r="A6" s="13"/>
      <x:c r="B6" s="13"/>
      <x:c r="C6" s="13"/>
      <x:c r="D6" s="13"/>
      <x:c r="E6" s="13"/>
      <x:c r="F6" s="13"/>
      <x:c r="G6" s="13"/>
      <x:c r="H6" s="13"/>
    </x:row>
    <x:row r="7">
      <x:c r="A7" s="14" t="str">
        <x:v>Project Purpose</x:v>
      </x:c>
      <x:c r="B7" s="13"/>
      <x:c r="C7" s="13"/>
      <x:c r="D7" s="13"/>
      <x:c r="E7" s="13"/>
      <x:c r="F7" s="13"/>
      <x:c r="G7" s="13"/>
      <x:c r="H7" s="13"/>
    </x:row>
    <x:row r="8">
      <x:c r="A8" s="13" t="str">
        <x:v>This workbook helps management track monthly revenue, expenses, and profit for the first six months of the fiscal year.</x:v>
      </x:c>
      <x:c r="B8" s="13"/>
      <x:c r="C8" s="13"/>
      <x:c r="D8" s="13"/>
      <x:c r="E8" s="13"/>
      <x:c r="F8" s="13"/>
      <x:c r="G8" s="13"/>
      <x:c r="H8" s="13"/>
    </x:row>
    <x:row r="9">
      <x:c r="A9" s="13"/>
      <x:c r="B9" s="13"/>
      <x:c r="C9" s="13"/>
      <x:c r="D9" s="13"/>
      <x:c r="E9" s="13"/>
      <x:c r="F9" s="13"/>
      <x:c r="G9" s="13"/>
      <x:c r="H9" s="13"/>
    </x:row>
    <x:row r="10">
      <x:c r="A10" s="14" t="str">
        <x:v>What This File Shows</x:v>
      </x:c>
      <x:c r="B10" s="13"/>
      <x:c r="C10" s="13"/>
      <x:c r="D10" s="14" t="str">
        <x:v>Intended Users</x:v>
      </x:c>
      <x:c r="E10" s="13"/>
      <x:c r="F10" s="13"/>
      <x:c r="G10" s="13"/>
      <x:c r="H10" s="13"/>
    </x:row>
    <x:row r="11">
      <x:c r="A11" s="13" t="str">
        <x:v>Total revenue</x:v>
      </x:c>
      <x:c r="B11" s="13"/>
      <x:c r="C11" s="13"/>
      <x:c r="D11" s="13" t="str">
        <x:v>Business Owner</x:v>
      </x:c>
      <x:c r="E11" s="13"/>
      <x:c r="F11" s="13"/>
      <x:c r="G11" s="13"/>
      <x:c r="H11" s="13"/>
    </x:row>
    <x:row r="12">
      <x:c r="A12" s="13" t="str">
        <x:v>Total expenses</x:v>
      </x:c>
      <x:c r="B12" s="13"/>
      <x:c r="C12" s="13"/>
      <x:c r="D12" s="13" t="str">
        <x:v>Finance Assistant</x:v>
      </x:c>
      <x:c r="E12" s="13"/>
      <x:c r="F12" s="13"/>
      <x:c r="G12" s="13"/>
      <x:c r="H12" s="13"/>
    </x:row>
    <x:row r="13">
      <x:c r="A13" s="13" t="str">
        <x:v>Net profit</x:v>
      </x:c>
      <x:c r="B13" s="13"/>
      <x:c r="C13" s="13"/>
      <x:c r="D13" s="13" t="str">
        <x:v>Accounting Clerk</x:v>
      </x:c>
      <x:c r="E13" s="13"/>
      <x:c r="F13" s="13"/>
      <x:c r="G13" s="13"/>
      <x:c r="H13" s="13"/>
    </x:row>
    <x:row r="14">
      <x:c r="A14" s="13" t="str">
        <x:v>Profit margin</x:v>
      </x:c>
      <x:c r="B14" s="13"/>
      <x:c r="C14" s="13"/>
      <x:c r="D14" s="13" t="str">
        <x:v>Operations Manager</x:v>
      </x:c>
      <x:c r="E14" s="13"/>
      <x:c r="F14" s="13"/>
      <x:c r="G14" s="13"/>
      <x:c r="H14" s="13"/>
    </x:row>
    <x:row r="15">
      <x:c r="A15" s="13" t="str">
        <x:v>Expense categories</x:v>
      </x:c>
      <x:c r="B15" s="13"/>
      <x:c r="C15" s="13"/>
      <x:c r="D15" s="13"/>
      <x:c r="E15" s="13"/>
      <x:c r="F15" s="13"/>
      <x:c r="G15" s="13"/>
      <x:c r="H15" s="13"/>
    </x:row>
    <x:row r="16">
      <x:c r="A16" s="13" t="str">
        <x:v>Monthly business performance</x:v>
      </x:c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4" t="str">
        <x:v>Workbook Sheets</x:v>
      </x:c>
      <x:c r="B18" s="14"/>
      <x:c r="C18" s="13"/>
      <x:c r="D18" s="13"/>
      <x:c r="E18" s="13"/>
      <x:c r="F18" s="13"/>
      <x:c r="G18" s="13"/>
      <x:c r="H18" s="13"/>
    </x:row>
    <x:row r="19">
      <x:c r="A19" s="15" t="str">
        <x:v>Project Overview</x:v>
      </x:c>
      <x:c r="B19" s="15" t="str">
        <x:v>Business background and project guide</x:v>
      </x:c>
      <x:c r="C19" s="13"/>
      <x:c r="D19" s="13"/>
      <x:c r="E19" s="13"/>
      <x:c r="F19" s="13"/>
      <x:c r="G19" s="13"/>
      <x:c r="H19" s="13"/>
    </x:row>
    <x:row r="20">
      <x:c r="A20" s="15" t="str">
        <x:v>Dashboard</x:v>
      </x:c>
      <x:c r="B20" s="15" t="str">
        <x:v>Main KPI and charts</x:v>
      </x:c>
      <x:c r="C20" s="13"/>
      <x:c r="D20" s="13"/>
      <x:c r="E20" s="13"/>
      <x:c r="F20" s="13"/>
      <x:c r="G20" s="13"/>
      <x:c r="H20" s="13"/>
    </x:row>
    <x:row r="21">
      <x:c r="A21" s="15" t="str">
        <x:v>Budget Data</x:v>
      </x:c>
      <x:c r="B21" s="15" t="str">
        <x:v>Monthly revenue and expense data</x:v>
      </x:c>
      <x:c r="C21" s="13"/>
      <x:c r="D21" s="13"/>
      <x:c r="E21" s="13"/>
      <x:c r="F21" s="13"/>
      <x:c r="G21" s="13"/>
      <x:c r="H21" s="13"/>
    </x:row>
    <x:row r="22">
      <x:c r="A22" s="15" t="str">
        <x:v>Summary</x:v>
      </x:c>
      <x:c r="B22" s="15" t="str">
        <x:v>Category and monthly summary</x:v>
      </x:c>
      <x:c r="C22" s="13"/>
      <x:c r="D22" s="13"/>
      <x:c r="E22" s="13"/>
      <x:c r="F22" s="13"/>
      <x:c r="G22" s="13"/>
      <x:c r="H22" s="13"/>
    </x:row>
  </x:sheetData>
  <x:mergeCells>
    <x:mergeCell ref="A1:H1"/>
    <x:mergeCell ref="A2:H2"/>
    <x:mergeCell ref="A5:H5"/>
    <x:mergeCell ref="A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1" t="str">
        <x:v>MapleCore Consulting Inc. - Operating Budget Data</x:v>
      </x:c>
      <x:c r="B1" s="21"/>
      <x:c r="C1" s="21"/>
      <x:c r="D1" s="21"/>
      <x:c r="E1" s="21"/>
      <x:c r="F1" s="21"/>
      <x:c r="G1" s="21"/>
      <x:c r="H1" s="21"/>
      <x:c r="I1" s="21"/>
    </x:row>
    <x:row r="3">
      <x:c r="A3" s="26" t="str">
        <x:v>Type</x:v>
      </x:c>
      <x:c r="B3" s="26" t="str">
        <x:v>Category</x:v>
      </x:c>
      <x:c r="C3" s="26" t="str">
        <x:v>Jan</x:v>
      </x:c>
      <x:c r="D3" s="26" t="str">
        <x:v>Feb</x:v>
      </x:c>
      <x:c r="E3" s="26" t="str">
        <x:v>Mar</x:v>
      </x:c>
      <x:c r="F3" s="26" t="str">
        <x:v>Apr</x:v>
      </x:c>
      <x:c r="G3" s="26" t="str">
        <x:v>May</x:v>
      </x:c>
      <x:c r="H3" s="26" t="str">
        <x:v>Jun</x:v>
      </x:c>
      <x:c r="I3" s="26" t="str">
        <x:v>Total</x:v>
      </x:c>
    </x:row>
    <x:row r="4">
      <x:c r="A4" s="34" t="str">
        <x:v>Revenue</x:v>
      </x:c>
      <x:c r="B4" s="34" t="str">
        <x:v>Consulting Revenue</x:v>
      </x:c>
      <x:c r="C4" s="30" t="n">
        <x:v>3000</x:v>
      </x:c>
      <x:c r="D4" s="30" t="n">
        <x:v>3500</x:v>
      </x:c>
      <x:c r="E4" s="30" t="n">
        <x:v>6000</x:v>
      </x:c>
      <x:c r="F4" s="30" t="n">
        <x:v>3200</x:v>
      </x:c>
      <x:c r="G4" s="30" t="n">
        <x:v>3100</x:v>
      </x:c>
      <x:c r="H4" s="30" t="n">
        <x:v>3400</x:v>
      </x:c>
      <x:c r="I4" s="30" t="n">
        <x:f>SUM(C4:H4)</x:f>
        <x:v>22200</x:v>
      </x:c>
    </x:row>
    <x:row r="5">
      <x:c r="A5" s="34" t="str">
        <x:v>Revenue</x:v>
      </x:c>
      <x:c r="B5" s="34" t="str">
        <x:v>Investment Income</x:v>
      </x:c>
      <x:c r="C5" s="30" t="n">
        <x:v>500</x:v>
      </x:c>
      <x:c r="D5" s="30" t="n">
        <x:v>120</x:v>
      </x:c>
      <x:c r="E5" s="30" t="n">
        <x:v>160</x:v>
      </x:c>
      <x:c r="F5" s="30" t="n">
        <x:v>100</x:v>
      </x:c>
      <x:c r="G5" s="30" t="n">
        <x:v>200</x:v>
      </x:c>
      <x:c r="H5" s="30" t="n">
        <x:v>150</x:v>
      </x:c>
      <x:c r="I5" s="30" t="n">
        <x:f>SUM(C5:H5)</x:f>
        <x:v>1230</x:v>
      </x:c>
    </x:row>
    <x:row r="6">
      <x:c r="A6" s="34" t="str">
        <x:v>Revenue</x:v>
      </x:c>
      <x:c r="B6" s="34" t="str">
        <x:v>Other Business Revenue</x:v>
      </x:c>
      <x:c r="C6" s="30" t="n">
        <x:v>200</x:v>
      </x:c>
      <x:c r="D6" s="30" t="n">
        <x:v>100</x:v>
      </x:c>
      <x:c r="E6" s="30" t="n">
        <x:v>0</x:v>
      </x:c>
      <x:c r="F6" s="30" t="n">
        <x:v>50</x:v>
      </x:c>
      <x:c r="G6" s="30" t="n">
        <x:v>0</x:v>
      </x:c>
      <x:c r="H6" s="30" t="n">
        <x:v>75</x:v>
      </x:c>
      <x:c r="I6" s="30" t="n">
        <x:f>SUM(C6:H6)</x:f>
        <x:v>425</x:v>
      </x:c>
    </x:row>
    <x:row r="7">
      <x:c r="A7" s="37" t="str">
        <x:v>Revenue</x:v>
      </x:c>
      <x:c r="B7" s="37" t="str">
        <x:v>Total Revenue</x:v>
      </x:c>
      <x:c r="C7" s="38" t="n">
        <x:f>SUM(C4:C6)</x:f>
        <x:v>3700</x:v>
      </x:c>
      <x:c r="D7" s="38" t="n">
        <x:f>SUM(D4:D6)</x:f>
        <x:v>3720</x:v>
      </x:c>
      <x:c r="E7" s="38" t="n">
        <x:f>SUM(E4:E6)</x:f>
        <x:v>6160</x:v>
      </x:c>
      <x:c r="F7" s="38" t="n">
        <x:f>SUM(F4:F6)</x:f>
        <x:v>3350</x:v>
      </x:c>
      <x:c r="G7" s="38" t="n">
        <x:f>SUM(G4:G6)</x:f>
        <x:v>3300</x:v>
      </x:c>
      <x:c r="H7" s="38" t="n">
        <x:f>SUM(H4:H6)</x:f>
        <x:v>3625</x:v>
      </x:c>
      <x:c r="I7" s="38" t="n">
        <x:f>SUM(I4:I6)</x:f>
        <x:v>23855</x:v>
      </x:c>
    </x:row>
    <x:row r="8">
      <x:c r="A8" s="34" t="str">
        <x:v>Expense</x:v>
      </x:c>
      <x:c r="B8" s="34" t="str">
        <x:v>Office Rent</x:v>
      </x:c>
      <x:c r="C8" s="30" t="n">
        <x:v>1200</x:v>
      </x:c>
      <x:c r="D8" s="30" t="n">
        <x:v>1200</x:v>
      </x:c>
      <x:c r="E8" s="30" t="n">
        <x:v>1200</x:v>
      </x:c>
      <x:c r="F8" s="30" t="n">
        <x:v>1200</x:v>
      </x:c>
      <x:c r="G8" s="30" t="n">
        <x:v>1200</x:v>
      </x:c>
      <x:c r="H8" s="30" t="n">
        <x:v>1200</x:v>
      </x:c>
      <x:c r="I8" s="30" t="n">
        <x:f>SUM(C8:H8)</x:f>
        <x:v>7200</x:v>
      </x:c>
    </x:row>
    <x:row r="9">
      <x:c r="A9" s="34" t="str">
        <x:v>Expense</x:v>
      </x:c>
      <x:c r="B9" s="34" t="str">
        <x:v>Employee Meals</x:v>
      </x:c>
      <x:c r="C9" s="30" t="n">
        <x:v>400</x:v>
      </x:c>
      <x:c r="D9" s="30" t="n">
        <x:v>450</x:v>
      </x:c>
      <x:c r="E9" s="30" t="n">
        <x:v>380</x:v>
      </x:c>
      <x:c r="F9" s="30" t="n">
        <x:v>420</x:v>
      </x:c>
      <x:c r="G9" s="30" t="n">
        <x:v>400</x:v>
      </x:c>
      <x:c r="H9" s="30" t="n">
        <x:v>430</x:v>
      </x:c>
      <x:c r="I9" s="30" t="n">
        <x:f>SUM(C9:H9)</x:f>
        <x:v>2480</x:v>
      </x:c>
    </x:row>
    <x:row r="10">
      <x:c r="A10" s="34" t="str">
        <x:v>Expense</x:v>
      </x:c>
      <x:c r="B10" s="34" t="str">
        <x:v>Utilities &amp; Internet</x:v>
      </x:c>
      <x:c r="C10" s="30" t="n">
        <x:v>150</x:v>
      </x:c>
      <x:c r="D10" s="30" t="n">
        <x:v>180</x:v>
      </x:c>
      <x:c r="E10" s="30" t="n">
        <x:v>140</x:v>
      </x:c>
      <x:c r="F10" s="30" t="n">
        <x:v>160</x:v>
      </x:c>
      <x:c r="G10" s="30" t="n">
        <x:v>170</x:v>
      </x:c>
      <x:c r="H10" s="30" t="n">
        <x:v>200</x:v>
      </x:c>
      <x:c r="I10" s="30" t="n">
        <x:f>SUM(C10:H10)</x:f>
        <x:v>1000</x:v>
      </x:c>
    </x:row>
    <x:row r="11">
      <x:c r="A11" s="34" t="str">
        <x:v>Expense</x:v>
      </x:c>
      <x:c r="B11" s="34" t="str">
        <x:v>Travel Expenses</x:v>
      </x:c>
      <x:c r="C11" s="30" t="n">
        <x:v>100</x:v>
      </x:c>
      <x:c r="D11" s="30" t="n">
        <x:v>120</x:v>
      </x:c>
      <x:c r="E11" s="30" t="n">
        <x:v>90</x:v>
      </x:c>
      <x:c r="F11" s="30" t="n">
        <x:v>110</x:v>
      </x:c>
      <x:c r="G11" s="30" t="n">
        <x:v>100</x:v>
      </x:c>
      <x:c r="H11" s="30" t="n">
        <x:v>115</x:v>
      </x:c>
      <x:c r="I11" s="30" t="n">
        <x:f>SUM(C11:H11)</x:f>
        <x:v>635</x:v>
      </x:c>
    </x:row>
    <x:row r="12">
      <x:c r="A12" s="34" t="str">
        <x:v>Expense</x:v>
      </x:c>
      <x:c r="B12" s="34" t="str">
        <x:v>Client Events</x:v>
      </x:c>
      <x:c r="C12" s="30" t="n">
        <x:v>200</x:v>
      </x:c>
      <x:c r="D12" s="30" t="n">
        <x:v>150</x:v>
      </x:c>
      <x:c r="E12" s="30" t="n">
        <x:v>250</x:v>
      </x:c>
      <x:c r="F12" s="30" t="n">
        <x:v>180</x:v>
      </x:c>
      <x:c r="G12" s="30" t="n">
        <x:v>220</x:v>
      </x:c>
      <x:c r="H12" s="30" t="n">
        <x:v>300</x:v>
      </x:c>
      <x:c r="I12" s="30" t="n">
        <x:f>SUM(C12:H12)</x:f>
        <x:v>1300</x:v>
      </x:c>
    </x:row>
    <x:row r="13">
      <x:c r="A13" s="34" t="str">
        <x:v>Expense</x:v>
      </x:c>
      <x:c r="B13" s="34" t="str">
        <x:v>Miscellaneous Expenses</x:v>
      </x:c>
      <x:c r="C13" s="30" t="n">
        <x:v>50</x:v>
      </x:c>
      <x:c r="D13" s="30" t="n">
        <x:v>80</x:v>
      </x:c>
      <x:c r="E13" s="30" t="n">
        <x:v>60</x:v>
      </x:c>
      <x:c r="F13" s="30" t="n">
        <x:v>70</x:v>
      </x:c>
      <x:c r="G13" s="30" t="n">
        <x:v>50</x:v>
      </x:c>
      <x:c r="H13" s="30" t="n">
        <x:v>100</x:v>
      </x:c>
      <x:c r="I13" s="30" t="n">
        <x:f>SUM(C13:H13)</x:f>
        <x:v>410</x:v>
      </x:c>
    </x:row>
    <x:row r="14">
      <x:c r="A14" s="45" t="str">
        <x:v>Expense</x:v>
      </x:c>
      <x:c r="B14" s="45" t="str">
        <x:v>Total Expenses</x:v>
      </x:c>
      <x:c r="C14" s="46" t="n">
        <x:f>SUM(C8:C13)</x:f>
        <x:v>2100</x:v>
      </x:c>
      <x:c r="D14" s="46" t="n">
        <x:f>SUM(D8:D13)</x:f>
        <x:v>2180</x:v>
      </x:c>
      <x:c r="E14" s="46" t="n">
        <x:f>SUM(E8:E13)</x:f>
        <x:v>2120</x:v>
      </x:c>
      <x:c r="F14" s="46" t="n">
        <x:f>SUM(F8:F13)</x:f>
        <x:v>2140</x:v>
      </x:c>
      <x:c r="G14" s="46" t="n">
        <x:f>SUM(G8:G13)</x:f>
        <x:v>2140</x:v>
      </x:c>
      <x:c r="H14" s="46" t="n">
        <x:f>SUM(H8:H13)</x:f>
        <x:v>2345</x:v>
      </x:c>
      <x:c r="I14" s="46" t="n">
        <x:f>SUM(I8:I13)</x:f>
        <x:v>13025</x:v>
      </x:c>
    </x:row>
    <x:row r="15">
      <x:c r="A15" s="45" t="str">
        <x:v>Result</x:v>
      </x:c>
      <x:c r="B15" s="45" t="str">
        <x:v>Net Profit</x:v>
      </x:c>
      <x:c r="C15" s="46" t="n">
        <x:f>C7-C14</x:f>
        <x:v>1600</x:v>
      </x:c>
      <x:c r="D15" s="46" t="n">
        <x:f>D7-D14</x:f>
        <x:v>1540</x:v>
      </x:c>
      <x:c r="E15" s="46" t="n">
        <x:f>E7-E14</x:f>
        <x:v>4040</x:v>
      </x:c>
      <x:c r="F15" s="46" t="n">
        <x:f>F7-F14</x:f>
        <x:v>1210</x:v>
      </x:c>
      <x:c r="G15" s="46" t="n">
        <x:f>G7-G14</x:f>
        <x:v>1160</x:v>
      </x:c>
      <x:c r="H15" s="46" t="n">
        <x:f>H7-H14</x:f>
        <x:v>1280</x:v>
      </x:c>
      <x:c r="I15" s="46" t="n">
        <x:f>I7-I14</x:f>
        <x:v>10830</x:v>
      </x:c>
    </x:row>
    <x:row r="16">
      <x:c r="A16" s="52" t="str">
        <x:v>Result</x:v>
      </x:c>
      <x:c r="B16" s="52" t="str">
        <x:v>Profit Margin</x:v>
      </x:c>
      <x:c r="C16" s="53" t="n">
        <x:f>IF(C7=0,0,C15/C7)</x:f>
        <x:v>0.43243243243243246</x:v>
      </x:c>
      <x:c r="D16" s="53" t="n">
        <x:f>IF(D7=0,0,D15/D7)</x:f>
        <x:v>0.41397849462365593</x:v>
      </x:c>
      <x:c r="E16" s="53" t="n">
        <x:f>IF(E7=0,0,E15/E7)</x:f>
        <x:v>0.6558441558441559</x:v>
      </x:c>
      <x:c r="F16" s="53" t="n">
        <x:f>IF(F7=0,0,F15/F7)</x:f>
        <x:v>0.3611940298507463</x:v>
      </x:c>
      <x:c r="G16" s="53" t="n">
        <x:f>IF(G7=0,0,G15/G7)</x:f>
        <x:v>0.3515151515151515</x:v>
      </x:c>
      <x:c r="H16" s="53" t="n">
        <x:f>IF(H7=0,0,H15/H7)</x:f>
        <x:v>0.35310344827586204</x:v>
      </x:c>
      <x:c r="I16" s="53" t="n">
        <x:f>IF(I7=0,0,I15/I7)</x:f>
        <x:v>0.4539928736114022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MapleCore Consulting Inc. - Budget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59" t="str">
        <x:v>Total Revenue</x:v>
      </x:c>
      <x:c r="B3" s="59" t="str">
        <x:v>Total Expenses</x:v>
      </x:c>
      <x:c r="C3" s="59" t="str">
        <x:v>Total Expenses</x:v>
      </x:c>
      <x:c r="D3" s="59" t="str">
        <x:v>Net Profit</x:v>
      </x:c>
      <x:c r="E3" s="59" t="str">
        <x:v>Net Profit</x:v>
      </x:c>
      <x:c r="F3" s="59"/>
      <x:c r="G3" s="59" t="str">
        <x:v>Profit Margin</x:v>
      </x:c>
    </x:row>
    <x:row r="4">
      <x:c r="A4" s="61" t="n">
        <x:f>Summary!B4</x:f>
        <x:v>23855</x:v>
      </x:c>
      <x:c r="B4" s="59" t="n">
        <x:f>Summary!B5</x:f>
        <x:v>13025</x:v>
      </x:c>
      <x:c r="C4" s="59" t="n">
        <x:f>Summary!B5</x:f>
        <x:v>13025</x:v>
      </x:c>
      <x:c r="D4" s="59" t="n">
        <x:f>Summary!B6</x:f>
        <x:v>10830</x:v>
      </x:c>
      <x:c r="E4" s="59" t="n">
        <x:f>Summary!B6</x:f>
        <x:v>10830</x:v>
      </x:c>
      <x:c r="F4" s="59"/>
      <x:c r="G4" s="63" t="n">
        <x:f>Summary!B7</x:f>
        <x:v>0.4539928736114022</x:v>
      </x:c>
    </x:row>
    <x:row r="6">
      <x:c r="A6" s="66" t="str">
        <x:v>Month</x:v>
      </x:c>
      <x:c r="B6" s="66" t="str">
        <x:v>Revenue</x:v>
      </x:c>
      <x:c r="C6" s="66" t="str">
        <x:v>Expenses</x:v>
      </x:c>
      <x:c r="D6" s="66" t="str">
        <x:v>Net Profit</x:v>
      </x:c>
      <x:c r="E6" s="66" t="str">
        <x:v>Profit Margin</x:v>
      </x:c>
      <x:c r="F6" s="66" t="str">
        <x:v>Status</x:v>
      </x:c>
      <x:c r="G6" s="66" t="str">
        <x:v>Target Profit</x:v>
      </x:c>
      <x:c r="H6" s="66" t="str">
        <x:v>Variance</x:v>
      </x:c>
    </x:row>
    <x:row r="7">
      <x:c r="A7" s="34" t="str">
        <x:f>Summary!A11</x:f>
        <x:v>Jan</x:v>
      </x:c>
      <x:c r="B7" s="30" t="n">
        <x:f>Summary!B11</x:f>
        <x:v>3700</x:v>
      </x:c>
      <x:c r="C7" s="30" t="n">
        <x:f>Summary!C11</x:f>
        <x:v>2100</x:v>
      </x:c>
      <x:c r="D7" s="30" t="n">
        <x:f>Summary!D11</x:f>
        <x:v>1600</x:v>
      </x:c>
      <x:c r="E7" s="32" t="n">
        <x:f>Summary!E11</x:f>
        <x:v>0.43243243243243246</x:v>
      </x:c>
      <x:c r="F7" s="34" t="str">
        <x:f>Summary!F11</x:f>
        <x:v>On Track</x:v>
      </x:c>
      <x:c r="G7" s="30" t="n">
        <x:f>Summary!G11</x:f>
        <x:v>1500</x:v>
      </x:c>
      <x:c r="H7" s="30" t="n">
        <x:f>Summary!H11</x:f>
        <x:v>100</x:v>
      </x:c>
    </x:row>
    <x:row r="8">
      <x:c r="A8" s="34" t="str">
        <x:f>Summary!A12</x:f>
        <x:v>Feb</x:v>
      </x:c>
      <x:c r="B8" s="30" t="n">
        <x:f>Summary!B12</x:f>
        <x:v>3720</x:v>
      </x:c>
      <x:c r="C8" s="30" t="n">
        <x:f>Summary!C12</x:f>
        <x:v>2180</x:v>
      </x:c>
      <x:c r="D8" s="30" t="n">
        <x:f>Summary!D12</x:f>
        <x:v>1540</x:v>
      </x:c>
      <x:c r="E8" s="32" t="n">
        <x:f>Summary!E12</x:f>
        <x:v>0.41397849462365593</x:v>
      </x:c>
      <x:c r="F8" s="34" t="str">
        <x:f>Summary!F12</x:f>
        <x:v>On Track</x:v>
      </x:c>
      <x:c r="G8" s="30" t="n">
        <x:f>Summary!G12</x:f>
        <x:v>1500</x:v>
      </x:c>
      <x:c r="H8" s="30" t="n">
        <x:f>Summary!H12</x:f>
        <x:v>40</x:v>
      </x:c>
    </x:row>
    <x:row r="9">
      <x:c r="A9" s="34" t="str">
        <x:f>Summary!A13</x:f>
        <x:v>Mar</x:v>
      </x:c>
      <x:c r="B9" s="30" t="n">
        <x:f>Summary!B13</x:f>
        <x:v>6160</x:v>
      </x:c>
      <x:c r="C9" s="30" t="n">
        <x:f>Summary!C13</x:f>
        <x:v>2120</x:v>
      </x:c>
      <x:c r="D9" s="30" t="n">
        <x:f>Summary!D13</x:f>
        <x:v>4040</x:v>
      </x:c>
      <x:c r="E9" s="32" t="n">
        <x:f>Summary!E13</x:f>
        <x:v>0.6558441558441559</x:v>
      </x:c>
      <x:c r="F9" s="34" t="str">
        <x:f>Summary!F13</x:f>
        <x:v>On Track</x:v>
      </x:c>
      <x:c r="G9" s="30" t="n">
        <x:f>Summary!G13</x:f>
        <x:v>1500</x:v>
      </x:c>
      <x:c r="H9" s="30" t="n">
        <x:f>Summary!H13</x:f>
        <x:v>2540</x:v>
      </x:c>
    </x:row>
    <x:row r="10">
      <x:c r="A10" s="34" t="str">
        <x:f>Summary!A14</x:f>
        <x:v>Apr</x:v>
      </x:c>
      <x:c r="B10" s="30" t="n">
        <x:f>Summary!B14</x:f>
        <x:v>3350</x:v>
      </x:c>
      <x:c r="C10" s="30" t="n">
        <x:f>Summary!C14</x:f>
        <x:v>2140</x:v>
      </x:c>
      <x:c r="D10" s="30" t="n">
        <x:f>Summary!D14</x:f>
        <x:v>1210</x:v>
      </x:c>
      <x:c r="E10" s="32" t="n">
        <x:f>Summary!E14</x:f>
        <x:v>0.3611940298507463</x:v>
      </x:c>
      <x:c r="F10" s="34" t="str">
        <x:f>Summary!F14</x:f>
        <x:v>Review</x:v>
      </x:c>
      <x:c r="G10" s="30" t="n">
        <x:f>Summary!G14</x:f>
        <x:v>1500</x:v>
      </x:c>
      <x:c r="H10" s="30" t="n">
        <x:f>Summary!H14</x:f>
        <x:v>-290</x:v>
      </x:c>
    </x:row>
    <x:row r="11">
      <x:c r="A11" s="34" t="str">
        <x:f>Summary!A15</x:f>
        <x:v>May</x:v>
      </x:c>
      <x:c r="B11" s="30" t="n">
        <x:f>Summary!B15</x:f>
        <x:v>3300</x:v>
      </x:c>
      <x:c r="C11" s="30" t="n">
        <x:f>Summary!C15</x:f>
        <x:v>2140</x:v>
      </x:c>
      <x:c r="D11" s="30" t="n">
        <x:f>Summary!D15</x:f>
        <x:v>1160</x:v>
      </x:c>
      <x:c r="E11" s="32" t="n">
        <x:f>Summary!E15</x:f>
        <x:v>0.3515151515151515</x:v>
      </x:c>
      <x:c r="F11" s="34" t="str">
        <x:f>Summary!F15</x:f>
        <x:v>Review</x:v>
      </x:c>
      <x:c r="G11" s="30" t="n">
        <x:f>Summary!G15</x:f>
        <x:v>1500</x:v>
      </x:c>
      <x:c r="H11" s="30" t="n">
        <x:f>Summary!H15</x:f>
        <x:v>-340</x:v>
      </x:c>
    </x:row>
    <x:row r="12">
      <x:c r="A12" s="34" t="str">
        <x:f>Summary!A16</x:f>
        <x:v>Jun</x:v>
      </x:c>
      <x:c r="B12" s="30" t="n">
        <x:f>Summary!B16</x:f>
        <x:v>3625</x:v>
      </x:c>
      <x:c r="C12" s="30" t="n">
        <x:f>Summary!C16</x:f>
        <x:v>2345</x:v>
      </x:c>
      <x:c r="D12" s="30" t="n">
        <x:f>Summary!D16</x:f>
        <x:v>1280</x:v>
      </x:c>
      <x:c r="E12" s="32" t="n">
        <x:f>Summary!E16</x:f>
        <x:v>0.35310344827586204</x:v>
      </x:c>
      <x:c r="F12" s="34" t="str">
        <x:f>Summary!F16</x:f>
        <x:v>Review</x:v>
      </x:c>
      <x:c r="G12" s="30" t="n">
        <x:f>Summary!G16</x:f>
        <x:v>1500</x:v>
      </x:c>
      <x:c r="H12" s="30" t="n">
        <x:f>Summary!H16</x:f>
        <x:v>-220</x:v>
      </x:c>
    </x:row>
  </x:sheetData>
  <x:mergeCells>
    <x:mergeCell ref="A1:K1"/>
    <x:mergeCell ref="A4:B4"/>
    <x:mergeCell ref="D4:E4"/>
  </x:mergeCells>
  <x:conditionalFormatting sqref="H7:H12">
    <x:cfRule type="cellIs" dxfId="0" priority="1" operator="lessThan">
      <x:formula>0</x:formula>
    </x:cfRule>
  </x:conditionalFormatting>
  <x:conditionalFormatting sqref="F7:F12">
    <x:cfRule type="expression" dxfId="1" priority="2">
      <x:formula>F7="Review"</x:formula>
    </x:cfRule>
  </x:conditionalFormatting>
  <x:pageMargins left="0.7" right="0.7" top="0.75" bottom="0.75" header="0.3" footer="0.3"/>
  <x:drawing xmlns:r="http://schemas.openxmlformats.org/officeDocument/2006/relationships" r:id="R253e67c0c5114a7b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1" t="str">
        <x:v>Budget Summary</x:v>
      </x:c>
      <x:c r="B1" s="21"/>
      <x:c r="C1" s="21"/>
      <x:c r="D1" s="21"/>
      <x:c r="E1" s="21"/>
      <x:c r="F1" s="21"/>
      <x:c r="G1" s="21"/>
    </x:row>
    <x:row r="3">
      <x:c r="A3" s="57" t="str">
        <x:v>Metric</x:v>
      </x:c>
      <x:c r="B3" s="57" t="str">
        <x:v>Value</x:v>
      </x:c>
      <x:c r="C3" s="57" t="str">
        <x:v>Formula Note</x:v>
      </x:c>
      <x:c r="D3" s="57" t="str">
        <x:v>Business Meaning</x:v>
      </x:c>
    </x:row>
    <x:row r="4">
      <x:c r="A4" s="34" t="str">
        <x:v>Total Revenue</x:v>
      </x:c>
      <x:c r="B4" s="30" t="n">
        <x:f>'Budget Data'!I7</x:f>
        <x:v>23855</x:v>
      </x:c>
      <x:c r="C4" s="34" t="str">
        <x:v>Sum of all revenue</x:v>
      </x:c>
      <x:c r="D4" s="34" t="str">
        <x:v>Money earned by the company</x:v>
      </x:c>
    </x:row>
    <x:row r="5">
      <x:c r="A5" s="34" t="str">
        <x:v>Total Expenses</x:v>
      </x:c>
      <x:c r="B5" s="30" t="n">
        <x:f>'Budget Data'!I14</x:f>
        <x:v>13025</x:v>
      </x:c>
      <x:c r="C5" s="34" t="str">
        <x:v>Sum of all expenses</x:v>
      </x:c>
      <x:c r="D5" s="34" t="str">
        <x:v>Money spent by the company</x:v>
      </x:c>
    </x:row>
    <x:row r="6">
      <x:c r="A6" s="34" t="str">
        <x:v>Net Profit</x:v>
      </x:c>
      <x:c r="B6" s="30" t="n">
        <x:f>'Budget Data'!I15</x:f>
        <x:v>10830</x:v>
      </x:c>
      <x:c r="C6" s="34" t="str">
        <x:v>Revenue minus expenses</x:v>
      </x:c>
      <x:c r="D6" s="34" t="str">
        <x:v>Money left after expenses</x:v>
      </x:c>
    </x:row>
    <x:row r="7">
      <x:c r="A7" s="34" t="str">
        <x:v>Profit Margin</x:v>
      </x:c>
      <x:c r="B7" s="32" t="n">
        <x:f>'Budget Data'!I16</x:f>
        <x:v>0.4539928736114022</x:v>
      </x:c>
      <x:c r="C7" s="34" t="str">
        <x:v>Net profit divided by revenue</x:v>
      </x:c>
      <x:c r="D7" s="34" t="str">
        <x:v>Profit rate</x:v>
      </x:c>
    </x:row>
    <x:row r="10">
      <x:c r="A10" s="57" t="str">
        <x:v>Month</x:v>
      </x:c>
      <x:c r="B10" s="57" t="str">
        <x:v>Revenue</x:v>
      </x:c>
      <x:c r="C10" s="57" t="str">
        <x:v>Expenses</x:v>
      </x:c>
      <x:c r="D10" s="57" t="str">
        <x:v>Net Profit</x:v>
      </x:c>
      <x:c r="E10" s="57" t="str">
        <x:v>Profit Margin</x:v>
      </x:c>
      <x:c r="F10" s="57" t="str">
        <x:v>Status</x:v>
      </x:c>
      <x:c r="G10" s="57" t="str">
        <x:v>Target Profit</x:v>
      </x:c>
      <x:c r="H10" s="57" t="str">
        <x:v>Variance</x:v>
      </x:c>
    </x:row>
    <x:row r="11">
      <x:c r="A11" s="34" t="str">
        <x:v>Jan</x:v>
      </x:c>
      <x:c r="B11" s="30" t="n">
        <x:f>'Budget Data'!C7</x:f>
        <x:v>3700</x:v>
      </x:c>
      <x:c r="C11" s="30" t="n">
        <x:f>'Budget Data'!C14</x:f>
        <x:v>2100</x:v>
      </x:c>
      <x:c r="D11" s="30" t="n">
        <x:f>'Budget Data'!C15</x:f>
        <x:v>1600</x:v>
      </x:c>
      <x:c r="E11" s="32" t="n">
        <x:f>'Budget Data'!C16</x:f>
        <x:v>0.43243243243243246</x:v>
      </x:c>
      <x:c r="F11" s="34" t="str">
        <x:f>IF(D11&gt;=1500,"On Track","Review")</x:f>
        <x:v>On Track</x:v>
      </x:c>
      <x:c r="G11" s="30" t="n">
        <x:v>1500</x:v>
      </x:c>
      <x:c r="H11" s="30" t="n">
        <x:f>D11-G11</x:f>
        <x:v>100</x:v>
      </x:c>
    </x:row>
    <x:row r="12">
      <x:c r="A12" s="34" t="str">
        <x:v>Feb</x:v>
      </x:c>
      <x:c r="B12" s="30" t="n">
        <x:f>'Budget Data'!D7</x:f>
        <x:v>3720</x:v>
      </x:c>
      <x:c r="C12" s="30" t="n">
        <x:f>'Budget Data'!D14</x:f>
        <x:v>2180</x:v>
      </x:c>
      <x:c r="D12" s="30" t="n">
        <x:f>'Budget Data'!D15</x:f>
        <x:v>1540</x:v>
      </x:c>
      <x:c r="E12" s="32" t="n">
        <x:f>'Budget Data'!D16</x:f>
        <x:v>0.41397849462365593</x:v>
      </x:c>
      <x:c r="F12" s="34" t="str">
        <x:f>IF(D12&gt;=1500,"On Track","Review")</x:f>
        <x:v>On Track</x:v>
      </x:c>
      <x:c r="G12" s="30" t="n">
        <x:v>1500</x:v>
      </x:c>
      <x:c r="H12" s="30" t="n">
        <x:f>D12-G12</x:f>
        <x:v>40</x:v>
      </x:c>
    </x:row>
    <x:row r="13">
      <x:c r="A13" s="34" t="str">
        <x:v>Mar</x:v>
      </x:c>
      <x:c r="B13" s="30" t="n">
        <x:f>'Budget Data'!E7</x:f>
        <x:v>6160</x:v>
      </x:c>
      <x:c r="C13" s="30" t="n">
        <x:f>'Budget Data'!E14</x:f>
        <x:v>2120</x:v>
      </x:c>
      <x:c r="D13" s="30" t="n">
        <x:f>'Budget Data'!E15</x:f>
        <x:v>4040</x:v>
      </x:c>
      <x:c r="E13" s="32" t="n">
        <x:f>'Budget Data'!E16</x:f>
        <x:v>0.6558441558441559</x:v>
      </x:c>
      <x:c r="F13" s="34" t="str">
        <x:f>IF(D13&gt;=1500,"On Track","Review")</x:f>
        <x:v>On Track</x:v>
      </x:c>
      <x:c r="G13" s="30" t="n">
        <x:v>1500</x:v>
      </x:c>
      <x:c r="H13" s="30" t="n">
        <x:f>D13-G13</x:f>
        <x:v>2540</x:v>
      </x:c>
    </x:row>
    <x:row r="14">
      <x:c r="A14" s="34" t="str">
        <x:v>Apr</x:v>
      </x:c>
      <x:c r="B14" s="30" t="n">
        <x:f>'Budget Data'!F7</x:f>
        <x:v>3350</x:v>
      </x:c>
      <x:c r="C14" s="30" t="n">
        <x:f>'Budget Data'!F14</x:f>
        <x:v>2140</x:v>
      </x:c>
      <x:c r="D14" s="30" t="n">
        <x:f>'Budget Data'!F15</x:f>
        <x:v>1210</x:v>
      </x:c>
      <x:c r="E14" s="32" t="n">
        <x:f>'Budget Data'!F16</x:f>
        <x:v>0.3611940298507463</x:v>
      </x:c>
      <x:c r="F14" s="34" t="str">
        <x:f>IF(D14&gt;=1500,"On Track","Review")</x:f>
        <x:v>Review</x:v>
      </x:c>
      <x:c r="G14" s="30" t="n">
        <x:v>1500</x:v>
      </x:c>
      <x:c r="H14" s="30" t="n">
        <x:f>D14-G14</x:f>
        <x:v>-290</x:v>
      </x:c>
    </x:row>
    <x:row r="15">
      <x:c r="A15" s="34" t="str">
        <x:v>May</x:v>
      </x:c>
      <x:c r="B15" s="30" t="n">
        <x:f>'Budget Data'!G7</x:f>
        <x:v>3300</x:v>
      </x:c>
      <x:c r="C15" s="30" t="n">
        <x:f>'Budget Data'!G14</x:f>
        <x:v>2140</x:v>
      </x:c>
      <x:c r="D15" s="30" t="n">
        <x:f>'Budget Data'!G15</x:f>
        <x:v>1160</x:v>
      </x:c>
      <x:c r="E15" s="32" t="n">
        <x:f>'Budget Data'!G16</x:f>
        <x:v>0.3515151515151515</x:v>
      </x:c>
      <x:c r="F15" s="34" t="str">
        <x:f>IF(D15&gt;=1500,"On Track","Review")</x:f>
        <x:v>Review</x:v>
      </x:c>
      <x:c r="G15" s="30" t="n">
        <x:v>1500</x:v>
      </x:c>
      <x:c r="H15" s="30" t="n">
        <x:f>D15-G15</x:f>
        <x:v>-340</x:v>
      </x:c>
    </x:row>
    <x:row r="16">
      <x:c r="A16" s="34" t="str">
        <x:v>Jun</x:v>
      </x:c>
      <x:c r="B16" s="30" t="n">
        <x:f>'Budget Data'!H7</x:f>
        <x:v>3625</x:v>
      </x:c>
      <x:c r="C16" s="30" t="n">
        <x:f>'Budget Data'!H14</x:f>
        <x:v>2345</x:v>
      </x:c>
      <x:c r="D16" s="30" t="n">
        <x:f>'Budget Data'!H15</x:f>
        <x:v>1280</x:v>
      </x:c>
      <x:c r="E16" s="32" t="n">
        <x:f>'Budget Data'!H16</x:f>
        <x:v>0.35310344827586204</x:v>
      </x:c>
      <x:c r="F16" s="34" t="str">
        <x:f>IF(D16&gt;=1500,"On Track","Review")</x:f>
        <x:v>Review</x:v>
      </x:c>
      <x:c r="G16" s="30" t="n">
        <x:v>1500</x:v>
      </x:c>
      <x:c r="H16" s="30" t="n">
        <x:f>D16-G16</x:f>
        <x:v>-220</x:v>
      </x:c>
    </x:row>
    <x:row r="19">
      <x:c r="A19" s="57" t="str">
        <x:v>Expense Category</x:v>
      </x:c>
      <x:c r="B19" s="57" t="str">
        <x:v>Total</x:v>
      </x:c>
    </x:row>
    <x:row r="20">
      <x:c r="A20" s="34" t="str">
        <x:v>Office Rent</x:v>
      </x:c>
      <x:c r="B20" s="30" t="n">
        <x:f>'Budget Data'!I8</x:f>
        <x:v>7200</x:v>
      </x:c>
    </x:row>
    <x:row r="21">
      <x:c r="A21" s="34" t="str">
        <x:v>Employee Meals</x:v>
      </x:c>
      <x:c r="B21" s="30" t="n">
        <x:f>'Budget Data'!I9</x:f>
        <x:v>2480</x:v>
      </x:c>
    </x:row>
    <x:row r="22">
      <x:c r="A22" s="34" t="str">
        <x:v>Utilities &amp; Internet</x:v>
      </x:c>
      <x:c r="B22" s="30" t="n">
        <x:f>'Budget Data'!I10</x:f>
        <x:v>1000</x:v>
      </x:c>
    </x:row>
    <x:row r="23">
      <x:c r="A23" s="34" t="str">
        <x:v>Travel Expenses</x:v>
      </x:c>
      <x:c r="B23" s="30" t="n">
        <x:f>'Budget Data'!I11</x:f>
        <x:v>635</x:v>
      </x:c>
    </x:row>
    <x:row r="24">
      <x:c r="A24" s="34" t="str">
        <x:v>Client Events</x:v>
      </x:c>
      <x:c r="B24" s="30" t="n">
        <x:f>'Budget Data'!I12</x:f>
        <x:v>1300</x:v>
      </x:c>
    </x:row>
    <x:row r="25">
      <x:c r="A25" s="34" t="str">
        <x:v>Miscellaneous Expenses</x:v>
      </x:c>
      <x:c r="B25" s="30" t="n">
        <x:f>'Budget Data'!I13</x:f>
        <x:v>410</x:v>
      </x:c>
    </x:row>
  </x:sheetData>
  <x:mergeCells>
    <x:mergeCell ref="A1:G1"/>
  </x:mergeCells>
  <x:pageMargins left="0.7" right="0.7" top="0.75" bottom="0.75" header="0.3" footer="0.3"/>
</x:worksheet>
</file>