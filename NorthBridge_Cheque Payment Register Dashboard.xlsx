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reza\Downloads\"/>
    </mc:Choice>
  </mc:AlternateContent>
  <xr:revisionPtr revIDLastSave="0" documentId="13_ncr:1_{7D719BB3-D333-46FB-86C8-3547055855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Overview" sheetId="1" r:id="rId1"/>
    <sheet name="Vendor Payments" sheetId="2" r:id="rId2"/>
    <sheet name="Vendor Summary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4" l="1"/>
  <c r="A16" i="4"/>
  <c r="A15" i="4"/>
  <c r="A14" i="4"/>
  <c r="A13" i="4"/>
  <c r="A12" i="4"/>
  <c r="A11" i="4"/>
  <c r="C10" i="3"/>
  <c r="C17" i="4" s="1"/>
  <c r="B10" i="3"/>
  <c r="B17" i="4" s="1"/>
  <c r="C9" i="3"/>
  <c r="D9" i="3" s="1"/>
  <c r="D16" i="4" s="1"/>
  <c r="B9" i="3"/>
  <c r="B16" i="4" s="1"/>
  <c r="C8" i="3"/>
  <c r="C15" i="4" s="1"/>
  <c r="B8" i="3"/>
  <c r="B15" i="4" s="1"/>
  <c r="C7" i="3"/>
  <c r="C14" i="4" s="1"/>
  <c r="B7" i="3"/>
  <c r="B14" i="4" s="1"/>
  <c r="C6" i="3"/>
  <c r="D6" i="3" s="1"/>
  <c r="D13" i="4" s="1"/>
  <c r="B6" i="3"/>
  <c r="B13" i="4" s="1"/>
  <c r="C5" i="3"/>
  <c r="C12" i="4" s="1"/>
  <c r="B5" i="3"/>
  <c r="B12" i="4" s="1"/>
  <c r="C4" i="3"/>
  <c r="B13" i="3" s="1"/>
  <c r="B4" i="3"/>
  <c r="B11" i="4" s="1"/>
  <c r="G15" i="2"/>
  <c r="G14" i="2"/>
  <c r="H4" i="4" s="1"/>
  <c r="G13" i="2"/>
  <c r="G12" i="2"/>
  <c r="G11" i="2"/>
  <c r="G10" i="2"/>
  <c r="G9" i="2"/>
  <c r="E4" i="4" s="1"/>
  <c r="G8" i="2"/>
  <c r="E3" i="4" s="1"/>
  <c r="G7" i="2"/>
  <c r="B3" i="4" s="1"/>
  <c r="G6" i="2"/>
  <c r="B4" i="4" s="1"/>
  <c r="E6" i="3" l="1"/>
  <c r="E13" i="4" s="1"/>
  <c r="E9" i="3"/>
  <c r="E16" i="4" s="1"/>
  <c r="C13" i="4"/>
  <c r="D4" i="3"/>
  <c r="D11" i="4" s="1"/>
  <c r="D7" i="3"/>
  <c r="D14" i="4" s="1"/>
  <c r="D10" i="3"/>
  <c r="D17" i="4" s="1"/>
  <c r="C11" i="4"/>
  <c r="E4" i="3"/>
  <c r="E11" i="4" s="1"/>
  <c r="E7" i="3"/>
  <c r="E14" i="4" s="1"/>
  <c r="E10" i="3"/>
  <c r="E17" i="4" s="1"/>
  <c r="C16" i="4"/>
  <c r="B12" i="3"/>
  <c r="H3" i="4" s="1"/>
  <c r="D5" i="3"/>
  <c r="D12" i="4" s="1"/>
  <c r="D8" i="3"/>
  <c r="D15" i="4" s="1"/>
  <c r="E5" i="3"/>
  <c r="E12" i="4" s="1"/>
  <c r="E8" i="3"/>
  <c r="E15" i="4" s="1"/>
</calcChain>
</file>

<file path=xl/sharedStrings.xml><?xml version="1.0" encoding="utf-8"?>
<sst xmlns="http://schemas.openxmlformats.org/spreadsheetml/2006/main" count="92" uniqueCount="67">
  <si>
    <t>NorthBridge Construction Services Inc.</t>
  </si>
  <si>
    <t>Vendor Payment Register – Fiscal Year 2026</t>
  </si>
  <si>
    <t>Company Overview</t>
  </si>
  <si>
    <t>NorthBridge Construction Services Inc. is a Canadian construction company. The company works on building projects and pays many vendors.</t>
  </si>
  <si>
    <t>Purpose</t>
  </si>
  <si>
    <t>This workbook helps staff track cheque payments, review vendor costs, and support monthly financial reports.</t>
  </si>
  <si>
    <t>What This File Includes</t>
  </si>
  <si>
    <t>- Project Overview</t>
  </si>
  <si>
    <t>- Vendor Payments</t>
  </si>
  <si>
    <t>- Vendor Summary</t>
  </si>
  <si>
    <t>- Dashboard</t>
  </si>
  <si>
    <t>Currency</t>
  </si>
  <si>
    <t>All payment amounts are shown in Canadian dollars ($).</t>
  </si>
  <si>
    <t>Users</t>
  </si>
  <si>
    <t>Accounting Clerks, Bookkeepers, Finance Assistants, and Operations Managers</t>
  </si>
  <si>
    <t>Cheque Number</t>
  </si>
  <si>
    <t>Payment Date</t>
  </si>
  <si>
    <t>Vendor Name</t>
  </si>
  <si>
    <t>Payment Amount (CAD)</t>
  </si>
  <si>
    <t>SUMMARY &amp; ANALYSIS</t>
  </si>
  <si>
    <t>CHQ-2601</t>
  </si>
  <si>
    <t>Atlas Building Materials</t>
  </si>
  <si>
    <t>CHQ-2602</t>
  </si>
  <si>
    <t>Prime Electrical Systems</t>
  </si>
  <si>
    <t>Total Cheques:</t>
  </si>
  <si>
    <t>CHQ-2603</t>
  </si>
  <si>
    <t>Metro Office Services</t>
  </si>
  <si>
    <t>Total Amount:</t>
  </si>
  <si>
    <t>CHQ-2604</t>
  </si>
  <si>
    <t>Green Energy Contractors</t>
  </si>
  <si>
    <t>Average Amount:</t>
  </si>
  <si>
    <t>CHQ-2605</t>
  </si>
  <si>
    <t>Largest Cheque:</t>
  </si>
  <si>
    <t>CHQ-2606</t>
  </si>
  <si>
    <t>Skyline Marketing Group</t>
  </si>
  <si>
    <t>Smallest Cheque:</t>
  </si>
  <si>
    <t>CHQ-2607</t>
  </si>
  <si>
    <t>Unique Vendors:</t>
  </si>
  <si>
    <t>CHQ-2608</t>
  </si>
  <si>
    <t>Northern Facility Services</t>
  </si>
  <si>
    <t>First Cheque Date:</t>
  </si>
  <si>
    <t>CHQ-2609</t>
  </si>
  <si>
    <t>Last Cheque Date:</t>
  </si>
  <si>
    <t>CHQ-2610</t>
  </si>
  <si>
    <t>Cheques &gt; $2,000:</t>
  </si>
  <si>
    <t>CHQ-2611</t>
  </si>
  <si>
    <t>Insurance Partners Canada</t>
  </si>
  <si>
    <t>Atlas Building Materials Total:</t>
  </si>
  <si>
    <t>CHQ-2612</t>
  </si>
  <si>
    <t>CHQ-2613</t>
  </si>
  <si>
    <t>CHQ-2614</t>
  </si>
  <si>
    <t>CHQ-2615</t>
  </si>
  <si>
    <t>Vendor Payment Summary</t>
  </si>
  <si>
    <t>Number of Cheques</t>
  </si>
  <si>
    <t>Total Paid (CAD)</t>
  </si>
  <si>
    <t>Average Payment (CAD)</t>
  </si>
  <si>
    <t>Share of Total</t>
  </si>
  <si>
    <t>Top Vendor</t>
  </si>
  <si>
    <t>Total Paid</t>
  </si>
  <si>
    <t>NorthBridge Vendor Payment Dashboard – FY2026</t>
  </si>
  <si>
    <t>Total Payments</t>
  </si>
  <si>
    <t>Average Payment</t>
  </si>
  <si>
    <t>Largest Cheque</t>
  </si>
  <si>
    <t>Cheques &gt; $2,000</t>
  </si>
  <si>
    <t>Project Note</t>
  </si>
  <si>
    <t>This dashboard shows cheque payments by vendor. All amounts are shown in Canadian dollars ($).</t>
  </si>
  <si>
    <t>The file helps accounting staff review vendor expenses and monthly payment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</si>
</sst>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mmm\ d\,\ yyyy"/>
    <numFmt numFmtId="167" formatCode="\$#,##0.00"/>
    <numFmt numFmtId="168" formatCode="0.0%"/>
  </numFmts>
  <fonts count="15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2"/>
      <color rgb="FF2E7D32"/>
      <name val="Calibri"/>
    </font>
    <font>
      <sz val="10"/>
      <color theme="1"/>
      <name val="Calibri"/>
    </font>
    <font>
      <b/>
      <sz val="10"/>
      <color rgb="FF1565C0"/>
      <name val="Calibri"/>
    </font>
    <font>
      <b/>
      <sz val="12"/>
      <color rgb="FFFFFFFF"/>
      <name val="Calibri"/>
    </font>
    <font>
      <b/>
      <sz val="12"/>
      <name val="Calibri"/>
    </font>
    <font>
      <b/>
      <sz val="14"/>
      <color rgb="FFFFFFFF"/>
      <name val="Calibri"/>
    </font>
    <font>
      <b/>
      <i/>
      <sz val="11"/>
      <color rgb="FF1F1F1F"/>
      <name val="Calibri"/>
    </font>
    <font>
      <b/>
      <sz val="11"/>
      <color rgb="FF1F1F1F"/>
      <name val="Calibri"/>
    </font>
    <font>
      <i/>
      <sz val="11"/>
      <color theme="1"/>
      <name val="Calibri"/>
    </font>
    <font>
      <b/>
      <sz val="16"/>
      <color rgb="FF1F4E78"/>
      <name val="Calibri"/>
    </font>
    <font>
      <b/>
      <sz val="12"/>
      <color rgb="FF1F4E78"/>
      <name val="Calibri"/>
    </font>
    <font>
      <b/>
      <sz val="11"/>
      <color rgb="FF1F4E7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E8F4F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8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/>
    <xf numFmtId="0" fontId="0" fillId="0" borderId="4" xfId="0" applyBorder="1"/>
    <xf numFmtId="0" fontId="0" fillId="2" borderId="4" xfId="0" applyFill="1" applyBorder="1"/>
    <xf numFmtId="0" fontId="0" fillId="0" borderId="6" xfId="0" applyBorder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2" fillId="4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right"/>
    </xf>
    <xf numFmtId="0" fontId="1" fillId="6" borderId="3" xfId="0" applyFont="1" applyFill="1" applyBorder="1" applyAlignment="1">
      <alignment horizontal="right"/>
    </xf>
    <xf numFmtId="0" fontId="1" fillId="7" borderId="5" xfId="0" applyFont="1" applyFill="1" applyBorder="1" applyAlignment="1">
      <alignment horizontal="left"/>
    </xf>
    <xf numFmtId="0" fontId="1" fillId="7" borderId="6" xfId="0" applyFont="1" applyFill="1" applyBorder="1" applyAlignment="1">
      <alignment horizontal="left"/>
    </xf>
    <xf numFmtId="166" fontId="0" fillId="2" borderId="4" xfId="0" applyNumberFormat="1" applyFill="1" applyBorder="1"/>
    <xf numFmtId="166" fontId="0" fillId="0" borderId="4" xfId="0" applyNumberFormat="1" applyBorder="1"/>
    <xf numFmtId="167" fontId="0" fillId="2" borderId="4" xfId="0" applyNumberFormat="1" applyFill="1" applyBorder="1"/>
    <xf numFmtId="167" fontId="0" fillId="0" borderId="4" xfId="0" applyNumberFormat="1" applyBorder="1"/>
    <xf numFmtId="167" fontId="1" fillId="7" borderId="6" xfId="0" applyNumberFormat="1" applyFont="1" applyFill="1" applyBorder="1" applyAlignment="1">
      <alignment horizontal="left"/>
    </xf>
    <xf numFmtId="166" fontId="1" fillId="7" borderId="6" xfId="0" applyNumberFormat="1" applyFont="1" applyFill="1" applyBorder="1" applyAlignment="1">
      <alignment horizontal="left"/>
    </xf>
    <xf numFmtId="167" fontId="1" fillId="7" borderId="7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" fillId="6" borderId="0" xfId="0" applyFont="1" applyFill="1"/>
    <xf numFmtId="0" fontId="1" fillId="7" borderId="0" xfId="0" applyFont="1" applyFill="1"/>
    <xf numFmtId="167" fontId="0" fillId="0" borderId="0" xfId="0" applyNumberFormat="1"/>
    <xf numFmtId="168" fontId="0" fillId="0" borderId="0" xfId="0" applyNumberFormat="1"/>
    <xf numFmtId="167" fontId="1" fillId="7" borderId="0" xfId="0" applyNumberFormat="1" applyFont="1" applyFill="1"/>
    <xf numFmtId="0" fontId="1" fillId="7" borderId="0" xfId="0" applyFont="1" applyFill="1" applyAlignment="1">
      <alignment horizontal="center"/>
    </xf>
    <xf numFmtId="167" fontId="1" fillId="7" borderId="0" xfId="0" applyNumberFormat="1" applyFont="1" applyFill="1" applyAlignment="1">
      <alignment horizontal="center"/>
    </xf>
    <xf numFmtId="0" fontId="1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1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Paid</c:v>
          </c:tx>
          <c:invertIfNegative val="1"/>
          <c:cat>
            <c:strRef>
              <c:f>Dashboard!$A$11:$A$17</c:f>
              <c:strCache>
                <c:ptCount val="7"/>
                <c:pt idx="0">
                  <c:v>Atlas Building Materials</c:v>
                </c:pt>
                <c:pt idx="1">
                  <c:v>Prime Electrical Systems</c:v>
                </c:pt>
                <c:pt idx="2">
                  <c:v>Metro Office Services</c:v>
                </c:pt>
                <c:pt idx="3">
                  <c:v>Green Energy Contractors</c:v>
                </c:pt>
                <c:pt idx="4">
                  <c:v>Skyline Marketing Group</c:v>
                </c:pt>
                <c:pt idx="5">
                  <c:v>Northern Facility Services</c:v>
                </c:pt>
                <c:pt idx="6">
                  <c:v>Insurance Partners Canada</c:v>
                </c:pt>
              </c:strCache>
            </c:strRef>
          </c:cat>
          <c:val>
            <c:numRef>
              <c:f>Dashboard!$C$11:$C$17</c:f>
              <c:numCache>
                <c:formatCode>\$#,##0.00</c:formatCode>
                <c:ptCount val="7"/>
                <c:pt idx="0">
                  <c:v>24156.2</c:v>
                </c:pt>
                <c:pt idx="1">
                  <c:v>16411.8</c:v>
                </c:pt>
                <c:pt idx="2">
                  <c:v>2946.4500000000003</c:v>
                </c:pt>
                <c:pt idx="3">
                  <c:v>19270</c:v>
                </c:pt>
                <c:pt idx="4">
                  <c:v>7240</c:v>
                </c:pt>
                <c:pt idx="5">
                  <c:v>1850</c:v>
                </c:pt>
                <c:pt idx="6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0-47A8-9FFE-13F86F2D2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Share of Total</c:v>
          </c:tx>
          <c:cat>
            <c:strRef>
              <c:f>Dashboard!$A$11:$A$17</c:f>
              <c:strCache>
                <c:ptCount val="7"/>
                <c:pt idx="0">
                  <c:v>Atlas Building Materials</c:v>
                </c:pt>
                <c:pt idx="1">
                  <c:v>Prime Electrical Systems</c:v>
                </c:pt>
                <c:pt idx="2">
                  <c:v>Metro Office Services</c:v>
                </c:pt>
                <c:pt idx="3">
                  <c:v>Green Energy Contractors</c:v>
                </c:pt>
                <c:pt idx="4">
                  <c:v>Skyline Marketing Group</c:v>
                </c:pt>
                <c:pt idx="5">
                  <c:v>Northern Facility Services</c:v>
                </c:pt>
                <c:pt idx="6">
                  <c:v>Insurance Partners Canada</c:v>
                </c:pt>
              </c:strCache>
            </c:strRef>
          </c:cat>
          <c:val>
            <c:numRef>
              <c:f>Dashboard!$C$11:$C$17</c:f>
              <c:numCache>
                <c:formatCode>\$#,##0.00</c:formatCode>
                <c:ptCount val="7"/>
                <c:pt idx="0">
                  <c:v>24156.2</c:v>
                </c:pt>
                <c:pt idx="1">
                  <c:v>16411.8</c:v>
                </c:pt>
                <c:pt idx="2">
                  <c:v>2946.4500000000003</c:v>
                </c:pt>
                <c:pt idx="3">
                  <c:v>19270</c:v>
                </c:pt>
                <c:pt idx="4">
                  <c:v>7240</c:v>
                </c:pt>
                <c:pt idx="5">
                  <c:v>1850</c:v>
                </c:pt>
                <c:pt idx="6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D-40D7-893D-035CA83C0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PaymentsTable" displayName="VendorPaymentsTable" ref="A4:D19">
  <tableColumns count="4">
    <tableColumn id="1" xr3:uid="{00000000-0010-0000-0000-000001000000}" name="Cheque Number"/>
    <tableColumn id="2" xr3:uid="{00000000-0010-0000-0000-000002000000}" name="Payment Date"/>
    <tableColumn id="3" xr3:uid="{00000000-0010-0000-0000-000003000000}" name="Vendor Name"/>
    <tableColumn id="4" xr3:uid="{00000000-0010-0000-0000-000004000000}" name="Payment Amount (CA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orSummaryTable" displayName="VendorSummaryTable" ref="A3:E10">
  <tableColumns count="5">
    <tableColumn id="1" xr3:uid="{00000000-0010-0000-0100-000001000000}" name="Vendor Name"/>
    <tableColumn id="2" xr3:uid="{00000000-0010-0000-0100-000002000000}" name="Number of Cheques"/>
    <tableColumn id="3" xr3:uid="{00000000-0010-0000-0100-000003000000}" name="Total Paid (CAD)"/>
    <tableColumn id="4" xr3:uid="{00000000-0010-0000-0100-000004000000}" name="Average Payment (CAD)"/>
    <tableColumn id="5" xr3:uid="{00000000-0010-0000-0100-000005000000}" name="Share of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RowHeight="14.4" x14ac:dyDescent="0.3"/>
  <cols>
    <col min="1" max="1" width="100" customWidth="1"/>
  </cols>
  <sheetData>
    <row r="1" spans="1:1" ht="21" x14ac:dyDescent="0.4">
      <c r="A1" s="30" t="s">
        <v>0</v>
      </c>
    </row>
    <row r="2" spans="1:1" ht="15.6" x14ac:dyDescent="0.3">
      <c r="A2" s="31" t="s">
        <v>1</v>
      </c>
    </row>
    <row r="3" spans="1:1" x14ac:dyDescent="0.3">
      <c r="A3" s="32"/>
    </row>
    <row r="4" spans="1:1" ht="15.6" x14ac:dyDescent="0.3">
      <c r="A4" s="33" t="s">
        <v>2</v>
      </c>
    </row>
    <row r="5" spans="1:1" ht="28.8" x14ac:dyDescent="0.3">
      <c r="A5" s="32" t="s">
        <v>3</v>
      </c>
    </row>
    <row r="6" spans="1:1" x14ac:dyDescent="0.3">
      <c r="A6" s="32"/>
    </row>
    <row r="7" spans="1:1" ht="15.6" x14ac:dyDescent="0.3">
      <c r="A7" s="33" t="s">
        <v>4</v>
      </c>
    </row>
    <row r="8" spans="1:1" x14ac:dyDescent="0.3">
      <c r="A8" s="32" t="s">
        <v>5</v>
      </c>
    </row>
    <row r="9" spans="1:1" x14ac:dyDescent="0.3">
      <c r="A9" s="32"/>
    </row>
    <row r="10" spans="1:1" ht="15.6" x14ac:dyDescent="0.3">
      <c r="A10" s="33" t="s">
        <v>6</v>
      </c>
    </row>
    <row r="11" spans="1:1" x14ac:dyDescent="0.3">
      <c r="A11" s="32" t="s">
        <v>7</v>
      </c>
    </row>
    <row r="12" spans="1:1" x14ac:dyDescent="0.3">
      <c r="A12" s="32" t="s">
        <v>8</v>
      </c>
    </row>
    <row r="13" spans="1:1" x14ac:dyDescent="0.3">
      <c r="A13" s="32" t="s">
        <v>9</v>
      </c>
    </row>
    <row r="14" spans="1:1" x14ac:dyDescent="0.3">
      <c r="A14" s="32" t="s">
        <v>10</v>
      </c>
    </row>
    <row r="15" spans="1:1" x14ac:dyDescent="0.3">
      <c r="A15" s="32"/>
    </row>
    <row r="16" spans="1:1" x14ac:dyDescent="0.3">
      <c r="A16" s="34" t="s">
        <v>11</v>
      </c>
    </row>
    <row r="17" spans="1:1" x14ac:dyDescent="0.3">
      <c r="A17" s="32" t="s">
        <v>12</v>
      </c>
    </row>
    <row r="18" spans="1:1" x14ac:dyDescent="0.3">
      <c r="A18" s="32"/>
    </row>
    <row r="19" spans="1:1" x14ac:dyDescent="0.3">
      <c r="A19" s="34" t="s">
        <v>13</v>
      </c>
    </row>
    <row r="20" spans="1:1" x14ac:dyDescent="0.3">
      <c r="A20" s="3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B28" sqref="B28"/>
    </sheetView>
  </sheetViews>
  <sheetFormatPr defaultRowHeight="14.4" x14ac:dyDescent="0.3"/>
  <cols>
    <col min="1" max="1" width="45" customWidth="1"/>
    <col min="2" max="2" width="19.5546875" customWidth="1"/>
    <col min="3" max="3" width="24.21875" customWidth="1"/>
    <col min="4" max="4" width="25.33203125" customWidth="1"/>
    <col min="6" max="6" width="30.109375" customWidth="1"/>
    <col min="7" max="7" width="21.6640625" customWidth="1"/>
  </cols>
  <sheetData>
    <row r="1" spans="1:7" ht="16.8" customHeight="1" x14ac:dyDescent="0.35">
      <c r="A1" s="35" t="s">
        <v>1</v>
      </c>
      <c r="B1" s="35"/>
      <c r="C1" s="35"/>
      <c r="D1" s="35"/>
    </row>
    <row r="2" spans="1:7" x14ac:dyDescent="0.3">
      <c r="A2" s="36" t="s">
        <v>0</v>
      </c>
      <c r="B2" s="37"/>
      <c r="C2" s="37"/>
      <c r="D2" s="37"/>
    </row>
    <row r="4" spans="1:7" ht="12.45" customHeight="1" x14ac:dyDescent="0.3">
      <c r="A4" s="8" t="s">
        <v>15</v>
      </c>
      <c r="B4" s="8" t="s">
        <v>16</v>
      </c>
      <c r="C4" s="8" t="s">
        <v>17</v>
      </c>
      <c r="D4" s="8" t="s">
        <v>18</v>
      </c>
      <c r="F4" s="38" t="s">
        <v>19</v>
      </c>
      <c r="G4" s="39"/>
    </row>
    <row r="5" spans="1:7" x14ac:dyDescent="0.3">
      <c r="A5" s="3" t="s">
        <v>20</v>
      </c>
      <c r="B5" s="14">
        <v>46030</v>
      </c>
      <c r="C5" s="3" t="s">
        <v>21</v>
      </c>
      <c r="D5" s="16">
        <v>8240.75</v>
      </c>
      <c r="F5" s="1"/>
      <c r="G5" s="4"/>
    </row>
    <row r="6" spans="1:7" x14ac:dyDescent="0.3">
      <c r="A6" s="2" t="s">
        <v>22</v>
      </c>
      <c r="B6" s="15">
        <v>46038</v>
      </c>
      <c r="C6" s="2" t="s">
        <v>23</v>
      </c>
      <c r="D6" s="17">
        <v>5125.3999999999996</v>
      </c>
      <c r="F6" s="9" t="s">
        <v>24</v>
      </c>
      <c r="G6" s="12">
        <f>COUNTA($A$5:$A$19)</f>
        <v>15</v>
      </c>
    </row>
    <row r="7" spans="1:7" x14ac:dyDescent="0.3">
      <c r="A7" s="3" t="s">
        <v>25</v>
      </c>
      <c r="B7" s="14">
        <v>46056</v>
      </c>
      <c r="C7" s="3" t="s">
        <v>26</v>
      </c>
      <c r="D7" s="16">
        <v>945.3</v>
      </c>
      <c r="F7" s="10" t="s">
        <v>27</v>
      </c>
      <c r="G7" s="18">
        <f>SUM($D$5:$D$19)</f>
        <v>77374.45</v>
      </c>
    </row>
    <row r="8" spans="1:7" x14ac:dyDescent="0.3">
      <c r="A8" s="2" t="s">
        <v>28</v>
      </c>
      <c r="B8" s="15">
        <v>46071</v>
      </c>
      <c r="C8" s="2" t="s">
        <v>29</v>
      </c>
      <c r="D8" s="17">
        <v>12380</v>
      </c>
      <c r="F8" s="10" t="s">
        <v>30</v>
      </c>
      <c r="G8" s="18">
        <f>AVERAGE($D$5:$D$19)</f>
        <v>5158.2966666666662</v>
      </c>
    </row>
    <row r="9" spans="1:7" x14ac:dyDescent="0.3">
      <c r="A9" s="3" t="s">
        <v>31</v>
      </c>
      <c r="B9" s="14">
        <v>46088</v>
      </c>
      <c r="C9" s="3" t="s">
        <v>21</v>
      </c>
      <c r="D9" s="16">
        <v>6785.25</v>
      </c>
      <c r="F9" s="10" t="s">
        <v>32</v>
      </c>
      <c r="G9" s="18">
        <f>MAX($D$5:$D$19)</f>
        <v>12380</v>
      </c>
    </row>
    <row r="10" spans="1:7" x14ac:dyDescent="0.3">
      <c r="A10" s="2" t="s">
        <v>33</v>
      </c>
      <c r="B10" s="15">
        <v>46102</v>
      </c>
      <c r="C10" s="2" t="s">
        <v>34</v>
      </c>
      <c r="D10" s="17">
        <v>2980</v>
      </c>
      <c r="F10" s="10" t="s">
        <v>35</v>
      </c>
      <c r="G10" s="18">
        <f>MIN($D$5:$D$19)</f>
        <v>875.4</v>
      </c>
    </row>
    <row r="11" spans="1:7" x14ac:dyDescent="0.3">
      <c r="A11" s="3" t="s">
        <v>36</v>
      </c>
      <c r="B11" s="14">
        <v>46121</v>
      </c>
      <c r="C11" s="3" t="s">
        <v>23</v>
      </c>
      <c r="D11" s="16">
        <v>7425.9</v>
      </c>
      <c r="F11" s="10" t="s">
        <v>37</v>
      </c>
      <c r="G11" s="13">
        <f ca="1">COUNTA(_xludf.UNIQUE($C$5:$C$19))</f>
        <v>1</v>
      </c>
    </row>
    <row r="12" spans="1:7" x14ac:dyDescent="0.3">
      <c r="A12" s="2" t="s">
        <v>38</v>
      </c>
      <c r="B12" s="15">
        <v>46138</v>
      </c>
      <c r="C12" s="2" t="s">
        <v>39</v>
      </c>
      <c r="D12" s="17">
        <v>1850</v>
      </c>
      <c r="F12" s="10" t="s">
        <v>40</v>
      </c>
      <c r="G12" s="19">
        <f>MIN($B$5:$B$19)</f>
        <v>46030</v>
      </c>
    </row>
    <row r="13" spans="1:7" x14ac:dyDescent="0.3">
      <c r="A13" s="3" t="s">
        <v>41</v>
      </c>
      <c r="B13" s="14">
        <v>46154</v>
      </c>
      <c r="C13" s="3" t="s">
        <v>26</v>
      </c>
      <c r="D13" s="16">
        <v>1125.75</v>
      </c>
      <c r="F13" s="10" t="s">
        <v>42</v>
      </c>
      <c r="G13" s="19">
        <f>MAX($B$5:$B$19)</f>
        <v>46238</v>
      </c>
    </row>
    <row r="14" spans="1:7" x14ac:dyDescent="0.3">
      <c r="A14" s="2" t="s">
        <v>43</v>
      </c>
      <c r="B14" s="15">
        <v>46171</v>
      </c>
      <c r="C14" s="2" t="s">
        <v>21</v>
      </c>
      <c r="D14" s="17">
        <v>9130.2000000000007</v>
      </c>
      <c r="F14" s="10" t="s">
        <v>44</v>
      </c>
      <c r="G14" s="13">
        <f>COUNTIF($D$5:$D$19,"&gt;2000")</f>
        <v>11</v>
      </c>
    </row>
    <row r="15" spans="1:7" x14ac:dyDescent="0.3">
      <c r="A15" s="3" t="s">
        <v>45</v>
      </c>
      <c r="B15" s="14">
        <v>46181</v>
      </c>
      <c r="C15" s="3" t="s">
        <v>46</v>
      </c>
      <c r="D15" s="16">
        <v>5500</v>
      </c>
      <c r="F15" s="11" t="s">
        <v>47</v>
      </c>
      <c r="G15" s="20">
        <f>SUMIF($C$5:$C$19,"Atlas Building Materials",$D$5:$D$19)</f>
        <v>24156.2</v>
      </c>
    </row>
    <row r="16" spans="1:7" x14ac:dyDescent="0.3">
      <c r="A16" s="2" t="s">
        <v>48</v>
      </c>
      <c r="B16" s="15">
        <v>46192</v>
      </c>
      <c r="C16" s="2" t="s">
        <v>23</v>
      </c>
      <c r="D16" s="17">
        <v>3860.5</v>
      </c>
    </row>
    <row r="17" spans="1:7" ht="12.45" customHeight="1" x14ac:dyDescent="0.3">
      <c r="A17" s="3" t="s">
        <v>49</v>
      </c>
      <c r="B17" s="14">
        <v>46205</v>
      </c>
      <c r="C17" s="3" t="s">
        <v>29</v>
      </c>
      <c r="D17" s="16">
        <v>6890</v>
      </c>
      <c r="F17" s="5"/>
    </row>
    <row r="18" spans="1:7" x14ac:dyDescent="0.3">
      <c r="A18" s="2" t="s">
        <v>50</v>
      </c>
      <c r="B18" s="15">
        <v>46220</v>
      </c>
      <c r="C18" s="2" t="s">
        <v>34</v>
      </c>
      <c r="D18" s="17">
        <v>4260</v>
      </c>
      <c r="F18" s="7"/>
      <c r="G18" s="6"/>
    </row>
    <row r="19" spans="1:7" x14ac:dyDescent="0.3">
      <c r="A19" s="3" t="s">
        <v>51</v>
      </c>
      <c r="B19" s="14">
        <v>46238</v>
      </c>
      <c r="C19" s="3" t="s">
        <v>26</v>
      </c>
      <c r="D19" s="16">
        <v>875.4</v>
      </c>
      <c r="F19" s="7"/>
      <c r="G19" s="6"/>
    </row>
    <row r="20" spans="1:7" x14ac:dyDescent="0.3">
      <c r="F20" s="7"/>
      <c r="G20" s="6"/>
    </row>
    <row r="21" spans="1:7" x14ac:dyDescent="0.3">
      <c r="F21" s="7"/>
      <c r="G21" s="6"/>
    </row>
    <row r="22" spans="1:7" x14ac:dyDescent="0.3">
      <c r="F22" s="7"/>
      <c r="G22" s="6"/>
    </row>
    <row r="23" spans="1:7" x14ac:dyDescent="0.3">
      <c r="F23" s="7"/>
      <c r="G23" s="6"/>
    </row>
    <row r="24" spans="1:7" x14ac:dyDescent="0.3">
      <c r="F24" s="7"/>
      <c r="G24" s="6"/>
    </row>
  </sheetData>
  <mergeCells count="3">
    <mergeCell ref="A1:D1"/>
    <mergeCell ref="A2:D2"/>
    <mergeCell ref="F4:G4"/>
  </mergeCells>
  <conditionalFormatting sqref="D5:D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{DD998D08-1FCF-1CB6-E825-53F65FE68D40}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998D08-1FCF-1CB6-E825-53F65FE68D40}">
            <x14:dataBar>
              <x14:cfvo type="min"/>
              <x14:cfvo type="max"/>
              <x14:negativeFillColor auto="1"/>
              <x14:axisColor auto="1"/>
            </x14:dataBar>
          </x14:cfRule>
          <xm:sqref>D5:D19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sqref="A1:E1"/>
    </sheetView>
  </sheetViews>
  <sheetFormatPr defaultRowHeight="14.4" x14ac:dyDescent="0.3"/>
  <cols>
    <col min="1" max="1" width="27.77734375" customWidth="1"/>
    <col min="2" max="2" width="19.33203125" customWidth="1"/>
    <col min="3" max="3" width="13.109375" customWidth="1"/>
    <col min="4" max="4" width="19.33203125" customWidth="1"/>
    <col min="5" max="5" width="11.21875" customWidth="1"/>
  </cols>
  <sheetData>
    <row r="1" spans="1:5" ht="18" x14ac:dyDescent="0.35">
      <c r="A1" s="35" t="s">
        <v>52</v>
      </c>
      <c r="B1" s="35"/>
      <c r="C1" s="35"/>
      <c r="D1" s="35"/>
      <c r="E1" s="35"/>
    </row>
    <row r="3" spans="1:5" x14ac:dyDescent="0.3">
      <c r="A3" s="22" t="s">
        <v>17</v>
      </c>
      <c r="B3" s="22" t="s">
        <v>53</v>
      </c>
      <c r="C3" s="22" t="s">
        <v>54</v>
      </c>
      <c r="D3" s="22" t="s">
        <v>55</v>
      </c>
      <c r="E3" s="22" t="s">
        <v>56</v>
      </c>
    </row>
    <row r="4" spans="1:5" x14ac:dyDescent="0.3">
      <c r="A4" t="s">
        <v>21</v>
      </c>
      <c r="B4">
        <f>COUNTIF('Vendor Payments'!$C$5:$C$19,A4)</f>
        <v>3</v>
      </c>
      <c r="C4" s="25">
        <f>SUMIF('Vendor Payments'!$C$5:$C$19,A4,'Vendor Payments'!$D$5:$D$19)</f>
        <v>24156.2</v>
      </c>
      <c r="D4" s="25">
        <f t="shared" ref="D4:D10" si="0">IFERROR(C4/B4,0)</f>
        <v>8052.0666666666666</v>
      </c>
      <c r="E4" s="26">
        <f t="shared" ref="E4:E10" si="1">IFERROR(C4/SUM($C$4:$C$10),0)</f>
        <v>0.31219866506320887</v>
      </c>
    </row>
    <row r="5" spans="1:5" x14ac:dyDescent="0.3">
      <c r="A5" t="s">
        <v>23</v>
      </c>
      <c r="B5">
        <f>COUNTIF('Vendor Payments'!$C$5:$C$19,A5)</f>
        <v>3</v>
      </c>
      <c r="C5" s="25">
        <f>SUMIF('Vendor Payments'!$C$5:$C$19,A5,'Vendor Payments'!$D$5:$D$19)</f>
        <v>16411.8</v>
      </c>
      <c r="D5" s="25">
        <f t="shared" si="0"/>
        <v>5470.5999999999995</v>
      </c>
      <c r="E5" s="26">
        <f t="shared" si="1"/>
        <v>0.2121087775098886</v>
      </c>
    </row>
    <row r="6" spans="1:5" x14ac:dyDescent="0.3">
      <c r="A6" t="s">
        <v>26</v>
      </c>
      <c r="B6">
        <f>COUNTIF('Vendor Payments'!$C$5:$C$19,A6)</f>
        <v>3</v>
      </c>
      <c r="C6" s="25">
        <f>SUMIF('Vendor Payments'!$C$5:$C$19,A6,'Vendor Payments'!$D$5:$D$19)</f>
        <v>2946.4500000000003</v>
      </c>
      <c r="D6" s="25">
        <f t="shared" si="0"/>
        <v>982.15000000000009</v>
      </c>
      <c r="E6" s="26">
        <f t="shared" si="1"/>
        <v>3.8080399925298346E-2</v>
      </c>
    </row>
    <row r="7" spans="1:5" x14ac:dyDescent="0.3">
      <c r="A7" t="s">
        <v>29</v>
      </c>
      <c r="B7">
        <f>COUNTIF('Vendor Payments'!$C$5:$C$19,A7)</f>
        <v>2</v>
      </c>
      <c r="C7" s="25">
        <f>SUMIF('Vendor Payments'!$C$5:$C$19,A7,'Vendor Payments'!$D$5:$D$19)</f>
        <v>19270</v>
      </c>
      <c r="D7" s="25">
        <f t="shared" si="0"/>
        <v>9635</v>
      </c>
      <c r="E7" s="26">
        <f t="shared" si="1"/>
        <v>0.24904862005481138</v>
      </c>
    </row>
    <row r="8" spans="1:5" x14ac:dyDescent="0.3">
      <c r="A8" t="s">
        <v>34</v>
      </c>
      <c r="B8">
        <f>COUNTIF('Vendor Payments'!$C$5:$C$19,A8)</f>
        <v>2</v>
      </c>
      <c r="C8" s="25">
        <f>SUMIF('Vendor Payments'!$C$5:$C$19,A8,'Vendor Payments'!$D$5:$D$19)</f>
        <v>7240</v>
      </c>
      <c r="D8" s="25">
        <f t="shared" si="0"/>
        <v>3620</v>
      </c>
      <c r="E8" s="26">
        <f t="shared" si="1"/>
        <v>9.3570939761122698E-2</v>
      </c>
    </row>
    <row r="9" spans="1:5" x14ac:dyDescent="0.3">
      <c r="A9" t="s">
        <v>39</v>
      </c>
      <c r="B9">
        <f>COUNTIF('Vendor Payments'!$C$5:$C$19,A9)</f>
        <v>1</v>
      </c>
      <c r="C9" s="25">
        <f>SUMIF('Vendor Payments'!$C$5:$C$19,A9,'Vendor Payments'!$D$5:$D$19)</f>
        <v>1850</v>
      </c>
      <c r="D9" s="25">
        <f t="shared" si="0"/>
        <v>1850</v>
      </c>
      <c r="E9" s="26">
        <f t="shared" si="1"/>
        <v>2.3909701458297926E-2</v>
      </c>
    </row>
    <row r="10" spans="1:5" x14ac:dyDescent="0.3">
      <c r="A10" t="s">
        <v>46</v>
      </c>
      <c r="B10">
        <f>COUNTIF('Vendor Payments'!$C$5:$C$19,A10)</f>
        <v>1</v>
      </c>
      <c r="C10" s="25">
        <f>SUMIF('Vendor Payments'!$C$5:$C$19,A10,'Vendor Payments'!$D$5:$D$19)</f>
        <v>5500</v>
      </c>
      <c r="D10" s="25">
        <f t="shared" si="0"/>
        <v>5500</v>
      </c>
      <c r="E10" s="26">
        <f t="shared" si="1"/>
        <v>7.1082896227372211E-2</v>
      </c>
    </row>
    <row r="12" spans="1:5" x14ac:dyDescent="0.3">
      <c r="A12" s="23" t="s">
        <v>57</v>
      </c>
      <c r="B12" s="24" t="str">
        <f>INDEX(A4:A10,MATCH(MAX(C4:C10),C4:C10,0))</f>
        <v>Atlas Building Materials</v>
      </c>
    </row>
    <row r="13" spans="1:5" x14ac:dyDescent="0.3">
      <c r="A13" s="23" t="s">
        <v>58</v>
      </c>
      <c r="B13" s="27">
        <f>SUM(C4:C10)</f>
        <v>77374.45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topLeftCell="A9" workbookViewId="0">
      <selection sqref="A1:H1"/>
    </sheetView>
  </sheetViews>
  <sheetFormatPr defaultRowHeight="14.4" x14ac:dyDescent="0.3"/>
  <cols>
    <col min="1" max="1" width="78.21875" customWidth="1"/>
    <col min="2" max="2" width="16.33203125" customWidth="1"/>
    <col min="3" max="3" width="13.109375" customWidth="1"/>
    <col min="4" max="4" width="19.33203125" customWidth="1"/>
    <col min="5" max="5" width="11.21875" customWidth="1"/>
    <col min="7" max="7" width="14.21875" customWidth="1"/>
    <col min="8" max="8" width="19.33203125" customWidth="1"/>
  </cols>
  <sheetData>
    <row r="1" spans="1:8" ht="18" x14ac:dyDescent="0.35">
      <c r="A1" s="35" t="s">
        <v>59</v>
      </c>
      <c r="B1" s="35"/>
      <c r="C1" s="35"/>
      <c r="D1" s="35"/>
      <c r="E1" s="35"/>
      <c r="F1" s="35"/>
      <c r="G1" s="35"/>
      <c r="H1" s="35"/>
    </row>
    <row r="3" spans="1:8" x14ac:dyDescent="0.3">
      <c r="A3" s="21" t="s">
        <v>60</v>
      </c>
      <c r="B3" s="29">
        <f>'Vendor Payments'!$G$7</f>
        <v>77374.45</v>
      </c>
      <c r="D3" s="21" t="s">
        <v>61</v>
      </c>
      <c r="E3" s="29">
        <f>'Vendor Payments'!$G$8</f>
        <v>5158.2966666666662</v>
      </c>
      <c r="G3" s="21" t="s">
        <v>57</v>
      </c>
      <c r="H3" s="28" t="str">
        <f>'Vendor Summary'!$B$12</f>
        <v>Atlas Building Materials</v>
      </c>
    </row>
    <row r="4" spans="1:8" x14ac:dyDescent="0.3">
      <c r="A4" s="21" t="s">
        <v>53</v>
      </c>
      <c r="B4" s="28">
        <f>'Vendor Payments'!$G$6</f>
        <v>15</v>
      </c>
      <c r="D4" s="21" t="s">
        <v>62</v>
      </c>
      <c r="E4" s="29">
        <f>'Vendor Payments'!$G$9</f>
        <v>12380</v>
      </c>
      <c r="G4" s="21" t="s">
        <v>63</v>
      </c>
      <c r="H4" s="28">
        <f>'Vendor Payments'!$G$14</f>
        <v>11</v>
      </c>
    </row>
    <row r="6" spans="1:8" x14ac:dyDescent="0.3">
      <c r="A6" s="37" t="s">
        <v>64</v>
      </c>
      <c r="B6" s="37"/>
    </row>
    <row r="7" spans="1:8" x14ac:dyDescent="0.3">
      <c r="A7" s="40" t="s">
        <v>65</v>
      </c>
      <c r="B7" s="40"/>
      <c r="C7" s="40"/>
      <c r="D7" s="40"/>
      <c r="E7" s="40"/>
      <c r="F7" s="40"/>
      <c r="G7" s="40"/>
      <c r="H7" s="40"/>
    </row>
    <row r="8" spans="1:8" x14ac:dyDescent="0.3">
      <c r="A8" s="40" t="s">
        <v>66</v>
      </c>
      <c r="B8" s="40"/>
      <c r="C8" s="40"/>
      <c r="D8" s="40"/>
      <c r="E8" s="40"/>
      <c r="F8" s="40"/>
      <c r="G8" s="40"/>
      <c r="H8" s="40"/>
    </row>
    <row r="10" spans="1:8" x14ac:dyDescent="0.3">
      <c r="A10" s="22" t="s">
        <v>17</v>
      </c>
      <c r="B10" s="22" t="s">
        <v>53</v>
      </c>
      <c r="C10" s="22" t="s">
        <v>54</v>
      </c>
      <c r="D10" s="22" t="s">
        <v>55</v>
      </c>
      <c r="E10" s="22" t="s">
        <v>56</v>
      </c>
    </row>
    <row r="11" spans="1:8" x14ac:dyDescent="0.3">
      <c r="A11" t="str">
        <f>'Vendor Summary'!A4</f>
        <v>Atlas Building Materials</v>
      </c>
      <c r="B11">
        <f>'Vendor Summary'!B4</f>
        <v>3</v>
      </c>
      <c r="C11" s="25">
        <f>'Vendor Summary'!C4</f>
        <v>24156.2</v>
      </c>
      <c r="D11" s="25">
        <f>'Vendor Summary'!D4</f>
        <v>8052.0666666666666</v>
      </c>
      <c r="E11" s="26">
        <f>'Vendor Summary'!E4</f>
        <v>0.31219866506320887</v>
      </c>
    </row>
    <row r="12" spans="1:8" x14ac:dyDescent="0.3">
      <c r="A12" t="str">
        <f>'Vendor Summary'!A5</f>
        <v>Prime Electrical Systems</v>
      </c>
      <c r="B12">
        <f>'Vendor Summary'!B5</f>
        <v>3</v>
      </c>
      <c r="C12" s="25">
        <f>'Vendor Summary'!C5</f>
        <v>16411.8</v>
      </c>
      <c r="D12" s="25">
        <f>'Vendor Summary'!D5</f>
        <v>5470.5999999999995</v>
      </c>
      <c r="E12" s="26">
        <f>'Vendor Summary'!E5</f>
        <v>0.2121087775098886</v>
      </c>
    </row>
    <row r="13" spans="1:8" x14ac:dyDescent="0.3">
      <c r="A13" t="str">
        <f>'Vendor Summary'!A6</f>
        <v>Metro Office Services</v>
      </c>
      <c r="B13">
        <f>'Vendor Summary'!B6</f>
        <v>3</v>
      </c>
      <c r="C13" s="25">
        <f>'Vendor Summary'!C6</f>
        <v>2946.4500000000003</v>
      </c>
      <c r="D13" s="25">
        <f>'Vendor Summary'!D6</f>
        <v>982.15000000000009</v>
      </c>
      <c r="E13" s="26">
        <f>'Vendor Summary'!E6</f>
        <v>3.8080399925298346E-2</v>
      </c>
    </row>
    <row r="14" spans="1:8" x14ac:dyDescent="0.3">
      <c r="A14" t="str">
        <f>'Vendor Summary'!A7</f>
        <v>Green Energy Contractors</v>
      </c>
      <c r="B14">
        <f>'Vendor Summary'!B7</f>
        <v>2</v>
      </c>
      <c r="C14" s="25">
        <f>'Vendor Summary'!C7</f>
        <v>19270</v>
      </c>
      <c r="D14" s="25">
        <f>'Vendor Summary'!D7</f>
        <v>9635</v>
      </c>
      <c r="E14" s="26">
        <f>'Vendor Summary'!E7</f>
        <v>0.24904862005481138</v>
      </c>
    </row>
    <row r="15" spans="1:8" x14ac:dyDescent="0.3">
      <c r="A15" t="str">
        <f>'Vendor Summary'!A8</f>
        <v>Skyline Marketing Group</v>
      </c>
      <c r="B15">
        <f>'Vendor Summary'!B8</f>
        <v>2</v>
      </c>
      <c r="C15" s="25">
        <f>'Vendor Summary'!C8</f>
        <v>7240</v>
      </c>
      <c r="D15" s="25">
        <f>'Vendor Summary'!D8</f>
        <v>3620</v>
      </c>
      <c r="E15" s="26">
        <f>'Vendor Summary'!E8</f>
        <v>9.3570939761122698E-2</v>
      </c>
    </row>
    <row r="16" spans="1:8" x14ac:dyDescent="0.3">
      <c r="A16" t="str">
        <f>'Vendor Summary'!A9</f>
        <v>Northern Facility Services</v>
      </c>
      <c r="B16">
        <f>'Vendor Summary'!B9</f>
        <v>1</v>
      </c>
      <c r="C16" s="25">
        <f>'Vendor Summary'!C9</f>
        <v>1850</v>
      </c>
      <c r="D16" s="25">
        <f>'Vendor Summary'!D9</f>
        <v>1850</v>
      </c>
      <c r="E16" s="26">
        <f>'Vendor Summary'!E9</f>
        <v>2.3909701458297926E-2</v>
      </c>
    </row>
    <row r="17" spans="1:5" x14ac:dyDescent="0.3">
      <c r="A17" t="str">
        <f>'Vendor Summary'!A10</f>
        <v>Insurance Partners Canada</v>
      </c>
      <c r="B17">
        <f>'Vendor Summary'!B10</f>
        <v>1</v>
      </c>
      <c r="C17" s="25">
        <f>'Vendor Summary'!C10</f>
        <v>5500</v>
      </c>
      <c r="D17" s="25">
        <f>'Vendor Summary'!D10</f>
        <v>5500</v>
      </c>
      <c r="E17" s="26">
        <f>'Vendor Summary'!E10</f>
        <v>7.1082896227372211E-2</v>
      </c>
    </row>
  </sheetData>
  <mergeCells count="4">
    <mergeCell ref="A1:H1"/>
    <mergeCell ref="A6:B6"/>
    <mergeCell ref="A7:H7"/>
    <mergeCell ref="A8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Vendor Payments</vt:lpstr>
      <vt:lpstr>Vendor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 Alireza</cp:lastModifiedBy>
  <dcterms:modified xsi:type="dcterms:W3CDTF">2026-06-08T02:57:14Z</dcterms:modified>
</cp:coreProperties>
</file>