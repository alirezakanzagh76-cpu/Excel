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27ca7f18e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2f09f4044443c4"/>
    <x:sheet xmlns:r="http://schemas.openxmlformats.org/officeDocument/2006/relationships" name="Data" sheetId="2" r:id="Rb99afd4fb3d94d6c"/>
    <x:sheet xmlns:r="http://schemas.openxmlformats.org/officeDocument/2006/relationships" name="Exceptions" sheetId="3" r:id="R0bd2fdfd3647451a"/>
    <x:sheet xmlns:r="http://schemas.openxmlformats.org/officeDocument/2006/relationships" name="Dashboard" sheetId="4" r:id="R01df8b9286e6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$#,##0"/>
    <x:numFmt numFmtId="203" formatCode="0.0"/>
    <x:numFmt numFmtId="204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ED7D31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204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4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24382462643a6" /><Relationship Type="http://schemas.openxmlformats.org/officeDocument/2006/relationships/theme" Target="/xl/theme/theme1.xml" Id="R8db0cd6def4c4121" /><Relationship Type="http://schemas.openxmlformats.org/officeDocument/2006/relationships/sharedStrings" Target="/xl/sharedStrings.xml" Id="R186505a873ff41ab" /><Relationship Type="http://schemas.openxmlformats.org/officeDocument/2006/relationships/worksheet" Target="/xl/worksheets/sheet1.xml" Id="Raa2f09f4044443c4" /><Relationship Type="http://schemas.openxmlformats.org/officeDocument/2006/relationships/worksheet" Target="/xl/worksheets/sheet2.xml" Id="Rb99afd4fb3d94d6c" /><Relationship Type="http://schemas.openxmlformats.org/officeDocument/2006/relationships/worksheet" Target="/xl/worksheets/sheet3.xml" Id="R0bd2fdfd3647451a" /><Relationship Type="http://schemas.openxmlformats.org/officeDocument/2006/relationships/worksheet" Target="/xl/worksheets/sheet4.xml" Id="R01df8b9286e64e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3c55b974e0470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3c55b974e047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3476e68d342405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Payroll Overtime &amp; Labor Cost Audit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Payroll teams need to calculate regular pay, overtime pay, department labor cost, and detect missing approvals or abnormal hours.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Regular/OT hour formulas, gross pay, approval checks, exception flags, labor cost dashboard, conditional formatting.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the workbook catches overtime and approval risk before payroll is finalized.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6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</x:cols>
  <x:sheetData>
    <x:row r="1" ht="30" customHeight="1">
      <x:c r="A1" s="48" t="str">
        <x:v>Timesheet_ID</x:v>
      </x:c>
      <x:c r="B1" s="49" t="str">
        <x:v>Week_Ending</x:v>
      </x:c>
      <x:c r="C1" s="49" t="str">
        <x:v>Employee</x:v>
      </x:c>
      <x:c r="D1" s="49" t="str">
        <x:v>Department</x:v>
      </x:c>
      <x:c r="E1" s="49" t="str">
        <x:v>Hours_Worked</x:v>
      </x:c>
      <x:c r="F1" s="49" t="str">
        <x:v>Hourly_Rate</x:v>
      </x:c>
      <x:c r="G1" s="49" t="str">
        <x:v>Approved</x:v>
      </x:c>
      <x:c r="H1" s="49" t="str">
        <x:v>Regular_Hours</x:v>
      </x:c>
      <x:c r="I1" s="49" t="str">
        <x:v>OT_Hours</x:v>
      </x:c>
      <x:c r="J1" s="49" t="str">
        <x:v>Regular_Pay</x:v>
      </x:c>
      <x:c r="K1" s="49" t="str">
        <x:v>OT_Pay</x:v>
      </x:c>
      <x:c r="L1" s="49" t="str">
        <x:v>Gross_Pay</x:v>
      </x:c>
      <x:c r="M1" s="49" t="str">
        <x:v>Exception_Flag</x:v>
      </x:c>
      <x:c r="N1" s="50" t="str">
        <x:v>Action</x:v>
      </x:c>
    </x:row>
    <x:row r="2">
      <x:c r="A2" s="57" t="str">
        <x:v>TS-0001</x:v>
      </x:c>
      <x:c r="B2" s="78" t="n">
        <x:v>46185</x:v>
      </x:c>
      <x:c r="C2" s="58" t="str">
        <x:v>Employee 67</x:v>
      </x:c>
      <x:c r="D2" s="58" t="str">
        <x:v>IT</x:v>
      </x:c>
      <x:c r="E2" s="58" t="n">
        <x:v>21.2</x:v>
      </x:c>
      <x:c r="F2" s="82" t="n">
        <x:v>44.02</x:v>
      </x:c>
      <x:c r="G2" s="58" t="str">
        <x:v>Yes</x:v>
      </x:c>
      <x:c r="H2" s="58" t="n">
        <x:f>MIN(E2,40)</x:f>
        <x:v>21.2</x:v>
      </x:c>
      <x:c r="I2" s="58" t="n">
        <x:f>MAX(0,E2-40)</x:f>
        <x:v>0</x:v>
      </x:c>
      <x:c r="J2" s="82" t="n">
        <x:f>H2*F2</x:f>
        <x:v>933.224</x:v>
      </x:c>
      <x:c r="K2" s="82" t="n">
        <x:f>I2*F2*1.5</x:f>
        <x:v>0</x:v>
      </x:c>
      <x:c r="L2" s="82" t="n">
        <x:f>J2+K2</x:f>
        <x:v>933.224</x:v>
      </x:c>
      <x:c r="M2" s="58" t="str">
        <x:f>IF(OR(E2&gt;55,G2&lt;&gt;"Yes",I2&gt;10),"Review","OK")</x:f>
        <x:v>OK</x:v>
      </x:c>
      <x:c r="N2" s="59" t="str">
        <x:f>IF(M2="Review","Check approval/overtime reason","No action")</x:f>
        <x:v>No action</x:v>
      </x:c>
    </x:row>
    <x:row r="3">
      <x:c r="A3" s="57" t="str">
        <x:v>TS-0002</x:v>
      </x:c>
      <x:c r="B3" s="78" t="n">
        <x:v>46143</x:v>
      </x:c>
      <x:c r="C3" s="58" t="str">
        <x:v>Employee 26</x:v>
      </x:c>
      <x:c r="D3" s="58" t="str">
        <x:v>Warehouse</x:v>
      </x:c>
      <x:c r="E3" s="58" t="n">
        <x:v>33.2</x:v>
      </x:c>
      <x:c r="F3" s="82" t="n">
        <x:v>31.1</x:v>
      </x:c>
      <x:c r="G3" s="58" t="str">
        <x:v>Yes</x:v>
      </x:c>
      <x:c r="H3" s="58" t="n">
        <x:f>MIN(E3,40)</x:f>
        <x:v>33.2</x:v>
      </x:c>
      <x:c r="I3" s="58" t="n">
        <x:f>MAX(0,E3-40)</x:f>
        <x:v>0</x:v>
      </x:c>
      <x:c r="J3" s="82" t="n">
        <x:f>H3*F3</x:f>
        <x:v>1032.5200000000002</x:v>
      </x:c>
      <x:c r="K3" s="82" t="n">
        <x:f>I3*F3*1.5</x:f>
        <x:v>0</x:v>
      </x:c>
      <x:c r="L3" s="82" t="n">
        <x:f>J3+K3</x:f>
        <x:v>1032.5200000000002</x:v>
      </x:c>
      <x:c r="M3" s="58" t="str">
        <x:f>IF(OR(E3&gt;55,G3&lt;&gt;"Yes",I3&gt;10),"Review","OK")</x:f>
        <x:v>OK</x:v>
      </x:c>
      <x:c r="N3" s="59" t="str">
        <x:f>IF(M3="Review","Check approval/overtime reason","No action")</x:f>
        <x:v>No action</x:v>
      </x:c>
    </x:row>
    <x:row r="4">
      <x:c r="A4" s="57" t="str">
        <x:v>TS-0003</x:v>
      </x:c>
      <x:c r="B4" s="78" t="n">
        <x:v>46157</x:v>
      </x:c>
      <x:c r="C4" s="58" t="str">
        <x:v>Employee 74</x:v>
      </x:c>
      <x:c r="D4" s="58" t="str">
        <x:v>Operations</x:v>
      </x:c>
      <x:c r="E4" s="58" t="n">
        <x:v>55.2</x:v>
      </x:c>
      <x:c r="F4" s="82" t="n">
        <x:v>20.24</x:v>
      </x:c>
      <x:c r="G4" s="58" t="str">
        <x:v>No</x:v>
      </x:c>
      <x:c r="H4" s="58" t="n">
        <x:f>MIN(E4,40)</x:f>
        <x:v>40</x:v>
      </x:c>
      <x:c r="I4" s="58" t="n">
        <x:f>MAX(0,E4-40)</x:f>
        <x:v>15.200000000000003</x:v>
      </x:c>
      <x:c r="J4" s="82" t="n">
        <x:f>H4*F4</x:f>
        <x:v>809.5999999999999</x:v>
      </x:c>
      <x:c r="K4" s="82" t="n">
        <x:f>I4*F4*1.5</x:f>
        <x:v>461.47200000000004</x:v>
      </x:c>
      <x:c r="L4" s="82" t="n">
        <x:f>J4+K4</x:f>
        <x:v>1271.072</x:v>
      </x:c>
      <x:c r="M4" s="58" t="str">
        <x:f>IF(OR(E4&gt;55,G4&lt;&gt;"Yes",I4&gt;10),"Review","OK")</x:f>
        <x:v>Review</x:v>
      </x:c>
      <x:c r="N4" s="59" t="str">
        <x:f>IF(M4="Review","Check approval/overtime reason","No action")</x:f>
        <x:v>Check approval/overtime reason</x:v>
      </x:c>
    </x:row>
    <x:row r="5">
      <x:c r="A5" s="57" t="str">
        <x:v>TS-0004</x:v>
      </x:c>
      <x:c r="B5" s="78" t="n">
        <x:v>46150</x:v>
      </x:c>
      <x:c r="C5" s="58" t="str">
        <x:v>Employee 29</x:v>
      </x:c>
      <x:c r="D5" s="58" t="str">
        <x:v>Admin</x:v>
      </x:c>
      <x:c r="E5" s="58" t="n">
        <x:v>48.7</x:v>
      </x:c>
      <x:c r="F5" s="82" t="n">
        <x:v>23.21</x:v>
      </x:c>
      <x:c r="G5" s="58" t="str">
        <x:v>Yes</x:v>
      </x:c>
      <x:c r="H5" s="58" t="n">
        <x:f>MIN(E5,40)</x:f>
        <x:v>40</x:v>
      </x:c>
      <x:c r="I5" s="58" t="n">
        <x:f>MAX(0,E5-40)</x:f>
        <x:v>8.700000000000003</x:v>
      </x:c>
      <x:c r="J5" s="82" t="n">
        <x:f>H5*F5</x:f>
        <x:v>928.4000000000001</x:v>
      </x:c>
      <x:c r="K5" s="82" t="n">
        <x:f>I5*F5*1.5</x:f>
        <x:v>302.8905000000001</x:v>
      </x:c>
      <x:c r="L5" s="82" t="n">
        <x:f>J5+K5</x:f>
        <x:v>1231.2905</x:v>
      </x:c>
      <x:c r="M5" s="58" t="str">
        <x:f>IF(OR(E5&gt;55,G5&lt;&gt;"Yes",I5&gt;10),"Review","OK")</x:f>
        <x:v>OK</x:v>
      </x:c>
      <x:c r="N5" s="59" t="str">
        <x:f>IF(M5="Review","Check approval/overtime reason","No action")</x:f>
        <x:v>No action</x:v>
      </x:c>
    </x:row>
    <x:row r="6">
      <x:c r="A6" s="57" t="str">
        <x:v>TS-0005</x:v>
      </x:c>
      <x:c r="B6" s="78" t="n">
        <x:v>46157</x:v>
      </x:c>
      <x:c r="C6" s="58" t="str">
        <x:v>Employee 30</x:v>
      </x:c>
      <x:c r="D6" s="58" t="str">
        <x:v>Sales</x:v>
      </x:c>
      <x:c r="E6" s="58" t="n">
        <x:v>44.2</x:v>
      </x:c>
      <x:c r="F6" s="82" t="n">
        <x:v>18.6</x:v>
      </x:c>
      <x:c r="G6" s="58" t="str">
        <x:v>Yes</x:v>
      </x:c>
      <x:c r="H6" s="58" t="n">
        <x:f>MIN(E6,40)</x:f>
        <x:v>40</x:v>
      </x:c>
      <x:c r="I6" s="58" t="n">
        <x:f>MAX(0,E6-40)</x:f>
        <x:v>4.200000000000003</x:v>
      </x:c>
      <x:c r="J6" s="82" t="n">
        <x:f>H6*F6</x:f>
        <x:v>744</x:v>
      </x:c>
      <x:c r="K6" s="82" t="n">
        <x:f>I6*F6*1.5</x:f>
        <x:v>117.18000000000009</x:v>
      </x:c>
      <x:c r="L6" s="82" t="n">
        <x:f>J6+K6</x:f>
        <x:v>861.1800000000001</x:v>
      </x:c>
      <x:c r="M6" s="58" t="str">
        <x:f>IF(OR(E6&gt;55,G6&lt;&gt;"Yes",I6&gt;10),"Review","OK")</x:f>
        <x:v>OK</x:v>
      </x:c>
      <x:c r="N6" s="59" t="str">
        <x:f>IF(M6="Review","Check approval/overtime reason","No action")</x:f>
        <x:v>No action</x:v>
      </x:c>
    </x:row>
    <x:row r="7">
      <x:c r="A7" s="57" t="str">
        <x:v>TS-0006</x:v>
      </x:c>
      <x:c r="B7" s="78" t="n">
        <x:v>46171</x:v>
      </x:c>
      <x:c r="C7" s="58" t="str">
        <x:v>Employee 41</x:v>
      </x:c>
      <x:c r="D7" s="58" t="str">
        <x:v>IT</x:v>
      </x:c>
      <x:c r="E7" s="58" t="n">
        <x:v>27.1</x:v>
      </x:c>
      <x:c r="F7" s="82" t="n">
        <x:v>41.2</x:v>
      </x:c>
      <x:c r="G7" s="58" t="str">
        <x:v>Yes</x:v>
      </x:c>
      <x:c r="H7" s="58" t="n">
        <x:f>MIN(E7,40)</x:f>
        <x:v>27.1</x:v>
      </x:c>
      <x:c r="I7" s="58" t="n">
        <x:f>MAX(0,E7-40)</x:f>
        <x:v>0</x:v>
      </x:c>
      <x:c r="J7" s="82" t="n">
        <x:f>H7*F7</x:f>
        <x:v>1116.5200000000002</x:v>
      </x:c>
      <x:c r="K7" s="82" t="n">
        <x:f>I7*F7*1.5</x:f>
        <x:v>0</x:v>
      </x:c>
      <x:c r="L7" s="82" t="n">
        <x:f>J7+K7</x:f>
        <x:v>1116.5200000000002</x:v>
      </x:c>
      <x:c r="M7" s="58" t="str">
        <x:f>IF(OR(E7&gt;55,G7&lt;&gt;"Yes",I7&gt;10),"Review","OK")</x:f>
        <x:v>OK</x:v>
      </x:c>
      <x:c r="N7" s="59" t="str">
        <x:f>IF(M7="Review","Check approval/overtime reason","No action")</x:f>
        <x:v>No action</x:v>
      </x:c>
    </x:row>
    <x:row r="8">
      <x:c r="A8" s="57" t="str">
        <x:v>TS-0007</x:v>
      </x:c>
      <x:c r="B8" s="78" t="n">
        <x:v>46185</x:v>
      </x:c>
      <x:c r="C8" s="58" t="str">
        <x:v>Employee 75</x:v>
      </x:c>
      <x:c r="D8" s="58" t="str">
        <x:v>Warehouse</x:v>
      </x:c>
      <x:c r="E8" s="58" t="n">
        <x:v>23</x:v>
      </x:c>
      <x:c r="F8" s="82" t="n">
        <x:v>19.42</x:v>
      </x:c>
      <x:c r="G8" s="58" t="str">
        <x:v>Yes</x:v>
      </x:c>
      <x:c r="H8" s="58" t="n">
        <x:f>MIN(E8,40)</x:f>
        <x:v>23</x:v>
      </x:c>
      <x:c r="I8" s="58" t="n">
        <x:f>MAX(0,E8-40)</x:f>
        <x:v>0</x:v>
      </x:c>
      <x:c r="J8" s="82" t="n">
        <x:f>H8*F8</x:f>
        <x:v>446.66</x:v>
      </x:c>
      <x:c r="K8" s="82" t="n">
        <x:f>I8*F8*1.5</x:f>
        <x:v>0</x:v>
      </x:c>
      <x:c r="L8" s="82" t="n">
        <x:f>J8+K8</x:f>
        <x:v>446.66</x:v>
      </x:c>
      <x:c r="M8" s="58" t="str">
        <x:f>IF(OR(E8&gt;55,G8&lt;&gt;"Yes",I8&gt;10),"Review","OK")</x:f>
        <x:v>OK</x:v>
      </x:c>
      <x:c r="N8" s="59" t="str">
        <x:f>IF(M8="Review","Check approval/overtime reason","No action")</x:f>
        <x:v>No action</x:v>
      </x:c>
    </x:row>
    <x:row r="9">
      <x:c r="A9" s="57" t="str">
        <x:v>TS-0008</x:v>
      </x:c>
      <x:c r="B9" s="78" t="n">
        <x:v>46164</x:v>
      </x:c>
      <x:c r="C9" s="58" t="str">
        <x:v>Employee 27</x:v>
      </x:c>
      <x:c r="D9" s="58" t="str">
        <x:v>Admin</x:v>
      </x:c>
      <x:c r="E9" s="58" t="n">
        <x:v>22.7</x:v>
      </x:c>
      <x:c r="F9" s="82" t="n">
        <x:v>21.7</x:v>
      </x:c>
      <x:c r="G9" s="58" t="str">
        <x:v>Yes</x:v>
      </x:c>
      <x:c r="H9" s="58" t="n">
        <x:f>MIN(E9,40)</x:f>
        <x:v>22.7</x:v>
      </x:c>
      <x:c r="I9" s="58" t="n">
        <x:f>MAX(0,E9-40)</x:f>
        <x:v>0</x:v>
      </x:c>
      <x:c r="J9" s="82" t="n">
        <x:f>H9*F9</x:f>
        <x:v>492.59</x:v>
      </x:c>
      <x:c r="K9" s="82" t="n">
        <x:f>I9*F9*1.5</x:f>
        <x:v>0</x:v>
      </x:c>
      <x:c r="L9" s="82" t="n">
        <x:f>J9+K9</x:f>
        <x:v>492.59</x:v>
      </x:c>
      <x:c r="M9" s="58" t="str">
        <x:f>IF(OR(E9&gt;55,G9&lt;&gt;"Yes",I9&gt;10),"Review","OK")</x:f>
        <x:v>OK</x:v>
      </x:c>
      <x:c r="N9" s="59" t="str">
        <x:f>IF(M9="Review","Check approval/overtime reason","No action")</x:f>
        <x:v>No action</x:v>
      </x:c>
    </x:row>
    <x:row r="10">
      <x:c r="A10" s="57" t="str">
        <x:v>TS-0009</x:v>
      </x:c>
      <x:c r="B10" s="78" t="n">
        <x:v>46143</x:v>
      </x:c>
      <x:c r="C10" s="58" t="str">
        <x:v>Employee 70</x:v>
      </x:c>
      <x:c r="D10" s="58" t="str">
        <x:v>Operations</x:v>
      </x:c>
      <x:c r="E10" s="58" t="n">
        <x:v>22</x:v>
      </x:c>
      <x:c r="F10" s="82" t="n">
        <x:v>29.81</x:v>
      </x:c>
      <x:c r="G10" s="58" t="str">
        <x:v>Yes</x:v>
      </x:c>
      <x:c r="H10" s="58" t="n">
        <x:f>MIN(E10,40)</x:f>
        <x:v>22</x:v>
      </x:c>
      <x:c r="I10" s="58" t="n">
        <x:f>MAX(0,E10-40)</x:f>
        <x:v>0</x:v>
      </x:c>
      <x:c r="J10" s="82" t="n">
        <x:f>H10*F10</x:f>
        <x:v>655.8199999999999</x:v>
      </x:c>
      <x:c r="K10" s="82" t="n">
        <x:f>I10*F10*1.5</x:f>
        <x:v>0</x:v>
      </x:c>
      <x:c r="L10" s="82" t="n">
        <x:f>J10+K10</x:f>
        <x:v>655.8199999999999</x:v>
      </x:c>
      <x:c r="M10" s="58" t="str">
        <x:f>IF(OR(E10&gt;55,G10&lt;&gt;"Yes",I10&gt;10),"Review","OK")</x:f>
        <x:v>OK</x:v>
      </x:c>
      <x:c r="N10" s="59" t="str">
        <x:f>IF(M10="Review","Check approval/overtime reason","No action")</x:f>
        <x:v>No action</x:v>
      </x:c>
    </x:row>
    <x:row r="11">
      <x:c r="A11" s="57" t="str">
        <x:v>TS-0010</x:v>
      </x:c>
      <x:c r="B11" s="78" t="n">
        <x:v>46192</x:v>
      </x:c>
      <x:c r="C11" s="58" t="str">
        <x:v>Employee 47</x:v>
      </x:c>
      <x:c r="D11" s="58" t="str">
        <x:v>Operations</x:v>
      </x:c>
      <x:c r="E11" s="58" t="n">
        <x:v>30.7</x:v>
      </x:c>
      <x:c r="F11" s="82" t="n">
        <x:v>43.04</x:v>
      </x:c>
      <x:c r="G11" s="58" t="str">
        <x:v>Yes</x:v>
      </x:c>
      <x:c r="H11" s="58" t="n">
        <x:f>MIN(E11,40)</x:f>
        <x:v>30.7</x:v>
      </x:c>
      <x:c r="I11" s="58" t="n">
        <x:f>MAX(0,E11-40)</x:f>
        <x:v>0</x:v>
      </x:c>
      <x:c r="J11" s="82" t="n">
        <x:f>H11*F11</x:f>
        <x:v>1321.328</x:v>
      </x:c>
      <x:c r="K11" s="82" t="n">
        <x:f>I11*F11*1.5</x:f>
        <x:v>0</x:v>
      </x:c>
      <x:c r="L11" s="82" t="n">
        <x:f>J11+K11</x:f>
        <x:v>1321.328</x:v>
      </x:c>
      <x:c r="M11" s="58" t="str">
        <x:f>IF(OR(E11&gt;55,G11&lt;&gt;"Yes",I11&gt;10),"Review","OK")</x:f>
        <x:v>OK</x:v>
      </x:c>
      <x:c r="N11" s="59" t="str">
        <x:f>IF(M11="Review","Check approval/overtime reason","No action")</x:f>
        <x:v>No action</x:v>
      </x:c>
    </x:row>
    <x:row r="12">
      <x:c r="A12" s="57" t="str">
        <x:v>TS-0011</x:v>
      </x:c>
      <x:c r="B12" s="78" t="n">
        <x:v>46192</x:v>
      </x:c>
      <x:c r="C12" s="58" t="str">
        <x:v>Employee 39</x:v>
      </x:c>
      <x:c r="D12" s="58" t="str">
        <x:v>IT</x:v>
      </x:c>
      <x:c r="E12" s="58" t="n">
        <x:v>38.5</x:v>
      </x:c>
      <x:c r="F12" s="82" t="n">
        <x:v>22.35</x:v>
      </x:c>
      <x:c r="G12" s="58" t="str">
        <x:v>No</x:v>
      </x:c>
      <x:c r="H12" s="58" t="n">
        <x:f>MIN(E12,40)</x:f>
        <x:v>38.5</x:v>
      </x:c>
      <x:c r="I12" s="58" t="n">
        <x:f>MAX(0,E12-40)</x:f>
        <x:v>0</x:v>
      </x:c>
      <x:c r="J12" s="82" t="n">
        <x:f>H12*F12</x:f>
        <x:v>860.475</x:v>
      </x:c>
      <x:c r="K12" s="82" t="n">
        <x:f>I12*F12*1.5</x:f>
        <x:v>0</x:v>
      </x:c>
      <x:c r="L12" s="82" t="n">
        <x:f>J12+K12</x:f>
        <x:v>860.475</x:v>
      </x:c>
      <x:c r="M12" s="58" t="str">
        <x:f>IF(OR(E12&gt;55,G12&lt;&gt;"Yes",I12&gt;10),"Review","OK")</x:f>
        <x:v>Review</x:v>
      </x:c>
      <x:c r="N12" s="59" t="str">
        <x:f>IF(M12="Review","Check approval/overtime reason","No action")</x:f>
        <x:v>Check approval/overtime reason</x:v>
      </x:c>
    </x:row>
    <x:row r="13">
      <x:c r="A13" s="57" t="str">
        <x:v>TS-0012</x:v>
      </x:c>
      <x:c r="B13" s="78" t="n">
        <x:v>46157</x:v>
      </x:c>
      <x:c r="C13" s="58" t="str">
        <x:v>Employee 41</x:v>
      </x:c>
      <x:c r="D13" s="58" t="str">
        <x:v>Operations</x:v>
      </x:c>
      <x:c r="E13" s="58" t="n">
        <x:v>16.1</x:v>
      </x:c>
      <x:c r="F13" s="82" t="n">
        <x:v>30.05</x:v>
      </x:c>
      <x:c r="G13" s="58" t="str">
        <x:v>Yes</x:v>
      </x:c>
      <x:c r="H13" s="58" t="n">
        <x:f>MIN(E13,40)</x:f>
        <x:v>16.1</x:v>
      </x:c>
      <x:c r="I13" s="58" t="n">
        <x:f>MAX(0,E13-40)</x:f>
        <x:v>0</x:v>
      </x:c>
      <x:c r="J13" s="82" t="n">
        <x:f>H13*F13</x:f>
        <x:v>483.80500000000006</x:v>
      </x:c>
      <x:c r="K13" s="82" t="n">
        <x:f>I13*F13*1.5</x:f>
        <x:v>0</x:v>
      </x:c>
      <x:c r="L13" s="82" t="n">
        <x:f>J13+K13</x:f>
        <x:v>483.80500000000006</x:v>
      </x:c>
      <x:c r="M13" s="58" t="str">
        <x:f>IF(OR(E13&gt;55,G13&lt;&gt;"Yes",I13&gt;10),"Review","OK")</x:f>
        <x:v>OK</x:v>
      </x:c>
      <x:c r="N13" s="59" t="str">
        <x:f>IF(M13="Review","Check approval/overtime reason","No action")</x:f>
        <x:v>No action</x:v>
      </x:c>
    </x:row>
    <x:row r="14">
      <x:c r="A14" s="57" t="str">
        <x:v>TS-0013</x:v>
      </x:c>
      <x:c r="B14" s="78" t="n">
        <x:v>46178</x:v>
      </x:c>
      <x:c r="C14" s="58" t="str">
        <x:v>Employee 38</x:v>
      </x:c>
      <x:c r="D14" s="58" t="str">
        <x:v>Sales</x:v>
      </x:c>
      <x:c r="E14" s="58" t="n">
        <x:v>45.4</x:v>
      </x:c>
      <x:c r="F14" s="82" t="n">
        <x:v>18.04</x:v>
      </x:c>
      <x:c r="G14" s="58" t="str">
        <x:v>Yes</x:v>
      </x:c>
      <x:c r="H14" s="58" t="n">
        <x:f>MIN(E14,40)</x:f>
        <x:v>40</x:v>
      </x:c>
      <x:c r="I14" s="58" t="n">
        <x:f>MAX(0,E14-40)</x:f>
        <x:v>5.399999999999999</x:v>
      </x:c>
      <x:c r="J14" s="82" t="n">
        <x:f>H14*F14</x:f>
        <x:v>721.5999999999999</x:v>
      </x:c>
      <x:c r="K14" s="82" t="n">
        <x:f>I14*F14*1.5</x:f>
        <x:v>146.12399999999997</x:v>
      </x:c>
      <x:c r="L14" s="82" t="n">
        <x:f>J14+K14</x:f>
        <x:v>867.7239999999999</x:v>
      </x:c>
      <x:c r="M14" s="58" t="str">
        <x:f>IF(OR(E14&gt;55,G14&lt;&gt;"Yes",I14&gt;10),"Review","OK")</x:f>
        <x:v>OK</x:v>
      </x:c>
      <x:c r="N14" s="59" t="str">
        <x:f>IF(M14="Review","Check approval/overtime reason","No action")</x:f>
        <x:v>No action</x:v>
      </x:c>
    </x:row>
    <x:row r="15">
      <x:c r="A15" s="57" t="str">
        <x:v>TS-0014</x:v>
      </x:c>
      <x:c r="B15" s="78" t="n">
        <x:v>46178</x:v>
      </x:c>
      <x:c r="C15" s="58" t="str">
        <x:v>Employee 34</x:v>
      </x:c>
      <x:c r="D15" s="58" t="str">
        <x:v>Warehouse</x:v>
      </x:c>
      <x:c r="E15" s="58" t="n">
        <x:v>38</x:v>
      </x:c>
      <x:c r="F15" s="82" t="n">
        <x:v>31.94</x:v>
      </x:c>
      <x:c r="G15" s="58" t="str">
        <x:v>Yes</x:v>
      </x:c>
      <x:c r="H15" s="58" t="n">
        <x:f>MIN(E15,40)</x:f>
        <x:v>38</x:v>
      </x:c>
      <x:c r="I15" s="58" t="n">
        <x:f>MAX(0,E15-40)</x:f>
        <x:v>0</x:v>
      </x:c>
      <x:c r="J15" s="82" t="n">
        <x:f>H15*F15</x:f>
        <x:v>1213.72</x:v>
      </x:c>
      <x:c r="K15" s="82" t="n">
        <x:f>I15*F15*1.5</x:f>
        <x:v>0</x:v>
      </x:c>
      <x:c r="L15" s="82" t="n">
        <x:f>J15+K15</x:f>
        <x:v>1213.72</x:v>
      </x:c>
      <x:c r="M15" s="58" t="str">
        <x:f>IF(OR(E15&gt;55,G15&lt;&gt;"Yes",I15&gt;10),"Review","OK")</x:f>
        <x:v>OK</x:v>
      </x:c>
      <x:c r="N15" s="59" t="str">
        <x:f>IF(M15="Review","Check approval/overtime reason","No action")</x:f>
        <x:v>No action</x:v>
      </x:c>
    </x:row>
    <x:row r="16">
      <x:c r="A16" s="57" t="str">
        <x:v>TS-0015</x:v>
      </x:c>
      <x:c r="B16" s="78" t="n">
        <x:v>46171</x:v>
      </x:c>
      <x:c r="C16" s="58" t="str">
        <x:v>Employee 66</x:v>
      </x:c>
      <x:c r="D16" s="58" t="str">
        <x:v>Accounting</x:v>
      </x:c>
      <x:c r="E16" s="58" t="n">
        <x:v>35.7</x:v>
      </x:c>
      <x:c r="F16" s="82" t="n">
        <x:v>28.35</x:v>
      </x:c>
      <x:c r="G16" s="58" t="str">
        <x:v>Yes</x:v>
      </x:c>
      <x:c r="H16" s="58" t="n">
        <x:f>MIN(E16,40)</x:f>
        <x:v>35.7</x:v>
      </x:c>
      <x:c r="I16" s="58" t="n">
        <x:f>MAX(0,E16-40)</x:f>
        <x:v>0</x:v>
      </x:c>
      <x:c r="J16" s="82" t="n">
        <x:f>H16*F16</x:f>
        <x:v>1012.0950000000001</x:v>
      </x:c>
      <x:c r="K16" s="82" t="n">
        <x:f>I16*F16*1.5</x:f>
        <x:v>0</x:v>
      </x:c>
      <x:c r="L16" s="82" t="n">
        <x:f>J16+K16</x:f>
        <x:v>1012.0950000000001</x:v>
      </x:c>
      <x:c r="M16" s="58" t="str">
        <x:f>IF(OR(E16&gt;55,G16&lt;&gt;"Yes",I16&gt;10),"Review","OK")</x:f>
        <x:v>OK</x:v>
      </x:c>
      <x:c r="N16" s="59" t="str">
        <x:f>IF(M16="Review","Check approval/overtime reason","No action")</x:f>
        <x:v>No action</x:v>
      </x:c>
    </x:row>
    <x:row r="17">
      <x:c r="A17" s="57" t="str">
        <x:v>TS-0016</x:v>
      </x:c>
      <x:c r="B17" s="78" t="n">
        <x:v>46178</x:v>
      </x:c>
      <x:c r="C17" s="58" t="str">
        <x:v>Employee 13</x:v>
      </x:c>
      <x:c r="D17" s="58" t="str">
        <x:v>Operations</x:v>
      </x:c>
      <x:c r="E17" s="58" t="n">
        <x:v>22.8</x:v>
      </x:c>
      <x:c r="F17" s="82" t="n">
        <x:v>26.43</x:v>
      </x:c>
      <x:c r="G17" s="58" t="str">
        <x:v>Yes</x:v>
      </x:c>
      <x:c r="H17" s="58" t="n">
        <x:f>MIN(E17,40)</x:f>
        <x:v>22.8</x:v>
      </x:c>
      <x:c r="I17" s="58" t="n">
        <x:f>MAX(0,E17-40)</x:f>
        <x:v>0</x:v>
      </x:c>
      <x:c r="J17" s="82" t="n">
        <x:f>H17*F17</x:f>
        <x:v>602.604</x:v>
      </x:c>
      <x:c r="K17" s="82" t="n">
        <x:f>I17*F17*1.5</x:f>
        <x:v>0</x:v>
      </x:c>
      <x:c r="L17" s="82" t="n">
        <x:f>J17+K17</x:f>
        <x:v>602.604</x:v>
      </x:c>
      <x:c r="M17" s="58" t="str">
        <x:f>IF(OR(E17&gt;55,G17&lt;&gt;"Yes",I17&gt;10),"Review","OK")</x:f>
        <x:v>OK</x:v>
      </x:c>
      <x:c r="N17" s="59" t="str">
        <x:f>IF(M17="Review","Check approval/overtime reason","No action")</x:f>
        <x:v>No action</x:v>
      </x:c>
    </x:row>
    <x:row r="18">
      <x:c r="A18" s="57" t="str">
        <x:v>TS-0017</x:v>
      </x:c>
      <x:c r="B18" s="78" t="n">
        <x:v>46171</x:v>
      </x:c>
      <x:c r="C18" s="58" t="str">
        <x:v>Employee 69</x:v>
      </x:c>
      <x:c r="D18" s="58" t="str">
        <x:v>IT</x:v>
      </x:c>
      <x:c r="E18" s="58" t="n">
        <x:v>50.1</x:v>
      </x:c>
      <x:c r="F18" s="82" t="n">
        <x:v>19.08</x:v>
      </x:c>
      <x:c r="G18" s="58" t="str">
        <x:v>No</x:v>
      </x:c>
      <x:c r="H18" s="58" t="n">
        <x:f>MIN(E18,40)</x:f>
        <x:v>40</x:v>
      </x:c>
      <x:c r="I18" s="58" t="n">
        <x:f>MAX(0,E18-40)</x:f>
        <x:v>10.100000000000001</x:v>
      </x:c>
      <x:c r="J18" s="82" t="n">
        <x:f>H18*F18</x:f>
        <x:v>763.1999999999999</x:v>
      </x:c>
      <x:c r="K18" s="82" t="n">
        <x:f>I18*F18*1.5</x:f>
        <x:v>289.062</x:v>
      </x:c>
      <x:c r="L18" s="82" t="n">
        <x:f>J18+K18</x:f>
        <x:v>1052.262</x:v>
      </x:c>
      <x:c r="M18" s="58" t="str">
        <x:f>IF(OR(E18&gt;55,G18&lt;&gt;"Yes",I18&gt;10),"Review","OK")</x:f>
        <x:v>Review</x:v>
      </x:c>
      <x:c r="N18" s="59" t="str">
        <x:f>IF(M18="Review","Check approval/overtime reason","No action")</x:f>
        <x:v>Check approval/overtime reason</x:v>
      </x:c>
    </x:row>
    <x:row r="19">
      <x:c r="A19" s="57" t="str">
        <x:v>TS-0018</x:v>
      </x:c>
      <x:c r="B19" s="78" t="n">
        <x:v>46157</x:v>
      </x:c>
      <x:c r="C19" s="58" t="str">
        <x:v>Employee 36</x:v>
      </x:c>
      <x:c r="D19" s="58" t="str">
        <x:v>IT</x:v>
      </x:c>
      <x:c r="E19" s="58" t="n">
        <x:v>35</x:v>
      </x:c>
      <x:c r="F19" s="82" t="n">
        <x:v>29.32</x:v>
      </x:c>
      <x:c r="G19" s="58" t="str">
        <x:v>Yes</x:v>
      </x:c>
      <x:c r="H19" s="58" t="n">
        <x:f>MIN(E19,40)</x:f>
        <x:v>35</x:v>
      </x:c>
      <x:c r="I19" s="58" t="n">
        <x:f>MAX(0,E19-40)</x:f>
        <x:v>0</x:v>
      </x:c>
      <x:c r="J19" s="82" t="n">
        <x:f>H19*F19</x:f>
        <x:v>1026.2</x:v>
      </x:c>
      <x:c r="K19" s="82" t="n">
        <x:f>I19*F19*1.5</x:f>
        <x:v>0</x:v>
      </x:c>
      <x:c r="L19" s="82" t="n">
        <x:f>J19+K19</x:f>
        <x:v>1026.2</x:v>
      </x:c>
      <x:c r="M19" s="58" t="str">
        <x:f>IF(OR(E19&gt;55,G19&lt;&gt;"Yes",I19&gt;10),"Review","OK")</x:f>
        <x:v>OK</x:v>
      </x:c>
      <x:c r="N19" s="59" t="str">
        <x:f>IF(M19="Review","Check approval/overtime reason","No action")</x:f>
        <x:v>No action</x:v>
      </x:c>
    </x:row>
    <x:row r="20">
      <x:c r="A20" s="57" t="str">
        <x:v>TS-0019</x:v>
      </x:c>
      <x:c r="B20" s="78" t="n">
        <x:v>46150</x:v>
      </x:c>
      <x:c r="C20" s="58" t="str">
        <x:v>Employee 21</x:v>
      </x:c>
      <x:c r="D20" s="58" t="str">
        <x:v>Sales</x:v>
      </x:c>
      <x:c r="E20" s="58" t="n">
        <x:v>47.1</x:v>
      </x:c>
      <x:c r="F20" s="82" t="n">
        <x:v>24.42</x:v>
      </x:c>
      <x:c r="G20" s="58" t="str">
        <x:v>Yes</x:v>
      </x:c>
      <x:c r="H20" s="58" t="n">
        <x:f>MIN(E20,40)</x:f>
        <x:v>40</x:v>
      </x:c>
      <x:c r="I20" s="58" t="n">
        <x:f>MAX(0,E20-40)</x:f>
        <x:v>7.100000000000001</x:v>
      </x:c>
      <x:c r="J20" s="82" t="n">
        <x:f>H20*F20</x:f>
        <x:v>976.8000000000001</x:v>
      </x:c>
      <x:c r="K20" s="82" t="n">
        <x:f>I20*F20*1.5</x:f>
        <x:v>260.07300000000004</x:v>
      </x:c>
      <x:c r="L20" s="82" t="n">
        <x:f>J20+K20</x:f>
        <x:v>1236.873</x:v>
      </x:c>
      <x:c r="M20" s="58" t="str">
        <x:f>IF(OR(E20&gt;55,G20&lt;&gt;"Yes",I20&gt;10),"Review","OK")</x:f>
        <x:v>OK</x:v>
      </x:c>
      <x:c r="N20" s="59" t="str">
        <x:f>IF(M20="Review","Check approval/overtime reason","No action")</x:f>
        <x:v>No action</x:v>
      </x:c>
    </x:row>
    <x:row r="21">
      <x:c r="A21" s="57" t="str">
        <x:v>TS-0020</x:v>
      </x:c>
      <x:c r="B21" s="78" t="n">
        <x:v>46157</x:v>
      </x:c>
      <x:c r="C21" s="58" t="str">
        <x:v>Employee 55</x:v>
      </x:c>
      <x:c r="D21" s="58" t="str">
        <x:v>Sales</x:v>
      </x:c>
      <x:c r="E21" s="58" t="n">
        <x:v>42.1</x:v>
      </x:c>
      <x:c r="F21" s="82" t="n">
        <x:v>38.68</x:v>
      </x:c>
      <x:c r="G21" s="58" t="str">
        <x:v>No</x:v>
      </x:c>
      <x:c r="H21" s="58" t="n">
        <x:f>MIN(E21,40)</x:f>
        <x:v>40</x:v>
      </x:c>
      <x:c r="I21" s="58" t="n">
        <x:f>MAX(0,E21-40)</x:f>
        <x:v>2.1000000000000014</x:v>
      </x:c>
      <x:c r="J21" s="82" t="n">
        <x:f>H21*F21</x:f>
        <x:v>1547.2</x:v>
      </x:c>
      <x:c r="K21" s="82" t="n">
        <x:f>I21*F21*1.5</x:f>
        <x:v>121.84200000000007</x:v>
      </x:c>
      <x:c r="L21" s="82" t="n">
        <x:f>J21+K21</x:f>
        <x:v>1669.0420000000001</x:v>
      </x:c>
      <x:c r="M21" s="58" t="str">
        <x:f>IF(OR(E21&gt;55,G21&lt;&gt;"Yes",I21&gt;10),"Review","OK")</x:f>
        <x:v>Review</x:v>
      </x:c>
      <x:c r="N21" s="59" t="str">
        <x:f>IF(M21="Review","Check approval/overtime reason","No action")</x:f>
        <x:v>Check approval/overtime reason</x:v>
      </x:c>
    </x:row>
    <x:row r="22">
      <x:c r="A22" s="57" t="str">
        <x:v>TS-0021</x:v>
      </x:c>
      <x:c r="B22" s="78" t="n">
        <x:v>46164</x:v>
      </x:c>
      <x:c r="C22" s="58" t="str">
        <x:v>Employee 32</x:v>
      </x:c>
      <x:c r="D22" s="58" t="str">
        <x:v>Warehouse</x:v>
      </x:c>
      <x:c r="E22" s="58" t="n">
        <x:v>47</x:v>
      </x:c>
      <x:c r="F22" s="82" t="n">
        <x:v>25.91</x:v>
      </x:c>
      <x:c r="G22" s="58" t="str">
        <x:v>No</x:v>
      </x:c>
      <x:c r="H22" s="58" t="n">
        <x:f>MIN(E22,40)</x:f>
        <x:v>40</x:v>
      </x:c>
      <x:c r="I22" s="58" t="n">
        <x:f>MAX(0,E22-40)</x:f>
        <x:v>7</x:v>
      </x:c>
      <x:c r="J22" s="82" t="n">
        <x:f>H22*F22</x:f>
        <x:v>1036.4</x:v>
      </x:c>
      <x:c r="K22" s="82" t="n">
        <x:f>I22*F22*1.5</x:f>
        <x:v>272.055</x:v>
      </x:c>
      <x:c r="L22" s="82" t="n">
        <x:f>J22+K22</x:f>
        <x:v>1308.4550000000002</x:v>
      </x:c>
      <x:c r="M22" s="58" t="str">
        <x:f>IF(OR(E22&gt;55,G22&lt;&gt;"Yes",I22&gt;10),"Review","OK")</x:f>
        <x:v>Review</x:v>
      </x:c>
      <x:c r="N22" s="59" t="str">
        <x:f>IF(M22="Review","Check approval/overtime reason","No action")</x:f>
        <x:v>Check approval/overtime reason</x:v>
      </x:c>
    </x:row>
    <x:row r="23">
      <x:c r="A23" s="57" t="str">
        <x:v>TS-0022</x:v>
      </x:c>
      <x:c r="B23" s="78" t="n">
        <x:v>46171</x:v>
      </x:c>
      <x:c r="C23" s="58" t="str">
        <x:v>Employee 26</x:v>
      </x:c>
      <x:c r="D23" s="58" t="str">
        <x:v>Warehouse</x:v>
      </x:c>
      <x:c r="E23" s="58" t="n">
        <x:v>27</x:v>
      </x:c>
      <x:c r="F23" s="82" t="n">
        <x:v>38.24</x:v>
      </x:c>
      <x:c r="G23" s="58" t="str">
        <x:v>Yes</x:v>
      </x:c>
      <x:c r="H23" s="58" t="n">
        <x:f>MIN(E23,40)</x:f>
        <x:v>27</x:v>
      </x:c>
      <x:c r="I23" s="58" t="n">
        <x:f>MAX(0,E23-40)</x:f>
        <x:v>0</x:v>
      </x:c>
      <x:c r="J23" s="82" t="n">
        <x:f>H23*F23</x:f>
        <x:v>1032.48</x:v>
      </x:c>
      <x:c r="K23" s="82" t="n">
        <x:f>I23*F23*1.5</x:f>
        <x:v>0</x:v>
      </x:c>
      <x:c r="L23" s="82" t="n">
        <x:f>J23+K23</x:f>
        <x:v>1032.48</x:v>
      </x:c>
      <x:c r="M23" s="58" t="str">
        <x:f>IF(OR(E23&gt;55,G23&lt;&gt;"Yes",I23&gt;10),"Review","OK")</x:f>
        <x:v>OK</x:v>
      </x:c>
      <x:c r="N23" s="59" t="str">
        <x:f>IF(M23="Review","Check approval/overtime reason","No action")</x:f>
        <x:v>No action</x:v>
      </x:c>
    </x:row>
    <x:row r="24">
      <x:c r="A24" s="57" t="str">
        <x:v>TS-0023</x:v>
      </x:c>
      <x:c r="B24" s="78" t="n">
        <x:v>46171</x:v>
      </x:c>
      <x:c r="C24" s="58" t="str">
        <x:v>Employee 69</x:v>
      </x:c>
      <x:c r="D24" s="58" t="str">
        <x:v>IT</x:v>
      </x:c>
      <x:c r="E24" s="58" t="n">
        <x:v>55.4</x:v>
      </x:c>
      <x:c r="F24" s="82" t="n">
        <x:v>39.95</x:v>
      </x:c>
      <x:c r="G24" s="58" t="str">
        <x:v>No</x:v>
      </x:c>
      <x:c r="H24" s="58" t="n">
        <x:f>MIN(E24,40)</x:f>
        <x:v>40</x:v>
      </x:c>
      <x:c r="I24" s="58" t="n">
        <x:f>MAX(0,E24-40)</x:f>
        <x:v>15.399999999999999</x:v>
      </x:c>
      <x:c r="J24" s="82" t="n">
        <x:f>H24*F24</x:f>
        <x:v>1598</x:v>
      </x:c>
      <x:c r="K24" s="82" t="n">
        <x:f>I24*F24*1.5</x:f>
        <x:v>922.845</x:v>
      </x:c>
      <x:c r="L24" s="82" t="n">
        <x:f>J24+K24</x:f>
        <x:v>2520.8450000000003</x:v>
      </x:c>
      <x:c r="M24" s="58" t="str">
        <x:f>IF(OR(E24&gt;55,G24&lt;&gt;"Yes",I24&gt;10),"Review","OK")</x:f>
        <x:v>Review</x:v>
      </x:c>
      <x:c r="N24" s="59" t="str">
        <x:f>IF(M24="Review","Check approval/overtime reason","No action")</x:f>
        <x:v>Check approval/overtime reason</x:v>
      </x:c>
    </x:row>
    <x:row r="25">
      <x:c r="A25" s="57" t="str">
        <x:v>TS-0024</x:v>
      </x:c>
      <x:c r="B25" s="78" t="n">
        <x:v>46192</x:v>
      </x:c>
      <x:c r="C25" s="58" t="str">
        <x:v>Employee 60</x:v>
      </x:c>
      <x:c r="D25" s="58" t="str">
        <x:v>Accounting</x:v>
      </x:c>
      <x:c r="E25" s="58" t="n">
        <x:v>44.3</x:v>
      </x:c>
      <x:c r="F25" s="82" t="n">
        <x:v>31.11</x:v>
      </x:c>
      <x:c r="G25" s="58" t="str">
        <x:v>No</x:v>
      </x:c>
      <x:c r="H25" s="58" t="n">
        <x:f>MIN(E25,40)</x:f>
        <x:v>40</x:v>
      </x:c>
      <x:c r="I25" s="58" t="n">
        <x:f>MAX(0,E25-40)</x:f>
        <x:v>4.299999999999997</x:v>
      </x:c>
      <x:c r="J25" s="82" t="n">
        <x:f>H25*F25</x:f>
        <x:v>1244.4</x:v>
      </x:c>
      <x:c r="K25" s="82" t="n">
        <x:f>I25*F25*1.5</x:f>
        <x:v>200.65949999999987</x:v>
      </x:c>
      <x:c r="L25" s="82" t="n">
        <x:f>J25+K25</x:f>
        <x:v>1445.0594999999998</x:v>
      </x:c>
      <x:c r="M25" s="58" t="str">
        <x:f>IF(OR(E25&gt;55,G25&lt;&gt;"Yes",I25&gt;10),"Review","OK")</x:f>
        <x:v>Review</x:v>
      </x:c>
      <x:c r="N25" s="59" t="str">
        <x:f>IF(M25="Review","Check approval/overtime reason","No action")</x:f>
        <x:v>Check approval/overtime reason</x:v>
      </x:c>
    </x:row>
    <x:row r="26">
      <x:c r="A26" s="57" t="str">
        <x:v>TS-0025</x:v>
      </x:c>
      <x:c r="B26" s="78" t="n">
        <x:v>46178</x:v>
      </x:c>
      <x:c r="C26" s="58" t="str">
        <x:v>Employee 27</x:v>
      </x:c>
      <x:c r="D26" s="58" t="str">
        <x:v>Operations</x:v>
      </x:c>
      <x:c r="E26" s="58" t="n">
        <x:v>27.8</x:v>
      </x:c>
      <x:c r="F26" s="82" t="n">
        <x:v>19.05</x:v>
      </x:c>
      <x:c r="G26" s="58" t="str">
        <x:v>Yes</x:v>
      </x:c>
      <x:c r="H26" s="58" t="n">
        <x:f>MIN(E26,40)</x:f>
        <x:v>27.8</x:v>
      </x:c>
      <x:c r="I26" s="58" t="n">
        <x:f>MAX(0,E26-40)</x:f>
        <x:v>0</x:v>
      </x:c>
      <x:c r="J26" s="82" t="n">
        <x:f>H26*F26</x:f>
        <x:v>529.59</x:v>
      </x:c>
      <x:c r="K26" s="82" t="n">
        <x:f>I26*F26*1.5</x:f>
        <x:v>0</x:v>
      </x:c>
      <x:c r="L26" s="82" t="n">
        <x:f>J26+K26</x:f>
        <x:v>529.59</x:v>
      </x:c>
      <x:c r="M26" s="58" t="str">
        <x:f>IF(OR(E26&gt;55,G26&lt;&gt;"Yes",I26&gt;10),"Review","OK")</x:f>
        <x:v>OK</x:v>
      </x:c>
      <x:c r="N26" s="59" t="str">
        <x:f>IF(M26="Review","Check approval/overtime reason","No action")</x:f>
        <x:v>No action</x:v>
      </x:c>
    </x:row>
    <x:row r="27">
      <x:c r="A27" s="57" t="str">
        <x:v>TS-0026</x:v>
      </x:c>
      <x:c r="B27" s="78" t="n">
        <x:v>46164</x:v>
      </x:c>
      <x:c r="C27" s="58" t="str">
        <x:v>Employee 2</x:v>
      </x:c>
      <x:c r="D27" s="58" t="str">
        <x:v>Operations</x:v>
      </x:c>
      <x:c r="E27" s="58" t="n">
        <x:v>37.7</x:v>
      </x:c>
      <x:c r="F27" s="82" t="n">
        <x:v>19.54</x:v>
      </x:c>
      <x:c r="G27" s="58" t="str">
        <x:v>Yes</x:v>
      </x:c>
      <x:c r="H27" s="58" t="n">
        <x:f>MIN(E27,40)</x:f>
        <x:v>37.7</x:v>
      </x:c>
      <x:c r="I27" s="58" t="n">
        <x:f>MAX(0,E27-40)</x:f>
        <x:v>0</x:v>
      </x:c>
      <x:c r="J27" s="82" t="n">
        <x:f>H27*F27</x:f>
        <x:v>736.658</x:v>
      </x:c>
      <x:c r="K27" s="82" t="n">
        <x:f>I27*F27*1.5</x:f>
        <x:v>0</x:v>
      </x:c>
      <x:c r="L27" s="82" t="n">
        <x:f>J27+K27</x:f>
        <x:v>736.658</x:v>
      </x:c>
      <x:c r="M27" s="58" t="str">
        <x:f>IF(OR(E27&gt;55,G27&lt;&gt;"Yes",I27&gt;10),"Review","OK")</x:f>
        <x:v>OK</x:v>
      </x:c>
      <x:c r="N27" s="59" t="str">
        <x:f>IF(M27="Review","Check approval/overtime reason","No action")</x:f>
        <x:v>No action</x:v>
      </x:c>
    </x:row>
    <x:row r="28">
      <x:c r="A28" s="57" t="str">
        <x:v>TS-0027</x:v>
      </x:c>
      <x:c r="B28" s="78" t="n">
        <x:v>46178</x:v>
      </x:c>
      <x:c r="C28" s="58" t="str">
        <x:v>Employee 36</x:v>
      </x:c>
      <x:c r="D28" s="58" t="str">
        <x:v>Sales</x:v>
      </x:c>
      <x:c r="E28" s="58" t="n">
        <x:v>25.2</x:v>
      </x:c>
      <x:c r="F28" s="82" t="n">
        <x:v>38.92</x:v>
      </x:c>
      <x:c r="G28" s="58" t="str">
        <x:v>Yes</x:v>
      </x:c>
      <x:c r="H28" s="58" t="n">
        <x:f>MIN(E28,40)</x:f>
        <x:v>25.2</x:v>
      </x:c>
      <x:c r="I28" s="58" t="n">
        <x:f>MAX(0,E28-40)</x:f>
        <x:v>0</x:v>
      </x:c>
      <x:c r="J28" s="82" t="n">
        <x:f>H28*F28</x:f>
        <x:v>980.784</x:v>
      </x:c>
      <x:c r="K28" s="82" t="n">
        <x:f>I28*F28*1.5</x:f>
        <x:v>0</x:v>
      </x:c>
      <x:c r="L28" s="82" t="n">
        <x:f>J28+K28</x:f>
        <x:v>980.784</x:v>
      </x:c>
      <x:c r="M28" s="58" t="str">
        <x:f>IF(OR(E28&gt;55,G28&lt;&gt;"Yes",I28&gt;10),"Review","OK")</x:f>
        <x:v>OK</x:v>
      </x:c>
      <x:c r="N28" s="59" t="str">
        <x:f>IF(M28="Review","Check approval/overtime reason","No action")</x:f>
        <x:v>No action</x:v>
      </x:c>
    </x:row>
    <x:row r="29">
      <x:c r="A29" s="57" t="str">
        <x:v>TS-0028</x:v>
      </x:c>
      <x:c r="B29" s="78" t="n">
        <x:v>46185</x:v>
      </x:c>
      <x:c r="C29" s="58" t="str">
        <x:v>Employee 69</x:v>
      </x:c>
      <x:c r="D29" s="58" t="str">
        <x:v>Sales</x:v>
      </x:c>
      <x:c r="E29" s="58" t="n">
        <x:v>36.5</x:v>
      </x:c>
      <x:c r="F29" s="82" t="n">
        <x:v>41.69</x:v>
      </x:c>
      <x:c r="G29" s="58" t="str">
        <x:v>Yes</x:v>
      </x:c>
      <x:c r="H29" s="58" t="n">
        <x:f>MIN(E29,40)</x:f>
        <x:v>36.5</x:v>
      </x:c>
      <x:c r="I29" s="58" t="n">
        <x:f>MAX(0,E29-40)</x:f>
        <x:v>0</x:v>
      </x:c>
      <x:c r="J29" s="82" t="n">
        <x:f>H29*F29</x:f>
        <x:v>1521.685</x:v>
      </x:c>
      <x:c r="K29" s="82" t="n">
        <x:f>I29*F29*1.5</x:f>
        <x:v>0</x:v>
      </x:c>
      <x:c r="L29" s="82" t="n">
        <x:f>J29+K29</x:f>
        <x:v>1521.685</x:v>
      </x:c>
      <x:c r="M29" s="58" t="str">
        <x:f>IF(OR(E29&gt;55,G29&lt;&gt;"Yes",I29&gt;10),"Review","OK")</x:f>
        <x:v>OK</x:v>
      </x:c>
      <x:c r="N29" s="59" t="str">
        <x:f>IF(M29="Review","Check approval/overtime reason","No action")</x:f>
        <x:v>No action</x:v>
      </x:c>
    </x:row>
    <x:row r="30">
      <x:c r="A30" s="57" t="str">
        <x:v>TS-0029</x:v>
      </x:c>
      <x:c r="B30" s="78" t="n">
        <x:v>46143</x:v>
      </x:c>
      <x:c r="C30" s="58" t="str">
        <x:v>Employee 4</x:v>
      </x:c>
      <x:c r="D30" s="58" t="str">
        <x:v>IT</x:v>
      </x:c>
      <x:c r="E30" s="58" t="n">
        <x:v>21.5</x:v>
      </x:c>
      <x:c r="F30" s="82" t="n">
        <x:v>25.19</x:v>
      </x:c>
      <x:c r="G30" s="58" t="str">
        <x:v>Yes</x:v>
      </x:c>
      <x:c r="H30" s="58" t="n">
        <x:f>MIN(E30,40)</x:f>
        <x:v>21.5</x:v>
      </x:c>
      <x:c r="I30" s="58" t="n">
        <x:f>MAX(0,E30-40)</x:f>
        <x:v>0</x:v>
      </x:c>
      <x:c r="J30" s="82" t="n">
        <x:f>H30*F30</x:f>
        <x:v>541.585</x:v>
      </x:c>
      <x:c r="K30" s="82" t="n">
        <x:f>I30*F30*1.5</x:f>
        <x:v>0</x:v>
      </x:c>
      <x:c r="L30" s="82" t="n">
        <x:f>J30+K30</x:f>
        <x:v>541.585</x:v>
      </x:c>
      <x:c r="M30" s="58" t="str">
        <x:f>IF(OR(E30&gt;55,G30&lt;&gt;"Yes",I30&gt;10),"Review","OK")</x:f>
        <x:v>OK</x:v>
      </x:c>
      <x:c r="N30" s="59" t="str">
        <x:f>IF(M30="Review","Check approval/overtime reason","No action")</x:f>
        <x:v>No action</x:v>
      </x:c>
    </x:row>
    <x:row r="31">
      <x:c r="A31" s="57" t="str">
        <x:v>TS-0030</x:v>
      </x:c>
      <x:c r="B31" s="78" t="n">
        <x:v>46171</x:v>
      </x:c>
      <x:c r="C31" s="58" t="str">
        <x:v>Employee 39</x:v>
      </x:c>
      <x:c r="D31" s="58" t="str">
        <x:v>Operations</x:v>
      </x:c>
      <x:c r="E31" s="58" t="n">
        <x:v>33.3</x:v>
      </x:c>
      <x:c r="F31" s="82" t="n">
        <x:v>20.43</x:v>
      </x:c>
      <x:c r="G31" s="58" t="str">
        <x:v>Yes</x:v>
      </x:c>
      <x:c r="H31" s="58" t="n">
        <x:f>MIN(E31,40)</x:f>
        <x:v>33.3</x:v>
      </x:c>
      <x:c r="I31" s="58" t="n">
        <x:f>MAX(0,E31-40)</x:f>
        <x:v>0</x:v>
      </x:c>
      <x:c r="J31" s="82" t="n">
        <x:f>H31*F31</x:f>
        <x:v>680.319</x:v>
      </x:c>
      <x:c r="K31" s="82" t="n">
        <x:f>I31*F31*1.5</x:f>
        <x:v>0</x:v>
      </x:c>
      <x:c r="L31" s="82" t="n">
        <x:f>J31+K31</x:f>
        <x:v>680.319</x:v>
      </x:c>
      <x:c r="M31" s="58" t="str">
        <x:f>IF(OR(E31&gt;55,G31&lt;&gt;"Yes",I31&gt;10),"Review","OK")</x:f>
        <x:v>OK</x:v>
      </x:c>
      <x:c r="N31" s="59" t="str">
        <x:f>IF(M31="Review","Check approval/overtime reason","No action")</x:f>
        <x:v>No action</x:v>
      </x:c>
    </x:row>
    <x:row r="32">
      <x:c r="A32" s="57" t="str">
        <x:v>TS-0031</x:v>
      </x:c>
      <x:c r="B32" s="78" t="n">
        <x:v>46150</x:v>
      </x:c>
      <x:c r="C32" s="58" t="str">
        <x:v>Employee 64</x:v>
      </x:c>
      <x:c r="D32" s="58" t="str">
        <x:v>IT</x:v>
      </x:c>
      <x:c r="E32" s="58" t="n">
        <x:v>40</x:v>
      </x:c>
      <x:c r="F32" s="82" t="n">
        <x:v>39.06</x:v>
      </x:c>
      <x:c r="G32" s="58" t="str">
        <x:v>Pending</x:v>
      </x:c>
      <x:c r="H32" s="58" t="n">
        <x:f>MIN(E32,40)</x:f>
        <x:v>40</x:v>
      </x:c>
      <x:c r="I32" s="58" t="n">
        <x:f>MAX(0,E32-40)</x:f>
        <x:v>0</x:v>
      </x:c>
      <x:c r="J32" s="82" t="n">
        <x:f>H32*F32</x:f>
        <x:v>1562.4</x:v>
      </x:c>
      <x:c r="K32" s="82" t="n">
        <x:f>I32*F32*1.5</x:f>
        <x:v>0</x:v>
      </x:c>
      <x:c r="L32" s="82" t="n">
        <x:f>J32+K32</x:f>
        <x:v>1562.4</x:v>
      </x:c>
      <x:c r="M32" s="58" t="str">
        <x:f>IF(OR(E32&gt;55,G32&lt;&gt;"Yes",I32&gt;10),"Review","OK")</x:f>
        <x:v>Review</x:v>
      </x:c>
      <x:c r="N32" s="59" t="str">
        <x:f>IF(M32="Review","Check approval/overtime reason","No action")</x:f>
        <x:v>Check approval/overtime reason</x:v>
      </x:c>
    </x:row>
    <x:row r="33">
      <x:c r="A33" s="57" t="str">
        <x:v>TS-0032</x:v>
      </x:c>
      <x:c r="B33" s="78" t="n">
        <x:v>46150</x:v>
      </x:c>
      <x:c r="C33" s="58" t="str">
        <x:v>Employee 47</x:v>
      </x:c>
      <x:c r="D33" s="58" t="str">
        <x:v>Warehouse</x:v>
      </x:c>
      <x:c r="E33" s="58" t="n">
        <x:v>26</x:v>
      </x:c>
      <x:c r="F33" s="82" t="n">
        <x:v>24.74</x:v>
      </x:c>
      <x:c r="G33" s="58" t="str">
        <x:v>Yes</x:v>
      </x:c>
      <x:c r="H33" s="58" t="n">
        <x:f>MIN(E33,40)</x:f>
        <x:v>26</x:v>
      </x:c>
      <x:c r="I33" s="58" t="n">
        <x:f>MAX(0,E33-40)</x:f>
        <x:v>0</x:v>
      </x:c>
      <x:c r="J33" s="82" t="n">
        <x:f>H33*F33</x:f>
        <x:v>643.24</x:v>
      </x:c>
      <x:c r="K33" s="82" t="n">
        <x:f>I33*F33*1.5</x:f>
        <x:v>0</x:v>
      </x:c>
      <x:c r="L33" s="82" t="n">
        <x:f>J33+K33</x:f>
        <x:v>643.24</x:v>
      </x:c>
      <x:c r="M33" s="58" t="str">
        <x:f>IF(OR(E33&gt;55,G33&lt;&gt;"Yes",I33&gt;10),"Review","OK")</x:f>
        <x:v>OK</x:v>
      </x:c>
      <x:c r="N33" s="59" t="str">
        <x:f>IF(M33="Review","Check approval/overtime reason","No action")</x:f>
        <x:v>No action</x:v>
      </x:c>
    </x:row>
    <x:row r="34">
      <x:c r="A34" s="57" t="str">
        <x:v>TS-0033</x:v>
      </x:c>
      <x:c r="B34" s="78" t="n">
        <x:v>46178</x:v>
      </x:c>
      <x:c r="C34" s="58" t="str">
        <x:v>Employee 51</x:v>
      </x:c>
      <x:c r="D34" s="58" t="str">
        <x:v>Sales</x:v>
      </x:c>
      <x:c r="E34" s="58" t="n">
        <x:v>26.6</x:v>
      </x:c>
      <x:c r="F34" s="82" t="n">
        <x:v>29.8</x:v>
      </x:c>
      <x:c r="G34" s="58" t="str">
        <x:v>Yes</x:v>
      </x:c>
      <x:c r="H34" s="58" t="n">
        <x:f>MIN(E34,40)</x:f>
        <x:v>26.6</x:v>
      </x:c>
      <x:c r="I34" s="58" t="n">
        <x:f>MAX(0,E34-40)</x:f>
        <x:v>0</x:v>
      </x:c>
      <x:c r="J34" s="82" t="n">
        <x:f>H34*F34</x:f>
        <x:v>792.6800000000001</x:v>
      </x:c>
      <x:c r="K34" s="82" t="n">
        <x:f>I34*F34*1.5</x:f>
        <x:v>0</x:v>
      </x:c>
      <x:c r="L34" s="82" t="n">
        <x:f>J34+K34</x:f>
        <x:v>792.6800000000001</x:v>
      </x:c>
      <x:c r="M34" s="58" t="str">
        <x:f>IF(OR(E34&gt;55,G34&lt;&gt;"Yes",I34&gt;10),"Review","OK")</x:f>
        <x:v>OK</x:v>
      </x:c>
      <x:c r="N34" s="59" t="str">
        <x:f>IF(M34="Review","Check approval/overtime reason","No action")</x:f>
        <x:v>No action</x:v>
      </x:c>
    </x:row>
    <x:row r="35">
      <x:c r="A35" s="57" t="str">
        <x:v>TS-0034</x:v>
      </x:c>
      <x:c r="B35" s="78" t="n">
        <x:v>46171</x:v>
      </x:c>
      <x:c r="C35" s="58" t="str">
        <x:v>Employee 11</x:v>
      </x:c>
      <x:c r="D35" s="58" t="str">
        <x:v>Operations</x:v>
      </x:c>
      <x:c r="E35" s="58" t="n">
        <x:v>53.1</x:v>
      </x:c>
      <x:c r="F35" s="82" t="n">
        <x:v>26.22</x:v>
      </x:c>
      <x:c r="G35" s="58" t="str">
        <x:v>Yes</x:v>
      </x:c>
      <x:c r="H35" s="58" t="n">
        <x:f>MIN(E35,40)</x:f>
        <x:v>40</x:v>
      </x:c>
      <x:c r="I35" s="58" t="n">
        <x:f>MAX(0,E35-40)</x:f>
        <x:v>13.100000000000001</x:v>
      </x:c>
      <x:c r="J35" s="82" t="n">
        <x:f>H35*F35</x:f>
        <x:v>1048.8</x:v>
      </x:c>
      <x:c r="K35" s="82" t="n">
        <x:f>I35*F35*1.5</x:f>
        <x:v>515.2230000000001</x:v>
      </x:c>
      <x:c r="L35" s="82" t="n">
        <x:f>J35+K35</x:f>
        <x:v>1564.0230000000001</x:v>
      </x:c>
      <x:c r="M35" s="58" t="str">
        <x:f>IF(OR(E35&gt;55,G35&lt;&gt;"Yes",I35&gt;10),"Review","OK")</x:f>
        <x:v>Review</x:v>
      </x:c>
      <x:c r="N35" s="59" t="str">
        <x:f>IF(M35="Review","Check approval/overtime reason","No action")</x:f>
        <x:v>Check approval/overtime reason</x:v>
      </x:c>
    </x:row>
    <x:row r="36">
      <x:c r="A36" s="57" t="str">
        <x:v>TS-0035</x:v>
      </x:c>
      <x:c r="B36" s="78" t="n">
        <x:v>46178</x:v>
      </x:c>
      <x:c r="C36" s="58" t="str">
        <x:v>Employee 38</x:v>
      </x:c>
      <x:c r="D36" s="58" t="str">
        <x:v>Sales</x:v>
      </x:c>
      <x:c r="E36" s="58" t="n">
        <x:v>52.9</x:v>
      </x:c>
      <x:c r="F36" s="82" t="n">
        <x:v>39.63</x:v>
      </x:c>
      <x:c r="G36" s="58" t="str">
        <x:v>No</x:v>
      </x:c>
      <x:c r="H36" s="58" t="n">
        <x:f>MIN(E36,40)</x:f>
        <x:v>40</x:v>
      </x:c>
      <x:c r="I36" s="58" t="n">
        <x:f>MAX(0,E36-40)</x:f>
        <x:v>12.899999999999999</x:v>
      </x:c>
      <x:c r="J36" s="82" t="n">
        <x:f>H36*F36</x:f>
        <x:v>1585.2</x:v>
      </x:c>
      <x:c r="K36" s="82" t="n">
        <x:f>I36*F36*1.5</x:f>
        <x:v>766.8405</x:v>
      </x:c>
      <x:c r="L36" s="82" t="n">
        <x:f>J36+K36</x:f>
        <x:v>2352.0405</x:v>
      </x:c>
      <x:c r="M36" s="58" t="str">
        <x:f>IF(OR(E36&gt;55,G36&lt;&gt;"Yes",I36&gt;10),"Review","OK")</x:f>
        <x:v>Review</x:v>
      </x:c>
      <x:c r="N36" s="59" t="str">
        <x:f>IF(M36="Review","Check approval/overtime reason","No action")</x:f>
        <x:v>Check approval/overtime reason</x:v>
      </x:c>
    </x:row>
    <x:row r="37">
      <x:c r="A37" s="57" t="str">
        <x:v>TS-0036</x:v>
      </x:c>
      <x:c r="B37" s="78" t="n">
        <x:v>46157</x:v>
      </x:c>
      <x:c r="C37" s="58" t="str">
        <x:v>Employee 53</x:v>
      </x:c>
      <x:c r="D37" s="58" t="str">
        <x:v>Sales</x:v>
      </x:c>
      <x:c r="E37" s="58" t="n">
        <x:v>23.8</x:v>
      </x:c>
      <x:c r="F37" s="82" t="n">
        <x:v>43.08</x:v>
      </x:c>
      <x:c r="G37" s="58" t="str">
        <x:v>Yes</x:v>
      </x:c>
      <x:c r="H37" s="58" t="n">
        <x:f>MIN(E37,40)</x:f>
        <x:v>23.8</x:v>
      </x:c>
      <x:c r="I37" s="58" t="n">
        <x:f>MAX(0,E37-40)</x:f>
        <x:v>0</x:v>
      </x:c>
      <x:c r="J37" s="82" t="n">
        <x:f>H37*F37</x:f>
        <x:v>1025.304</x:v>
      </x:c>
      <x:c r="K37" s="82" t="n">
        <x:f>I37*F37*1.5</x:f>
        <x:v>0</x:v>
      </x:c>
      <x:c r="L37" s="82" t="n">
        <x:f>J37+K37</x:f>
        <x:v>1025.304</x:v>
      </x:c>
      <x:c r="M37" s="58" t="str">
        <x:f>IF(OR(E37&gt;55,G37&lt;&gt;"Yes",I37&gt;10),"Review","OK")</x:f>
        <x:v>OK</x:v>
      </x:c>
      <x:c r="N37" s="59" t="str">
        <x:f>IF(M37="Review","Check approval/overtime reason","No action")</x:f>
        <x:v>No action</x:v>
      </x:c>
    </x:row>
    <x:row r="38">
      <x:c r="A38" s="57" t="str">
        <x:v>TS-0037</x:v>
      </x:c>
      <x:c r="B38" s="78" t="n">
        <x:v>46178</x:v>
      </x:c>
      <x:c r="C38" s="58" t="str">
        <x:v>Employee 61</x:v>
      </x:c>
      <x:c r="D38" s="58" t="str">
        <x:v>Sales</x:v>
      </x:c>
      <x:c r="E38" s="58" t="n">
        <x:v>44.5</x:v>
      </x:c>
      <x:c r="F38" s="82" t="n">
        <x:v>26.95</x:v>
      </x:c>
      <x:c r="G38" s="58" t="str">
        <x:v>Yes</x:v>
      </x:c>
      <x:c r="H38" s="58" t="n">
        <x:f>MIN(E38,40)</x:f>
        <x:v>40</x:v>
      </x:c>
      <x:c r="I38" s="58" t="n">
        <x:f>MAX(0,E38-40)</x:f>
        <x:v>4.5</x:v>
      </x:c>
      <x:c r="J38" s="82" t="n">
        <x:f>H38*F38</x:f>
        <x:v>1078</x:v>
      </x:c>
      <x:c r="K38" s="82" t="n">
        <x:f>I38*F38*1.5</x:f>
        <x:v>181.9125</x:v>
      </x:c>
      <x:c r="L38" s="82" t="n">
        <x:f>J38+K38</x:f>
        <x:v>1259.9125</x:v>
      </x:c>
      <x:c r="M38" s="58" t="str">
        <x:f>IF(OR(E38&gt;55,G38&lt;&gt;"Yes",I38&gt;10),"Review","OK")</x:f>
        <x:v>OK</x:v>
      </x:c>
      <x:c r="N38" s="59" t="str">
        <x:f>IF(M38="Review","Check approval/overtime reason","No action")</x:f>
        <x:v>No action</x:v>
      </x:c>
    </x:row>
    <x:row r="39">
      <x:c r="A39" s="57" t="str">
        <x:v>TS-0038</x:v>
      </x:c>
      <x:c r="B39" s="78" t="n">
        <x:v>46143</x:v>
      </x:c>
      <x:c r="C39" s="58" t="str">
        <x:v>Employee 29</x:v>
      </x:c>
      <x:c r="D39" s="58" t="str">
        <x:v>Warehouse</x:v>
      </x:c>
      <x:c r="E39" s="58" t="n">
        <x:v>21.3</x:v>
      </x:c>
      <x:c r="F39" s="82" t="n">
        <x:v>36.19</x:v>
      </x:c>
      <x:c r="G39" s="58" t="str">
        <x:v>Pending</x:v>
      </x:c>
      <x:c r="H39" s="58" t="n">
        <x:f>MIN(E39,40)</x:f>
        <x:v>21.3</x:v>
      </x:c>
      <x:c r="I39" s="58" t="n">
        <x:f>MAX(0,E39-40)</x:f>
        <x:v>0</x:v>
      </x:c>
      <x:c r="J39" s="82" t="n">
        <x:f>H39*F39</x:f>
        <x:v>770.847</x:v>
      </x:c>
      <x:c r="K39" s="82" t="n">
        <x:f>I39*F39*1.5</x:f>
        <x:v>0</x:v>
      </x:c>
      <x:c r="L39" s="82" t="n">
        <x:f>J39+K39</x:f>
        <x:v>770.847</x:v>
      </x:c>
      <x:c r="M39" s="58" t="str">
        <x:f>IF(OR(E39&gt;55,G39&lt;&gt;"Yes",I39&gt;10),"Review","OK")</x:f>
        <x:v>Review</x:v>
      </x:c>
      <x:c r="N39" s="59" t="str">
        <x:f>IF(M39="Review","Check approval/overtime reason","No action")</x:f>
        <x:v>Check approval/overtime reason</x:v>
      </x:c>
    </x:row>
    <x:row r="40">
      <x:c r="A40" s="57" t="str">
        <x:v>TS-0039</x:v>
      </x:c>
      <x:c r="B40" s="78" t="n">
        <x:v>46192</x:v>
      </x:c>
      <x:c r="C40" s="58" t="str">
        <x:v>Employee 44</x:v>
      </x:c>
      <x:c r="D40" s="58" t="str">
        <x:v>IT</x:v>
      </x:c>
      <x:c r="E40" s="58" t="n">
        <x:v>22.9</x:v>
      </x:c>
      <x:c r="F40" s="82" t="n">
        <x:v>26.16</x:v>
      </x:c>
      <x:c r="G40" s="58" t="str">
        <x:v>Yes</x:v>
      </x:c>
      <x:c r="H40" s="58" t="n">
        <x:f>MIN(E40,40)</x:f>
        <x:v>22.9</x:v>
      </x:c>
      <x:c r="I40" s="58" t="n">
        <x:f>MAX(0,E40-40)</x:f>
        <x:v>0</x:v>
      </x:c>
      <x:c r="J40" s="82" t="n">
        <x:f>H40*F40</x:f>
        <x:v>599.064</x:v>
      </x:c>
      <x:c r="K40" s="82" t="n">
        <x:f>I40*F40*1.5</x:f>
        <x:v>0</x:v>
      </x:c>
      <x:c r="L40" s="82" t="n">
        <x:f>J40+K40</x:f>
        <x:v>599.064</x:v>
      </x:c>
      <x:c r="M40" s="58" t="str">
        <x:f>IF(OR(E40&gt;55,G40&lt;&gt;"Yes",I40&gt;10),"Review","OK")</x:f>
        <x:v>OK</x:v>
      </x:c>
      <x:c r="N40" s="59" t="str">
        <x:f>IF(M40="Review","Check approval/overtime reason","No action")</x:f>
        <x:v>No action</x:v>
      </x:c>
    </x:row>
    <x:row r="41">
      <x:c r="A41" s="57" t="str">
        <x:v>TS-0040</x:v>
      </x:c>
      <x:c r="B41" s="78" t="n">
        <x:v>46178</x:v>
      </x:c>
      <x:c r="C41" s="58" t="str">
        <x:v>Employee 1</x:v>
      </x:c>
      <x:c r="D41" s="58" t="str">
        <x:v>Operations</x:v>
      </x:c>
      <x:c r="E41" s="58" t="n">
        <x:v>28</x:v>
      </x:c>
      <x:c r="F41" s="82" t="n">
        <x:v>21.55</x:v>
      </x:c>
      <x:c r="G41" s="58" t="str">
        <x:v>No</x:v>
      </x:c>
      <x:c r="H41" s="58" t="n">
        <x:f>MIN(E41,40)</x:f>
        <x:v>28</x:v>
      </x:c>
      <x:c r="I41" s="58" t="n">
        <x:f>MAX(0,E41-40)</x:f>
        <x:v>0</x:v>
      </x:c>
      <x:c r="J41" s="82" t="n">
        <x:f>H41*F41</x:f>
        <x:v>603.4</x:v>
      </x:c>
      <x:c r="K41" s="82" t="n">
        <x:f>I41*F41*1.5</x:f>
        <x:v>0</x:v>
      </x:c>
      <x:c r="L41" s="82" t="n">
        <x:f>J41+K41</x:f>
        <x:v>603.4</x:v>
      </x:c>
      <x:c r="M41" s="58" t="str">
        <x:f>IF(OR(E41&gt;55,G41&lt;&gt;"Yes",I41&gt;10),"Review","OK")</x:f>
        <x:v>Review</x:v>
      </x:c>
      <x:c r="N41" s="59" t="str">
        <x:f>IF(M41="Review","Check approval/overtime reason","No action")</x:f>
        <x:v>Check approval/overtime reason</x:v>
      </x:c>
    </x:row>
    <x:row r="42">
      <x:c r="A42" s="57" t="str">
        <x:v>TS-0041</x:v>
      </x:c>
      <x:c r="B42" s="78" t="n">
        <x:v>46143</x:v>
      </x:c>
      <x:c r="C42" s="58" t="str">
        <x:v>Employee 23</x:v>
      </x:c>
      <x:c r="D42" s="58" t="str">
        <x:v>IT</x:v>
      </x:c>
      <x:c r="E42" s="58" t="n">
        <x:v>45.3</x:v>
      </x:c>
      <x:c r="F42" s="82" t="n">
        <x:v>19.41</x:v>
      </x:c>
      <x:c r="G42" s="58" t="str">
        <x:v>No</x:v>
      </x:c>
      <x:c r="H42" s="58" t="n">
        <x:f>MIN(E42,40)</x:f>
        <x:v>40</x:v>
      </x:c>
      <x:c r="I42" s="58" t="n">
        <x:f>MAX(0,E42-40)</x:f>
        <x:v>5.299999999999997</x:v>
      </x:c>
      <x:c r="J42" s="82" t="n">
        <x:f>H42*F42</x:f>
        <x:v>776.4</x:v>
      </x:c>
      <x:c r="K42" s="82" t="n">
        <x:f>I42*F42*1.5</x:f>
        <x:v>154.30949999999993</x:v>
      </x:c>
      <x:c r="L42" s="82" t="n">
        <x:f>J42+K42</x:f>
        <x:v>930.7094999999999</x:v>
      </x:c>
      <x:c r="M42" s="58" t="str">
        <x:f>IF(OR(E42&gt;55,G42&lt;&gt;"Yes",I42&gt;10),"Review","OK")</x:f>
        <x:v>Review</x:v>
      </x:c>
      <x:c r="N42" s="59" t="str">
        <x:f>IF(M42="Review","Check approval/overtime reason","No action")</x:f>
        <x:v>Check approval/overtime reason</x:v>
      </x:c>
    </x:row>
    <x:row r="43">
      <x:c r="A43" s="57" t="str">
        <x:v>TS-0042</x:v>
      </x:c>
      <x:c r="B43" s="78" t="n">
        <x:v>46143</x:v>
      </x:c>
      <x:c r="C43" s="58" t="str">
        <x:v>Employee 55</x:v>
      </x:c>
      <x:c r="D43" s="58" t="str">
        <x:v>Sales</x:v>
      </x:c>
      <x:c r="E43" s="58" t="n">
        <x:v>16.2</x:v>
      </x:c>
      <x:c r="F43" s="82" t="n">
        <x:v>36.07</x:v>
      </x:c>
      <x:c r="G43" s="58" t="str">
        <x:v>Yes</x:v>
      </x:c>
      <x:c r="H43" s="58" t="n">
        <x:f>MIN(E43,40)</x:f>
        <x:v>16.2</x:v>
      </x:c>
      <x:c r="I43" s="58" t="n">
        <x:f>MAX(0,E43-40)</x:f>
        <x:v>0</x:v>
      </x:c>
      <x:c r="J43" s="82" t="n">
        <x:f>H43*F43</x:f>
        <x:v>584.334</x:v>
      </x:c>
      <x:c r="K43" s="82" t="n">
        <x:f>I43*F43*1.5</x:f>
        <x:v>0</x:v>
      </x:c>
      <x:c r="L43" s="82" t="n">
        <x:f>J43+K43</x:f>
        <x:v>584.334</x:v>
      </x:c>
      <x:c r="M43" s="58" t="str">
        <x:f>IF(OR(E43&gt;55,G43&lt;&gt;"Yes",I43&gt;10),"Review","OK")</x:f>
        <x:v>OK</x:v>
      </x:c>
      <x:c r="N43" s="59" t="str">
        <x:f>IF(M43="Review","Check approval/overtime reason","No action")</x:f>
        <x:v>No action</x:v>
      </x:c>
    </x:row>
    <x:row r="44">
      <x:c r="A44" s="57" t="str">
        <x:v>TS-0043</x:v>
      </x:c>
      <x:c r="B44" s="78" t="n">
        <x:v>46164</x:v>
      </x:c>
      <x:c r="C44" s="58" t="str">
        <x:v>Employee 49</x:v>
      </x:c>
      <x:c r="D44" s="58" t="str">
        <x:v>Warehouse</x:v>
      </x:c>
      <x:c r="E44" s="58" t="n">
        <x:v>52</x:v>
      </x:c>
      <x:c r="F44" s="82" t="n">
        <x:v>27.11</x:v>
      </x:c>
      <x:c r="G44" s="58" t="str">
        <x:v>Pending</x:v>
      </x:c>
      <x:c r="H44" s="58" t="n">
        <x:f>MIN(E44,40)</x:f>
        <x:v>40</x:v>
      </x:c>
      <x:c r="I44" s="58" t="n">
        <x:f>MAX(0,E44-40)</x:f>
        <x:v>12</x:v>
      </x:c>
      <x:c r="J44" s="82" t="n">
        <x:f>H44*F44</x:f>
        <x:v>1084.4</x:v>
      </x:c>
      <x:c r="K44" s="82" t="n">
        <x:f>I44*F44*1.5</x:f>
        <x:v>487.98</x:v>
      </x:c>
      <x:c r="L44" s="82" t="n">
        <x:f>J44+K44</x:f>
        <x:v>1572.38</x:v>
      </x:c>
      <x:c r="M44" s="58" t="str">
        <x:f>IF(OR(E44&gt;55,G44&lt;&gt;"Yes",I44&gt;10),"Review","OK")</x:f>
        <x:v>Review</x:v>
      </x:c>
      <x:c r="N44" s="59" t="str">
        <x:f>IF(M44="Review","Check approval/overtime reason","No action")</x:f>
        <x:v>Check approval/overtime reason</x:v>
      </x:c>
    </x:row>
    <x:row r="45">
      <x:c r="A45" s="57" t="str">
        <x:v>TS-0044</x:v>
      </x:c>
      <x:c r="B45" s="78" t="n">
        <x:v>46157</x:v>
      </x:c>
      <x:c r="C45" s="58" t="str">
        <x:v>Employee 18</x:v>
      </x:c>
      <x:c r="D45" s="58" t="str">
        <x:v>Operations</x:v>
      </x:c>
      <x:c r="E45" s="58" t="n">
        <x:v>30.8</x:v>
      </x:c>
      <x:c r="F45" s="82" t="n">
        <x:v>30.74</x:v>
      </x:c>
      <x:c r="G45" s="58" t="str">
        <x:v>Yes</x:v>
      </x:c>
      <x:c r="H45" s="58" t="n">
        <x:f>MIN(E45,40)</x:f>
        <x:v>30.8</x:v>
      </x:c>
      <x:c r="I45" s="58" t="n">
        <x:f>MAX(0,E45-40)</x:f>
        <x:v>0</x:v>
      </x:c>
      <x:c r="J45" s="82" t="n">
        <x:f>H45*F45</x:f>
        <x:v>946.792</x:v>
      </x:c>
      <x:c r="K45" s="82" t="n">
        <x:f>I45*F45*1.5</x:f>
        <x:v>0</x:v>
      </x:c>
      <x:c r="L45" s="82" t="n">
        <x:f>J45+K45</x:f>
        <x:v>946.792</x:v>
      </x:c>
      <x:c r="M45" s="58" t="str">
        <x:f>IF(OR(E45&gt;55,G45&lt;&gt;"Yes",I45&gt;10),"Review","OK")</x:f>
        <x:v>OK</x:v>
      </x:c>
      <x:c r="N45" s="59" t="str">
        <x:f>IF(M45="Review","Check approval/overtime reason","No action")</x:f>
        <x:v>No action</x:v>
      </x:c>
    </x:row>
    <x:row r="46">
      <x:c r="A46" s="57" t="str">
        <x:v>TS-0045</x:v>
      </x:c>
      <x:c r="B46" s="78" t="n">
        <x:v>46157</x:v>
      </x:c>
      <x:c r="C46" s="58" t="str">
        <x:v>Employee 27</x:v>
      </x:c>
      <x:c r="D46" s="58" t="str">
        <x:v>Sales</x:v>
      </x:c>
      <x:c r="E46" s="58" t="n">
        <x:v>42.3</x:v>
      </x:c>
      <x:c r="F46" s="82" t="n">
        <x:v>44.02</x:v>
      </x:c>
      <x:c r="G46" s="58" t="str">
        <x:v>Yes</x:v>
      </x:c>
      <x:c r="H46" s="58" t="n">
        <x:f>MIN(E46,40)</x:f>
        <x:v>40</x:v>
      </x:c>
      <x:c r="I46" s="58" t="n">
        <x:f>MAX(0,E46-40)</x:f>
        <x:v>2.299999999999997</x:v>
      </x:c>
      <x:c r="J46" s="82" t="n">
        <x:f>H46*F46</x:f>
        <x:v>1760.8000000000002</x:v>
      </x:c>
      <x:c r="K46" s="82" t="n">
        <x:f>I46*F46*1.5</x:f>
        <x:v>151.86899999999983</x:v>
      </x:c>
      <x:c r="L46" s="82" t="n">
        <x:f>J46+K46</x:f>
        <x:v>1912.669</x:v>
      </x:c>
      <x:c r="M46" s="58" t="str">
        <x:f>IF(OR(E46&gt;55,G46&lt;&gt;"Yes",I46&gt;10),"Review","OK")</x:f>
        <x:v>OK</x:v>
      </x:c>
      <x:c r="N46" s="59" t="str">
        <x:f>IF(M46="Review","Check approval/overtime reason","No action")</x:f>
        <x:v>No action</x:v>
      </x:c>
    </x:row>
    <x:row r="47">
      <x:c r="A47" s="57" t="str">
        <x:v>TS-0046</x:v>
      </x:c>
      <x:c r="B47" s="78" t="n">
        <x:v>46164</x:v>
      </x:c>
      <x:c r="C47" s="58" t="str">
        <x:v>Employee 15</x:v>
      </x:c>
      <x:c r="D47" s="58" t="str">
        <x:v>Operations</x:v>
      </x:c>
      <x:c r="E47" s="58" t="n">
        <x:v>20.4</x:v>
      </x:c>
      <x:c r="F47" s="82" t="n">
        <x:v>20.96</x:v>
      </x:c>
      <x:c r="G47" s="58" t="str">
        <x:v>Yes</x:v>
      </x:c>
      <x:c r="H47" s="58" t="n">
        <x:f>MIN(E47,40)</x:f>
        <x:v>20.4</x:v>
      </x:c>
      <x:c r="I47" s="58" t="n">
        <x:f>MAX(0,E47-40)</x:f>
        <x:v>0</x:v>
      </x:c>
      <x:c r="J47" s="82" t="n">
        <x:f>H47*F47</x:f>
        <x:v>427.584</x:v>
      </x:c>
      <x:c r="K47" s="82" t="n">
        <x:f>I47*F47*1.5</x:f>
        <x:v>0</x:v>
      </x:c>
      <x:c r="L47" s="82" t="n">
        <x:f>J47+K47</x:f>
        <x:v>427.584</x:v>
      </x:c>
      <x:c r="M47" s="58" t="str">
        <x:f>IF(OR(E47&gt;55,G47&lt;&gt;"Yes",I47&gt;10),"Review","OK")</x:f>
        <x:v>OK</x:v>
      </x:c>
      <x:c r="N47" s="59" t="str">
        <x:f>IF(M47="Review","Check approval/overtime reason","No action")</x:f>
        <x:v>No action</x:v>
      </x:c>
    </x:row>
    <x:row r="48">
      <x:c r="A48" s="57" t="str">
        <x:v>TS-0047</x:v>
      </x:c>
      <x:c r="B48" s="78" t="n">
        <x:v>46143</x:v>
      </x:c>
      <x:c r="C48" s="58" t="str">
        <x:v>Employee 51</x:v>
      </x:c>
      <x:c r="D48" s="58" t="str">
        <x:v>Accounting</x:v>
      </x:c>
      <x:c r="E48" s="58" t="n">
        <x:v>50.5</x:v>
      </x:c>
      <x:c r="F48" s="82" t="n">
        <x:v>30.22</x:v>
      </x:c>
      <x:c r="G48" s="58" t="str">
        <x:v>Yes</x:v>
      </x:c>
      <x:c r="H48" s="58" t="n">
        <x:f>MIN(E48,40)</x:f>
        <x:v>40</x:v>
      </x:c>
      <x:c r="I48" s="58" t="n">
        <x:f>MAX(0,E48-40)</x:f>
        <x:v>10.5</x:v>
      </x:c>
      <x:c r="J48" s="82" t="n">
        <x:f>H48*F48</x:f>
        <x:v>1208.8</x:v>
      </x:c>
      <x:c r="K48" s="82" t="n">
        <x:f>I48*F48*1.5</x:f>
        <x:v>475.96500000000003</x:v>
      </x:c>
      <x:c r="L48" s="82" t="n">
        <x:f>J48+K48</x:f>
        <x:v>1684.7649999999999</x:v>
      </x:c>
      <x:c r="M48" s="58" t="str">
        <x:f>IF(OR(E48&gt;55,G48&lt;&gt;"Yes",I48&gt;10),"Review","OK")</x:f>
        <x:v>Review</x:v>
      </x:c>
      <x:c r="N48" s="59" t="str">
        <x:f>IF(M48="Review","Check approval/overtime reason","No action")</x:f>
        <x:v>Check approval/overtime reason</x:v>
      </x:c>
    </x:row>
    <x:row r="49">
      <x:c r="A49" s="57" t="str">
        <x:v>TS-0048</x:v>
      </x:c>
      <x:c r="B49" s="78" t="n">
        <x:v>46143</x:v>
      </x:c>
      <x:c r="C49" s="58" t="str">
        <x:v>Employee 77</x:v>
      </x:c>
      <x:c r="D49" s="58" t="str">
        <x:v>IT</x:v>
      </x:c>
      <x:c r="E49" s="58" t="n">
        <x:v>50.9</x:v>
      </x:c>
      <x:c r="F49" s="82" t="n">
        <x:v>43.87</x:v>
      </x:c>
      <x:c r="G49" s="58" t="str">
        <x:v>Yes</x:v>
      </x:c>
      <x:c r="H49" s="58" t="n">
        <x:f>MIN(E49,40)</x:f>
        <x:v>40</x:v>
      </x:c>
      <x:c r="I49" s="58" t="n">
        <x:f>MAX(0,E49-40)</x:f>
        <x:v>10.899999999999999</x:v>
      </x:c>
      <x:c r="J49" s="82" t="n">
        <x:f>H49*F49</x:f>
        <x:v>1754.8</x:v>
      </x:c>
      <x:c r="K49" s="82" t="n">
        <x:f>I49*F49*1.5</x:f>
        <x:v>717.2744999999999</x:v>
      </x:c>
      <x:c r="L49" s="82" t="n">
        <x:f>J49+K49</x:f>
        <x:v>2472.0744999999997</x:v>
      </x:c>
      <x:c r="M49" s="58" t="str">
        <x:f>IF(OR(E49&gt;55,G49&lt;&gt;"Yes",I49&gt;10),"Review","OK")</x:f>
        <x:v>Review</x:v>
      </x:c>
      <x:c r="N49" s="59" t="str">
        <x:f>IF(M49="Review","Check approval/overtime reason","No action")</x:f>
        <x:v>Check approval/overtime reason</x:v>
      </x:c>
    </x:row>
    <x:row r="50">
      <x:c r="A50" s="57" t="str">
        <x:v>TS-0049</x:v>
      </x:c>
      <x:c r="B50" s="78" t="n">
        <x:v>46178</x:v>
      </x:c>
      <x:c r="C50" s="58" t="str">
        <x:v>Employee 19</x:v>
      </x:c>
      <x:c r="D50" s="58" t="str">
        <x:v>IT</x:v>
      </x:c>
      <x:c r="E50" s="58" t="n">
        <x:v>38.2</x:v>
      </x:c>
      <x:c r="F50" s="82" t="n">
        <x:v>24.78</x:v>
      </x:c>
      <x:c r="G50" s="58" t="str">
        <x:v>Yes</x:v>
      </x:c>
      <x:c r="H50" s="58" t="n">
        <x:f>MIN(E50,40)</x:f>
        <x:v>38.2</x:v>
      </x:c>
      <x:c r="I50" s="58" t="n">
        <x:f>MAX(0,E50-40)</x:f>
        <x:v>0</x:v>
      </x:c>
      <x:c r="J50" s="82" t="n">
        <x:f>H50*F50</x:f>
        <x:v>946.5960000000001</x:v>
      </x:c>
      <x:c r="K50" s="82" t="n">
        <x:f>I50*F50*1.5</x:f>
        <x:v>0</x:v>
      </x:c>
      <x:c r="L50" s="82" t="n">
        <x:f>J50+K50</x:f>
        <x:v>946.5960000000001</x:v>
      </x:c>
      <x:c r="M50" s="58" t="str">
        <x:f>IF(OR(E50&gt;55,G50&lt;&gt;"Yes",I50&gt;10),"Review","OK")</x:f>
        <x:v>OK</x:v>
      </x:c>
      <x:c r="N50" s="59" t="str">
        <x:f>IF(M50="Review","Check approval/overtime reason","No action")</x:f>
        <x:v>No action</x:v>
      </x:c>
    </x:row>
    <x:row r="51">
      <x:c r="A51" s="57" t="str">
        <x:v>TS-0050</x:v>
      </x:c>
      <x:c r="B51" s="78" t="n">
        <x:v>46192</x:v>
      </x:c>
      <x:c r="C51" s="58" t="str">
        <x:v>Employee 39</x:v>
      </x:c>
      <x:c r="D51" s="58" t="str">
        <x:v>Accounting</x:v>
      </x:c>
      <x:c r="E51" s="58" t="n">
        <x:v>37.7</x:v>
      </x:c>
      <x:c r="F51" s="82" t="n">
        <x:v>22.66</x:v>
      </x:c>
      <x:c r="G51" s="58" t="str">
        <x:v>Yes</x:v>
      </x:c>
      <x:c r="H51" s="58" t="n">
        <x:f>MIN(E51,40)</x:f>
        <x:v>37.7</x:v>
      </x:c>
      <x:c r="I51" s="58" t="n">
        <x:f>MAX(0,E51-40)</x:f>
        <x:v>0</x:v>
      </x:c>
      <x:c r="J51" s="82" t="n">
        <x:f>H51*F51</x:f>
        <x:v>854.282</x:v>
      </x:c>
      <x:c r="K51" s="82" t="n">
        <x:f>I51*F51*1.5</x:f>
        <x:v>0</x:v>
      </x:c>
      <x:c r="L51" s="82" t="n">
        <x:f>J51+K51</x:f>
        <x:v>854.282</x:v>
      </x:c>
      <x:c r="M51" s="58" t="str">
        <x:f>IF(OR(E51&gt;55,G51&lt;&gt;"Yes",I51&gt;10),"Review","OK")</x:f>
        <x:v>OK</x:v>
      </x:c>
      <x:c r="N51" s="59" t="str">
        <x:f>IF(M51="Review","Check approval/overtime reason","No action")</x:f>
        <x:v>No action</x:v>
      </x:c>
    </x:row>
    <x:row r="52">
      <x:c r="A52" s="57" t="str">
        <x:v>TS-0051</x:v>
      </x:c>
      <x:c r="B52" s="78" t="n">
        <x:v>46178</x:v>
      </x:c>
      <x:c r="C52" s="58" t="str">
        <x:v>Employee 22</x:v>
      </x:c>
      <x:c r="D52" s="58" t="str">
        <x:v>Admin</x:v>
      </x:c>
      <x:c r="E52" s="58" t="n">
        <x:v>21.8</x:v>
      </x:c>
      <x:c r="F52" s="82" t="n">
        <x:v>34.11</x:v>
      </x:c>
      <x:c r="G52" s="58" t="str">
        <x:v>Yes</x:v>
      </x:c>
      <x:c r="H52" s="58" t="n">
        <x:f>MIN(E52,40)</x:f>
        <x:v>21.8</x:v>
      </x:c>
      <x:c r="I52" s="58" t="n">
        <x:f>MAX(0,E52-40)</x:f>
        <x:v>0</x:v>
      </x:c>
      <x:c r="J52" s="82" t="n">
        <x:f>H52*F52</x:f>
        <x:v>743.598</x:v>
      </x:c>
      <x:c r="K52" s="82" t="n">
        <x:f>I52*F52*1.5</x:f>
        <x:v>0</x:v>
      </x:c>
      <x:c r="L52" s="82" t="n">
        <x:f>J52+K52</x:f>
        <x:v>743.598</x:v>
      </x:c>
      <x:c r="M52" s="58" t="str">
        <x:f>IF(OR(E52&gt;55,G52&lt;&gt;"Yes",I52&gt;10),"Review","OK")</x:f>
        <x:v>OK</x:v>
      </x:c>
      <x:c r="N52" s="59" t="str">
        <x:f>IF(M52="Review","Check approval/overtime reason","No action")</x:f>
        <x:v>No action</x:v>
      </x:c>
    </x:row>
    <x:row r="53">
      <x:c r="A53" s="57" t="str">
        <x:v>TS-0052</x:v>
      </x:c>
      <x:c r="B53" s="78" t="n">
        <x:v>46157</x:v>
      </x:c>
      <x:c r="C53" s="58" t="str">
        <x:v>Employee 21</x:v>
      </x:c>
      <x:c r="D53" s="58" t="str">
        <x:v>Operations</x:v>
      </x:c>
      <x:c r="E53" s="58" t="n">
        <x:v>33.9</x:v>
      </x:c>
      <x:c r="F53" s="82" t="n">
        <x:v>36.67</x:v>
      </x:c>
      <x:c r="G53" s="58" t="str">
        <x:v>Yes</x:v>
      </x:c>
      <x:c r="H53" s="58" t="n">
        <x:f>MIN(E53,40)</x:f>
        <x:v>33.9</x:v>
      </x:c>
      <x:c r="I53" s="58" t="n">
        <x:f>MAX(0,E53-40)</x:f>
        <x:v>0</x:v>
      </x:c>
      <x:c r="J53" s="82" t="n">
        <x:f>H53*F53</x:f>
        <x:v>1243.113</x:v>
      </x:c>
      <x:c r="K53" s="82" t="n">
        <x:f>I53*F53*1.5</x:f>
        <x:v>0</x:v>
      </x:c>
      <x:c r="L53" s="82" t="n">
        <x:f>J53+K53</x:f>
        <x:v>1243.113</x:v>
      </x:c>
      <x:c r="M53" s="58" t="str">
        <x:f>IF(OR(E53&gt;55,G53&lt;&gt;"Yes",I53&gt;10),"Review","OK")</x:f>
        <x:v>OK</x:v>
      </x:c>
      <x:c r="N53" s="59" t="str">
        <x:f>IF(M53="Review","Check approval/overtime reason","No action")</x:f>
        <x:v>No action</x:v>
      </x:c>
    </x:row>
    <x:row r="54">
      <x:c r="A54" s="57" t="str">
        <x:v>TS-0053</x:v>
      </x:c>
      <x:c r="B54" s="78" t="n">
        <x:v>46192</x:v>
      </x:c>
      <x:c r="C54" s="58" t="str">
        <x:v>Employee 4</x:v>
      </x:c>
      <x:c r="D54" s="58" t="str">
        <x:v>Warehouse</x:v>
      </x:c>
      <x:c r="E54" s="58" t="n">
        <x:v>38.9</x:v>
      </x:c>
      <x:c r="F54" s="82" t="n">
        <x:v>23.12</x:v>
      </x:c>
      <x:c r="G54" s="58" t="str">
        <x:v>No</x:v>
      </x:c>
      <x:c r="H54" s="58" t="n">
        <x:f>MIN(E54,40)</x:f>
        <x:v>38.9</x:v>
      </x:c>
      <x:c r="I54" s="58" t="n">
        <x:f>MAX(0,E54-40)</x:f>
        <x:v>0</x:v>
      </x:c>
      <x:c r="J54" s="82" t="n">
        <x:f>H54*F54</x:f>
        <x:v>899.368</x:v>
      </x:c>
      <x:c r="K54" s="82" t="n">
        <x:f>I54*F54*1.5</x:f>
        <x:v>0</x:v>
      </x:c>
      <x:c r="L54" s="82" t="n">
        <x:f>J54+K54</x:f>
        <x:v>899.368</x:v>
      </x:c>
      <x:c r="M54" s="58" t="str">
        <x:f>IF(OR(E54&gt;55,G54&lt;&gt;"Yes",I54&gt;10),"Review","OK")</x:f>
        <x:v>Review</x:v>
      </x:c>
      <x:c r="N54" s="59" t="str">
        <x:f>IF(M54="Review","Check approval/overtime reason","No action")</x:f>
        <x:v>Check approval/overtime reason</x:v>
      </x:c>
    </x:row>
    <x:row r="55">
      <x:c r="A55" s="57" t="str">
        <x:v>TS-0054</x:v>
      </x:c>
      <x:c r="B55" s="78" t="n">
        <x:v>46171</x:v>
      </x:c>
      <x:c r="C55" s="58" t="str">
        <x:v>Employee 7</x:v>
      </x:c>
      <x:c r="D55" s="58" t="str">
        <x:v>Admin</x:v>
      </x:c>
      <x:c r="E55" s="58" t="n">
        <x:v>52.3</x:v>
      </x:c>
      <x:c r="F55" s="82" t="n">
        <x:v>19.16</x:v>
      </x:c>
      <x:c r="G55" s="58" t="str">
        <x:v>Yes</x:v>
      </x:c>
      <x:c r="H55" s="58" t="n">
        <x:f>MIN(E55,40)</x:f>
        <x:v>40</x:v>
      </x:c>
      <x:c r="I55" s="58" t="n">
        <x:f>MAX(0,E55-40)</x:f>
        <x:v>12.299999999999997</x:v>
      </x:c>
      <x:c r="J55" s="82" t="n">
        <x:f>H55*F55</x:f>
        <x:v>766.4</x:v>
      </x:c>
      <x:c r="K55" s="82" t="n">
        <x:f>I55*F55*1.5</x:f>
        <x:v>353.50199999999995</x:v>
      </x:c>
      <x:c r="L55" s="82" t="n">
        <x:f>J55+K55</x:f>
        <x:v>1119.902</x:v>
      </x:c>
      <x:c r="M55" s="58" t="str">
        <x:f>IF(OR(E55&gt;55,G55&lt;&gt;"Yes",I55&gt;10),"Review","OK")</x:f>
        <x:v>Review</x:v>
      </x:c>
      <x:c r="N55" s="59" t="str">
        <x:f>IF(M55="Review","Check approval/overtime reason","No action")</x:f>
        <x:v>Check approval/overtime reason</x:v>
      </x:c>
    </x:row>
    <x:row r="56">
      <x:c r="A56" s="57" t="str">
        <x:v>TS-0055</x:v>
      </x:c>
      <x:c r="B56" s="78" t="n">
        <x:v>46143</x:v>
      </x:c>
      <x:c r="C56" s="58" t="str">
        <x:v>Employee 61</x:v>
      </x:c>
      <x:c r="D56" s="58" t="str">
        <x:v>IT</x:v>
      </x:c>
      <x:c r="E56" s="58" t="n">
        <x:v>25.5</x:v>
      </x:c>
      <x:c r="F56" s="82" t="n">
        <x:v>19.13</x:v>
      </x:c>
      <x:c r="G56" s="58" t="str">
        <x:v>Yes</x:v>
      </x:c>
      <x:c r="H56" s="58" t="n">
        <x:f>MIN(E56,40)</x:f>
        <x:v>25.5</x:v>
      </x:c>
      <x:c r="I56" s="58" t="n">
        <x:f>MAX(0,E56-40)</x:f>
        <x:v>0</x:v>
      </x:c>
      <x:c r="J56" s="82" t="n">
        <x:f>H56*F56</x:f>
        <x:v>487.815</x:v>
      </x:c>
      <x:c r="K56" s="82" t="n">
        <x:f>I56*F56*1.5</x:f>
        <x:v>0</x:v>
      </x:c>
      <x:c r="L56" s="82" t="n">
        <x:f>J56+K56</x:f>
        <x:v>487.815</x:v>
      </x:c>
      <x:c r="M56" s="58" t="str">
        <x:f>IF(OR(E56&gt;55,G56&lt;&gt;"Yes",I56&gt;10),"Review","OK")</x:f>
        <x:v>OK</x:v>
      </x:c>
      <x:c r="N56" s="59" t="str">
        <x:f>IF(M56="Review","Check approval/overtime reason","No action")</x:f>
        <x:v>No action</x:v>
      </x:c>
    </x:row>
    <x:row r="57">
      <x:c r="A57" s="57" t="str">
        <x:v>TS-0056</x:v>
      </x:c>
      <x:c r="B57" s="78" t="n">
        <x:v>46157</x:v>
      </x:c>
      <x:c r="C57" s="58" t="str">
        <x:v>Employee 27</x:v>
      </x:c>
      <x:c r="D57" s="58" t="str">
        <x:v>Sales</x:v>
      </x:c>
      <x:c r="E57" s="58" t="n">
        <x:v>20.7</x:v>
      </x:c>
      <x:c r="F57" s="82" t="n">
        <x:v>43.54</x:v>
      </x:c>
      <x:c r="G57" s="58" t="str">
        <x:v>No</x:v>
      </x:c>
      <x:c r="H57" s="58" t="n">
        <x:f>MIN(E57,40)</x:f>
        <x:v>20.7</x:v>
      </x:c>
      <x:c r="I57" s="58" t="n">
        <x:f>MAX(0,E57-40)</x:f>
        <x:v>0</x:v>
      </x:c>
      <x:c r="J57" s="82" t="n">
        <x:f>H57*F57</x:f>
        <x:v>901.2779999999999</x:v>
      </x:c>
      <x:c r="K57" s="82" t="n">
        <x:f>I57*F57*1.5</x:f>
        <x:v>0</x:v>
      </x:c>
      <x:c r="L57" s="82" t="n">
        <x:f>J57+K57</x:f>
        <x:v>901.2779999999999</x:v>
      </x:c>
      <x:c r="M57" s="58" t="str">
        <x:f>IF(OR(E57&gt;55,G57&lt;&gt;"Yes",I57&gt;10),"Review","OK")</x:f>
        <x:v>Review</x:v>
      </x:c>
      <x:c r="N57" s="59" t="str">
        <x:f>IF(M57="Review","Check approval/overtime reason","No action")</x:f>
        <x:v>Check approval/overtime reason</x:v>
      </x:c>
    </x:row>
    <x:row r="58">
      <x:c r="A58" s="57" t="str">
        <x:v>TS-0057</x:v>
      </x:c>
      <x:c r="B58" s="78" t="n">
        <x:v>46171</x:v>
      </x:c>
      <x:c r="C58" s="58" t="str">
        <x:v>Employee 52</x:v>
      </x:c>
      <x:c r="D58" s="58" t="str">
        <x:v>Operations</x:v>
      </x:c>
      <x:c r="E58" s="58" t="n">
        <x:v>38.9</x:v>
      </x:c>
      <x:c r="F58" s="82" t="n">
        <x:v>31.31</x:v>
      </x:c>
      <x:c r="G58" s="58" t="str">
        <x:v>No</x:v>
      </x:c>
      <x:c r="H58" s="58" t="n">
        <x:f>MIN(E58,40)</x:f>
        <x:v>38.9</x:v>
      </x:c>
      <x:c r="I58" s="58" t="n">
        <x:f>MAX(0,E58-40)</x:f>
        <x:v>0</x:v>
      </x:c>
      <x:c r="J58" s="82" t="n">
        <x:f>H58*F58</x:f>
        <x:v>1217.9589999999998</x:v>
      </x:c>
      <x:c r="K58" s="82" t="n">
        <x:f>I58*F58*1.5</x:f>
        <x:v>0</x:v>
      </x:c>
      <x:c r="L58" s="82" t="n">
        <x:f>J58+K58</x:f>
        <x:v>1217.9589999999998</x:v>
      </x:c>
      <x:c r="M58" s="58" t="str">
        <x:f>IF(OR(E58&gt;55,G58&lt;&gt;"Yes",I58&gt;10),"Review","OK")</x:f>
        <x:v>Review</x:v>
      </x:c>
      <x:c r="N58" s="59" t="str">
        <x:f>IF(M58="Review","Check approval/overtime reason","No action")</x:f>
        <x:v>Check approval/overtime reason</x:v>
      </x:c>
    </x:row>
    <x:row r="59">
      <x:c r="A59" s="57" t="str">
        <x:v>TS-0058</x:v>
      </x:c>
      <x:c r="B59" s="78" t="n">
        <x:v>46192</x:v>
      </x:c>
      <x:c r="C59" s="58" t="str">
        <x:v>Employee 2</x:v>
      </x:c>
      <x:c r="D59" s="58" t="str">
        <x:v>IT</x:v>
      </x:c>
      <x:c r="E59" s="58" t="n">
        <x:v>19.4</x:v>
      </x:c>
      <x:c r="F59" s="82" t="n">
        <x:v>21.78</x:v>
      </x:c>
      <x:c r="G59" s="58" t="str">
        <x:v>Yes</x:v>
      </x:c>
      <x:c r="H59" s="58" t="n">
        <x:f>MIN(E59,40)</x:f>
        <x:v>19.4</x:v>
      </x:c>
      <x:c r="I59" s="58" t="n">
        <x:f>MAX(0,E59-40)</x:f>
        <x:v>0</x:v>
      </x:c>
      <x:c r="J59" s="82" t="n">
        <x:f>H59*F59</x:f>
        <x:v>422.532</x:v>
      </x:c>
      <x:c r="K59" s="82" t="n">
        <x:f>I59*F59*1.5</x:f>
        <x:v>0</x:v>
      </x:c>
      <x:c r="L59" s="82" t="n">
        <x:f>J59+K59</x:f>
        <x:v>422.532</x:v>
      </x:c>
      <x:c r="M59" s="58" t="str">
        <x:f>IF(OR(E59&gt;55,G59&lt;&gt;"Yes",I59&gt;10),"Review","OK")</x:f>
        <x:v>OK</x:v>
      </x:c>
      <x:c r="N59" s="59" t="str">
        <x:f>IF(M59="Review","Check approval/overtime reason","No action")</x:f>
        <x:v>No action</x:v>
      </x:c>
    </x:row>
    <x:row r="60">
      <x:c r="A60" s="57" t="str">
        <x:v>TS-0059</x:v>
      </x:c>
      <x:c r="B60" s="78" t="n">
        <x:v>46171</x:v>
      </x:c>
      <x:c r="C60" s="58" t="str">
        <x:v>Employee 52</x:v>
      </x:c>
      <x:c r="D60" s="58" t="str">
        <x:v>Operations</x:v>
      </x:c>
      <x:c r="E60" s="58" t="n">
        <x:v>59.3</x:v>
      </x:c>
      <x:c r="F60" s="82" t="n">
        <x:v>42.67</x:v>
      </x:c>
      <x:c r="G60" s="58" t="str">
        <x:v>Yes</x:v>
      </x:c>
      <x:c r="H60" s="58" t="n">
        <x:f>MIN(E60,40)</x:f>
        <x:v>40</x:v>
      </x:c>
      <x:c r="I60" s="58" t="n">
        <x:f>MAX(0,E60-40)</x:f>
        <x:v>19.299999999999997</x:v>
      </x:c>
      <x:c r="J60" s="82" t="n">
        <x:f>H60*F60</x:f>
        <x:v>1706.8000000000002</x:v>
      </x:c>
      <x:c r="K60" s="82" t="n">
        <x:f>I60*F60*1.5</x:f>
        <x:v>1235.2965</x:v>
      </x:c>
      <x:c r="L60" s="82" t="n">
        <x:f>J60+K60</x:f>
        <x:v>2942.0965</x:v>
      </x:c>
      <x:c r="M60" s="58" t="str">
        <x:f>IF(OR(E60&gt;55,G60&lt;&gt;"Yes",I60&gt;10),"Review","OK")</x:f>
        <x:v>Review</x:v>
      </x:c>
      <x:c r="N60" s="59" t="str">
        <x:f>IF(M60="Review","Check approval/overtime reason","No action")</x:f>
        <x:v>Check approval/overtime reason</x:v>
      </x:c>
    </x:row>
    <x:row r="61">
      <x:c r="A61" s="57" t="str">
        <x:v>TS-0060</x:v>
      </x:c>
      <x:c r="B61" s="78" t="n">
        <x:v>46178</x:v>
      </x:c>
      <x:c r="C61" s="58" t="str">
        <x:v>Employee 20</x:v>
      </x:c>
      <x:c r="D61" s="58" t="str">
        <x:v>Warehouse</x:v>
      </x:c>
      <x:c r="E61" s="58" t="n">
        <x:v>42.2</x:v>
      </x:c>
      <x:c r="F61" s="82" t="n">
        <x:v>20.31</x:v>
      </x:c>
      <x:c r="G61" s="58" t="str">
        <x:v>Yes</x:v>
      </x:c>
      <x:c r="H61" s="58" t="n">
        <x:f>MIN(E61,40)</x:f>
        <x:v>40</x:v>
      </x:c>
      <x:c r="I61" s="58" t="n">
        <x:f>MAX(0,E61-40)</x:f>
        <x:v>2.200000000000003</x:v>
      </x:c>
      <x:c r="J61" s="82" t="n">
        <x:f>H61*F61</x:f>
        <x:v>812.4</x:v>
      </x:c>
      <x:c r="K61" s="82" t="n">
        <x:f>I61*F61*1.5</x:f>
        <x:v>67.02300000000008</x:v>
      </x:c>
      <x:c r="L61" s="82" t="n">
        <x:f>J61+K61</x:f>
        <x:v>879.423</x:v>
      </x:c>
      <x:c r="M61" s="58" t="str">
        <x:f>IF(OR(E61&gt;55,G61&lt;&gt;"Yes",I61&gt;10),"Review","OK")</x:f>
        <x:v>OK</x:v>
      </x:c>
      <x:c r="N61" s="59" t="str">
        <x:f>IF(M61="Review","Check approval/overtime reason","No action")</x:f>
        <x:v>No action</x:v>
      </x:c>
    </x:row>
    <x:row r="62">
      <x:c r="A62" s="57" t="str">
        <x:v>TS-0061</x:v>
      </x:c>
      <x:c r="B62" s="78" t="n">
        <x:v>46185</x:v>
      </x:c>
      <x:c r="C62" s="58" t="str">
        <x:v>Employee 75</x:v>
      </x:c>
      <x:c r="D62" s="58" t="str">
        <x:v>IT</x:v>
      </x:c>
      <x:c r="E62" s="58" t="n">
        <x:v>37.2</x:v>
      </x:c>
      <x:c r="F62" s="82" t="n">
        <x:v>21.27</x:v>
      </x:c>
      <x:c r="G62" s="58" t="str">
        <x:v>Yes</x:v>
      </x:c>
      <x:c r="H62" s="58" t="n">
        <x:f>MIN(E62,40)</x:f>
        <x:v>37.2</x:v>
      </x:c>
      <x:c r="I62" s="58" t="n">
        <x:f>MAX(0,E62-40)</x:f>
        <x:v>0</x:v>
      </x:c>
      <x:c r="J62" s="82" t="n">
        <x:f>H62*F62</x:f>
        <x:v>791.244</x:v>
      </x:c>
      <x:c r="K62" s="82" t="n">
        <x:f>I62*F62*1.5</x:f>
        <x:v>0</x:v>
      </x:c>
      <x:c r="L62" s="82" t="n">
        <x:f>J62+K62</x:f>
        <x:v>791.244</x:v>
      </x:c>
      <x:c r="M62" s="58" t="str">
        <x:f>IF(OR(E62&gt;55,G62&lt;&gt;"Yes",I62&gt;10),"Review","OK")</x:f>
        <x:v>OK</x:v>
      </x:c>
      <x:c r="N62" s="59" t="str">
        <x:f>IF(M62="Review","Check approval/overtime reason","No action")</x:f>
        <x:v>No action</x:v>
      </x:c>
    </x:row>
    <x:row r="63">
      <x:c r="A63" s="57" t="str">
        <x:v>TS-0062</x:v>
      </x:c>
      <x:c r="B63" s="78" t="n">
        <x:v>46185</x:v>
      </x:c>
      <x:c r="C63" s="58" t="str">
        <x:v>Employee 17</x:v>
      </x:c>
      <x:c r="D63" s="58" t="str">
        <x:v>Sales</x:v>
      </x:c>
      <x:c r="E63" s="58" t="n">
        <x:v>40.1</x:v>
      </x:c>
      <x:c r="F63" s="82" t="n">
        <x:v>39.31</x:v>
      </x:c>
      <x:c r="G63" s="58" t="str">
        <x:v>Yes</x:v>
      </x:c>
      <x:c r="H63" s="58" t="n">
        <x:f>MIN(E63,40)</x:f>
        <x:v>40</x:v>
      </x:c>
      <x:c r="I63" s="58" t="n">
        <x:f>MAX(0,E63-40)</x:f>
        <x:v>0.10000000000000142</x:v>
      </x:c>
      <x:c r="J63" s="82" t="n">
        <x:f>H63*F63</x:f>
        <x:v>1572.4</x:v>
      </x:c>
      <x:c r="K63" s="82" t="n">
        <x:f>I63*F63*1.5</x:f>
        <x:v>5.896500000000084</x:v>
      </x:c>
      <x:c r="L63" s="82" t="n">
        <x:f>J63+K63</x:f>
        <x:v>1578.2965000000002</x:v>
      </x:c>
      <x:c r="M63" s="58" t="str">
        <x:f>IF(OR(E63&gt;55,G63&lt;&gt;"Yes",I63&gt;10),"Review","OK")</x:f>
        <x:v>OK</x:v>
      </x:c>
      <x:c r="N63" s="59" t="str">
        <x:f>IF(M63="Review","Check approval/overtime reason","No action")</x:f>
        <x:v>No action</x:v>
      </x:c>
    </x:row>
    <x:row r="64">
      <x:c r="A64" s="57" t="str">
        <x:v>TS-0063</x:v>
      </x:c>
      <x:c r="B64" s="78" t="n">
        <x:v>46157</x:v>
      </x:c>
      <x:c r="C64" s="58" t="str">
        <x:v>Employee 30</x:v>
      </x:c>
      <x:c r="D64" s="58" t="str">
        <x:v>Admin</x:v>
      </x:c>
      <x:c r="E64" s="58" t="n">
        <x:v>56.6</x:v>
      </x:c>
      <x:c r="F64" s="82" t="n">
        <x:v>42.56</x:v>
      </x:c>
      <x:c r="G64" s="58" t="str">
        <x:v>Yes</x:v>
      </x:c>
      <x:c r="H64" s="58" t="n">
        <x:f>MIN(E64,40)</x:f>
        <x:v>40</x:v>
      </x:c>
      <x:c r="I64" s="58" t="n">
        <x:f>MAX(0,E64-40)</x:f>
        <x:v>16.6</x:v>
      </x:c>
      <x:c r="J64" s="82" t="n">
        <x:f>H64*F64</x:f>
        <x:v>1702.4</x:v>
      </x:c>
      <x:c r="K64" s="82" t="n">
        <x:f>I64*F64*1.5</x:f>
        <x:v>1059.7440000000001</x:v>
      </x:c>
      <x:c r="L64" s="82" t="n">
        <x:f>J64+K64</x:f>
        <x:v>2762.1440000000002</x:v>
      </x:c>
      <x:c r="M64" s="58" t="str">
        <x:f>IF(OR(E64&gt;55,G64&lt;&gt;"Yes",I64&gt;10),"Review","OK")</x:f>
        <x:v>Review</x:v>
      </x:c>
      <x:c r="N64" s="59" t="str">
        <x:f>IF(M64="Review","Check approval/overtime reason","No action")</x:f>
        <x:v>Check approval/overtime reason</x:v>
      </x:c>
    </x:row>
    <x:row r="65">
      <x:c r="A65" s="57" t="str">
        <x:v>TS-0064</x:v>
      </x:c>
      <x:c r="B65" s="78" t="n">
        <x:v>46192</x:v>
      </x:c>
      <x:c r="C65" s="58" t="str">
        <x:v>Employee 30</x:v>
      </x:c>
      <x:c r="D65" s="58" t="str">
        <x:v>Operations</x:v>
      </x:c>
      <x:c r="E65" s="58" t="n">
        <x:v>57.6</x:v>
      </x:c>
      <x:c r="F65" s="82" t="n">
        <x:v>25.17</x:v>
      </x:c>
      <x:c r="G65" s="58" t="str">
        <x:v>Yes</x:v>
      </x:c>
      <x:c r="H65" s="58" t="n">
        <x:f>MIN(E65,40)</x:f>
        <x:v>40</x:v>
      </x:c>
      <x:c r="I65" s="58" t="n">
        <x:f>MAX(0,E65-40)</x:f>
        <x:v>17.6</x:v>
      </x:c>
      <x:c r="J65" s="82" t="n">
        <x:f>H65*F65</x:f>
        <x:v>1006.8000000000001</x:v>
      </x:c>
      <x:c r="K65" s="82" t="n">
        <x:f>I65*F65*1.5</x:f>
        <x:v>664.488</x:v>
      </x:c>
      <x:c r="L65" s="82" t="n">
        <x:f>J65+K65</x:f>
        <x:v>1671.288</x:v>
      </x:c>
      <x:c r="M65" s="58" t="str">
        <x:f>IF(OR(E65&gt;55,G65&lt;&gt;"Yes",I65&gt;10),"Review","OK")</x:f>
        <x:v>Review</x:v>
      </x:c>
      <x:c r="N65" s="59" t="str">
        <x:f>IF(M65="Review","Check approval/overtime reason","No action")</x:f>
        <x:v>Check approval/overtime reason</x:v>
      </x:c>
    </x:row>
    <x:row r="66">
      <x:c r="A66" s="57" t="str">
        <x:v>TS-0065</x:v>
      </x:c>
      <x:c r="B66" s="78" t="n">
        <x:v>46157</x:v>
      </x:c>
      <x:c r="C66" s="58" t="str">
        <x:v>Employee 27</x:v>
      </x:c>
      <x:c r="D66" s="58" t="str">
        <x:v>Warehouse</x:v>
      </x:c>
      <x:c r="E66" s="58" t="n">
        <x:v>41.2</x:v>
      </x:c>
      <x:c r="F66" s="82" t="n">
        <x:v>42.5</x:v>
      </x:c>
      <x:c r="G66" s="58" t="str">
        <x:v>Yes</x:v>
      </x:c>
      <x:c r="H66" s="58" t="n">
        <x:f>MIN(E66,40)</x:f>
        <x:v>40</x:v>
      </x:c>
      <x:c r="I66" s="58" t="n">
        <x:f>MAX(0,E66-40)</x:f>
        <x:v>1.2000000000000028</x:v>
      </x:c>
      <x:c r="J66" s="82" t="n">
        <x:f>H66*F66</x:f>
        <x:v>1700</x:v>
      </x:c>
      <x:c r="K66" s="82" t="n">
        <x:f>I66*F66*1.5</x:f>
        <x:v>76.50000000000018</x:v>
      </x:c>
      <x:c r="L66" s="82" t="n">
        <x:f>J66+K66</x:f>
        <x:v>1776.5000000000002</x:v>
      </x:c>
      <x:c r="M66" s="58" t="str">
        <x:f>IF(OR(E66&gt;55,G66&lt;&gt;"Yes",I66&gt;10),"Review","OK")</x:f>
        <x:v>OK</x:v>
      </x:c>
      <x:c r="N66" s="59" t="str">
        <x:f>IF(M66="Review","Check approval/overtime reason","No action")</x:f>
        <x:v>No action</x:v>
      </x:c>
    </x:row>
    <x:row r="67">
      <x:c r="A67" s="57" t="str">
        <x:v>TS-0066</x:v>
      </x:c>
      <x:c r="B67" s="78" t="n">
        <x:v>46185</x:v>
      </x:c>
      <x:c r="C67" s="58" t="str">
        <x:v>Employee 59</x:v>
      </x:c>
      <x:c r="D67" s="58" t="str">
        <x:v>Sales</x:v>
      </x:c>
      <x:c r="E67" s="58" t="n">
        <x:v>49</x:v>
      </x:c>
      <x:c r="F67" s="82" t="n">
        <x:v>34.96</x:v>
      </x:c>
      <x:c r="G67" s="58" t="str">
        <x:v>Yes</x:v>
      </x:c>
      <x:c r="H67" s="58" t="n">
        <x:f>MIN(E67,40)</x:f>
        <x:v>40</x:v>
      </x:c>
      <x:c r="I67" s="58" t="n">
        <x:f>MAX(0,E67-40)</x:f>
        <x:v>9</x:v>
      </x:c>
      <x:c r="J67" s="82" t="n">
        <x:f>H67*F67</x:f>
        <x:v>1398.4</x:v>
      </x:c>
      <x:c r="K67" s="82" t="n">
        <x:f>I67*F67*1.5</x:f>
        <x:v>471.96</x:v>
      </x:c>
      <x:c r="L67" s="82" t="n">
        <x:f>J67+K67</x:f>
        <x:v>1870.3600000000001</x:v>
      </x:c>
      <x:c r="M67" s="58" t="str">
        <x:f>IF(OR(E67&gt;55,G67&lt;&gt;"Yes",I67&gt;10),"Review","OK")</x:f>
        <x:v>OK</x:v>
      </x:c>
      <x:c r="N67" s="59" t="str">
        <x:f>IF(M67="Review","Check approval/overtime reason","No action")</x:f>
        <x:v>No action</x:v>
      </x:c>
    </x:row>
    <x:row r="68">
      <x:c r="A68" s="57" t="str">
        <x:v>TS-0067</x:v>
      </x:c>
      <x:c r="B68" s="78" t="n">
        <x:v>46171</x:v>
      </x:c>
      <x:c r="C68" s="58" t="str">
        <x:v>Employee 43</x:v>
      </x:c>
      <x:c r="D68" s="58" t="str">
        <x:v>Operations</x:v>
      </x:c>
      <x:c r="E68" s="58" t="n">
        <x:v>53.6</x:v>
      </x:c>
      <x:c r="F68" s="82" t="n">
        <x:v>22.96</x:v>
      </x:c>
      <x:c r="G68" s="58" t="str">
        <x:v>Yes</x:v>
      </x:c>
      <x:c r="H68" s="58" t="n">
        <x:f>MIN(E68,40)</x:f>
        <x:v>40</x:v>
      </x:c>
      <x:c r="I68" s="58" t="n">
        <x:f>MAX(0,E68-40)</x:f>
        <x:v>13.600000000000001</x:v>
      </x:c>
      <x:c r="J68" s="82" t="n">
        <x:f>H68*F68</x:f>
        <x:v>918.4000000000001</x:v>
      </x:c>
      <x:c r="K68" s="82" t="n">
        <x:f>I68*F68*1.5</x:f>
        <x:v>468.384</x:v>
      </x:c>
      <x:c r="L68" s="82" t="n">
        <x:f>J68+K68</x:f>
        <x:v>1386.784</x:v>
      </x:c>
      <x:c r="M68" s="58" t="str">
        <x:f>IF(OR(E68&gt;55,G68&lt;&gt;"Yes",I68&gt;10),"Review","OK")</x:f>
        <x:v>Review</x:v>
      </x:c>
      <x:c r="N68" s="59" t="str">
        <x:f>IF(M68="Review","Check approval/overtime reason","No action")</x:f>
        <x:v>Check approval/overtime reason</x:v>
      </x:c>
    </x:row>
    <x:row r="69">
      <x:c r="A69" s="57" t="str">
        <x:v>TS-0068</x:v>
      </x:c>
      <x:c r="B69" s="78" t="n">
        <x:v>46185</x:v>
      </x:c>
      <x:c r="C69" s="58" t="str">
        <x:v>Employee 50</x:v>
      </x:c>
      <x:c r="D69" s="58" t="str">
        <x:v>Operations</x:v>
      </x:c>
      <x:c r="E69" s="58" t="n">
        <x:v>55.3</x:v>
      </x:c>
      <x:c r="F69" s="82" t="n">
        <x:v>40.07</x:v>
      </x:c>
      <x:c r="G69" s="58" t="str">
        <x:v>Yes</x:v>
      </x:c>
      <x:c r="H69" s="58" t="n">
        <x:f>MIN(E69,40)</x:f>
        <x:v>40</x:v>
      </x:c>
      <x:c r="I69" s="58" t="n">
        <x:f>MAX(0,E69-40)</x:f>
        <x:v>15.299999999999997</x:v>
      </x:c>
      <x:c r="J69" s="82" t="n">
        <x:f>H69*F69</x:f>
        <x:v>1602.8</x:v>
      </x:c>
      <x:c r="K69" s="82" t="n">
        <x:f>I69*F69*1.5</x:f>
        <x:v>919.6064999999999</x:v>
      </x:c>
      <x:c r="L69" s="82" t="n">
        <x:f>J69+K69</x:f>
        <x:v>2522.4065</x:v>
      </x:c>
      <x:c r="M69" s="58" t="str">
        <x:f>IF(OR(E69&gt;55,G69&lt;&gt;"Yes",I69&gt;10),"Review","OK")</x:f>
        <x:v>Review</x:v>
      </x:c>
      <x:c r="N69" s="59" t="str">
        <x:f>IF(M69="Review","Check approval/overtime reason","No action")</x:f>
        <x:v>Check approval/overtime reason</x:v>
      </x:c>
    </x:row>
    <x:row r="70">
      <x:c r="A70" s="57" t="str">
        <x:v>TS-0069</x:v>
      </x:c>
      <x:c r="B70" s="78" t="n">
        <x:v>46192</x:v>
      </x:c>
      <x:c r="C70" s="58" t="str">
        <x:v>Employee 57</x:v>
      </x:c>
      <x:c r="D70" s="58" t="str">
        <x:v>Sales</x:v>
      </x:c>
      <x:c r="E70" s="58" t="n">
        <x:v>53.1</x:v>
      </x:c>
      <x:c r="F70" s="82" t="n">
        <x:v>37.08</x:v>
      </x:c>
      <x:c r="G70" s="58" t="str">
        <x:v>Yes</x:v>
      </x:c>
      <x:c r="H70" s="58" t="n">
        <x:f>MIN(E70,40)</x:f>
        <x:v>40</x:v>
      </x:c>
      <x:c r="I70" s="58" t="n">
        <x:f>MAX(0,E70-40)</x:f>
        <x:v>13.100000000000001</x:v>
      </x:c>
      <x:c r="J70" s="82" t="n">
        <x:f>H70*F70</x:f>
        <x:v>1483.1999999999998</x:v>
      </x:c>
      <x:c r="K70" s="82" t="n">
        <x:f>I70*F70*1.5</x:f>
        <x:v>728.6220000000001</x:v>
      </x:c>
      <x:c r="L70" s="82" t="n">
        <x:f>J70+K70</x:f>
        <x:v>2211.822</x:v>
      </x:c>
      <x:c r="M70" s="58" t="str">
        <x:f>IF(OR(E70&gt;55,G70&lt;&gt;"Yes",I70&gt;10),"Review","OK")</x:f>
        <x:v>Review</x:v>
      </x:c>
      <x:c r="N70" s="59" t="str">
        <x:f>IF(M70="Review","Check approval/overtime reason","No action")</x:f>
        <x:v>Check approval/overtime reason</x:v>
      </x:c>
    </x:row>
    <x:row r="71">
      <x:c r="A71" s="57" t="str">
        <x:v>TS-0070</x:v>
      </x:c>
      <x:c r="B71" s="78" t="n">
        <x:v>46164</x:v>
      </x:c>
      <x:c r="C71" s="58" t="str">
        <x:v>Employee 60</x:v>
      </x:c>
      <x:c r="D71" s="58" t="str">
        <x:v>Sales</x:v>
      </x:c>
      <x:c r="E71" s="58" t="n">
        <x:v>49.7</x:v>
      </x:c>
      <x:c r="F71" s="82" t="n">
        <x:v>38.19</x:v>
      </x:c>
      <x:c r="G71" s="58" t="str">
        <x:v>Yes</x:v>
      </x:c>
      <x:c r="H71" s="58" t="n">
        <x:f>MIN(E71,40)</x:f>
        <x:v>40</x:v>
      </x:c>
      <x:c r="I71" s="58" t="n">
        <x:f>MAX(0,E71-40)</x:f>
        <x:v>9.700000000000003</x:v>
      </x:c>
      <x:c r="J71" s="82" t="n">
        <x:f>H71*F71</x:f>
        <x:v>1527.6</x:v>
      </x:c>
      <x:c r="K71" s="82" t="n">
        <x:f>I71*F71*1.5</x:f>
        <x:v>555.6645000000001</x:v>
      </x:c>
      <x:c r="L71" s="82" t="n">
        <x:f>J71+K71</x:f>
        <x:v>2083.2645</x:v>
      </x:c>
      <x:c r="M71" s="58" t="str">
        <x:f>IF(OR(E71&gt;55,G71&lt;&gt;"Yes",I71&gt;10),"Review","OK")</x:f>
        <x:v>OK</x:v>
      </x:c>
      <x:c r="N71" s="59" t="str">
        <x:f>IF(M71="Review","Check approval/overtime reason","No action")</x:f>
        <x:v>No action</x:v>
      </x:c>
    </x:row>
    <x:row r="72">
      <x:c r="A72" s="57" t="str">
        <x:v>TS-0071</x:v>
      </x:c>
      <x:c r="B72" s="78" t="n">
        <x:v>46192</x:v>
      </x:c>
      <x:c r="C72" s="58" t="str">
        <x:v>Employee 66</x:v>
      </x:c>
      <x:c r="D72" s="58" t="str">
        <x:v>Admin</x:v>
      </x:c>
      <x:c r="E72" s="58" t="n">
        <x:v>42.7</x:v>
      </x:c>
      <x:c r="F72" s="82" t="n">
        <x:v>37</x:v>
      </x:c>
      <x:c r="G72" s="58" t="str">
        <x:v>No</x:v>
      </x:c>
      <x:c r="H72" s="58" t="n">
        <x:f>MIN(E72,40)</x:f>
        <x:v>40</x:v>
      </x:c>
      <x:c r="I72" s="58" t="n">
        <x:f>MAX(0,E72-40)</x:f>
        <x:v>2.700000000000003</x:v>
      </x:c>
      <x:c r="J72" s="82" t="n">
        <x:f>H72*F72</x:f>
        <x:v>1480</x:v>
      </x:c>
      <x:c r="K72" s="82" t="n">
        <x:f>I72*F72*1.5</x:f>
        <x:v>149.85000000000016</x:v>
      </x:c>
      <x:c r="L72" s="82" t="n">
        <x:f>J72+K72</x:f>
        <x:v>1629.8500000000001</x:v>
      </x:c>
      <x:c r="M72" s="58" t="str">
        <x:f>IF(OR(E72&gt;55,G72&lt;&gt;"Yes",I72&gt;10),"Review","OK")</x:f>
        <x:v>Review</x:v>
      </x:c>
      <x:c r="N72" s="59" t="str">
        <x:f>IF(M72="Review","Check approval/overtime reason","No action")</x:f>
        <x:v>Check approval/overtime reason</x:v>
      </x:c>
    </x:row>
    <x:row r="73">
      <x:c r="A73" s="57" t="str">
        <x:v>TS-0072</x:v>
      </x:c>
      <x:c r="B73" s="78" t="n">
        <x:v>46157</x:v>
      </x:c>
      <x:c r="C73" s="58" t="str">
        <x:v>Employee 18</x:v>
      </x:c>
      <x:c r="D73" s="58" t="str">
        <x:v>Sales</x:v>
      </x:c>
      <x:c r="E73" s="58" t="n">
        <x:v>21.5</x:v>
      </x:c>
      <x:c r="F73" s="82" t="n">
        <x:v>21.13</x:v>
      </x:c>
      <x:c r="G73" s="58" t="str">
        <x:v>Yes</x:v>
      </x:c>
      <x:c r="H73" s="58" t="n">
        <x:f>MIN(E73,40)</x:f>
        <x:v>21.5</x:v>
      </x:c>
      <x:c r="I73" s="58" t="n">
        <x:f>MAX(0,E73-40)</x:f>
        <x:v>0</x:v>
      </x:c>
      <x:c r="J73" s="82" t="n">
        <x:f>H73*F73</x:f>
        <x:v>454.29499999999996</x:v>
      </x:c>
      <x:c r="K73" s="82" t="n">
        <x:f>I73*F73*1.5</x:f>
        <x:v>0</x:v>
      </x:c>
      <x:c r="L73" s="82" t="n">
        <x:f>J73+K73</x:f>
        <x:v>454.29499999999996</x:v>
      </x:c>
      <x:c r="M73" s="58" t="str">
        <x:f>IF(OR(E73&gt;55,G73&lt;&gt;"Yes",I73&gt;10),"Review","OK")</x:f>
        <x:v>OK</x:v>
      </x:c>
      <x:c r="N73" s="59" t="str">
        <x:f>IF(M73="Review","Check approval/overtime reason","No action")</x:f>
        <x:v>No action</x:v>
      </x:c>
    </x:row>
    <x:row r="74">
      <x:c r="A74" s="57" t="str">
        <x:v>TS-0073</x:v>
      </x:c>
      <x:c r="B74" s="78" t="n">
        <x:v>46150</x:v>
      </x:c>
      <x:c r="C74" s="58" t="str">
        <x:v>Employee 18</x:v>
      </x:c>
      <x:c r="D74" s="58" t="str">
        <x:v>Accounting</x:v>
      </x:c>
      <x:c r="E74" s="58" t="n">
        <x:v>41.9</x:v>
      </x:c>
      <x:c r="F74" s="82" t="n">
        <x:v>28.56</x:v>
      </x:c>
      <x:c r="G74" s="58" t="str">
        <x:v>Yes</x:v>
      </x:c>
      <x:c r="H74" s="58" t="n">
        <x:f>MIN(E74,40)</x:f>
        <x:v>40</x:v>
      </x:c>
      <x:c r="I74" s="58" t="n">
        <x:f>MAX(0,E74-40)</x:f>
        <x:v>1.8999999999999986</x:v>
      </x:c>
      <x:c r="J74" s="82" t="n">
        <x:f>H74*F74</x:f>
        <x:v>1142.3999999999999</x:v>
      </x:c>
      <x:c r="K74" s="82" t="n">
        <x:f>I74*F74*1.5</x:f>
        <x:v>81.39599999999994</x:v>
      </x:c>
      <x:c r="L74" s="82" t="n">
        <x:f>J74+K74</x:f>
        <x:v>1223.7959999999998</x:v>
      </x:c>
      <x:c r="M74" s="58" t="str">
        <x:f>IF(OR(E74&gt;55,G74&lt;&gt;"Yes",I74&gt;10),"Review","OK")</x:f>
        <x:v>OK</x:v>
      </x:c>
      <x:c r="N74" s="59" t="str">
        <x:f>IF(M74="Review","Check approval/overtime reason","No action")</x:f>
        <x:v>No action</x:v>
      </x:c>
    </x:row>
    <x:row r="75">
      <x:c r="A75" s="57" t="str">
        <x:v>TS-0074</x:v>
      </x:c>
      <x:c r="B75" s="78" t="n">
        <x:v>46192</x:v>
      </x:c>
      <x:c r="C75" s="58" t="str">
        <x:v>Employee 20</x:v>
      </x:c>
      <x:c r="D75" s="58" t="str">
        <x:v>Warehouse</x:v>
      </x:c>
      <x:c r="E75" s="58" t="n">
        <x:v>52.1</x:v>
      </x:c>
      <x:c r="F75" s="82" t="n">
        <x:v>43.3</x:v>
      </x:c>
      <x:c r="G75" s="58" t="str">
        <x:v>Yes</x:v>
      </x:c>
      <x:c r="H75" s="58" t="n">
        <x:f>MIN(E75,40)</x:f>
        <x:v>40</x:v>
      </x:c>
      <x:c r="I75" s="58" t="n">
        <x:f>MAX(0,E75-40)</x:f>
        <x:v>12.100000000000001</x:v>
      </x:c>
      <x:c r="J75" s="82" t="n">
        <x:f>H75*F75</x:f>
        <x:v>1732</x:v>
      </x:c>
      <x:c r="K75" s="82" t="n">
        <x:f>I75*F75*1.5</x:f>
        <x:v>785.8950000000001</x:v>
      </x:c>
      <x:c r="L75" s="82" t="n">
        <x:f>J75+K75</x:f>
        <x:v>2517.895</x:v>
      </x:c>
      <x:c r="M75" s="58" t="str">
        <x:f>IF(OR(E75&gt;55,G75&lt;&gt;"Yes",I75&gt;10),"Review","OK")</x:f>
        <x:v>Review</x:v>
      </x:c>
      <x:c r="N75" s="59" t="str">
        <x:f>IF(M75="Review","Check approval/overtime reason","No action")</x:f>
        <x:v>Check approval/overtime reason</x:v>
      </x:c>
    </x:row>
    <x:row r="76">
      <x:c r="A76" s="57" t="str">
        <x:v>TS-0075</x:v>
      </x:c>
      <x:c r="B76" s="78" t="n">
        <x:v>46143</x:v>
      </x:c>
      <x:c r="C76" s="58" t="str">
        <x:v>Employee 45</x:v>
      </x:c>
      <x:c r="D76" s="58" t="str">
        <x:v>Operations</x:v>
      </x:c>
      <x:c r="E76" s="58" t="n">
        <x:v>16.4</x:v>
      </x:c>
      <x:c r="F76" s="82" t="n">
        <x:v>31.62</x:v>
      </x:c>
      <x:c r="G76" s="58" t="str">
        <x:v>Yes</x:v>
      </x:c>
      <x:c r="H76" s="58" t="n">
        <x:f>MIN(E76,40)</x:f>
        <x:v>16.4</x:v>
      </x:c>
      <x:c r="I76" s="58" t="n">
        <x:f>MAX(0,E76-40)</x:f>
        <x:v>0</x:v>
      </x:c>
      <x:c r="J76" s="82" t="n">
        <x:f>H76*F76</x:f>
        <x:v>518.568</x:v>
      </x:c>
      <x:c r="K76" s="82" t="n">
        <x:f>I76*F76*1.5</x:f>
        <x:v>0</x:v>
      </x:c>
      <x:c r="L76" s="82" t="n">
        <x:f>J76+K76</x:f>
        <x:v>518.568</x:v>
      </x:c>
      <x:c r="M76" s="58" t="str">
        <x:f>IF(OR(E76&gt;55,G76&lt;&gt;"Yes",I76&gt;10),"Review","OK")</x:f>
        <x:v>OK</x:v>
      </x:c>
      <x:c r="N76" s="59" t="str">
        <x:f>IF(M76="Review","Check approval/overtime reason","No action")</x:f>
        <x:v>No action</x:v>
      </x:c>
    </x:row>
    <x:row r="77">
      <x:c r="A77" s="57" t="str">
        <x:v>TS-0076</x:v>
      </x:c>
      <x:c r="B77" s="78" t="n">
        <x:v>46171</x:v>
      </x:c>
      <x:c r="C77" s="58" t="str">
        <x:v>Employee 52</x:v>
      </x:c>
      <x:c r="D77" s="58" t="str">
        <x:v>Sales</x:v>
      </x:c>
      <x:c r="E77" s="58" t="n">
        <x:v>39.8</x:v>
      </x:c>
      <x:c r="F77" s="82" t="n">
        <x:v>25.79</x:v>
      </x:c>
      <x:c r="G77" s="58" t="str">
        <x:v>Pending</x:v>
      </x:c>
      <x:c r="H77" s="58" t="n">
        <x:f>MIN(E77,40)</x:f>
        <x:v>39.8</x:v>
      </x:c>
      <x:c r="I77" s="58" t="n">
        <x:f>MAX(0,E77-40)</x:f>
        <x:v>0</x:v>
      </x:c>
      <x:c r="J77" s="82" t="n">
        <x:f>H77*F77</x:f>
        <x:v>1026.4419999999998</x:v>
      </x:c>
      <x:c r="K77" s="82" t="n">
        <x:f>I77*F77*1.5</x:f>
        <x:v>0</x:v>
      </x:c>
      <x:c r="L77" s="82" t="n">
        <x:f>J77+K77</x:f>
        <x:v>1026.4419999999998</x:v>
      </x:c>
      <x:c r="M77" s="58" t="str">
        <x:f>IF(OR(E77&gt;55,G77&lt;&gt;"Yes",I77&gt;10),"Review","OK")</x:f>
        <x:v>Review</x:v>
      </x:c>
      <x:c r="N77" s="59" t="str">
        <x:f>IF(M77="Review","Check approval/overtime reason","No action")</x:f>
        <x:v>Check approval/overtime reason</x:v>
      </x:c>
    </x:row>
    <x:row r="78">
      <x:c r="A78" s="57" t="str">
        <x:v>TS-0077</x:v>
      </x:c>
      <x:c r="B78" s="78" t="n">
        <x:v>46157</x:v>
      </x:c>
      <x:c r="C78" s="58" t="str">
        <x:v>Employee 47</x:v>
      </x:c>
      <x:c r="D78" s="58" t="str">
        <x:v>Sales</x:v>
      </x:c>
      <x:c r="E78" s="58" t="n">
        <x:v>44.6</x:v>
      </x:c>
      <x:c r="F78" s="82" t="n">
        <x:v>23.11</x:v>
      </x:c>
      <x:c r="G78" s="58" t="str">
        <x:v>Pending</x:v>
      </x:c>
      <x:c r="H78" s="58" t="n">
        <x:f>MIN(E78,40)</x:f>
        <x:v>40</x:v>
      </x:c>
      <x:c r="I78" s="58" t="n">
        <x:f>MAX(0,E78-40)</x:f>
        <x:v>4.600000000000001</x:v>
      </x:c>
      <x:c r="J78" s="82" t="n">
        <x:f>H78*F78</x:f>
        <x:v>924.4</x:v>
      </x:c>
      <x:c r="K78" s="82" t="n">
        <x:f>I78*F78*1.5</x:f>
        <x:v>159.45900000000003</x:v>
      </x:c>
      <x:c r="L78" s="82" t="n">
        <x:f>J78+K78</x:f>
        <x:v>1083.859</x:v>
      </x:c>
      <x:c r="M78" s="58" t="str">
        <x:f>IF(OR(E78&gt;55,G78&lt;&gt;"Yes",I78&gt;10),"Review","OK")</x:f>
        <x:v>Review</x:v>
      </x:c>
      <x:c r="N78" s="59" t="str">
        <x:f>IF(M78="Review","Check approval/overtime reason","No action")</x:f>
        <x:v>Check approval/overtime reason</x:v>
      </x:c>
    </x:row>
    <x:row r="79">
      <x:c r="A79" s="57" t="str">
        <x:v>TS-0078</x:v>
      </x:c>
      <x:c r="B79" s="78" t="n">
        <x:v>46192</x:v>
      </x:c>
      <x:c r="C79" s="58" t="str">
        <x:v>Employee 7</x:v>
      </x:c>
      <x:c r="D79" s="58" t="str">
        <x:v>Operations</x:v>
      </x:c>
      <x:c r="E79" s="58" t="n">
        <x:v>28.1</x:v>
      </x:c>
      <x:c r="F79" s="82" t="n">
        <x:v>23.99</x:v>
      </x:c>
      <x:c r="G79" s="58" t="str">
        <x:v>Yes</x:v>
      </x:c>
      <x:c r="H79" s="58" t="n">
        <x:f>MIN(E79,40)</x:f>
        <x:v>28.1</x:v>
      </x:c>
      <x:c r="I79" s="58" t="n">
        <x:f>MAX(0,E79-40)</x:f>
        <x:v>0</x:v>
      </x:c>
      <x:c r="J79" s="82" t="n">
        <x:f>H79*F79</x:f>
        <x:v>674.119</x:v>
      </x:c>
      <x:c r="K79" s="82" t="n">
        <x:f>I79*F79*1.5</x:f>
        <x:v>0</x:v>
      </x:c>
      <x:c r="L79" s="82" t="n">
        <x:f>J79+K79</x:f>
        <x:v>674.119</x:v>
      </x:c>
      <x:c r="M79" s="58" t="str">
        <x:f>IF(OR(E79&gt;55,G79&lt;&gt;"Yes",I79&gt;10),"Review","OK")</x:f>
        <x:v>OK</x:v>
      </x:c>
      <x:c r="N79" s="59" t="str">
        <x:f>IF(M79="Review","Check approval/overtime reason","No action")</x:f>
        <x:v>No action</x:v>
      </x:c>
    </x:row>
    <x:row r="80">
      <x:c r="A80" s="57" t="str">
        <x:v>TS-0079</x:v>
      </x:c>
      <x:c r="B80" s="78" t="n">
        <x:v>46164</x:v>
      </x:c>
      <x:c r="C80" s="58" t="str">
        <x:v>Employee 3</x:v>
      </x:c>
      <x:c r="D80" s="58" t="str">
        <x:v>Accounting</x:v>
      </x:c>
      <x:c r="E80" s="58" t="n">
        <x:v>41.4</x:v>
      </x:c>
      <x:c r="F80" s="82" t="n">
        <x:v>24.12</x:v>
      </x:c>
      <x:c r="G80" s="58" t="str">
        <x:v>Yes</x:v>
      </x:c>
      <x:c r="H80" s="58" t="n">
        <x:f>MIN(E80,40)</x:f>
        <x:v>40</x:v>
      </x:c>
      <x:c r="I80" s="58" t="n">
        <x:f>MAX(0,E80-40)</x:f>
        <x:v>1.3999999999999986</x:v>
      </x:c>
      <x:c r="J80" s="82" t="n">
        <x:f>H80*F80</x:f>
        <x:v>964.8000000000001</x:v>
      </x:c>
      <x:c r="K80" s="82" t="n">
        <x:f>I80*F80*1.5</x:f>
        <x:v>50.651999999999944</x:v>
      </x:c>
      <x:c r="L80" s="82" t="n">
        <x:f>J80+K80</x:f>
        <x:v>1015.452</x:v>
      </x:c>
      <x:c r="M80" s="58" t="str">
        <x:f>IF(OR(E80&gt;55,G80&lt;&gt;"Yes",I80&gt;10),"Review","OK")</x:f>
        <x:v>OK</x:v>
      </x:c>
      <x:c r="N80" s="59" t="str">
        <x:f>IF(M80="Review","Check approval/overtime reason","No action")</x:f>
        <x:v>No action</x:v>
      </x:c>
    </x:row>
    <x:row r="81">
      <x:c r="A81" s="57" t="str">
        <x:v>TS-0080</x:v>
      </x:c>
      <x:c r="B81" s="78" t="n">
        <x:v>46150</x:v>
      </x:c>
      <x:c r="C81" s="58" t="str">
        <x:v>Employee 44</x:v>
      </x:c>
      <x:c r="D81" s="58" t="str">
        <x:v>Accounting</x:v>
      </x:c>
      <x:c r="E81" s="58" t="n">
        <x:v>57.1</x:v>
      </x:c>
      <x:c r="F81" s="82" t="n">
        <x:v>42.22</x:v>
      </x:c>
      <x:c r="G81" s="58" t="str">
        <x:v>Yes</x:v>
      </x:c>
      <x:c r="H81" s="58" t="n">
        <x:f>MIN(E81,40)</x:f>
        <x:v>40</x:v>
      </x:c>
      <x:c r="I81" s="58" t="n">
        <x:f>MAX(0,E81-40)</x:f>
        <x:v>17.1</x:v>
      </x:c>
      <x:c r="J81" s="82" t="n">
        <x:f>H81*F81</x:f>
        <x:v>1688.8</x:v>
      </x:c>
      <x:c r="K81" s="82" t="n">
        <x:f>I81*F81*1.5</x:f>
        <x:v>1082.943</x:v>
      </x:c>
      <x:c r="L81" s="82" t="n">
        <x:f>J81+K81</x:f>
        <x:v>2771.743</x:v>
      </x:c>
      <x:c r="M81" s="58" t="str">
        <x:f>IF(OR(E81&gt;55,G81&lt;&gt;"Yes",I81&gt;10),"Review","OK")</x:f>
        <x:v>Review</x:v>
      </x:c>
      <x:c r="N81" s="59" t="str">
        <x:f>IF(M81="Review","Check approval/overtime reason","No action")</x:f>
        <x:v>Check approval/overtime reason</x:v>
      </x:c>
    </x:row>
    <x:row r="82">
      <x:c r="A82" s="57" t="str">
        <x:v>TS-0081</x:v>
      </x:c>
      <x:c r="B82" s="78" t="n">
        <x:v>46157</x:v>
      </x:c>
      <x:c r="C82" s="58" t="str">
        <x:v>Employee 12</x:v>
      </x:c>
      <x:c r="D82" s="58" t="str">
        <x:v>Admin</x:v>
      </x:c>
      <x:c r="E82" s="58" t="n">
        <x:v>13.6</x:v>
      </x:c>
      <x:c r="F82" s="82" t="n">
        <x:v>38.48</x:v>
      </x:c>
      <x:c r="G82" s="58" t="str">
        <x:v>Yes</x:v>
      </x:c>
      <x:c r="H82" s="58" t="n">
        <x:f>MIN(E82,40)</x:f>
        <x:v>13.6</x:v>
      </x:c>
      <x:c r="I82" s="58" t="n">
        <x:f>MAX(0,E82-40)</x:f>
        <x:v>0</x:v>
      </x:c>
      <x:c r="J82" s="82" t="n">
        <x:f>H82*F82</x:f>
        <x:v>523.328</x:v>
      </x:c>
      <x:c r="K82" s="82" t="n">
        <x:f>I82*F82*1.5</x:f>
        <x:v>0</x:v>
      </x:c>
      <x:c r="L82" s="82" t="n">
        <x:f>J82+K82</x:f>
        <x:v>523.328</x:v>
      </x:c>
      <x:c r="M82" s="58" t="str">
        <x:f>IF(OR(E82&gt;55,G82&lt;&gt;"Yes",I82&gt;10),"Review","OK")</x:f>
        <x:v>OK</x:v>
      </x:c>
      <x:c r="N82" s="59" t="str">
        <x:f>IF(M82="Review","Check approval/overtime reason","No action")</x:f>
        <x:v>No action</x:v>
      </x:c>
    </x:row>
    <x:row r="83">
      <x:c r="A83" s="57" t="str">
        <x:v>TS-0082</x:v>
      </x:c>
      <x:c r="B83" s="78" t="n">
        <x:v>46143</x:v>
      </x:c>
      <x:c r="C83" s="58" t="str">
        <x:v>Employee 19</x:v>
      </x:c>
      <x:c r="D83" s="58" t="str">
        <x:v>IT</x:v>
      </x:c>
      <x:c r="E83" s="58" t="n">
        <x:v>13.8</x:v>
      </x:c>
      <x:c r="F83" s="82" t="n">
        <x:v>38.66</x:v>
      </x:c>
      <x:c r="G83" s="58" t="str">
        <x:v>Yes</x:v>
      </x:c>
      <x:c r="H83" s="58" t="n">
        <x:f>MIN(E83,40)</x:f>
        <x:v>13.8</x:v>
      </x:c>
      <x:c r="I83" s="58" t="n">
        <x:f>MAX(0,E83-40)</x:f>
        <x:v>0</x:v>
      </x:c>
      <x:c r="J83" s="82" t="n">
        <x:f>H83*F83</x:f>
        <x:v>533.5079999999999</x:v>
      </x:c>
      <x:c r="K83" s="82" t="n">
        <x:f>I83*F83*1.5</x:f>
        <x:v>0</x:v>
      </x:c>
      <x:c r="L83" s="82" t="n">
        <x:f>J83+K83</x:f>
        <x:v>533.5079999999999</x:v>
      </x:c>
      <x:c r="M83" s="58" t="str">
        <x:f>IF(OR(E83&gt;55,G83&lt;&gt;"Yes",I83&gt;10),"Review","OK")</x:f>
        <x:v>OK</x:v>
      </x:c>
      <x:c r="N83" s="59" t="str">
        <x:f>IF(M83="Review","Check approval/overtime reason","No action")</x:f>
        <x:v>No action</x:v>
      </x:c>
    </x:row>
    <x:row r="84">
      <x:c r="A84" s="57" t="str">
        <x:v>TS-0083</x:v>
      </x:c>
      <x:c r="B84" s="78" t="n">
        <x:v>46164</x:v>
      </x:c>
      <x:c r="C84" s="58" t="str">
        <x:v>Employee 13</x:v>
      </x:c>
      <x:c r="D84" s="58" t="str">
        <x:v>Accounting</x:v>
      </x:c>
      <x:c r="E84" s="58" t="n">
        <x:v>39.2</x:v>
      </x:c>
      <x:c r="F84" s="82" t="n">
        <x:v>22.01</x:v>
      </x:c>
      <x:c r="G84" s="58" t="str">
        <x:v>Yes</x:v>
      </x:c>
      <x:c r="H84" s="58" t="n">
        <x:f>MIN(E84,40)</x:f>
        <x:v>39.2</x:v>
      </x:c>
      <x:c r="I84" s="58" t="n">
        <x:f>MAX(0,E84-40)</x:f>
        <x:v>0</x:v>
      </x:c>
      <x:c r="J84" s="82" t="n">
        <x:f>H84*F84</x:f>
        <x:v>862.7920000000001</x:v>
      </x:c>
      <x:c r="K84" s="82" t="n">
        <x:f>I84*F84*1.5</x:f>
        <x:v>0</x:v>
      </x:c>
      <x:c r="L84" s="82" t="n">
        <x:f>J84+K84</x:f>
        <x:v>862.7920000000001</x:v>
      </x:c>
      <x:c r="M84" s="58" t="str">
        <x:f>IF(OR(E84&gt;55,G84&lt;&gt;"Yes",I84&gt;10),"Review","OK")</x:f>
        <x:v>OK</x:v>
      </x:c>
      <x:c r="N84" s="59" t="str">
        <x:f>IF(M84="Review","Check approval/overtime reason","No action")</x:f>
        <x:v>No action</x:v>
      </x:c>
    </x:row>
    <x:row r="85">
      <x:c r="A85" s="57" t="str">
        <x:v>TS-0084</x:v>
      </x:c>
      <x:c r="B85" s="78" t="n">
        <x:v>46192</x:v>
      </x:c>
      <x:c r="C85" s="58" t="str">
        <x:v>Employee 65</x:v>
      </x:c>
      <x:c r="D85" s="58" t="str">
        <x:v>Warehouse</x:v>
      </x:c>
      <x:c r="E85" s="58" t="n">
        <x:v>53.1</x:v>
      </x:c>
      <x:c r="F85" s="82" t="n">
        <x:v>28.79</x:v>
      </x:c>
      <x:c r="G85" s="58" t="str">
        <x:v>Yes</x:v>
      </x:c>
      <x:c r="H85" s="58" t="n">
        <x:f>MIN(E85,40)</x:f>
        <x:v>40</x:v>
      </x:c>
      <x:c r="I85" s="58" t="n">
        <x:f>MAX(0,E85-40)</x:f>
        <x:v>13.100000000000001</x:v>
      </x:c>
      <x:c r="J85" s="82" t="n">
        <x:f>H85*F85</x:f>
        <x:v>1151.6</x:v>
      </x:c>
      <x:c r="K85" s="82" t="n">
        <x:f>I85*F85*1.5</x:f>
        <x:v>565.7235000000001</x:v>
      </x:c>
      <x:c r="L85" s="82" t="n">
        <x:f>J85+K85</x:f>
        <x:v>1717.3235</x:v>
      </x:c>
      <x:c r="M85" s="58" t="str">
        <x:f>IF(OR(E85&gt;55,G85&lt;&gt;"Yes",I85&gt;10),"Review","OK")</x:f>
        <x:v>Review</x:v>
      </x:c>
      <x:c r="N85" s="59" t="str">
        <x:f>IF(M85="Review","Check approval/overtime reason","No action")</x:f>
        <x:v>Check approval/overtime reason</x:v>
      </x:c>
    </x:row>
    <x:row r="86">
      <x:c r="A86" s="57" t="str">
        <x:v>TS-0085</x:v>
      </x:c>
      <x:c r="B86" s="78" t="n">
        <x:v>46185</x:v>
      </x:c>
      <x:c r="C86" s="58" t="str">
        <x:v>Employee 45</x:v>
      </x:c>
      <x:c r="D86" s="58" t="str">
        <x:v>Operations</x:v>
      </x:c>
      <x:c r="E86" s="58" t="n">
        <x:v>14.7</x:v>
      </x:c>
      <x:c r="F86" s="82" t="n">
        <x:v>33.68</x:v>
      </x:c>
      <x:c r="G86" s="58" t="str">
        <x:v>Yes</x:v>
      </x:c>
      <x:c r="H86" s="58" t="n">
        <x:f>MIN(E86,40)</x:f>
        <x:v>14.7</x:v>
      </x:c>
      <x:c r="I86" s="58" t="n">
        <x:f>MAX(0,E86-40)</x:f>
        <x:v>0</x:v>
      </x:c>
      <x:c r="J86" s="82" t="n">
        <x:f>H86*F86</x:f>
        <x:v>495.09599999999995</x:v>
      </x:c>
      <x:c r="K86" s="82" t="n">
        <x:f>I86*F86*1.5</x:f>
        <x:v>0</x:v>
      </x:c>
      <x:c r="L86" s="82" t="n">
        <x:f>J86+K86</x:f>
        <x:v>495.09599999999995</x:v>
      </x:c>
      <x:c r="M86" s="58" t="str">
        <x:f>IF(OR(E86&gt;55,G86&lt;&gt;"Yes",I86&gt;10),"Review","OK")</x:f>
        <x:v>OK</x:v>
      </x:c>
      <x:c r="N86" s="59" t="str">
        <x:f>IF(M86="Review","Check approval/overtime reason","No action")</x:f>
        <x:v>No action</x:v>
      </x:c>
    </x:row>
    <x:row r="87">
      <x:c r="A87" s="57" t="str">
        <x:v>TS-0086</x:v>
      </x:c>
      <x:c r="B87" s="78" t="n">
        <x:v>46192</x:v>
      </x:c>
      <x:c r="C87" s="58" t="str">
        <x:v>Employee 63</x:v>
      </x:c>
      <x:c r="D87" s="58" t="str">
        <x:v>Operations</x:v>
      </x:c>
      <x:c r="E87" s="58" t="n">
        <x:v>16.8</x:v>
      </x:c>
      <x:c r="F87" s="82" t="n">
        <x:v>22.01</x:v>
      </x:c>
      <x:c r="G87" s="58" t="str">
        <x:v>Yes</x:v>
      </x:c>
      <x:c r="H87" s="58" t="n">
        <x:f>MIN(E87,40)</x:f>
        <x:v>16.8</x:v>
      </x:c>
      <x:c r="I87" s="58" t="n">
        <x:f>MAX(0,E87-40)</x:f>
        <x:v>0</x:v>
      </x:c>
      <x:c r="J87" s="82" t="n">
        <x:f>H87*F87</x:f>
        <x:v>369.76800000000003</x:v>
      </x:c>
      <x:c r="K87" s="82" t="n">
        <x:f>I87*F87*1.5</x:f>
        <x:v>0</x:v>
      </x:c>
      <x:c r="L87" s="82" t="n">
        <x:f>J87+K87</x:f>
        <x:v>369.76800000000003</x:v>
      </x:c>
      <x:c r="M87" s="58" t="str">
        <x:f>IF(OR(E87&gt;55,G87&lt;&gt;"Yes",I87&gt;10),"Review","OK")</x:f>
        <x:v>OK</x:v>
      </x:c>
      <x:c r="N87" s="59" t="str">
        <x:f>IF(M87="Review","Check approval/overtime reason","No action")</x:f>
        <x:v>No action</x:v>
      </x:c>
    </x:row>
    <x:row r="88">
      <x:c r="A88" s="57" t="str">
        <x:v>TS-0087</x:v>
      </x:c>
      <x:c r="B88" s="78" t="n">
        <x:v>46171</x:v>
      </x:c>
      <x:c r="C88" s="58" t="str">
        <x:v>Employee 30</x:v>
      </x:c>
      <x:c r="D88" s="58" t="str">
        <x:v>Operations</x:v>
      </x:c>
      <x:c r="E88" s="58" t="n">
        <x:v>24.7</x:v>
      </x:c>
      <x:c r="F88" s="82" t="n">
        <x:v>18.61</x:v>
      </x:c>
      <x:c r="G88" s="58" t="str">
        <x:v>Yes</x:v>
      </x:c>
      <x:c r="H88" s="58" t="n">
        <x:f>MIN(E88,40)</x:f>
        <x:v>24.7</x:v>
      </x:c>
      <x:c r="I88" s="58" t="n">
        <x:f>MAX(0,E88-40)</x:f>
        <x:v>0</x:v>
      </x:c>
      <x:c r="J88" s="82" t="n">
        <x:f>H88*F88</x:f>
        <x:v>459.667</x:v>
      </x:c>
      <x:c r="K88" s="82" t="n">
        <x:f>I88*F88*1.5</x:f>
        <x:v>0</x:v>
      </x:c>
      <x:c r="L88" s="82" t="n">
        <x:f>J88+K88</x:f>
        <x:v>459.667</x:v>
      </x:c>
      <x:c r="M88" s="58" t="str">
        <x:f>IF(OR(E88&gt;55,G88&lt;&gt;"Yes",I88&gt;10),"Review","OK")</x:f>
        <x:v>OK</x:v>
      </x:c>
      <x:c r="N88" s="59" t="str">
        <x:f>IF(M88="Review","Check approval/overtime reason","No action")</x:f>
        <x:v>No action</x:v>
      </x:c>
    </x:row>
    <x:row r="89">
      <x:c r="A89" s="57" t="str">
        <x:v>TS-0088</x:v>
      </x:c>
      <x:c r="B89" s="78" t="n">
        <x:v>46150</x:v>
      </x:c>
      <x:c r="C89" s="58" t="str">
        <x:v>Employee 37</x:v>
      </x:c>
      <x:c r="D89" s="58" t="str">
        <x:v>Sales</x:v>
      </x:c>
      <x:c r="E89" s="58" t="n">
        <x:v>44.1</x:v>
      </x:c>
      <x:c r="F89" s="82" t="n">
        <x:v>41.69</x:v>
      </x:c>
      <x:c r="G89" s="58" t="str">
        <x:v>Yes</x:v>
      </x:c>
      <x:c r="H89" s="58" t="n">
        <x:f>MIN(E89,40)</x:f>
        <x:v>40</x:v>
      </x:c>
      <x:c r="I89" s="58" t="n">
        <x:f>MAX(0,E89-40)</x:f>
        <x:v>4.100000000000001</x:v>
      </x:c>
      <x:c r="J89" s="82" t="n">
        <x:f>H89*F89</x:f>
        <x:v>1667.6</x:v>
      </x:c>
      <x:c r="K89" s="82" t="n">
        <x:f>I89*F89*1.5</x:f>
        <x:v>256.3935000000001</x:v>
      </x:c>
      <x:c r="L89" s="82" t="n">
        <x:f>J89+K89</x:f>
        <x:v>1923.9935</x:v>
      </x:c>
      <x:c r="M89" s="58" t="str">
        <x:f>IF(OR(E89&gt;55,G89&lt;&gt;"Yes",I89&gt;10),"Review","OK")</x:f>
        <x:v>OK</x:v>
      </x:c>
      <x:c r="N89" s="59" t="str">
        <x:f>IF(M89="Review","Check approval/overtime reason","No action")</x:f>
        <x:v>No action</x:v>
      </x:c>
    </x:row>
    <x:row r="90">
      <x:c r="A90" s="57" t="str">
        <x:v>TS-0089</x:v>
      </x:c>
      <x:c r="B90" s="78" t="n">
        <x:v>46143</x:v>
      </x:c>
      <x:c r="C90" s="58" t="str">
        <x:v>Employee 53</x:v>
      </x:c>
      <x:c r="D90" s="58" t="str">
        <x:v>Sales</x:v>
      </x:c>
      <x:c r="E90" s="58" t="n">
        <x:v>32.9</x:v>
      </x:c>
      <x:c r="F90" s="82" t="n">
        <x:v>23.69</x:v>
      </x:c>
      <x:c r="G90" s="58" t="str">
        <x:v>Yes</x:v>
      </x:c>
      <x:c r="H90" s="58" t="n">
        <x:f>MIN(E90,40)</x:f>
        <x:v>32.9</x:v>
      </x:c>
      <x:c r="I90" s="58" t="n">
        <x:f>MAX(0,E90-40)</x:f>
        <x:v>0</x:v>
      </x:c>
      <x:c r="J90" s="82" t="n">
        <x:f>H90*F90</x:f>
        <x:v>779.401</x:v>
      </x:c>
      <x:c r="K90" s="82" t="n">
        <x:f>I90*F90*1.5</x:f>
        <x:v>0</x:v>
      </x:c>
      <x:c r="L90" s="82" t="n">
        <x:f>J90+K90</x:f>
        <x:v>779.401</x:v>
      </x:c>
      <x:c r="M90" s="58" t="str">
        <x:f>IF(OR(E90&gt;55,G90&lt;&gt;"Yes",I90&gt;10),"Review","OK")</x:f>
        <x:v>OK</x:v>
      </x:c>
      <x:c r="N90" s="59" t="str">
        <x:f>IF(M90="Review","Check approval/overtime reason","No action")</x:f>
        <x:v>No action</x:v>
      </x:c>
    </x:row>
    <x:row r="91">
      <x:c r="A91" s="57" t="str">
        <x:v>TS-0090</x:v>
      </x:c>
      <x:c r="B91" s="78" t="n">
        <x:v>46192</x:v>
      </x:c>
      <x:c r="C91" s="58" t="str">
        <x:v>Employee 41</x:v>
      </x:c>
      <x:c r="D91" s="58" t="str">
        <x:v>Admin</x:v>
      </x:c>
      <x:c r="E91" s="58" t="n">
        <x:v>25.9</x:v>
      </x:c>
      <x:c r="F91" s="82" t="n">
        <x:v>34.99</x:v>
      </x:c>
      <x:c r="G91" s="58" t="str">
        <x:v>Yes</x:v>
      </x:c>
      <x:c r="H91" s="58" t="n">
        <x:f>MIN(E91,40)</x:f>
        <x:v>25.9</x:v>
      </x:c>
      <x:c r="I91" s="58" t="n">
        <x:f>MAX(0,E91-40)</x:f>
        <x:v>0</x:v>
      </x:c>
      <x:c r="J91" s="82" t="n">
        <x:f>H91*F91</x:f>
        <x:v>906.241</x:v>
      </x:c>
      <x:c r="K91" s="82" t="n">
        <x:f>I91*F91*1.5</x:f>
        <x:v>0</x:v>
      </x:c>
      <x:c r="L91" s="82" t="n">
        <x:f>J91+K91</x:f>
        <x:v>906.241</x:v>
      </x:c>
      <x:c r="M91" s="58" t="str">
        <x:f>IF(OR(E91&gt;55,G91&lt;&gt;"Yes",I91&gt;10),"Review","OK")</x:f>
        <x:v>OK</x:v>
      </x:c>
      <x:c r="N91" s="59" t="str">
        <x:f>IF(M91="Review","Check approval/overtime reason","No action")</x:f>
        <x:v>No action</x:v>
      </x:c>
    </x:row>
    <x:row r="92">
      <x:c r="A92" s="57" t="str">
        <x:v>TS-0091</x:v>
      </x:c>
      <x:c r="B92" s="78" t="n">
        <x:v>46150</x:v>
      </x:c>
      <x:c r="C92" s="58" t="str">
        <x:v>Employee 46</x:v>
      </x:c>
      <x:c r="D92" s="58" t="str">
        <x:v>IT</x:v>
      </x:c>
      <x:c r="E92" s="58" t="n">
        <x:v>17.9</x:v>
      </x:c>
      <x:c r="F92" s="82" t="n">
        <x:v>38.47</x:v>
      </x:c>
      <x:c r="G92" s="58" t="str">
        <x:v>Yes</x:v>
      </x:c>
      <x:c r="H92" s="58" t="n">
        <x:f>MIN(E92,40)</x:f>
        <x:v>17.9</x:v>
      </x:c>
      <x:c r="I92" s="58" t="n">
        <x:f>MAX(0,E92-40)</x:f>
        <x:v>0</x:v>
      </x:c>
      <x:c r="J92" s="82" t="n">
        <x:f>H92*F92</x:f>
        <x:v>688.6129999999999</x:v>
      </x:c>
      <x:c r="K92" s="82" t="n">
        <x:f>I92*F92*1.5</x:f>
        <x:v>0</x:v>
      </x:c>
      <x:c r="L92" s="82" t="n">
        <x:f>J92+K92</x:f>
        <x:v>688.6129999999999</x:v>
      </x:c>
      <x:c r="M92" s="58" t="str">
        <x:f>IF(OR(E92&gt;55,G92&lt;&gt;"Yes",I92&gt;10),"Review","OK")</x:f>
        <x:v>OK</x:v>
      </x:c>
      <x:c r="N92" s="59" t="str">
        <x:f>IF(M92="Review","Check approval/overtime reason","No action")</x:f>
        <x:v>No action</x:v>
      </x:c>
    </x:row>
    <x:row r="93">
      <x:c r="A93" s="57" t="str">
        <x:v>TS-0092</x:v>
      </x:c>
      <x:c r="B93" s="78" t="n">
        <x:v>46185</x:v>
      </x:c>
      <x:c r="C93" s="58" t="str">
        <x:v>Employee 14</x:v>
      </x:c>
      <x:c r="D93" s="58" t="str">
        <x:v>Sales</x:v>
      </x:c>
      <x:c r="E93" s="58" t="n">
        <x:v>27.2</x:v>
      </x:c>
      <x:c r="F93" s="82" t="n">
        <x:v>40.34</x:v>
      </x:c>
      <x:c r="G93" s="58" t="str">
        <x:v>Yes</x:v>
      </x:c>
      <x:c r="H93" s="58" t="n">
        <x:f>MIN(E93,40)</x:f>
        <x:v>27.2</x:v>
      </x:c>
      <x:c r="I93" s="58" t="n">
        <x:f>MAX(0,E93-40)</x:f>
        <x:v>0</x:v>
      </x:c>
      <x:c r="J93" s="82" t="n">
        <x:f>H93*F93</x:f>
        <x:v>1097.248</x:v>
      </x:c>
      <x:c r="K93" s="82" t="n">
        <x:f>I93*F93*1.5</x:f>
        <x:v>0</x:v>
      </x:c>
      <x:c r="L93" s="82" t="n">
        <x:f>J93+K93</x:f>
        <x:v>1097.248</x:v>
      </x:c>
      <x:c r="M93" s="58" t="str">
        <x:f>IF(OR(E93&gt;55,G93&lt;&gt;"Yes",I93&gt;10),"Review","OK")</x:f>
        <x:v>OK</x:v>
      </x:c>
      <x:c r="N93" s="59" t="str">
        <x:f>IF(M93="Review","Check approval/overtime reason","No action")</x:f>
        <x:v>No action</x:v>
      </x:c>
    </x:row>
    <x:row r="94">
      <x:c r="A94" s="57" t="str">
        <x:v>TS-0093</x:v>
      </x:c>
      <x:c r="B94" s="78" t="n">
        <x:v>46171</x:v>
      </x:c>
      <x:c r="C94" s="58" t="str">
        <x:v>Employee 66</x:v>
      </x:c>
      <x:c r="D94" s="58" t="str">
        <x:v>Sales</x:v>
      </x:c>
      <x:c r="E94" s="58" t="n">
        <x:v>52.2</x:v>
      </x:c>
      <x:c r="F94" s="82" t="n">
        <x:v>33.83</x:v>
      </x:c>
      <x:c r="G94" s="58" t="str">
        <x:v>Yes</x:v>
      </x:c>
      <x:c r="H94" s="58" t="n">
        <x:f>MIN(E94,40)</x:f>
        <x:v>40</x:v>
      </x:c>
      <x:c r="I94" s="58" t="n">
        <x:f>MAX(0,E94-40)</x:f>
        <x:v>12.200000000000003</x:v>
      </x:c>
      <x:c r="J94" s="82" t="n">
        <x:f>H94*F94</x:f>
        <x:v>1353.1999999999998</x:v>
      </x:c>
      <x:c r="K94" s="82" t="n">
        <x:f>I94*F94*1.5</x:f>
        <x:v>619.089</x:v>
      </x:c>
      <x:c r="L94" s="82" t="n">
        <x:f>J94+K94</x:f>
        <x:v>1972.2889999999998</x:v>
      </x:c>
      <x:c r="M94" s="58" t="str">
        <x:f>IF(OR(E94&gt;55,G94&lt;&gt;"Yes",I94&gt;10),"Review","OK")</x:f>
        <x:v>Review</x:v>
      </x:c>
      <x:c r="N94" s="59" t="str">
        <x:f>IF(M94="Review","Check approval/overtime reason","No action")</x:f>
        <x:v>Check approval/overtime reason</x:v>
      </x:c>
    </x:row>
    <x:row r="95">
      <x:c r="A95" s="57" t="str">
        <x:v>TS-0094</x:v>
      </x:c>
      <x:c r="B95" s="78" t="n">
        <x:v>46192</x:v>
      </x:c>
      <x:c r="C95" s="58" t="str">
        <x:v>Employee 32</x:v>
      </x:c>
      <x:c r="D95" s="58" t="str">
        <x:v>Operations</x:v>
      </x:c>
      <x:c r="E95" s="58" t="n">
        <x:v>15.5</x:v>
      </x:c>
      <x:c r="F95" s="82" t="n">
        <x:v>23.84</x:v>
      </x:c>
      <x:c r="G95" s="58" t="str">
        <x:v>Yes</x:v>
      </x:c>
      <x:c r="H95" s="58" t="n">
        <x:f>MIN(E95,40)</x:f>
        <x:v>15.5</x:v>
      </x:c>
      <x:c r="I95" s="58" t="n">
        <x:f>MAX(0,E95-40)</x:f>
        <x:v>0</x:v>
      </x:c>
      <x:c r="J95" s="82" t="n">
        <x:f>H95*F95</x:f>
        <x:v>369.52</x:v>
      </x:c>
      <x:c r="K95" s="82" t="n">
        <x:f>I95*F95*1.5</x:f>
        <x:v>0</x:v>
      </x:c>
      <x:c r="L95" s="82" t="n">
        <x:f>J95+K95</x:f>
        <x:v>369.52</x:v>
      </x:c>
      <x:c r="M95" s="58" t="str">
        <x:f>IF(OR(E95&gt;55,G95&lt;&gt;"Yes",I95&gt;10),"Review","OK")</x:f>
        <x:v>OK</x:v>
      </x:c>
      <x:c r="N95" s="59" t="str">
        <x:f>IF(M95="Review","Check approval/overtime reason","No action")</x:f>
        <x:v>No action</x:v>
      </x:c>
    </x:row>
    <x:row r="96">
      <x:c r="A96" s="57" t="str">
        <x:v>TS-0095</x:v>
      </x:c>
      <x:c r="B96" s="78" t="n">
        <x:v>46192</x:v>
      </x:c>
      <x:c r="C96" s="58" t="str">
        <x:v>Employee 71</x:v>
      </x:c>
      <x:c r="D96" s="58" t="str">
        <x:v>IT</x:v>
      </x:c>
      <x:c r="E96" s="58" t="n">
        <x:v>34.7</x:v>
      </x:c>
      <x:c r="F96" s="82" t="n">
        <x:v>18.53</x:v>
      </x:c>
      <x:c r="G96" s="58" t="str">
        <x:v>Yes</x:v>
      </x:c>
      <x:c r="H96" s="58" t="n">
        <x:f>MIN(E96,40)</x:f>
        <x:v>34.7</x:v>
      </x:c>
      <x:c r="I96" s="58" t="n">
        <x:f>MAX(0,E96-40)</x:f>
        <x:v>0</x:v>
      </x:c>
      <x:c r="J96" s="82" t="n">
        <x:f>H96*F96</x:f>
        <x:v>642.9910000000001</x:v>
      </x:c>
      <x:c r="K96" s="82" t="n">
        <x:f>I96*F96*1.5</x:f>
        <x:v>0</x:v>
      </x:c>
      <x:c r="L96" s="82" t="n">
        <x:f>J96+K96</x:f>
        <x:v>642.9910000000001</x:v>
      </x:c>
      <x:c r="M96" s="58" t="str">
        <x:f>IF(OR(E96&gt;55,G96&lt;&gt;"Yes",I96&gt;10),"Review","OK")</x:f>
        <x:v>OK</x:v>
      </x:c>
      <x:c r="N96" s="59" t="str">
        <x:f>IF(M96="Review","Check approval/overtime reason","No action")</x:f>
        <x:v>No action</x:v>
      </x:c>
    </x:row>
    <x:row r="97">
      <x:c r="A97" s="57" t="str">
        <x:v>TS-0096</x:v>
      </x:c>
      <x:c r="B97" s="78" t="n">
        <x:v>46164</x:v>
      </x:c>
      <x:c r="C97" s="58" t="str">
        <x:v>Employee 63</x:v>
      </x:c>
      <x:c r="D97" s="58" t="str">
        <x:v>Warehouse</x:v>
      </x:c>
      <x:c r="E97" s="58" t="n">
        <x:v>58.4</x:v>
      </x:c>
      <x:c r="F97" s="82" t="n">
        <x:v>33.24</x:v>
      </x:c>
      <x:c r="G97" s="58" t="str">
        <x:v>Yes</x:v>
      </x:c>
      <x:c r="H97" s="58" t="n">
        <x:f>MIN(E97,40)</x:f>
        <x:v>40</x:v>
      </x:c>
      <x:c r="I97" s="58" t="n">
        <x:f>MAX(0,E97-40)</x:f>
        <x:v>18.4</x:v>
      </x:c>
      <x:c r="J97" s="82" t="n">
        <x:f>H97*F97</x:f>
        <x:v>1329.6000000000001</x:v>
      </x:c>
      <x:c r="K97" s="82" t="n">
        <x:f>I97*F97*1.5</x:f>
        <x:v>917.424</x:v>
      </x:c>
      <x:c r="L97" s="82" t="n">
        <x:f>J97+K97</x:f>
        <x:v>2247.0240000000003</x:v>
      </x:c>
      <x:c r="M97" s="58" t="str">
        <x:f>IF(OR(E97&gt;55,G97&lt;&gt;"Yes",I97&gt;10),"Review","OK")</x:f>
        <x:v>Review</x:v>
      </x:c>
      <x:c r="N97" s="59" t="str">
        <x:f>IF(M97="Review","Check approval/overtime reason","No action")</x:f>
        <x:v>Check approval/overtime reason</x:v>
      </x:c>
    </x:row>
    <x:row r="98">
      <x:c r="A98" s="57" t="str">
        <x:v>TS-0097</x:v>
      </x:c>
      <x:c r="B98" s="78" t="n">
        <x:v>46164</x:v>
      </x:c>
      <x:c r="C98" s="58" t="str">
        <x:v>Employee 38</x:v>
      </x:c>
      <x:c r="D98" s="58" t="str">
        <x:v>Accounting</x:v>
      </x:c>
      <x:c r="E98" s="58" t="n">
        <x:v>37</x:v>
      </x:c>
      <x:c r="F98" s="82" t="n">
        <x:v>21.77</x:v>
      </x:c>
      <x:c r="G98" s="58" t="str">
        <x:v>Yes</x:v>
      </x:c>
      <x:c r="H98" s="58" t="n">
        <x:f>MIN(E98,40)</x:f>
        <x:v>37</x:v>
      </x:c>
      <x:c r="I98" s="58" t="n">
        <x:f>MAX(0,E98-40)</x:f>
        <x:v>0</x:v>
      </x:c>
      <x:c r="J98" s="82" t="n">
        <x:f>H98*F98</x:f>
        <x:v>805.49</x:v>
      </x:c>
      <x:c r="K98" s="82" t="n">
        <x:f>I98*F98*1.5</x:f>
        <x:v>0</x:v>
      </x:c>
      <x:c r="L98" s="82" t="n">
        <x:f>J98+K98</x:f>
        <x:v>805.49</x:v>
      </x:c>
      <x:c r="M98" s="58" t="str">
        <x:f>IF(OR(E98&gt;55,G98&lt;&gt;"Yes",I98&gt;10),"Review","OK")</x:f>
        <x:v>OK</x:v>
      </x:c>
      <x:c r="N98" s="59" t="str">
        <x:f>IF(M98="Review","Check approval/overtime reason","No action")</x:f>
        <x:v>No action</x:v>
      </x:c>
    </x:row>
    <x:row r="99">
      <x:c r="A99" s="57" t="str">
        <x:v>TS-0098</x:v>
      </x:c>
      <x:c r="B99" s="78" t="n">
        <x:v>46164</x:v>
      </x:c>
      <x:c r="C99" s="58" t="str">
        <x:v>Employee 20</x:v>
      </x:c>
      <x:c r="D99" s="58" t="str">
        <x:v>Warehouse</x:v>
      </x:c>
      <x:c r="E99" s="58" t="n">
        <x:v>46.2</x:v>
      </x:c>
      <x:c r="F99" s="82" t="n">
        <x:v>43.43</x:v>
      </x:c>
      <x:c r="G99" s="58" t="str">
        <x:v>No</x:v>
      </x:c>
      <x:c r="H99" s="58" t="n">
        <x:f>MIN(E99,40)</x:f>
        <x:v>40</x:v>
      </x:c>
      <x:c r="I99" s="58" t="n">
        <x:f>MAX(0,E99-40)</x:f>
        <x:v>6.200000000000003</x:v>
      </x:c>
      <x:c r="J99" s="82" t="n">
        <x:f>H99*F99</x:f>
        <x:v>1737.2</x:v>
      </x:c>
      <x:c r="K99" s="82" t="n">
        <x:f>I99*F99*1.5</x:f>
        <x:v>403.8990000000002</x:v>
      </x:c>
      <x:c r="L99" s="82" t="n">
        <x:f>J99+K99</x:f>
        <x:v>2141.099</x:v>
      </x:c>
      <x:c r="M99" s="58" t="str">
        <x:f>IF(OR(E99&gt;55,G99&lt;&gt;"Yes",I99&gt;10),"Review","OK")</x:f>
        <x:v>Review</x:v>
      </x:c>
      <x:c r="N99" s="59" t="str">
        <x:f>IF(M99="Review","Check approval/overtime reason","No action")</x:f>
        <x:v>Check approval/overtime reason</x:v>
      </x:c>
    </x:row>
    <x:row r="100">
      <x:c r="A100" s="57" t="str">
        <x:v>TS-0099</x:v>
      </x:c>
      <x:c r="B100" s="78" t="n">
        <x:v>46192</x:v>
      </x:c>
      <x:c r="C100" s="58" t="str">
        <x:v>Employee 73</x:v>
      </x:c>
      <x:c r="D100" s="58" t="str">
        <x:v>Warehouse</x:v>
      </x:c>
      <x:c r="E100" s="58" t="n">
        <x:v>46.5</x:v>
      </x:c>
      <x:c r="F100" s="82" t="n">
        <x:v>26.39</x:v>
      </x:c>
      <x:c r="G100" s="58" t="str">
        <x:v>Yes</x:v>
      </x:c>
      <x:c r="H100" s="58" t="n">
        <x:f>MIN(E100,40)</x:f>
        <x:v>40</x:v>
      </x:c>
      <x:c r="I100" s="58" t="n">
        <x:f>MAX(0,E100-40)</x:f>
        <x:v>6.5</x:v>
      </x:c>
      <x:c r="J100" s="82" t="n">
        <x:f>H100*F100</x:f>
        <x:v>1055.6</x:v>
      </x:c>
      <x:c r="K100" s="82" t="n">
        <x:f>I100*F100*1.5</x:f>
        <x:v>257.3025</x:v>
      </x:c>
      <x:c r="L100" s="82" t="n">
        <x:f>J100+K100</x:f>
        <x:v>1312.9025</x:v>
      </x:c>
      <x:c r="M100" s="58" t="str">
        <x:f>IF(OR(E100&gt;55,G100&lt;&gt;"Yes",I100&gt;10),"Review","OK")</x:f>
        <x:v>OK</x:v>
      </x:c>
      <x:c r="N100" s="59" t="str">
        <x:f>IF(M100="Review","Check approval/overtime reason","No action")</x:f>
        <x:v>No action</x:v>
      </x:c>
    </x:row>
    <x:row r="101">
      <x:c r="A101" s="57" t="str">
        <x:v>TS-0100</x:v>
      </x:c>
      <x:c r="B101" s="78" t="n">
        <x:v>46150</x:v>
      </x:c>
      <x:c r="C101" s="58" t="str">
        <x:v>Employee 75</x:v>
      </x:c>
      <x:c r="D101" s="58" t="str">
        <x:v>Admin</x:v>
      </x:c>
      <x:c r="E101" s="58" t="n">
        <x:v>22</x:v>
      </x:c>
      <x:c r="F101" s="82" t="n">
        <x:v>23.56</x:v>
      </x:c>
      <x:c r="G101" s="58" t="str">
        <x:v>Yes</x:v>
      </x:c>
      <x:c r="H101" s="58" t="n">
        <x:f>MIN(E101,40)</x:f>
        <x:v>22</x:v>
      </x:c>
      <x:c r="I101" s="58" t="n">
        <x:f>MAX(0,E101-40)</x:f>
        <x:v>0</x:v>
      </x:c>
      <x:c r="J101" s="82" t="n">
        <x:f>H101*F101</x:f>
        <x:v>518.3199999999999</x:v>
      </x:c>
      <x:c r="K101" s="82" t="n">
        <x:f>I101*F101*1.5</x:f>
        <x:v>0</x:v>
      </x:c>
      <x:c r="L101" s="82" t="n">
        <x:f>J101+K101</x:f>
        <x:v>518.3199999999999</x:v>
      </x:c>
      <x:c r="M101" s="58" t="str">
        <x:f>IF(OR(E101&gt;55,G101&lt;&gt;"Yes",I101&gt;10),"Review","OK")</x:f>
        <x:v>OK</x:v>
      </x:c>
      <x:c r="N101" s="59" t="str">
        <x:f>IF(M101="Review","Check approval/overtime reason","No action")</x:f>
        <x:v>No action</x:v>
      </x:c>
    </x:row>
    <x:row r="102">
      <x:c r="A102" s="57" t="str">
        <x:v>TS-0101</x:v>
      </x:c>
      <x:c r="B102" s="78" t="n">
        <x:v>46150</x:v>
      </x:c>
      <x:c r="C102" s="58" t="str">
        <x:v>Employee 32</x:v>
      </x:c>
      <x:c r="D102" s="58" t="str">
        <x:v>Warehouse</x:v>
      </x:c>
      <x:c r="E102" s="58" t="n">
        <x:v>13.3</x:v>
      </x:c>
      <x:c r="F102" s="82" t="n">
        <x:v>27.5</x:v>
      </x:c>
      <x:c r="G102" s="58" t="str">
        <x:v>Yes</x:v>
      </x:c>
      <x:c r="H102" s="58" t="n">
        <x:f>MIN(E102,40)</x:f>
        <x:v>13.3</x:v>
      </x:c>
      <x:c r="I102" s="58" t="n">
        <x:f>MAX(0,E102-40)</x:f>
        <x:v>0</x:v>
      </x:c>
      <x:c r="J102" s="82" t="n">
        <x:f>H102*F102</x:f>
        <x:v>365.75</x:v>
      </x:c>
      <x:c r="K102" s="82" t="n">
        <x:f>I102*F102*1.5</x:f>
        <x:v>0</x:v>
      </x:c>
      <x:c r="L102" s="82" t="n">
        <x:f>J102+K102</x:f>
        <x:v>365.75</x:v>
      </x:c>
      <x:c r="M102" s="58" t="str">
        <x:f>IF(OR(E102&gt;55,G102&lt;&gt;"Yes",I102&gt;10),"Review","OK")</x:f>
        <x:v>OK</x:v>
      </x:c>
      <x:c r="N102" s="59" t="str">
        <x:f>IF(M102="Review","Check approval/overtime reason","No action")</x:f>
        <x:v>No action</x:v>
      </x:c>
    </x:row>
    <x:row r="103">
      <x:c r="A103" s="57" t="str">
        <x:v>TS-0102</x:v>
      </x:c>
      <x:c r="B103" s="78" t="n">
        <x:v>46150</x:v>
      </x:c>
      <x:c r="C103" s="58" t="str">
        <x:v>Employee 3</x:v>
      </x:c>
      <x:c r="D103" s="58" t="str">
        <x:v>Warehouse</x:v>
      </x:c>
      <x:c r="E103" s="58" t="n">
        <x:v>32.4</x:v>
      </x:c>
      <x:c r="F103" s="82" t="n">
        <x:v>30.98</x:v>
      </x:c>
      <x:c r="G103" s="58" t="str">
        <x:v>Yes</x:v>
      </x:c>
      <x:c r="H103" s="58" t="n">
        <x:f>MIN(E103,40)</x:f>
        <x:v>32.4</x:v>
      </x:c>
      <x:c r="I103" s="58" t="n">
        <x:f>MAX(0,E103-40)</x:f>
        <x:v>0</x:v>
      </x:c>
      <x:c r="J103" s="82" t="n">
        <x:f>H103*F103</x:f>
        <x:v>1003.752</x:v>
      </x:c>
      <x:c r="K103" s="82" t="n">
        <x:f>I103*F103*1.5</x:f>
        <x:v>0</x:v>
      </x:c>
      <x:c r="L103" s="82" t="n">
        <x:f>J103+K103</x:f>
        <x:v>1003.752</x:v>
      </x:c>
      <x:c r="M103" s="58" t="str">
        <x:f>IF(OR(E103&gt;55,G103&lt;&gt;"Yes",I103&gt;10),"Review","OK")</x:f>
        <x:v>OK</x:v>
      </x:c>
      <x:c r="N103" s="59" t="str">
        <x:f>IF(M103="Review","Check approval/overtime reason","No action")</x:f>
        <x:v>No action</x:v>
      </x:c>
    </x:row>
    <x:row r="104">
      <x:c r="A104" s="57" t="str">
        <x:v>TS-0103</x:v>
      </x:c>
      <x:c r="B104" s="78" t="n">
        <x:v>46157</x:v>
      </x:c>
      <x:c r="C104" s="58" t="str">
        <x:v>Employee 33</x:v>
      </x:c>
      <x:c r="D104" s="58" t="str">
        <x:v>Warehouse</x:v>
      </x:c>
      <x:c r="E104" s="58" t="n">
        <x:v>27.6</x:v>
      </x:c>
      <x:c r="F104" s="82" t="n">
        <x:v>28.83</x:v>
      </x:c>
      <x:c r="G104" s="58" t="str">
        <x:v>Yes</x:v>
      </x:c>
      <x:c r="H104" s="58" t="n">
        <x:f>MIN(E104,40)</x:f>
        <x:v>27.6</x:v>
      </x:c>
      <x:c r="I104" s="58" t="n">
        <x:f>MAX(0,E104-40)</x:f>
        <x:v>0</x:v>
      </x:c>
      <x:c r="J104" s="82" t="n">
        <x:f>H104*F104</x:f>
        <x:v>795.708</x:v>
      </x:c>
      <x:c r="K104" s="82" t="n">
        <x:f>I104*F104*1.5</x:f>
        <x:v>0</x:v>
      </x:c>
      <x:c r="L104" s="82" t="n">
        <x:f>J104+K104</x:f>
        <x:v>795.708</x:v>
      </x:c>
      <x:c r="M104" s="58" t="str">
        <x:f>IF(OR(E104&gt;55,G104&lt;&gt;"Yes",I104&gt;10),"Review","OK")</x:f>
        <x:v>OK</x:v>
      </x:c>
      <x:c r="N104" s="59" t="str">
        <x:f>IF(M104="Review","Check approval/overtime reason","No action")</x:f>
        <x:v>No action</x:v>
      </x:c>
    </x:row>
    <x:row r="105">
      <x:c r="A105" s="57" t="str">
        <x:v>TS-0104</x:v>
      </x:c>
      <x:c r="B105" s="78" t="n">
        <x:v>46157</x:v>
      </x:c>
      <x:c r="C105" s="58" t="str">
        <x:v>Employee 75</x:v>
      </x:c>
      <x:c r="D105" s="58" t="str">
        <x:v>Admin</x:v>
      </x:c>
      <x:c r="E105" s="58" t="n">
        <x:v>57.6</x:v>
      </x:c>
      <x:c r="F105" s="82" t="n">
        <x:v>43.4</x:v>
      </x:c>
      <x:c r="G105" s="58" t="str">
        <x:v>Yes</x:v>
      </x:c>
      <x:c r="H105" s="58" t="n">
        <x:f>MIN(E105,40)</x:f>
        <x:v>40</x:v>
      </x:c>
      <x:c r="I105" s="58" t="n">
        <x:f>MAX(0,E105-40)</x:f>
        <x:v>17.6</x:v>
      </x:c>
      <x:c r="J105" s="82" t="n">
        <x:f>H105*F105</x:f>
        <x:v>1736</x:v>
      </x:c>
      <x:c r="K105" s="82" t="n">
        <x:f>I105*F105*1.5</x:f>
        <x:v>1145.76</x:v>
      </x:c>
      <x:c r="L105" s="82" t="n">
        <x:f>J105+K105</x:f>
        <x:v>2881.76</x:v>
      </x:c>
      <x:c r="M105" s="58" t="str">
        <x:f>IF(OR(E105&gt;55,G105&lt;&gt;"Yes",I105&gt;10),"Review","OK")</x:f>
        <x:v>Review</x:v>
      </x:c>
      <x:c r="N105" s="59" t="str">
        <x:f>IF(M105="Review","Check approval/overtime reason","No action")</x:f>
        <x:v>Check approval/overtime reason</x:v>
      </x:c>
    </x:row>
    <x:row r="106">
      <x:c r="A106" s="57" t="str">
        <x:v>TS-0105</x:v>
      </x:c>
      <x:c r="B106" s="78" t="n">
        <x:v>46143</x:v>
      </x:c>
      <x:c r="C106" s="58" t="str">
        <x:v>Employee 60</x:v>
      </x:c>
      <x:c r="D106" s="58" t="str">
        <x:v>IT</x:v>
      </x:c>
      <x:c r="E106" s="58" t="n">
        <x:v>29</x:v>
      </x:c>
      <x:c r="F106" s="82" t="n">
        <x:v>24.77</x:v>
      </x:c>
      <x:c r="G106" s="58" t="str">
        <x:v>Yes</x:v>
      </x:c>
      <x:c r="H106" s="58" t="n">
        <x:f>MIN(E106,40)</x:f>
        <x:v>29</x:v>
      </x:c>
      <x:c r="I106" s="58" t="n">
        <x:f>MAX(0,E106-40)</x:f>
        <x:v>0</x:v>
      </x:c>
      <x:c r="J106" s="82" t="n">
        <x:f>H106*F106</x:f>
        <x:v>718.33</x:v>
      </x:c>
      <x:c r="K106" s="82" t="n">
        <x:f>I106*F106*1.5</x:f>
        <x:v>0</x:v>
      </x:c>
      <x:c r="L106" s="82" t="n">
        <x:f>J106+K106</x:f>
        <x:v>718.33</x:v>
      </x:c>
      <x:c r="M106" s="58" t="str">
        <x:f>IF(OR(E106&gt;55,G106&lt;&gt;"Yes",I106&gt;10),"Review","OK")</x:f>
        <x:v>OK</x:v>
      </x:c>
      <x:c r="N106" s="59" t="str">
        <x:f>IF(M106="Review","Check approval/overtime reason","No action")</x:f>
        <x:v>No action</x:v>
      </x:c>
    </x:row>
    <x:row r="107">
      <x:c r="A107" s="57" t="str">
        <x:v>TS-0106</x:v>
      </x:c>
      <x:c r="B107" s="78" t="n">
        <x:v>46143</x:v>
      </x:c>
      <x:c r="C107" s="58" t="str">
        <x:v>Employee 54</x:v>
      </x:c>
      <x:c r="D107" s="58" t="str">
        <x:v>IT</x:v>
      </x:c>
      <x:c r="E107" s="58" t="n">
        <x:v>59.6</x:v>
      </x:c>
      <x:c r="F107" s="82" t="n">
        <x:v>39.37</x:v>
      </x:c>
      <x:c r="G107" s="58" t="str">
        <x:v>Yes</x:v>
      </x:c>
      <x:c r="H107" s="58" t="n">
        <x:f>MIN(E107,40)</x:f>
        <x:v>40</x:v>
      </x:c>
      <x:c r="I107" s="58" t="n">
        <x:f>MAX(0,E107-40)</x:f>
        <x:v>19.6</x:v>
      </x:c>
      <x:c r="J107" s="82" t="n">
        <x:f>H107*F107</x:f>
        <x:v>1574.8</x:v>
      </x:c>
      <x:c r="K107" s="82" t="n">
        <x:f>I107*F107*1.5</x:f>
        <x:v>1157.478</x:v>
      </x:c>
      <x:c r="L107" s="82" t="n">
        <x:f>J107+K107</x:f>
        <x:v>2732.2780000000002</x:v>
      </x:c>
      <x:c r="M107" s="58" t="str">
        <x:f>IF(OR(E107&gt;55,G107&lt;&gt;"Yes",I107&gt;10),"Review","OK")</x:f>
        <x:v>Review</x:v>
      </x:c>
      <x:c r="N107" s="59" t="str">
        <x:f>IF(M107="Review","Check approval/overtime reason","No action")</x:f>
        <x:v>Check approval/overtime reason</x:v>
      </x:c>
    </x:row>
    <x:row r="108">
      <x:c r="A108" s="57" t="str">
        <x:v>TS-0107</x:v>
      </x:c>
      <x:c r="B108" s="78" t="n">
        <x:v>46164</x:v>
      </x:c>
      <x:c r="C108" s="58" t="str">
        <x:v>Employee 1</x:v>
      </x:c>
      <x:c r="D108" s="58" t="str">
        <x:v>Operations</x:v>
      </x:c>
      <x:c r="E108" s="58" t="n">
        <x:v>48.8</x:v>
      </x:c>
      <x:c r="F108" s="82" t="n">
        <x:v>19.97</x:v>
      </x:c>
      <x:c r="G108" s="58" t="str">
        <x:v>Yes</x:v>
      </x:c>
      <x:c r="H108" s="58" t="n">
        <x:f>MIN(E108,40)</x:f>
        <x:v>40</x:v>
      </x:c>
      <x:c r="I108" s="58" t="n">
        <x:f>MAX(0,E108-40)</x:f>
        <x:v>8.799999999999997</x:v>
      </x:c>
      <x:c r="J108" s="82" t="n">
        <x:f>H108*F108</x:f>
        <x:v>798.8</x:v>
      </x:c>
      <x:c r="K108" s="82" t="n">
        <x:f>I108*F108*1.5</x:f>
        <x:v>263.6039999999999</x:v>
      </x:c>
      <x:c r="L108" s="82" t="n">
        <x:f>J108+K108</x:f>
        <x:v>1062.404</x:v>
      </x:c>
      <x:c r="M108" s="58" t="str">
        <x:f>IF(OR(E108&gt;55,G108&lt;&gt;"Yes",I108&gt;10),"Review","OK")</x:f>
        <x:v>OK</x:v>
      </x:c>
      <x:c r="N108" s="59" t="str">
        <x:f>IF(M108="Review","Check approval/overtime reason","No action")</x:f>
        <x:v>No action</x:v>
      </x:c>
    </x:row>
    <x:row r="109">
      <x:c r="A109" s="57" t="str">
        <x:v>TS-0108</x:v>
      </x:c>
      <x:c r="B109" s="78" t="n">
        <x:v>46157</x:v>
      </x:c>
      <x:c r="C109" s="58" t="str">
        <x:v>Employee 12</x:v>
      </x:c>
      <x:c r="D109" s="58" t="str">
        <x:v>Sales</x:v>
      </x:c>
      <x:c r="E109" s="58" t="n">
        <x:v>31.8</x:v>
      </x:c>
      <x:c r="F109" s="82" t="n">
        <x:v>29.16</x:v>
      </x:c>
      <x:c r="G109" s="58" t="str">
        <x:v>Yes</x:v>
      </x:c>
      <x:c r="H109" s="58" t="n">
        <x:f>MIN(E109,40)</x:f>
        <x:v>31.8</x:v>
      </x:c>
      <x:c r="I109" s="58" t="n">
        <x:f>MAX(0,E109-40)</x:f>
        <x:v>0</x:v>
      </x:c>
      <x:c r="J109" s="82" t="n">
        <x:f>H109*F109</x:f>
        <x:v>927.288</x:v>
      </x:c>
      <x:c r="K109" s="82" t="n">
        <x:f>I109*F109*1.5</x:f>
        <x:v>0</x:v>
      </x:c>
      <x:c r="L109" s="82" t="n">
        <x:f>J109+K109</x:f>
        <x:v>927.288</x:v>
      </x:c>
      <x:c r="M109" s="58" t="str">
        <x:f>IF(OR(E109&gt;55,G109&lt;&gt;"Yes",I109&gt;10),"Review","OK")</x:f>
        <x:v>OK</x:v>
      </x:c>
      <x:c r="N109" s="59" t="str">
        <x:f>IF(M109="Review","Check approval/overtime reason","No action")</x:f>
        <x:v>No action</x:v>
      </x:c>
    </x:row>
    <x:row r="110">
      <x:c r="A110" s="57" t="str">
        <x:v>TS-0109</x:v>
      </x:c>
      <x:c r="B110" s="78" t="n">
        <x:v>46157</x:v>
      </x:c>
      <x:c r="C110" s="58" t="str">
        <x:v>Employee 26</x:v>
      </x:c>
      <x:c r="D110" s="58" t="str">
        <x:v>Admin</x:v>
      </x:c>
      <x:c r="E110" s="58" t="n">
        <x:v>33.1</x:v>
      </x:c>
      <x:c r="F110" s="82" t="n">
        <x:v>26.31</x:v>
      </x:c>
      <x:c r="G110" s="58" t="str">
        <x:v>Pending</x:v>
      </x:c>
      <x:c r="H110" s="58" t="n">
        <x:f>MIN(E110,40)</x:f>
        <x:v>33.1</x:v>
      </x:c>
      <x:c r="I110" s="58" t="n">
        <x:f>MAX(0,E110-40)</x:f>
        <x:v>0</x:v>
      </x:c>
      <x:c r="J110" s="82" t="n">
        <x:f>H110*F110</x:f>
        <x:v>870.861</x:v>
      </x:c>
      <x:c r="K110" s="82" t="n">
        <x:f>I110*F110*1.5</x:f>
        <x:v>0</x:v>
      </x:c>
      <x:c r="L110" s="82" t="n">
        <x:f>J110+K110</x:f>
        <x:v>870.861</x:v>
      </x:c>
      <x:c r="M110" s="58" t="str">
        <x:f>IF(OR(E110&gt;55,G110&lt;&gt;"Yes",I110&gt;10),"Review","OK")</x:f>
        <x:v>Review</x:v>
      </x:c>
      <x:c r="N110" s="59" t="str">
        <x:f>IF(M110="Review","Check approval/overtime reason","No action")</x:f>
        <x:v>Check approval/overtime reason</x:v>
      </x:c>
    </x:row>
    <x:row r="111">
      <x:c r="A111" s="57" t="str">
        <x:v>TS-0110</x:v>
      </x:c>
      <x:c r="B111" s="78" t="n">
        <x:v>46171</x:v>
      </x:c>
      <x:c r="C111" s="58" t="str">
        <x:v>Employee 71</x:v>
      </x:c>
      <x:c r="D111" s="58" t="str">
        <x:v>Sales</x:v>
      </x:c>
      <x:c r="E111" s="58" t="n">
        <x:v>49.3</x:v>
      </x:c>
      <x:c r="F111" s="82" t="n">
        <x:v>34.28</x:v>
      </x:c>
      <x:c r="G111" s="58" t="str">
        <x:v>Pending</x:v>
      </x:c>
      <x:c r="H111" s="58" t="n">
        <x:f>MIN(E111,40)</x:f>
        <x:v>40</x:v>
      </x:c>
      <x:c r="I111" s="58" t="n">
        <x:f>MAX(0,E111-40)</x:f>
        <x:v>9.299999999999997</x:v>
      </x:c>
      <x:c r="J111" s="82" t="n">
        <x:f>H111*F111</x:f>
        <x:v>1371.2</x:v>
      </x:c>
      <x:c r="K111" s="82" t="n">
        <x:f>I111*F111*1.5</x:f>
        <x:v>478.2059999999999</x:v>
      </x:c>
      <x:c r="L111" s="82" t="n">
        <x:f>J111+K111</x:f>
        <x:v>1849.406</x:v>
      </x:c>
      <x:c r="M111" s="58" t="str">
        <x:f>IF(OR(E111&gt;55,G111&lt;&gt;"Yes",I111&gt;10),"Review","OK")</x:f>
        <x:v>Review</x:v>
      </x:c>
      <x:c r="N111" s="59" t="str">
        <x:f>IF(M111="Review","Check approval/overtime reason","No action")</x:f>
        <x:v>Check approval/overtime reason</x:v>
      </x:c>
    </x:row>
    <x:row r="112">
      <x:c r="A112" s="57" t="str">
        <x:v>TS-0111</x:v>
      </x:c>
      <x:c r="B112" s="78" t="n">
        <x:v>46164</x:v>
      </x:c>
      <x:c r="C112" s="58" t="str">
        <x:v>Employee 10</x:v>
      </x:c>
      <x:c r="D112" s="58" t="str">
        <x:v>IT</x:v>
      </x:c>
      <x:c r="E112" s="58" t="n">
        <x:v>46.4</x:v>
      </x:c>
      <x:c r="F112" s="82" t="n">
        <x:v>39.93</x:v>
      </x:c>
      <x:c r="G112" s="58" t="str">
        <x:v>Yes</x:v>
      </x:c>
      <x:c r="H112" s="58" t="n">
        <x:f>MIN(E112,40)</x:f>
        <x:v>40</x:v>
      </x:c>
      <x:c r="I112" s="58" t="n">
        <x:f>MAX(0,E112-40)</x:f>
        <x:v>6.399999999999999</x:v>
      </x:c>
      <x:c r="J112" s="82" t="n">
        <x:f>H112*F112</x:f>
        <x:v>1597.2</x:v>
      </x:c>
      <x:c r="K112" s="82" t="n">
        <x:f>I112*F112*1.5</x:f>
        <x:v>383.3279999999999</x:v>
      </x:c>
      <x:c r="L112" s="82" t="n">
        <x:f>J112+K112</x:f>
        <x:v>1980.528</x:v>
      </x:c>
      <x:c r="M112" s="58" t="str">
        <x:f>IF(OR(E112&gt;55,G112&lt;&gt;"Yes",I112&gt;10),"Review","OK")</x:f>
        <x:v>OK</x:v>
      </x:c>
      <x:c r="N112" s="59" t="str">
        <x:f>IF(M112="Review","Check approval/overtime reason","No action")</x:f>
        <x:v>No action</x:v>
      </x:c>
    </x:row>
    <x:row r="113">
      <x:c r="A113" s="57" t="str">
        <x:v>TS-0112</x:v>
      </x:c>
      <x:c r="B113" s="78" t="n">
        <x:v>46192</x:v>
      </x:c>
      <x:c r="C113" s="58" t="str">
        <x:v>Employee 51</x:v>
      </x:c>
      <x:c r="D113" s="58" t="str">
        <x:v>Accounting</x:v>
      </x:c>
      <x:c r="E113" s="58" t="n">
        <x:v>13.3</x:v>
      </x:c>
      <x:c r="F113" s="82" t="n">
        <x:v>40.69</x:v>
      </x:c>
      <x:c r="G113" s="58" t="str">
        <x:v>Yes</x:v>
      </x:c>
      <x:c r="H113" s="58" t="n">
        <x:f>MIN(E113,40)</x:f>
        <x:v>13.3</x:v>
      </x:c>
      <x:c r="I113" s="58" t="n">
        <x:f>MAX(0,E113-40)</x:f>
        <x:v>0</x:v>
      </x:c>
      <x:c r="J113" s="82" t="n">
        <x:f>H113*F113</x:f>
        <x:v>541.177</x:v>
      </x:c>
      <x:c r="K113" s="82" t="n">
        <x:f>I113*F113*1.5</x:f>
        <x:v>0</x:v>
      </x:c>
      <x:c r="L113" s="82" t="n">
        <x:f>J113+K113</x:f>
        <x:v>541.177</x:v>
      </x:c>
      <x:c r="M113" s="58" t="str">
        <x:f>IF(OR(E113&gt;55,G113&lt;&gt;"Yes",I113&gt;10),"Review","OK")</x:f>
        <x:v>OK</x:v>
      </x:c>
      <x:c r="N113" s="59" t="str">
        <x:f>IF(M113="Review","Check approval/overtime reason","No action")</x:f>
        <x:v>No action</x:v>
      </x:c>
    </x:row>
    <x:row r="114">
      <x:c r="A114" s="57" t="str">
        <x:v>TS-0113</x:v>
      </x:c>
      <x:c r="B114" s="78" t="n">
        <x:v>46178</x:v>
      </x:c>
      <x:c r="C114" s="58" t="str">
        <x:v>Employee 80</x:v>
      </x:c>
      <x:c r="D114" s="58" t="str">
        <x:v>IT</x:v>
      </x:c>
      <x:c r="E114" s="58" t="n">
        <x:v>20.3</x:v>
      </x:c>
      <x:c r="F114" s="82" t="n">
        <x:v>24.69</x:v>
      </x:c>
      <x:c r="G114" s="58" t="str">
        <x:v>No</x:v>
      </x:c>
      <x:c r="H114" s="58" t="n">
        <x:f>MIN(E114,40)</x:f>
        <x:v>20.3</x:v>
      </x:c>
      <x:c r="I114" s="58" t="n">
        <x:f>MAX(0,E114-40)</x:f>
        <x:v>0</x:v>
      </x:c>
      <x:c r="J114" s="82" t="n">
        <x:f>H114*F114</x:f>
        <x:v>501.20700000000005</x:v>
      </x:c>
      <x:c r="K114" s="82" t="n">
        <x:f>I114*F114*1.5</x:f>
        <x:v>0</x:v>
      </x:c>
      <x:c r="L114" s="82" t="n">
        <x:f>J114+K114</x:f>
        <x:v>501.20700000000005</x:v>
      </x:c>
      <x:c r="M114" s="58" t="str">
        <x:f>IF(OR(E114&gt;55,G114&lt;&gt;"Yes",I114&gt;10),"Review","OK")</x:f>
        <x:v>Review</x:v>
      </x:c>
      <x:c r="N114" s="59" t="str">
        <x:f>IF(M114="Review","Check approval/overtime reason","No action")</x:f>
        <x:v>Check approval/overtime reason</x:v>
      </x:c>
    </x:row>
    <x:row r="115">
      <x:c r="A115" s="57" t="str">
        <x:v>TS-0114</x:v>
      </x:c>
      <x:c r="B115" s="78" t="n">
        <x:v>46150</x:v>
      </x:c>
      <x:c r="C115" s="58" t="str">
        <x:v>Employee 29</x:v>
      </x:c>
      <x:c r="D115" s="58" t="str">
        <x:v>Warehouse</x:v>
      </x:c>
      <x:c r="E115" s="58" t="n">
        <x:v>54.9</x:v>
      </x:c>
      <x:c r="F115" s="82" t="n">
        <x:v>29.63</x:v>
      </x:c>
      <x:c r="G115" s="58" t="str">
        <x:v>Yes</x:v>
      </x:c>
      <x:c r="H115" s="58" t="n">
        <x:f>MIN(E115,40)</x:f>
        <x:v>40</x:v>
      </x:c>
      <x:c r="I115" s="58" t="n">
        <x:f>MAX(0,E115-40)</x:f>
        <x:v>14.899999999999999</x:v>
      </x:c>
      <x:c r="J115" s="82" t="n">
        <x:f>H115*F115</x:f>
        <x:v>1185.2</x:v>
      </x:c>
      <x:c r="K115" s="82" t="n">
        <x:f>I115*F115*1.5</x:f>
        <x:v>662.2304999999999</x:v>
      </x:c>
      <x:c r="L115" s="82" t="n">
        <x:f>J115+K115</x:f>
        <x:v>1847.4305</x:v>
      </x:c>
      <x:c r="M115" s="58" t="str">
        <x:f>IF(OR(E115&gt;55,G115&lt;&gt;"Yes",I115&gt;10),"Review","OK")</x:f>
        <x:v>Review</x:v>
      </x:c>
      <x:c r="N115" s="59" t="str">
        <x:f>IF(M115="Review","Check approval/overtime reason","No action")</x:f>
        <x:v>Check approval/overtime reason</x:v>
      </x:c>
    </x:row>
    <x:row r="116">
      <x:c r="A116" s="57" t="str">
        <x:v>TS-0115</x:v>
      </x:c>
      <x:c r="B116" s="78" t="n">
        <x:v>46185</x:v>
      </x:c>
      <x:c r="C116" s="58" t="str">
        <x:v>Employee 3</x:v>
      </x:c>
      <x:c r="D116" s="58" t="str">
        <x:v>Operations</x:v>
      </x:c>
      <x:c r="E116" s="58" t="n">
        <x:v>57.1</x:v>
      </x:c>
      <x:c r="F116" s="82" t="n">
        <x:v>23.77</x:v>
      </x:c>
      <x:c r="G116" s="58" t="str">
        <x:v>Yes</x:v>
      </x:c>
      <x:c r="H116" s="58" t="n">
        <x:f>MIN(E116,40)</x:f>
        <x:v>40</x:v>
      </x:c>
      <x:c r="I116" s="58" t="n">
        <x:f>MAX(0,E116-40)</x:f>
        <x:v>17.1</x:v>
      </x:c>
      <x:c r="J116" s="82" t="n">
        <x:f>H116*F116</x:f>
        <x:v>950.8</x:v>
      </x:c>
      <x:c r="K116" s="82" t="n">
        <x:f>I116*F116*1.5</x:f>
        <x:v>609.7005</x:v>
      </x:c>
      <x:c r="L116" s="82" t="n">
        <x:f>J116+K116</x:f>
        <x:v>1560.5005</x:v>
      </x:c>
      <x:c r="M116" s="58" t="str">
        <x:f>IF(OR(E116&gt;55,G116&lt;&gt;"Yes",I116&gt;10),"Review","OK")</x:f>
        <x:v>Review</x:v>
      </x:c>
      <x:c r="N116" s="59" t="str">
        <x:f>IF(M116="Review","Check approval/overtime reason","No action")</x:f>
        <x:v>Check approval/overtime reason</x:v>
      </x:c>
    </x:row>
    <x:row r="117">
      <x:c r="A117" s="57" t="str">
        <x:v>TS-0116</x:v>
      </x:c>
      <x:c r="B117" s="78" t="n">
        <x:v>46192</x:v>
      </x:c>
      <x:c r="C117" s="58" t="str">
        <x:v>Employee 47</x:v>
      </x:c>
      <x:c r="D117" s="58" t="str">
        <x:v>Sales</x:v>
      </x:c>
      <x:c r="E117" s="58" t="n">
        <x:v>51.4</x:v>
      </x:c>
      <x:c r="F117" s="82" t="n">
        <x:v>44.08</x:v>
      </x:c>
      <x:c r="G117" s="58" t="str">
        <x:v>Yes</x:v>
      </x:c>
      <x:c r="H117" s="58" t="n">
        <x:f>MIN(E117,40)</x:f>
        <x:v>40</x:v>
      </x:c>
      <x:c r="I117" s="58" t="n">
        <x:f>MAX(0,E117-40)</x:f>
        <x:v>11.399999999999999</x:v>
      </x:c>
      <x:c r="J117" s="82" t="n">
        <x:f>H117*F117</x:f>
        <x:v>1763.1999999999998</x:v>
      </x:c>
      <x:c r="K117" s="82" t="n">
        <x:f>I117*F117*1.5</x:f>
        <x:v>753.7679999999999</x:v>
      </x:c>
      <x:c r="L117" s="82" t="n">
        <x:f>J117+K117</x:f>
        <x:v>2516.968</x:v>
      </x:c>
      <x:c r="M117" s="58" t="str">
        <x:f>IF(OR(E117&gt;55,G117&lt;&gt;"Yes",I117&gt;10),"Review","OK")</x:f>
        <x:v>Review</x:v>
      </x:c>
      <x:c r="N117" s="59" t="str">
        <x:f>IF(M117="Review","Check approval/overtime reason","No action")</x:f>
        <x:v>Check approval/overtime reason</x:v>
      </x:c>
    </x:row>
    <x:row r="118">
      <x:c r="A118" s="57" t="str">
        <x:v>TS-0117</x:v>
      </x:c>
      <x:c r="B118" s="78" t="n">
        <x:v>46157</x:v>
      </x:c>
      <x:c r="C118" s="58" t="str">
        <x:v>Employee 50</x:v>
      </x:c>
      <x:c r="D118" s="58" t="str">
        <x:v>Operations</x:v>
      </x:c>
      <x:c r="E118" s="58" t="n">
        <x:v>49.9</x:v>
      </x:c>
      <x:c r="F118" s="82" t="n">
        <x:v>30.75</x:v>
      </x:c>
      <x:c r="G118" s="58" t="str">
        <x:v>Yes</x:v>
      </x:c>
      <x:c r="H118" s="58" t="n">
        <x:f>MIN(E118,40)</x:f>
        <x:v>40</x:v>
      </x:c>
      <x:c r="I118" s="58" t="n">
        <x:f>MAX(0,E118-40)</x:f>
        <x:v>9.899999999999999</x:v>
      </x:c>
      <x:c r="J118" s="82" t="n">
        <x:f>H118*F118</x:f>
        <x:v>1230</x:v>
      </x:c>
      <x:c r="K118" s="82" t="n">
        <x:f>I118*F118*1.5</x:f>
        <x:v>456.63749999999993</x:v>
      </x:c>
      <x:c r="L118" s="82" t="n">
        <x:f>J118+K118</x:f>
        <x:v>1686.6374999999998</x:v>
      </x:c>
      <x:c r="M118" s="58" t="str">
        <x:f>IF(OR(E118&gt;55,G118&lt;&gt;"Yes",I118&gt;10),"Review","OK")</x:f>
        <x:v>OK</x:v>
      </x:c>
      <x:c r="N118" s="59" t="str">
        <x:f>IF(M118="Review","Check approval/overtime reason","No action")</x:f>
        <x:v>No action</x:v>
      </x:c>
    </x:row>
    <x:row r="119">
      <x:c r="A119" s="57" t="str">
        <x:v>TS-0118</x:v>
      </x:c>
      <x:c r="B119" s="78" t="n">
        <x:v>46185</x:v>
      </x:c>
      <x:c r="C119" s="58" t="str">
        <x:v>Employee 55</x:v>
      </x:c>
      <x:c r="D119" s="58" t="str">
        <x:v>Admin</x:v>
      </x:c>
      <x:c r="E119" s="58" t="n">
        <x:v>44.3</x:v>
      </x:c>
      <x:c r="F119" s="82" t="n">
        <x:v>43.69</x:v>
      </x:c>
      <x:c r="G119" s="58" t="str">
        <x:v>Pending</x:v>
      </x:c>
      <x:c r="H119" s="58" t="n">
        <x:f>MIN(E119,40)</x:f>
        <x:v>40</x:v>
      </x:c>
      <x:c r="I119" s="58" t="n">
        <x:f>MAX(0,E119-40)</x:f>
        <x:v>4.299999999999997</x:v>
      </x:c>
      <x:c r="J119" s="82" t="n">
        <x:f>H119*F119</x:f>
        <x:v>1747.6</x:v>
      </x:c>
      <x:c r="K119" s="82" t="n">
        <x:f>I119*F119*1.5</x:f>
        <x:v>281.80049999999983</x:v>
      </x:c>
      <x:c r="L119" s="82" t="n">
        <x:f>J119+K119</x:f>
        <x:v>2029.4004999999997</x:v>
      </x:c>
      <x:c r="M119" s="58" t="str">
        <x:f>IF(OR(E119&gt;55,G119&lt;&gt;"Yes",I119&gt;10),"Review","OK")</x:f>
        <x:v>Review</x:v>
      </x:c>
      <x:c r="N119" s="59" t="str">
        <x:f>IF(M119="Review","Check approval/overtime reason","No action")</x:f>
        <x:v>Check approval/overtime reason</x:v>
      </x:c>
    </x:row>
    <x:row r="120">
      <x:c r="A120" s="57" t="str">
        <x:v>TS-0119</x:v>
      </x:c>
      <x:c r="B120" s="78" t="n">
        <x:v>46178</x:v>
      </x:c>
      <x:c r="C120" s="58" t="str">
        <x:v>Employee 61</x:v>
      </x:c>
      <x:c r="D120" s="58" t="str">
        <x:v>Sales</x:v>
      </x:c>
      <x:c r="E120" s="58" t="n">
        <x:v>12.4</x:v>
      </x:c>
      <x:c r="F120" s="82" t="n">
        <x:v>28.78</x:v>
      </x:c>
      <x:c r="G120" s="58" t="str">
        <x:v>Yes</x:v>
      </x:c>
      <x:c r="H120" s="58" t="n">
        <x:f>MIN(E120,40)</x:f>
        <x:v>12.4</x:v>
      </x:c>
      <x:c r="I120" s="58" t="n">
        <x:f>MAX(0,E120-40)</x:f>
        <x:v>0</x:v>
      </x:c>
      <x:c r="J120" s="82" t="n">
        <x:f>H120*F120</x:f>
        <x:v>356.872</x:v>
      </x:c>
      <x:c r="K120" s="82" t="n">
        <x:f>I120*F120*1.5</x:f>
        <x:v>0</x:v>
      </x:c>
      <x:c r="L120" s="82" t="n">
        <x:f>J120+K120</x:f>
        <x:v>356.872</x:v>
      </x:c>
      <x:c r="M120" s="58" t="str">
        <x:f>IF(OR(E120&gt;55,G120&lt;&gt;"Yes",I120&gt;10),"Review","OK")</x:f>
        <x:v>OK</x:v>
      </x:c>
      <x:c r="N120" s="59" t="str">
        <x:f>IF(M120="Review","Check approval/overtime reason","No action")</x:f>
        <x:v>No action</x:v>
      </x:c>
    </x:row>
    <x:row r="121">
      <x:c r="A121" s="57" t="str">
        <x:v>TS-0120</x:v>
      </x:c>
      <x:c r="B121" s="78" t="n">
        <x:v>46164</x:v>
      </x:c>
      <x:c r="C121" s="58" t="str">
        <x:v>Employee 74</x:v>
      </x:c>
      <x:c r="D121" s="58" t="str">
        <x:v>Warehouse</x:v>
      </x:c>
      <x:c r="E121" s="58" t="n">
        <x:v>17.6</x:v>
      </x:c>
      <x:c r="F121" s="82" t="n">
        <x:v>26.18</x:v>
      </x:c>
      <x:c r="G121" s="58" t="str">
        <x:v>Pending</x:v>
      </x:c>
      <x:c r="H121" s="58" t="n">
        <x:f>MIN(E121,40)</x:f>
        <x:v>17.6</x:v>
      </x:c>
      <x:c r="I121" s="58" t="n">
        <x:f>MAX(0,E121-40)</x:f>
        <x:v>0</x:v>
      </x:c>
      <x:c r="J121" s="82" t="n">
        <x:f>H121*F121</x:f>
        <x:v>460.76800000000003</x:v>
      </x:c>
      <x:c r="K121" s="82" t="n">
        <x:f>I121*F121*1.5</x:f>
        <x:v>0</x:v>
      </x:c>
      <x:c r="L121" s="82" t="n">
        <x:f>J121+K121</x:f>
        <x:v>460.76800000000003</x:v>
      </x:c>
      <x:c r="M121" s="58" t="str">
        <x:f>IF(OR(E121&gt;55,G121&lt;&gt;"Yes",I121&gt;10),"Review","OK")</x:f>
        <x:v>Review</x:v>
      </x:c>
      <x:c r="N121" s="59" t="str">
        <x:f>IF(M121="Review","Check approval/overtime reason","No action")</x:f>
        <x:v>Check approval/overtime reason</x:v>
      </x:c>
    </x:row>
    <x:row r="122">
      <x:c r="A122" s="57" t="str">
        <x:v>TS-0121</x:v>
      </x:c>
      <x:c r="B122" s="78" t="n">
        <x:v>46171</x:v>
      </x:c>
      <x:c r="C122" s="58" t="str">
        <x:v>Employee 63</x:v>
      </x:c>
      <x:c r="D122" s="58" t="str">
        <x:v>Accounting</x:v>
      </x:c>
      <x:c r="E122" s="58" t="n">
        <x:v>52.9</x:v>
      </x:c>
      <x:c r="F122" s="82" t="n">
        <x:v>21.06</x:v>
      </x:c>
      <x:c r="G122" s="58" t="str">
        <x:v>Yes</x:v>
      </x:c>
      <x:c r="H122" s="58" t="n">
        <x:f>MIN(E122,40)</x:f>
        <x:v>40</x:v>
      </x:c>
      <x:c r="I122" s="58" t="n">
        <x:f>MAX(0,E122-40)</x:f>
        <x:v>12.899999999999999</x:v>
      </x:c>
      <x:c r="J122" s="82" t="n">
        <x:f>H122*F122</x:f>
        <x:v>842.4</x:v>
      </x:c>
      <x:c r="K122" s="82" t="n">
        <x:f>I122*F122*1.5</x:f>
        <x:v>407.51099999999997</x:v>
      </x:c>
      <x:c r="L122" s="82" t="n">
        <x:f>J122+K122</x:f>
        <x:v>1249.911</x:v>
      </x:c>
      <x:c r="M122" s="58" t="str">
        <x:f>IF(OR(E122&gt;55,G122&lt;&gt;"Yes",I122&gt;10),"Review","OK")</x:f>
        <x:v>Review</x:v>
      </x:c>
      <x:c r="N122" s="59" t="str">
        <x:f>IF(M122="Review","Check approval/overtime reason","No action")</x:f>
        <x:v>Check approval/overtime reason</x:v>
      </x:c>
    </x:row>
    <x:row r="123">
      <x:c r="A123" s="57" t="str">
        <x:v>TS-0122</x:v>
      </x:c>
      <x:c r="B123" s="78" t="n">
        <x:v>46171</x:v>
      </x:c>
      <x:c r="C123" s="58" t="str">
        <x:v>Employee 28</x:v>
      </x:c>
      <x:c r="D123" s="58" t="str">
        <x:v>IT</x:v>
      </x:c>
      <x:c r="E123" s="58" t="n">
        <x:v>24</x:v>
      </x:c>
      <x:c r="F123" s="82" t="n">
        <x:v>34.45</x:v>
      </x:c>
      <x:c r="G123" s="58" t="str">
        <x:v>Yes</x:v>
      </x:c>
      <x:c r="H123" s="58" t="n">
        <x:f>MIN(E123,40)</x:f>
        <x:v>24</x:v>
      </x:c>
      <x:c r="I123" s="58" t="n">
        <x:f>MAX(0,E123-40)</x:f>
        <x:v>0</x:v>
      </x:c>
      <x:c r="J123" s="82" t="n">
        <x:f>H123*F123</x:f>
        <x:v>826.8000000000001</x:v>
      </x:c>
      <x:c r="K123" s="82" t="n">
        <x:f>I123*F123*1.5</x:f>
        <x:v>0</x:v>
      </x:c>
      <x:c r="L123" s="82" t="n">
        <x:f>J123+K123</x:f>
        <x:v>826.8000000000001</x:v>
      </x:c>
      <x:c r="M123" s="58" t="str">
        <x:f>IF(OR(E123&gt;55,G123&lt;&gt;"Yes",I123&gt;10),"Review","OK")</x:f>
        <x:v>OK</x:v>
      </x:c>
      <x:c r="N123" s="59" t="str">
        <x:f>IF(M123="Review","Check approval/overtime reason","No action")</x:f>
        <x:v>No action</x:v>
      </x:c>
    </x:row>
    <x:row r="124">
      <x:c r="A124" s="57" t="str">
        <x:v>TS-0123</x:v>
      </x:c>
      <x:c r="B124" s="78" t="n">
        <x:v>46185</x:v>
      </x:c>
      <x:c r="C124" s="58" t="str">
        <x:v>Employee 11</x:v>
      </x:c>
      <x:c r="D124" s="58" t="str">
        <x:v>Sales</x:v>
      </x:c>
      <x:c r="E124" s="58" t="n">
        <x:v>33</x:v>
      </x:c>
      <x:c r="F124" s="82" t="n">
        <x:v>42.89</x:v>
      </x:c>
      <x:c r="G124" s="58" t="str">
        <x:v>Yes</x:v>
      </x:c>
      <x:c r="H124" s="58" t="n">
        <x:f>MIN(E124,40)</x:f>
        <x:v>33</x:v>
      </x:c>
      <x:c r="I124" s="58" t="n">
        <x:f>MAX(0,E124-40)</x:f>
        <x:v>0</x:v>
      </x:c>
      <x:c r="J124" s="82" t="n">
        <x:f>H124*F124</x:f>
        <x:v>1415.3700000000001</x:v>
      </x:c>
      <x:c r="K124" s="82" t="n">
        <x:f>I124*F124*1.5</x:f>
        <x:v>0</x:v>
      </x:c>
      <x:c r="L124" s="82" t="n">
        <x:f>J124+K124</x:f>
        <x:v>1415.3700000000001</x:v>
      </x:c>
      <x:c r="M124" s="58" t="str">
        <x:f>IF(OR(E124&gt;55,G124&lt;&gt;"Yes",I124&gt;10),"Review","OK")</x:f>
        <x:v>OK</x:v>
      </x:c>
      <x:c r="N124" s="59" t="str">
        <x:f>IF(M124="Review","Check approval/overtime reason","No action")</x:f>
        <x:v>No action</x:v>
      </x:c>
    </x:row>
    <x:row r="125">
      <x:c r="A125" s="57" t="str">
        <x:v>TS-0124</x:v>
      </x:c>
      <x:c r="B125" s="78" t="n">
        <x:v>46143</x:v>
      </x:c>
      <x:c r="C125" s="58" t="str">
        <x:v>Employee 25</x:v>
      </x:c>
      <x:c r="D125" s="58" t="str">
        <x:v>IT</x:v>
      </x:c>
      <x:c r="E125" s="58" t="n">
        <x:v>24.3</x:v>
      </x:c>
      <x:c r="F125" s="82" t="n">
        <x:v>36.54</x:v>
      </x:c>
      <x:c r="G125" s="58" t="str">
        <x:v>No</x:v>
      </x:c>
      <x:c r="H125" s="58" t="n">
        <x:f>MIN(E125,40)</x:f>
        <x:v>24.3</x:v>
      </x:c>
      <x:c r="I125" s="58" t="n">
        <x:f>MAX(0,E125-40)</x:f>
        <x:v>0</x:v>
      </x:c>
      <x:c r="J125" s="82" t="n">
        <x:f>H125*F125</x:f>
        <x:v>887.922</x:v>
      </x:c>
      <x:c r="K125" s="82" t="n">
        <x:f>I125*F125*1.5</x:f>
        <x:v>0</x:v>
      </x:c>
      <x:c r="L125" s="82" t="n">
        <x:f>J125+K125</x:f>
        <x:v>887.922</x:v>
      </x:c>
      <x:c r="M125" s="58" t="str">
        <x:f>IF(OR(E125&gt;55,G125&lt;&gt;"Yes",I125&gt;10),"Review","OK")</x:f>
        <x:v>Review</x:v>
      </x:c>
      <x:c r="N125" s="59" t="str">
        <x:f>IF(M125="Review","Check approval/overtime reason","No action")</x:f>
        <x:v>Check approval/overtime reason</x:v>
      </x:c>
    </x:row>
    <x:row r="126">
      <x:c r="A126" s="57" t="str">
        <x:v>TS-0125</x:v>
      </x:c>
      <x:c r="B126" s="78" t="n">
        <x:v>46143</x:v>
      </x:c>
      <x:c r="C126" s="58" t="str">
        <x:v>Employee 39</x:v>
      </x:c>
      <x:c r="D126" s="58" t="str">
        <x:v>Sales</x:v>
      </x:c>
      <x:c r="E126" s="58" t="n">
        <x:v>50.6</x:v>
      </x:c>
      <x:c r="F126" s="82" t="n">
        <x:v>18.94</x:v>
      </x:c>
      <x:c r="G126" s="58" t="str">
        <x:v>No</x:v>
      </x:c>
      <x:c r="H126" s="58" t="n">
        <x:f>MIN(E126,40)</x:f>
        <x:v>40</x:v>
      </x:c>
      <x:c r="I126" s="58" t="n">
        <x:f>MAX(0,E126-40)</x:f>
        <x:v>10.600000000000001</x:v>
      </x:c>
      <x:c r="J126" s="82" t="n">
        <x:f>H126*F126</x:f>
        <x:v>757.6</x:v>
      </x:c>
      <x:c r="K126" s="82" t="n">
        <x:f>I126*F126*1.5</x:f>
        <x:v>301.1460000000001</x:v>
      </x:c>
      <x:c r="L126" s="82" t="n">
        <x:f>J126+K126</x:f>
        <x:v>1058.746</x:v>
      </x:c>
      <x:c r="M126" s="58" t="str">
        <x:f>IF(OR(E126&gt;55,G126&lt;&gt;"Yes",I126&gt;10),"Review","OK")</x:f>
        <x:v>Review</x:v>
      </x:c>
      <x:c r="N126" s="59" t="str">
        <x:f>IF(M126="Review","Check approval/overtime reason","No action")</x:f>
        <x:v>Check approval/overtime reason</x:v>
      </x:c>
    </x:row>
    <x:row r="127">
      <x:c r="A127" s="57" t="str">
        <x:v>TS-0126</x:v>
      </x:c>
      <x:c r="B127" s="78" t="n">
        <x:v>46185</x:v>
      </x:c>
      <x:c r="C127" s="58" t="str">
        <x:v>Employee 18</x:v>
      </x:c>
      <x:c r="D127" s="58" t="str">
        <x:v>Admin</x:v>
      </x:c>
      <x:c r="E127" s="58" t="n">
        <x:v>30.1</x:v>
      </x:c>
      <x:c r="F127" s="82" t="n">
        <x:v>30.05</x:v>
      </x:c>
      <x:c r="G127" s="58" t="str">
        <x:v>Yes</x:v>
      </x:c>
      <x:c r="H127" s="58" t="n">
        <x:f>MIN(E127,40)</x:f>
        <x:v>30.1</x:v>
      </x:c>
      <x:c r="I127" s="58" t="n">
        <x:f>MAX(0,E127-40)</x:f>
        <x:v>0</x:v>
      </x:c>
      <x:c r="J127" s="82" t="n">
        <x:f>H127*F127</x:f>
        <x:v>904.5050000000001</x:v>
      </x:c>
      <x:c r="K127" s="82" t="n">
        <x:f>I127*F127*1.5</x:f>
        <x:v>0</x:v>
      </x:c>
      <x:c r="L127" s="82" t="n">
        <x:f>J127+K127</x:f>
        <x:v>904.5050000000001</x:v>
      </x:c>
      <x:c r="M127" s="58" t="str">
        <x:f>IF(OR(E127&gt;55,G127&lt;&gt;"Yes",I127&gt;10),"Review","OK")</x:f>
        <x:v>OK</x:v>
      </x:c>
      <x:c r="N127" s="59" t="str">
        <x:f>IF(M127="Review","Check approval/overtime reason","No action")</x:f>
        <x:v>No action</x:v>
      </x:c>
    </x:row>
    <x:row r="128">
      <x:c r="A128" s="57" t="str">
        <x:v>TS-0127</x:v>
      </x:c>
      <x:c r="B128" s="78" t="n">
        <x:v>46178</x:v>
      </x:c>
      <x:c r="C128" s="58" t="str">
        <x:v>Employee 22</x:v>
      </x:c>
      <x:c r="D128" s="58" t="str">
        <x:v>IT</x:v>
      </x:c>
      <x:c r="E128" s="58" t="n">
        <x:v>58.4</x:v>
      </x:c>
      <x:c r="F128" s="82" t="n">
        <x:v>25.47</x:v>
      </x:c>
      <x:c r="G128" s="58" t="str">
        <x:v>Yes</x:v>
      </x:c>
      <x:c r="H128" s="58" t="n">
        <x:f>MIN(E128,40)</x:f>
        <x:v>40</x:v>
      </x:c>
      <x:c r="I128" s="58" t="n">
        <x:f>MAX(0,E128-40)</x:f>
        <x:v>18.4</x:v>
      </x:c>
      <x:c r="J128" s="82" t="n">
        <x:f>H128*F128</x:f>
        <x:v>1018.8</x:v>
      </x:c>
      <x:c r="K128" s="82" t="n">
        <x:f>I128*F128*1.5</x:f>
        <x:v>702.972</x:v>
      </x:c>
      <x:c r="L128" s="82" t="n">
        <x:f>J128+K128</x:f>
        <x:v>1721.772</x:v>
      </x:c>
      <x:c r="M128" s="58" t="str">
        <x:f>IF(OR(E128&gt;55,G128&lt;&gt;"Yes",I128&gt;10),"Review","OK")</x:f>
        <x:v>Review</x:v>
      </x:c>
      <x:c r="N128" s="59" t="str">
        <x:f>IF(M128="Review","Check approval/overtime reason","No action")</x:f>
        <x:v>Check approval/overtime reason</x:v>
      </x:c>
    </x:row>
    <x:row r="129">
      <x:c r="A129" s="57" t="str">
        <x:v>TS-0128</x:v>
      </x:c>
      <x:c r="B129" s="78" t="n">
        <x:v>46178</x:v>
      </x:c>
      <x:c r="C129" s="58" t="str">
        <x:v>Employee 63</x:v>
      </x:c>
      <x:c r="D129" s="58" t="str">
        <x:v>Sales</x:v>
      </x:c>
      <x:c r="E129" s="58" t="n">
        <x:v>59.8</x:v>
      </x:c>
      <x:c r="F129" s="82" t="n">
        <x:v>39.55</x:v>
      </x:c>
      <x:c r="G129" s="58" t="str">
        <x:v>Yes</x:v>
      </x:c>
      <x:c r="H129" s="58" t="n">
        <x:f>MIN(E129,40)</x:f>
        <x:v>40</x:v>
      </x:c>
      <x:c r="I129" s="58" t="n">
        <x:f>MAX(0,E129-40)</x:f>
        <x:v>19.799999999999997</x:v>
      </x:c>
      <x:c r="J129" s="82" t="n">
        <x:f>H129*F129</x:f>
        <x:v>1582</x:v>
      </x:c>
      <x:c r="K129" s="82" t="n">
        <x:f>I129*F129*1.5</x:f>
        <x:v>1174.6349999999998</x:v>
      </x:c>
      <x:c r="L129" s="82" t="n">
        <x:f>J129+K129</x:f>
        <x:v>2756.6349999999998</x:v>
      </x:c>
      <x:c r="M129" s="58" t="str">
        <x:f>IF(OR(E129&gt;55,G129&lt;&gt;"Yes",I129&gt;10),"Review","OK")</x:f>
        <x:v>Review</x:v>
      </x:c>
      <x:c r="N129" s="59" t="str">
        <x:f>IF(M129="Review","Check approval/overtime reason","No action")</x:f>
        <x:v>Check approval/overtime reason</x:v>
      </x:c>
    </x:row>
    <x:row r="130">
      <x:c r="A130" s="57" t="str">
        <x:v>TS-0129</x:v>
      </x:c>
      <x:c r="B130" s="78" t="n">
        <x:v>46185</x:v>
      </x:c>
      <x:c r="C130" s="58" t="str">
        <x:v>Employee 17</x:v>
      </x:c>
      <x:c r="D130" s="58" t="str">
        <x:v>Accounting</x:v>
      </x:c>
      <x:c r="E130" s="58" t="n">
        <x:v>20.9</x:v>
      </x:c>
      <x:c r="F130" s="82" t="n">
        <x:v>33.85</x:v>
      </x:c>
      <x:c r="G130" s="58" t="str">
        <x:v>Yes</x:v>
      </x:c>
      <x:c r="H130" s="58" t="n">
        <x:f>MIN(E130,40)</x:f>
        <x:v>20.9</x:v>
      </x:c>
      <x:c r="I130" s="58" t="n">
        <x:f>MAX(0,E130-40)</x:f>
        <x:v>0</x:v>
      </x:c>
      <x:c r="J130" s="82" t="n">
        <x:f>H130*F130</x:f>
        <x:v>707.465</x:v>
      </x:c>
      <x:c r="K130" s="82" t="n">
        <x:f>I130*F130*1.5</x:f>
        <x:v>0</x:v>
      </x:c>
      <x:c r="L130" s="82" t="n">
        <x:f>J130+K130</x:f>
        <x:v>707.465</x:v>
      </x:c>
      <x:c r="M130" s="58" t="str">
        <x:f>IF(OR(E130&gt;55,G130&lt;&gt;"Yes",I130&gt;10),"Review","OK")</x:f>
        <x:v>OK</x:v>
      </x:c>
      <x:c r="N130" s="59" t="str">
        <x:f>IF(M130="Review","Check approval/overtime reason","No action")</x:f>
        <x:v>No action</x:v>
      </x:c>
    </x:row>
    <x:row r="131">
      <x:c r="A131" s="57" t="str">
        <x:v>TS-0130</x:v>
      </x:c>
      <x:c r="B131" s="78" t="n">
        <x:v>46185</x:v>
      </x:c>
      <x:c r="C131" s="58" t="str">
        <x:v>Employee 30</x:v>
      </x:c>
      <x:c r="D131" s="58" t="str">
        <x:v>Warehouse</x:v>
      </x:c>
      <x:c r="E131" s="58" t="n">
        <x:v>14.4</x:v>
      </x:c>
      <x:c r="F131" s="82" t="n">
        <x:v>24.09</x:v>
      </x:c>
      <x:c r="G131" s="58" t="str">
        <x:v>No</x:v>
      </x:c>
      <x:c r="H131" s="58" t="n">
        <x:f>MIN(E131,40)</x:f>
        <x:v>14.4</x:v>
      </x:c>
      <x:c r="I131" s="58" t="n">
        <x:f>MAX(0,E131-40)</x:f>
        <x:v>0</x:v>
      </x:c>
      <x:c r="J131" s="82" t="n">
        <x:f>H131*F131</x:f>
        <x:v>346.896</x:v>
      </x:c>
      <x:c r="K131" s="82" t="n">
        <x:f>I131*F131*1.5</x:f>
        <x:v>0</x:v>
      </x:c>
      <x:c r="L131" s="82" t="n">
        <x:f>J131+K131</x:f>
        <x:v>346.896</x:v>
      </x:c>
      <x:c r="M131" s="58" t="str">
        <x:f>IF(OR(E131&gt;55,G131&lt;&gt;"Yes",I131&gt;10),"Review","OK")</x:f>
        <x:v>Review</x:v>
      </x:c>
      <x:c r="N131" s="59" t="str">
        <x:f>IF(M131="Review","Check approval/overtime reason","No action")</x:f>
        <x:v>Check approval/overtime reason</x:v>
      </x:c>
    </x:row>
    <x:row r="132">
      <x:c r="A132" s="57" t="str">
        <x:v>TS-0131</x:v>
      </x:c>
      <x:c r="B132" s="78" t="n">
        <x:v>46171</x:v>
      </x:c>
      <x:c r="C132" s="58" t="str">
        <x:v>Employee 7</x:v>
      </x:c>
      <x:c r="D132" s="58" t="str">
        <x:v>Warehouse</x:v>
      </x:c>
      <x:c r="E132" s="58" t="n">
        <x:v>24.9</x:v>
      </x:c>
      <x:c r="F132" s="82" t="n">
        <x:v>30.32</x:v>
      </x:c>
      <x:c r="G132" s="58" t="str">
        <x:v>Yes</x:v>
      </x:c>
      <x:c r="H132" s="58" t="n">
        <x:f>MIN(E132,40)</x:f>
        <x:v>24.9</x:v>
      </x:c>
      <x:c r="I132" s="58" t="n">
        <x:f>MAX(0,E132-40)</x:f>
        <x:v>0</x:v>
      </x:c>
      <x:c r="J132" s="82" t="n">
        <x:f>H132*F132</x:f>
        <x:v>754.968</x:v>
      </x:c>
      <x:c r="K132" s="82" t="n">
        <x:f>I132*F132*1.5</x:f>
        <x:v>0</x:v>
      </x:c>
      <x:c r="L132" s="82" t="n">
        <x:f>J132+K132</x:f>
        <x:v>754.968</x:v>
      </x:c>
      <x:c r="M132" s="58" t="str">
        <x:f>IF(OR(E132&gt;55,G132&lt;&gt;"Yes",I132&gt;10),"Review","OK")</x:f>
        <x:v>OK</x:v>
      </x:c>
      <x:c r="N132" s="59" t="str">
        <x:f>IF(M132="Review","Check approval/overtime reason","No action")</x:f>
        <x:v>No action</x:v>
      </x:c>
    </x:row>
    <x:row r="133">
      <x:c r="A133" s="57" t="str">
        <x:v>TS-0132</x:v>
      </x:c>
      <x:c r="B133" s="78" t="n">
        <x:v>46192</x:v>
      </x:c>
      <x:c r="C133" s="58" t="str">
        <x:v>Employee 8</x:v>
      </x:c>
      <x:c r="D133" s="58" t="str">
        <x:v>Accounting</x:v>
      </x:c>
      <x:c r="E133" s="58" t="n">
        <x:v>29</x:v>
      </x:c>
      <x:c r="F133" s="82" t="n">
        <x:v>18.84</x:v>
      </x:c>
      <x:c r="G133" s="58" t="str">
        <x:v>Yes</x:v>
      </x:c>
      <x:c r="H133" s="58" t="n">
        <x:f>MIN(E133,40)</x:f>
        <x:v>29</x:v>
      </x:c>
      <x:c r="I133" s="58" t="n">
        <x:f>MAX(0,E133-40)</x:f>
        <x:v>0</x:v>
      </x:c>
      <x:c r="J133" s="82" t="n">
        <x:f>H133*F133</x:f>
        <x:v>546.36</x:v>
      </x:c>
      <x:c r="K133" s="82" t="n">
        <x:f>I133*F133*1.5</x:f>
        <x:v>0</x:v>
      </x:c>
      <x:c r="L133" s="82" t="n">
        <x:f>J133+K133</x:f>
        <x:v>546.36</x:v>
      </x:c>
      <x:c r="M133" s="58" t="str">
        <x:f>IF(OR(E133&gt;55,G133&lt;&gt;"Yes",I133&gt;10),"Review","OK")</x:f>
        <x:v>OK</x:v>
      </x:c>
      <x:c r="N133" s="59" t="str">
        <x:f>IF(M133="Review","Check approval/overtime reason","No action")</x:f>
        <x:v>No action</x:v>
      </x:c>
    </x:row>
    <x:row r="134">
      <x:c r="A134" s="57" t="str">
        <x:v>TS-0133</x:v>
      </x:c>
      <x:c r="B134" s="78" t="n">
        <x:v>46157</x:v>
      </x:c>
      <x:c r="C134" s="58" t="str">
        <x:v>Employee 44</x:v>
      </x:c>
      <x:c r="D134" s="58" t="str">
        <x:v>IT</x:v>
      </x:c>
      <x:c r="E134" s="58" t="n">
        <x:v>45.5</x:v>
      </x:c>
      <x:c r="F134" s="82" t="n">
        <x:v>21.16</x:v>
      </x:c>
      <x:c r="G134" s="58" t="str">
        <x:v>Yes</x:v>
      </x:c>
      <x:c r="H134" s="58" t="n">
        <x:f>MIN(E134,40)</x:f>
        <x:v>40</x:v>
      </x:c>
      <x:c r="I134" s="58" t="n">
        <x:f>MAX(0,E134-40)</x:f>
        <x:v>5.5</x:v>
      </x:c>
      <x:c r="J134" s="82" t="n">
        <x:f>H134*F134</x:f>
        <x:v>846.4</x:v>
      </x:c>
      <x:c r="K134" s="82" t="n">
        <x:f>I134*F134*1.5</x:f>
        <x:v>174.57</x:v>
      </x:c>
      <x:c r="L134" s="82" t="n">
        <x:f>J134+K134</x:f>
        <x:v>1020.97</x:v>
      </x:c>
      <x:c r="M134" s="58" t="str">
        <x:f>IF(OR(E134&gt;55,G134&lt;&gt;"Yes",I134&gt;10),"Review","OK")</x:f>
        <x:v>OK</x:v>
      </x:c>
      <x:c r="N134" s="59" t="str">
        <x:f>IF(M134="Review","Check approval/overtime reason","No action")</x:f>
        <x:v>No action</x:v>
      </x:c>
    </x:row>
    <x:row r="135">
      <x:c r="A135" s="57" t="str">
        <x:v>TS-0134</x:v>
      </x:c>
      <x:c r="B135" s="78" t="n">
        <x:v>46143</x:v>
      </x:c>
      <x:c r="C135" s="58" t="str">
        <x:v>Employee 27</x:v>
      </x:c>
      <x:c r="D135" s="58" t="str">
        <x:v>Accounting</x:v>
      </x:c>
      <x:c r="E135" s="58" t="n">
        <x:v>55.5</x:v>
      </x:c>
      <x:c r="F135" s="82" t="n">
        <x:v>37.77</x:v>
      </x:c>
      <x:c r="G135" s="58" t="str">
        <x:v>Pending</x:v>
      </x:c>
      <x:c r="H135" s="58" t="n">
        <x:f>MIN(E135,40)</x:f>
        <x:v>40</x:v>
      </x:c>
      <x:c r="I135" s="58" t="n">
        <x:f>MAX(0,E135-40)</x:f>
        <x:v>15.5</x:v>
      </x:c>
      <x:c r="J135" s="82" t="n">
        <x:f>H135*F135</x:f>
        <x:v>1510.8000000000002</x:v>
      </x:c>
      <x:c r="K135" s="82" t="n">
        <x:f>I135*F135*1.5</x:f>
        <x:v>878.1525000000001</x:v>
      </x:c>
      <x:c r="L135" s="82" t="n">
        <x:f>J135+K135</x:f>
        <x:v>2388.9525000000003</x:v>
      </x:c>
      <x:c r="M135" s="58" t="str">
        <x:f>IF(OR(E135&gt;55,G135&lt;&gt;"Yes",I135&gt;10),"Review","OK")</x:f>
        <x:v>Review</x:v>
      </x:c>
      <x:c r="N135" s="59" t="str">
        <x:f>IF(M135="Review","Check approval/overtime reason","No action")</x:f>
        <x:v>Check approval/overtime reason</x:v>
      </x:c>
    </x:row>
    <x:row r="136">
      <x:c r="A136" s="57" t="str">
        <x:v>TS-0135</x:v>
      </x:c>
      <x:c r="B136" s="78" t="n">
        <x:v>46192</x:v>
      </x:c>
      <x:c r="C136" s="58" t="str">
        <x:v>Employee 76</x:v>
      </x:c>
      <x:c r="D136" s="58" t="str">
        <x:v>Sales</x:v>
      </x:c>
      <x:c r="E136" s="58" t="n">
        <x:v>29.8</x:v>
      </x:c>
      <x:c r="F136" s="82" t="n">
        <x:v>33.63</x:v>
      </x:c>
      <x:c r="G136" s="58" t="str">
        <x:v>Yes</x:v>
      </x:c>
      <x:c r="H136" s="58" t="n">
        <x:f>MIN(E136,40)</x:f>
        <x:v>29.8</x:v>
      </x:c>
      <x:c r="I136" s="58" t="n">
        <x:f>MAX(0,E136-40)</x:f>
        <x:v>0</x:v>
      </x:c>
      <x:c r="J136" s="82" t="n">
        <x:f>H136*F136</x:f>
        <x:v>1002.1740000000001</x:v>
      </x:c>
      <x:c r="K136" s="82" t="n">
        <x:f>I136*F136*1.5</x:f>
        <x:v>0</x:v>
      </x:c>
      <x:c r="L136" s="82" t="n">
        <x:f>J136+K136</x:f>
        <x:v>1002.1740000000001</x:v>
      </x:c>
      <x:c r="M136" s="58" t="str">
        <x:f>IF(OR(E136&gt;55,G136&lt;&gt;"Yes",I136&gt;10),"Review","OK")</x:f>
        <x:v>OK</x:v>
      </x:c>
      <x:c r="N136" s="59" t="str">
        <x:f>IF(M136="Review","Check approval/overtime reason","No action")</x:f>
        <x:v>No action</x:v>
      </x:c>
    </x:row>
    <x:row r="137">
      <x:c r="A137" s="57" t="str">
        <x:v>TS-0136</x:v>
      </x:c>
      <x:c r="B137" s="78" t="n">
        <x:v>46171</x:v>
      </x:c>
      <x:c r="C137" s="58" t="str">
        <x:v>Employee 61</x:v>
      </x:c>
      <x:c r="D137" s="58" t="str">
        <x:v>IT</x:v>
      </x:c>
      <x:c r="E137" s="58" t="n">
        <x:v>25.6</x:v>
      </x:c>
      <x:c r="F137" s="82" t="n">
        <x:v>19.36</x:v>
      </x:c>
      <x:c r="G137" s="58" t="str">
        <x:v>Yes</x:v>
      </x:c>
      <x:c r="H137" s="58" t="n">
        <x:f>MIN(E137,40)</x:f>
        <x:v>25.6</x:v>
      </x:c>
      <x:c r="I137" s="58" t="n">
        <x:f>MAX(0,E137-40)</x:f>
        <x:v>0</x:v>
      </x:c>
      <x:c r="J137" s="82" t="n">
        <x:f>H137*F137</x:f>
        <x:v>495.616</x:v>
      </x:c>
      <x:c r="K137" s="82" t="n">
        <x:f>I137*F137*1.5</x:f>
        <x:v>0</x:v>
      </x:c>
      <x:c r="L137" s="82" t="n">
        <x:f>J137+K137</x:f>
        <x:v>495.616</x:v>
      </x:c>
      <x:c r="M137" s="58" t="str">
        <x:f>IF(OR(E137&gt;55,G137&lt;&gt;"Yes",I137&gt;10),"Review","OK")</x:f>
        <x:v>OK</x:v>
      </x:c>
      <x:c r="N137" s="59" t="str">
        <x:f>IF(M137="Review","Check approval/overtime reason","No action")</x:f>
        <x:v>No action</x:v>
      </x:c>
    </x:row>
    <x:row r="138">
      <x:c r="A138" s="57" t="str">
        <x:v>TS-0137</x:v>
      </x:c>
      <x:c r="B138" s="78" t="n">
        <x:v>46157</x:v>
      </x:c>
      <x:c r="C138" s="58" t="str">
        <x:v>Employee 27</x:v>
      </x:c>
      <x:c r="D138" s="58" t="str">
        <x:v>Operations</x:v>
      </x:c>
      <x:c r="E138" s="58" t="n">
        <x:v>35.3</x:v>
      </x:c>
      <x:c r="F138" s="82" t="n">
        <x:v>28.05</x:v>
      </x:c>
      <x:c r="G138" s="58" t="str">
        <x:v>Yes</x:v>
      </x:c>
      <x:c r="H138" s="58" t="n">
        <x:f>MIN(E138,40)</x:f>
        <x:v>35.3</x:v>
      </x:c>
      <x:c r="I138" s="58" t="n">
        <x:f>MAX(0,E138-40)</x:f>
        <x:v>0</x:v>
      </x:c>
      <x:c r="J138" s="82" t="n">
        <x:f>H138*F138</x:f>
        <x:v>990.165</x:v>
      </x:c>
      <x:c r="K138" s="82" t="n">
        <x:f>I138*F138*1.5</x:f>
        <x:v>0</x:v>
      </x:c>
      <x:c r="L138" s="82" t="n">
        <x:f>J138+K138</x:f>
        <x:v>990.165</x:v>
      </x:c>
      <x:c r="M138" s="58" t="str">
        <x:f>IF(OR(E138&gt;55,G138&lt;&gt;"Yes",I138&gt;10),"Review","OK")</x:f>
        <x:v>OK</x:v>
      </x:c>
      <x:c r="N138" s="59" t="str">
        <x:f>IF(M138="Review","Check approval/overtime reason","No action")</x:f>
        <x:v>No action</x:v>
      </x:c>
    </x:row>
    <x:row r="139">
      <x:c r="A139" s="57" t="str">
        <x:v>TS-0138</x:v>
      </x:c>
      <x:c r="B139" s="78" t="n">
        <x:v>46164</x:v>
      </x:c>
      <x:c r="C139" s="58" t="str">
        <x:v>Employee 63</x:v>
      </x:c>
      <x:c r="D139" s="58" t="str">
        <x:v>Operations</x:v>
      </x:c>
      <x:c r="E139" s="58" t="n">
        <x:v>47.6</x:v>
      </x:c>
      <x:c r="F139" s="82" t="n">
        <x:v>22.25</x:v>
      </x:c>
      <x:c r="G139" s="58" t="str">
        <x:v>Yes</x:v>
      </x:c>
      <x:c r="H139" s="58" t="n">
        <x:f>MIN(E139,40)</x:f>
        <x:v>40</x:v>
      </x:c>
      <x:c r="I139" s="58" t="n">
        <x:f>MAX(0,E139-40)</x:f>
        <x:v>7.600000000000001</x:v>
      </x:c>
      <x:c r="J139" s="82" t="n">
        <x:f>H139*F139</x:f>
        <x:v>890</x:v>
      </x:c>
      <x:c r="K139" s="82" t="n">
        <x:f>I139*F139*1.5</x:f>
        <x:v>253.65000000000003</x:v>
      </x:c>
      <x:c r="L139" s="82" t="n">
        <x:f>J139+K139</x:f>
        <x:v>1143.65</x:v>
      </x:c>
      <x:c r="M139" s="58" t="str">
        <x:f>IF(OR(E139&gt;55,G139&lt;&gt;"Yes",I139&gt;10),"Review","OK")</x:f>
        <x:v>OK</x:v>
      </x:c>
      <x:c r="N139" s="59" t="str">
        <x:f>IF(M139="Review","Check approval/overtime reason","No action")</x:f>
        <x:v>No action</x:v>
      </x:c>
    </x:row>
    <x:row r="140">
      <x:c r="A140" s="57" t="str">
        <x:v>TS-0139</x:v>
      </x:c>
      <x:c r="B140" s="78" t="n">
        <x:v>46178</x:v>
      </x:c>
      <x:c r="C140" s="58" t="str">
        <x:v>Employee 76</x:v>
      </x:c>
      <x:c r="D140" s="58" t="str">
        <x:v>Sales</x:v>
      </x:c>
      <x:c r="E140" s="58" t="n">
        <x:v>50</x:v>
      </x:c>
      <x:c r="F140" s="82" t="n">
        <x:v>38.65</x:v>
      </x:c>
      <x:c r="G140" s="58" t="str">
        <x:v>Yes</x:v>
      </x:c>
      <x:c r="H140" s="58" t="n">
        <x:f>MIN(E140,40)</x:f>
        <x:v>40</x:v>
      </x:c>
      <x:c r="I140" s="58" t="n">
        <x:f>MAX(0,E140-40)</x:f>
        <x:v>10</x:v>
      </x:c>
      <x:c r="J140" s="82" t="n">
        <x:f>H140*F140</x:f>
        <x:v>1546</x:v>
      </x:c>
      <x:c r="K140" s="82" t="n">
        <x:f>I140*F140*1.5</x:f>
        <x:v>579.75</x:v>
      </x:c>
      <x:c r="L140" s="82" t="n">
        <x:f>J140+K140</x:f>
        <x:v>2125.75</x:v>
      </x:c>
      <x:c r="M140" s="58" t="str">
        <x:f>IF(OR(E140&gt;55,G140&lt;&gt;"Yes",I140&gt;10),"Review","OK")</x:f>
        <x:v>OK</x:v>
      </x:c>
      <x:c r="N140" s="59" t="str">
        <x:f>IF(M140="Review","Check approval/overtime reason","No action")</x:f>
        <x:v>No action</x:v>
      </x:c>
    </x:row>
    <x:row r="141">
      <x:c r="A141" s="57" t="str">
        <x:v>TS-0140</x:v>
      </x:c>
      <x:c r="B141" s="78" t="n">
        <x:v>46150</x:v>
      </x:c>
      <x:c r="C141" s="58" t="str">
        <x:v>Employee 15</x:v>
      </x:c>
      <x:c r="D141" s="58" t="str">
        <x:v>Admin</x:v>
      </x:c>
      <x:c r="E141" s="58" t="n">
        <x:v>30.4</x:v>
      </x:c>
      <x:c r="F141" s="82" t="n">
        <x:v>25.71</x:v>
      </x:c>
      <x:c r="G141" s="58" t="str">
        <x:v>Yes</x:v>
      </x:c>
      <x:c r="H141" s="58" t="n">
        <x:f>MIN(E141,40)</x:f>
        <x:v>30.4</x:v>
      </x:c>
      <x:c r="I141" s="58" t="n">
        <x:f>MAX(0,E141-40)</x:f>
        <x:v>0</x:v>
      </x:c>
      <x:c r="J141" s="82" t="n">
        <x:f>H141*F141</x:f>
        <x:v>781.584</x:v>
      </x:c>
      <x:c r="K141" s="82" t="n">
        <x:f>I141*F141*1.5</x:f>
        <x:v>0</x:v>
      </x:c>
      <x:c r="L141" s="82" t="n">
        <x:f>J141+K141</x:f>
        <x:v>781.584</x:v>
      </x:c>
      <x:c r="M141" s="58" t="str">
        <x:f>IF(OR(E141&gt;55,G141&lt;&gt;"Yes",I141&gt;10),"Review","OK")</x:f>
        <x:v>OK</x:v>
      </x:c>
      <x:c r="N141" s="59" t="str">
        <x:f>IF(M141="Review","Check approval/overtime reason","No action")</x:f>
        <x:v>No action</x:v>
      </x:c>
    </x:row>
    <x:row r="142">
      <x:c r="A142" s="57" t="str">
        <x:v>TS-0141</x:v>
      </x:c>
      <x:c r="B142" s="78" t="n">
        <x:v>46157</x:v>
      </x:c>
      <x:c r="C142" s="58" t="str">
        <x:v>Employee 70</x:v>
      </x:c>
      <x:c r="D142" s="58" t="str">
        <x:v>Accounting</x:v>
      </x:c>
      <x:c r="E142" s="58" t="n">
        <x:v>51.7</x:v>
      </x:c>
      <x:c r="F142" s="82" t="n">
        <x:v>20.61</x:v>
      </x:c>
      <x:c r="G142" s="58" t="str">
        <x:v>Yes</x:v>
      </x:c>
      <x:c r="H142" s="58" t="n">
        <x:f>MIN(E142,40)</x:f>
        <x:v>40</x:v>
      </x:c>
      <x:c r="I142" s="58" t="n">
        <x:f>MAX(0,E142-40)</x:f>
        <x:v>11.700000000000003</x:v>
      </x:c>
      <x:c r="J142" s="82" t="n">
        <x:f>H142*F142</x:f>
        <x:v>824.4</x:v>
      </x:c>
      <x:c r="K142" s="82" t="n">
        <x:f>I142*F142*1.5</x:f>
        <x:v>361.7055000000001</x:v>
      </x:c>
      <x:c r="L142" s="82" t="n">
        <x:f>J142+K142</x:f>
        <x:v>1186.1055000000001</x:v>
      </x:c>
      <x:c r="M142" s="58" t="str">
        <x:f>IF(OR(E142&gt;55,G142&lt;&gt;"Yes",I142&gt;10),"Review","OK")</x:f>
        <x:v>Review</x:v>
      </x:c>
      <x:c r="N142" s="59" t="str">
        <x:f>IF(M142="Review","Check approval/overtime reason","No action")</x:f>
        <x:v>Check approval/overtime reason</x:v>
      </x:c>
    </x:row>
    <x:row r="143">
      <x:c r="A143" s="57" t="str">
        <x:v>TS-0142</x:v>
      </x:c>
      <x:c r="B143" s="78" t="n">
        <x:v>46192</x:v>
      </x:c>
      <x:c r="C143" s="58" t="str">
        <x:v>Employee 12</x:v>
      </x:c>
      <x:c r="D143" s="58" t="str">
        <x:v>Admin</x:v>
      </x:c>
      <x:c r="E143" s="58" t="n">
        <x:v>22.6</x:v>
      </x:c>
      <x:c r="F143" s="82" t="n">
        <x:v>19.54</x:v>
      </x:c>
      <x:c r="G143" s="58" t="str">
        <x:v>Yes</x:v>
      </x:c>
      <x:c r="H143" s="58" t="n">
        <x:f>MIN(E143,40)</x:f>
        <x:v>22.6</x:v>
      </x:c>
      <x:c r="I143" s="58" t="n">
        <x:f>MAX(0,E143-40)</x:f>
        <x:v>0</x:v>
      </x:c>
      <x:c r="J143" s="82" t="n">
        <x:f>H143*F143</x:f>
        <x:v>441.604</x:v>
      </x:c>
      <x:c r="K143" s="82" t="n">
        <x:f>I143*F143*1.5</x:f>
        <x:v>0</x:v>
      </x:c>
      <x:c r="L143" s="82" t="n">
        <x:f>J143+K143</x:f>
        <x:v>441.604</x:v>
      </x:c>
      <x:c r="M143" s="58" t="str">
        <x:f>IF(OR(E143&gt;55,G143&lt;&gt;"Yes",I143&gt;10),"Review","OK")</x:f>
        <x:v>OK</x:v>
      </x:c>
      <x:c r="N143" s="59" t="str">
        <x:f>IF(M143="Review","Check approval/overtime reason","No action")</x:f>
        <x:v>No action</x:v>
      </x:c>
    </x:row>
    <x:row r="144">
      <x:c r="A144" s="57" t="str">
        <x:v>TS-0143</x:v>
      </x:c>
      <x:c r="B144" s="78" t="n">
        <x:v>46143</x:v>
      </x:c>
      <x:c r="C144" s="58" t="str">
        <x:v>Employee 40</x:v>
      </x:c>
      <x:c r="D144" s="58" t="str">
        <x:v>Admin</x:v>
      </x:c>
      <x:c r="E144" s="58" t="n">
        <x:v>19</x:v>
      </x:c>
      <x:c r="F144" s="82" t="n">
        <x:v>22.58</x:v>
      </x:c>
      <x:c r="G144" s="58" t="str">
        <x:v>No</x:v>
      </x:c>
      <x:c r="H144" s="58" t="n">
        <x:f>MIN(E144,40)</x:f>
        <x:v>19</x:v>
      </x:c>
      <x:c r="I144" s="58" t="n">
        <x:f>MAX(0,E144-40)</x:f>
        <x:v>0</x:v>
      </x:c>
      <x:c r="J144" s="82" t="n">
        <x:f>H144*F144</x:f>
        <x:v>429.02</x:v>
      </x:c>
      <x:c r="K144" s="82" t="n">
        <x:f>I144*F144*1.5</x:f>
        <x:v>0</x:v>
      </x:c>
      <x:c r="L144" s="82" t="n">
        <x:f>J144+K144</x:f>
        <x:v>429.02</x:v>
      </x:c>
      <x:c r="M144" s="58" t="str">
        <x:f>IF(OR(E144&gt;55,G144&lt;&gt;"Yes",I144&gt;10),"Review","OK")</x:f>
        <x:v>Review</x:v>
      </x:c>
      <x:c r="N144" s="59" t="str">
        <x:f>IF(M144="Review","Check approval/overtime reason","No action")</x:f>
        <x:v>Check approval/overtime reason</x:v>
      </x:c>
    </x:row>
    <x:row r="145">
      <x:c r="A145" s="57" t="str">
        <x:v>TS-0144</x:v>
      </x:c>
      <x:c r="B145" s="78" t="n">
        <x:v>46192</x:v>
      </x:c>
      <x:c r="C145" s="58" t="str">
        <x:v>Employee 57</x:v>
      </x:c>
      <x:c r="D145" s="58" t="str">
        <x:v>Sales</x:v>
      </x:c>
      <x:c r="E145" s="58" t="n">
        <x:v>18.2</x:v>
      </x:c>
      <x:c r="F145" s="82" t="n">
        <x:v>34.79</x:v>
      </x:c>
      <x:c r="G145" s="58" t="str">
        <x:v>Yes</x:v>
      </x:c>
      <x:c r="H145" s="58" t="n">
        <x:f>MIN(E145,40)</x:f>
        <x:v>18.2</x:v>
      </x:c>
      <x:c r="I145" s="58" t="n">
        <x:f>MAX(0,E145-40)</x:f>
        <x:v>0</x:v>
      </x:c>
      <x:c r="J145" s="82" t="n">
        <x:f>H145*F145</x:f>
        <x:v>633.178</x:v>
      </x:c>
      <x:c r="K145" s="82" t="n">
        <x:f>I145*F145*1.5</x:f>
        <x:v>0</x:v>
      </x:c>
      <x:c r="L145" s="82" t="n">
        <x:f>J145+K145</x:f>
        <x:v>633.178</x:v>
      </x:c>
      <x:c r="M145" s="58" t="str">
        <x:f>IF(OR(E145&gt;55,G145&lt;&gt;"Yes",I145&gt;10),"Review","OK")</x:f>
        <x:v>OK</x:v>
      </x:c>
      <x:c r="N145" s="59" t="str">
        <x:f>IF(M145="Review","Check approval/overtime reason","No action")</x:f>
        <x:v>No action</x:v>
      </x:c>
    </x:row>
    <x:row r="146">
      <x:c r="A146" s="57" t="str">
        <x:v>TS-0145</x:v>
      </x:c>
      <x:c r="B146" s="78" t="n">
        <x:v>46171</x:v>
      </x:c>
      <x:c r="C146" s="58" t="str">
        <x:v>Employee 18</x:v>
      </x:c>
      <x:c r="D146" s="58" t="str">
        <x:v>Operations</x:v>
      </x:c>
      <x:c r="E146" s="58" t="n">
        <x:v>54.9</x:v>
      </x:c>
      <x:c r="F146" s="82" t="n">
        <x:v>38.02</x:v>
      </x:c>
      <x:c r="G146" s="58" t="str">
        <x:v>No</x:v>
      </x:c>
      <x:c r="H146" s="58" t="n">
        <x:f>MIN(E146,40)</x:f>
        <x:v>40</x:v>
      </x:c>
      <x:c r="I146" s="58" t="n">
        <x:f>MAX(0,E146-40)</x:f>
        <x:v>14.899999999999999</x:v>
      </x:c>
      <x:c r="J146" s="82" t="n">
        <x:f>H146*F146</x:f>
        <x:v>1520.8000000000002</x:v>
      </x:c>
      <x:c r="K146" s="82" t="n">
        <x:f>I146*F146*1.5</x:f>
        <x:v>849.7470000000001</x:v>
      </x:c>
      <x:c r="L146" s="82" t="n">
        <x:f>J146+K146</x:f>
        <x:v>2370.5470000000005</x:v>
      </x:c>
      <x:c r="M146" s="58" t="str">
        <x:f>IF(OR(E146&gt;55,G146&lt;&gt;"Yes",I146&gt;10),"Review","OK")</x:f>
        <x:v>Review</x:v>
      </x:c>
      <x:c r="N146" s="59" t="str">
        <x:f>IF(M146="Review","Check approval/overtime reason","No action")</x:f>
        <x:v>Check approval/overtime reason</x:v>
      </x:c>
    </x:row>
    <x:row r="147">
      <x:c r="A147" s="57" t="str">
        <x:v>TS-0146</x:v>
      </x:c>
      <x:c r="B147" s="78" t="n">
        <x:v>46143</x:v>
      </x:c>
      <x:c r="C147" s="58" t="str">
        <x:v>Employee 30</x:v>
      </x:c>
      <x:c r="D147" s="58" t="str">
        <x:v>Sales</x:v>
      </x:c>
      <x:c r="E147" s="58" t="n">
        <x:v>44.2</x:v>
      </x:c>
      <x:c r="F147" s="82" t="n">
        <x:v>43.22</x:v>
      </x:c>
      <x:c r="G147" s="58" t="str">
        <x:v>Yes</x:v>
      </x:c>
      <x:c r="H147" s="58" t="n">
        <x:f>MIN(E147,40)</x:f>
        <x:v>40</x:v>
      </x:c>
      <x:c r="I147" s="58" t="n">
        <x:f>MAX(0,E147-40)</x:f>
        <x:v>4.200000000000003</x:v>
      </x:c>
      <x:c r="J147" s="82" t="n">
        <x:f>H147*F147</x:f>
        <x:v>1728.8</x:v>
      </x:c>
      <x:c r="K147" s="82" t="n">
        <x:f>I147*F147*1.5</x:f>
        <x:v>272.2860000000002</x:v>
      </x:c>
      <x:c r="L147" s="82" t="n">
        <x:f>J147+K147</x:f>
        <x:v>2001.0860000000002</x:v>
      </x:c>
      <x:c r="M147" s="58" t="str">
        <x:f>IF(OR(E147&gt;55,G147&lt;&gt;"Yes",I147&gt;10),"Review","OK")</x:f>
        <x:v>OK</x:v>
      </x:c>
      <x:c r="N147" s="59" t="str">
        <x:f>IF(M147="Review","Check approval/overtime reason","No action")</x:f>
        <x:v>No action</x:v>
      </x:c>
    </x:row>
    <x:row r="148">
      <x:c r="A148" s="57" t="str">
        <x:v>TS-0147</x:v>
      </x:c>
      <x:c r="B148" s="78" t="n">
        <x:v>46150</x:v>
      </x:c>
      <x:c r="C148" s="58" t="str">
        <x:v>Employee 16</x:v>
      </x:c>
      <x:c r="D148" s="58" t="str">
        <x:v>Accounting</x:v>
      </x:c>
      <x:c r="E148" s="58" t="n">
        <x:v>29.4</x:v>
      </x:c>
      <x:c r="F148" s="82" t="n">
        <x:v>31.17</x:v>
      </x:c>
      <x:c r="G148" s="58" t="str">
        <x:v>Yes</x:v>
      </x:c>
      <x:c r="H148" s="58" t="n">
        <x:f>MIN(E148,40)</x:f>
        <x:v>29.4</x:v>
      </x:c>
      <x:c r="I148" s="58" t="n">
        <x:f>MAX(0,E148-40)</x:f>
        <x:v>0</x:v>
      </x:c>
      <x:c r="J148" s="82" t="n">
        <x:f>H148*F148</x:f>
        <x:v>916.398</x:v>
      </x:c>
      <x:c r="K148" s="82" t="n">
        <x:f>I148*F148*1.5</x:f>
        <x:v>0</x:v>
      </x:c>
      <x:c r="L148" s="82" t="n">
        <x:f>J148+K148</x:f>
        <x:v>916.398</x:v>
      </x:c>
      <x:c r="M148" s="58" t="str">
        <x:f>IF(OR(E148&gt;55,G148&lt;&gt;"Yes",I148&gt;10),"Review","OK")</x:f>
        <x:v>OK</x:v>
      </x:c>
      <x:c r="N148" s="59" t="str">
        <x:f>IF(M148="Review","Check approval/overtime reason","No action")</x:f>
        <x:v>No action</x:v>
      </x:c>
    </x:row>
    <x:row r="149">
      <x:c r="A149" s="57" t="str">
        <x:v>TS-0148</x:v>
      </x:c>
      <x:c r="B149" s="78" t="n">
        <x:v>46150</x:v>
      </x:c>
      <x:c r="C149" s="58" t="str">
        <x:v>Employee 17</x:v>
      </x:c>
      <x:c r="D149" s="58" t="str">
        <x:v>Admin</x:v>
      </x:c>
      <x:c r="E149" s="58" t="n">
        <x:v>19.9</x:v>
      </x:c>
      <x:c r="F149" s="82" t="n">
        <x:v>21.09</x:v>
      </x:c>
      <x:c r="G149" s="58" t="str">
        <x:v>Yes</x:v>
      </x:c>
      <x:c r="H149" s="58" t="n">
        <x:f>MIN(E149,40)</x:f>
        <x:v>19.9</x:v>
      </x:c>
      <x:c r="I149" s="58" t="n">
        <x:f>MAX(0,E149-40)</x:f>
        <x:v>0</x:v>
      </x:c>
      <x:c r="J149" s="82" t="n">
        <x:f>H149*F149</x:f>
        <x:v>419.691</x:v>
      </x:c>
      <x:c r="K149" s="82" t="n">
        <x:f>I149*F149*1.5</x:f>
        <x:v>0</x:v>
      </x:c>
      <x:c r="L149" s="82" t="n">
        <x:f>J149+K149</x:f>
        <x:v>419.691</x:v>
      </x:c>
      <x:c r="M149" s="58" t="str">
        <x:f>IF(OR(E149&gt;55,G149&lt;&gt;"Yes",I149&gt;10),"Review","OK")</x:f>
        <x:v>OK</x:v>
      </x:c>
      <x:c r="N149" s="59" t="str">
        <x:f>IF(M149="Review","Check approval/overtime reason","No action")</x:f>
        <x:v>No action</x:v>
      </x:c>
    </x:row>
    <x:row r="150">
      <x:c r="A150" s="57" t="str">
        <x:v>TS-0149</x:v>
      </x:c>
      <x:c r="B150" s="78" t="n">
        <x:v>46157</x:v>
      </x:c>
      <x:c r="C150" s="58" t="str">
        <x:v>Employee 77</x:v>
      </x:c>
      <x:c r="D150" s="58" t="str">
        <x:v>Operations</x:v>
      </x:c>
      <x:c r="E150" s="58" t="n">
        <x:v>48.5</x:v>
      </x:c>
      <x:c r="F150" s="82" t="n">
        <x:v>39.63</x:v>
      </x:c>
      <x:c r="G150" s="58" t="str">
        <x:v>Yes</x:v>
      </x:c>
      <x:c r="H150" s="58" t="n">
        <x:f>MIN(E150,40)</x:f>
        <x:v>40</x:v>
      </x:c>
      <x:c r="I150" s="58" t="n">
        <x:f>MAX(0,E150-40)</x:f>
        <x:v>8.5</x:v>
      </x:c>
      <x:c r="J150" s="82" t="n">
        <x:f>H150*F150</x:f>
        <x:v>1585.2</x:v>
      </x:c>
      <x:c r="K150" s="82" t="n">
        <x:f>I150*F150*1.5</x:f>
        <x:v>505.2825</x:v>
      </x:c>
      <x:c r="L150" s="82" t="n">
        <x:f>J150+K150</x:f>
        <x:v>2090.4825</x:v>
      </x:c>
      <x:c r="M150" s="58" t="str">
        <x:f>IF(OR(E150&gt;55,G150&lt;&gt;"Yes",I150&gt;10),"Review","OK")</x:f>
        <x:v>OK</x:v>
      </x:c>
      <x:c r="N150" s="59" t="str">
        <x:f>IF(M150="Review","Check approval/overtime reason","No action")</x:f>
        <x:v>No action</x:v>
      </x:c>
    </x:row>
    <x:row r="151">
      <x:c r="A151" s="60" t="str">
        <x:v>TS-0150</x:v>
      </x:c>
      <x:c r="B151" s="79" t="n">
        <x:v>46157</x:v>
      </x:c>
      <x:c r="C151" s="61" t="str">
        <x:v>Employee 12</x:v>
      </x:c>
      <x:c r="D151" s="61" t="str">
        <x:v>Accounting</x:v>
      </x:c>
      <x:c r="E151" s="61" t="n">
        <x:v>50.4</x:v>
      </x:c>
      <x:c r="F151" s="83" t="n">
        <x:v>22.11</x:v>
      </x:c>
      <x:c r="G151" s="61" t="str">
        <x:v>Pending</x:v>
      </x:c>
      <x:c r="H151" s="61" t="n">
        <x:f>MIN(E151,40)</x:f>
        <x:v>40</x:v>
      </x:c>
      <x:c r="I151" s="61" t="n">
        <x:f>MAX(0,E151-40)</x:f>
        <x:v>10.399999999999999</x:v>
      </x:c>
      <x:c r="J151" s="83" t="n">
        <x:f>H151*F151</x:f>
        <x:v>884.4</x:v>
      </x:c>
      <x:c r="K151" s="83" t="n">
        <x:f>I151*F151*1.5</x:f>
        <x:v>344.91599999999994</x:v>
      </x:c>
      <x:c r="L151" s="83" t="n">
        <x:f>J151+K151</x:f>
        <x:v>1229.3159999999998</x:v>
      </x:c>
      <x:c r="M151" s="61" t="str">
        <x:f>IF(OR(E151&gt;55,G151&lt;&gt;"Yes",I151&gt;10),"Review","OK")</x:f>
        <x:v>Review</x:v>
      </x:c>
      <x:c r="N151" s="62" t="str">
        <x:f>IF(M151="Review","Check approval/overtime reason","No action")</x:f>
        <x:v>Check approval/overtime reason</x:v>
      </x:c>
    </x:row>
  </x:sheetData>
  <x:conditionalFormatting sqref="M2:M151">
    <x:cfRule type="expression" dxfId="0" priority="1">
      <x:formula>M2="Review"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5" hidden="0" customWidth="1"/>
  </x:cols>
  <x:sheetData>
    <x:row r="1" ht="30" customHeight="1">
      <x:c r="A1" s="90" t="str">
        <x:v>Timesheet_ID</x:v>
      </x:c>
      <x:c r="B1" s="90" t="str">
        <x:v>Week_Ending</x:v>
      </x:c>
      <x:c r="C1" s="90" t="str">
        <x:v>Employee</x:v>
      </x:c>
      <x:c r="D1" s="90" t="str">
        <x:v>Department</x:v>
      </x:c>
      <x:c r="E1" s="90" t="str">
        <x:v>Hours_Worked</x:v>
      </x:c>
      <x:c r="F1" s="90" t="str">
        <x:v>Hourly_Rate</x:v>
      </x:c>
      <x:c r="G1" s="90" t="str">
        <x:v>Approved</x:v>
      </x:c>
      <x:c r="H1" s="90" t="str">
        <x:v>Regular_Hours</x:v>
      </x:c>
      <x:c r="I1" s="90" t="str">
        <x:v>OT_Hours</x:v>
      </x:c>
      <x:c r="J1" s="90" t="str">
        <x:v>Regular_Pay</x:v>
      </x:c>
      <x:c r="K1" s="90" t="str">
        <x:v>OT_Pay</x:v>
      </x:c>
      <x:c r="L1" s="90" t="str">
        <x:v>Gross_Pay</x:v>
      </x:c>
      <x:c r="M1" s="90" t="str">
        <x:v>Exception_Flag</x:v>
      </x:c>
      <x:c r="N1" s="90" t="str">
        <x:v>Action</x:v>
      </x:c>
    </x:row>
    <x:row r="2">
      <x:c r="A2" t="e">
        <x:f>FILTER(Data!A:N,Data!M:M="Review","No payroll review items")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98" t="str">
        <x:v>Payroll &amp; Overtime Dashboard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42" t="str">
        <x:v>KPI</x:v>
      </x:c>
      <x:c r="B4" s="42" t="str">
        <x:v>Value</x:v>
      </x:c>
      <x:c r="D4" s="127" t="str">
        <x:v>Category</x:v>
      </x:c>
      <x:c r="E4" s="127" t="str">
        <x:v>Value</x:v>
      </x:c>
    </x:row>
    <x:row r="5">
      <x:c r="A5" s="109" t="str">
        <x:v>Total Gross Pay</x:v>
      </x:c>
      <x:c r="B5" s="115" t="n">
        <x:f>SUM(Data!$L$2:$L$151)</x:f>
        <x:v>178516.05500000002</x:v>
      </x:c>
      <x:c r="D5" t="str">
        <x:v>Accounting</x:v>
      </x:c>
      <x:c r="E5" s="102" t="n">
        <x:f>SUMIF(Data!$D:$D,D5,Data!$L:$L)</x:f>
        <x:v>20441.1595</x:v>
      </x:c>
    </x:row>
    <x:row r="6">
      <x:c r="A6" s="109" t="str">
        <x:v>Total OT Hours</x:v>
      </x:c>
      <x:c r="B6" s="116" t="n">
        <x:f>SUM(Data!$I$2:$I$151)</x:f>
        <x:v>650.6</x:v>
      </x:c>
      <x:c r="D6" t="str">
        <x:v>Operations</x:v>
      </x:c>
      <x:c r="E6" s="102" t="n">
        <x:f>SUMIF(Data!$D:$D,D6,Data!$L:$L)</x:f>
        <x:v>34597.766500000005</x:v>
      </x:c>
    </x:row>
    <x:row r="7">
      <x:c r="A7" s="109" t="str">
        <x:v>Review Timesheets</x:v>
      </x:c>
      <x:c r="B7" s="117" t="n">
        <x:f>COUNTIF(Data!$M:$M,"Review")</x:f>
        <x:v>56</x:v>
      </x:c>
      <x:c r="D7" t="str">
        <x:v>Warehouse</x:v>
      </x:c>
      <x:c r="E7" s="102" t="n">
        <x:f>SUMIF(Data!$D:$D,D7,Data!$L:$L)</x:f>
        <x:v>27087.109500000002</x:v>
      </x:c>
    </x:row>
    <x:row r="8">
      <x:c r="A8" s="109" t="str">
        <x:v>Unapproved Items</x:v>
      </x:c>
      <x:c r="B8" s="117" t="n">
        <x:f>COUNTIF(Data!$G:$G,"&lt;&gt;Yes")-1</x:f>
        <x:v>32</x:v>
      </x:c>
      <x:c r="D8" t="str">
        <x:v>Sales</x:v>
      </x:c>
      <x:c r="E8" s="102" t="n">
        <x:f>SUMIF(Data!$D:$D,D8,Data!$L:$L)</x:f>
        <x:v>48690.24950000001</x:v>
      </x:c>
    </x:row>
    <x:row r="9">
      <x:c r="A9" s="109" t="str">
        <x:v>Average Hours</x:v>
      </x:c>
      <x:c r="B9" s="116" t="n">
        <x:f>AVERAGE(Data!$E$2:$E$151)</x:f>
        <x:v>36.647333333333314</x:v>
      </x:c>
      <x:c r="D9" t="str">
        <x:v>IT</x:v>
      </x:c>
      <x:c r="E9" s="102" t="n">
        <x:f>SUMIF(Data!$D:$D,D9,Data!$L:$L)</x:f>
        <x:v>29014.081</x:v>
      </x:c>
    </x:row>
    <x:row r="10">
      <x:c r="D10" t="str">
        <x:v>Admin</x:v>
      </x:c>
      <x:c r="E10" s="102" t="n">
        <x:f>SUMIF(Data!$D:$D,D10,Data!$L:$L)</x:f>
        <x:v>18685.689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33476e68d342405e"/>
</x:worksheet>
</file>