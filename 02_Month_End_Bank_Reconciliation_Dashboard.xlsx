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da9f48570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288dcd6ab549ef"/>
    <x:sheet xmlns:r="http://schemas.openxmlformats.org/officeDocument/2006/relationships" name="Bank_Statement" sheetId="2" r:id="R24b4448a5a9e4823"/>
    <x:sheet xmlns:r="http://schemas.openxmlformats.org/officeDocument/2006/relationships" name="GL_Cash_Book" sheetId="3" r:id="Rd69ab1eacbb74f0a"/>
    <x:sheet xmlns:r="http://schemas.openxmlformats.org/officeDocument/2006/relationships" name="Exceptions" sheetId="4" r:id="Rbc0844eb03164e57"/>
    <x:sheet xmlns:r="http://schemas.openxmlformats.org/officeDocument/2006/relationships" name="Dashboard" sheetId="5" r:id="R426fa677afd6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$#,##0"/>
    <x:numFmt numFmtId="203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e348679684262" /><Relationship Type="http://schemas.openxmlformats.org/officeDocument/2006/relationships/theme" Target="/xl/theme/theme1.xml" Id="Rc25b054e5e9f455d" /><Relationship Type="http://schemas.openxmlformats.org/officeDocument/2006/relationships/sharedStrings" Target="/xl/sharedStrings.xml" Id="R5cc69a6aa4624f21" /><Relationship Type="http://schemas.openxmlformats.org/officeDocument/2006/relationships/worksheet" Target="/xl/worksheets/sheet1.xml" Id="Rf3288dcd6ab549ef" /><Relationship Type="http://schemas.openxmlformats.org/officeDocument/2006/relationships/worksheet" Target="/xl/worksheets/sheet2.xml" Id="R24b4448a5a9e4823" /><Relationship Type="http://schemas.openxmlformats.org/officeDocument/2006/relationships/worksheet" Target="/xl/worksheets/sheet3.xml" Id="Rd69ab1eacbb74f0a" /><Relationship Type="http://schemas.openxmlformats.org/officeDocument/2006/relationships/worksheet" Target="/xl/worksheets/sheet4.xml" Id="Rbc0844eb03164e57" /><Relationship Type="http://schemas.openxmlformats.org/officeDocument/2006/relationships/worksheet" Target="/xl/worksheets/sheet5.xml" Id="R426fa677afd640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db6868740a4b1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'Dashboard'!$D$5:$D$6</c:f>
              <c:strCache>
                <c:ptCount val="0"/>
              </c:strCache>
            </c:strRef>
          </c:cat>
          <c:val>
            <c:numRef>
              <c:f>'Dashboard'!$E$5:$E$6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db6868740a4b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407a6372586432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Month-End Bank Reconciliation &amp; Close Dashboard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Accounting teams need to reconcile bank transactions to GL cash records and find unmatched items, timing differences, and amount variances.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XLOOKUP match keys, SUMIFS, variance formulas, unmatched item flags, close dashboard, exception reporting.</x:v>
      </x:c>
    </x:row>
    <x:row r="8" ht="52" customHeight="1">
      <x:c r="A8" s="30" t="str">
        <x:v>Workbook Sheets</x:v>
      </x:c>
      <x:c r="B8" s="35" t="str">
        <x:v>README, Bank_Statement, GL_Cash_Book, Exceptions, Dashboard</x:v>
      </x:c>
    </x:row>
    <x:row r="9" ht="52" customHeight="1">
      <x:c r="A9" s="30" t="str">
        <x:v>Interview Talking Points</x:v>
      </x:c>
      <x:c r="B9" s="35" t="str">
        <x:v>Show how the file separates matched items from timing differences and errors for month-end close.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22" hidden="0" customWidth="1"/>
    <x:col min="5" max="5" width="14" hidden="0" customWidth="1"/>
    <x:col min="6" max="6" width="24" hidden="0" customWidth="1"/>
  </x:cols>
  <x:sheetData>
    <x:row r="1" ht="30" customHeight="1">
      <x:c r="A1" s="46" t="str">
        <x:v>Bank_ID</x:v>
      </x:c>
      <x:c r="B1" s="47" t="str">
        <x:v>Date</x:v>
      </x:c>
      <x:c r="C1" s="47" t="str">
        <x:v>Reference</x:v>
      </x:c>
      <x:c r="D1" s="47" t="str">
        <x:v>Description</x:v>
      </x:c>
      <x:c r="E1" s="47" t="str">
        <x:v>Bank_Amount</x:v>
      </x:c>
      <x:c r="F1" s="48" t="str">
        <x:v>Match_Key</x:v>
      </x:c>
    </x:row>
    <x:row r="2">
      <x:c r="A2" s="55" t="str">
        <x:v>BNK-0001</x:v>
      </x:c>
      <x:c r="B2" s="76" t="n">
        <x:v>46159</x:v>
      </x:c>
      <x:c r="C2" s="56" t="str">
        <x:v>REF-1001</x:v>
      </x:c>
      <x:c r="D2" s="56" t="str">
        <x:v>Deposit</x:v>
      </x:c>
      <x:c r="E2" s="80" t="n">
        <x:v>-4477.35</x:v>
      </x:c>
      <x:c r="F2" s="57" t="str">
        <x:f>C2&amp;"|"&amp;ROUND(E2,2)</x:f>
        <x:v>REF-1001|-4477.35</x:v>
      </x:c>
    </x:row>
    <x:row r="3">
      <x:c r="A3" s="55" t="str">
        <x:v>BNK-0002</x:v>
      </x:c>
      <x:c r="B3" s="76" t="n">
        <x:v>46150</x:v>
      </x:c>
      <x:c r="C3" s="56" t="str">
        <x:v>REF-1002</x:v>
      </x:c>
      <x:c r="D3" s="56" t="str">
        <x:v>Deposit</x:v>
      </x:c>
      <x:c r="E3" s="80" t="n">
        <x:v>-294.75</x:v>
      </x:c>
      <x:c r="F3" s="57" t="str">
        <x:f>C3&amp;"|"&amp;ROUND(E3,2)</x:f>
        <x:v>REF-1002|-294.75</x:v>
      </x:c>
    </x:row>
    <x:row r="4">
      <x:c r="A4" s="55" t="str">
        <x:v>BNK-0003</x:v>
      </x:c>
      <x:c r="B4" s="76" t="n">
        <x:v>46144</x:v>
      </x:c>
      <x:c r="C4" s="56" t="str">
        <x:v>REF-1003</x:v>
      </x:c>
      <x:c r="D4" s="56" t="str">
        <x:v>Supplier Payment</x:v>
      </x:c>
      <x:c r="E4" s="80" t="n">
        <x:v>11298.63</x:v>
      </x:c>
      <x:c r="F4" s="57" t="str">
        <x:f>C4&amp;"|"&amp;ROUND(E4,2)</x:f>
        <x:v>REF-1003|11298.63</x:v>
      </x:c>
    </x:row>
    <x:row r="5">
      <x:c r="A5" s="55" t="str">
        <x:v>BNK-0004</x:v>
      </x:c>
      <x:c r="B5" s="76" t="n">
        <x:v>46147</x:v>
      </x:c>
      <x:c r="C5" s="56" t="str">
        <x:v>REF-1004</x:v>
      </x:c>
      <x:c r="D5" s="56" t="str">
        <x:v>Bank Fee</x:v>
      </x:c>
      <x:c r="E5" s="80" t="n">
        <x:v>-1676.9</x:v>
      </x:c>
      <x:c r="F5" s="57" t="str">
        <x:f>C5&amp;"|"&amp;ROUND(E5,2)</x:f>
        <x:v>REF-1004|-1676.9</x:v>
      </x:c>
    </x:row>
    <x:row r="6">
      <x:c r="A6" s="55" t="str">
        <x:v>BNK-0005</x:v>
      </x:c>
      <x:c r="B6" s="76" t="n">
        <x:v>46165</x:v>
      </x:c>
      <x:c r="C6" s="56" t="str">
        <x:v>REF-1005</x:v>
      </x:c>
      <x:c r="D6" s="56" t="str">
        <x:v>Bank Fee</x:v>
      </x:c>
      <x:c r="E6" s="80" t="n">
        <x:v>-886.58</x:v>
      </x:c>
      <x:c r="F6" s="57" t="str">
        <x:f>C6&amp;"|"&amp;ROUND(E6,2)</x:f>
        <x:v>REF-1005|-886.58</x:v>
      </x:c>
    </x:row>
    <x:row r="7">
      <x:c r="A7" s="55" t="str">
        <x:v>BNK-0006</x:v>
      </x:c>
      <x:c r="B7" s="76" t="n">
        <x:v>46163</x:v>
      </x:c>
      <x:c r="C7" s="56" t="str">
        <x:v>REF-1006</x:v>
      </x:c>
      <x:c r="D7" s="56" t="str">
        <x:v>Supplier Payment</x:v>
      </x:c>
      <x:c r="E7" s="80" t="n">
        <x:v>-2630.77</x:v>
      </x:c>
      <x:c r="F7" s="57" t="str">
        <x:f>C7&amp;"|"&amp;ROUND(E7,2)</x:f>
        <x:v>REF-1006|-2630.77</x:v>
      </x:c>
    </x:row>
    <x:row r="8">
      <x:c r="A8" s="55" t="str">
        <x:v>BNK-0007</x:v>
      </x:c>
      <x:c r="B8" s="76" t="n">
        <x:v>46159</x:v>
      </x:c>
      <x:c r="C8" s="56" t="str">
        <x:v>REF-1007</x:v>
      </x:c>
      <x:c r="D8" s="56" t="str">
        <x:v>Customer EFT</x:v>
      </x:c>
      <x:c r="E8" s="80" t="n">
        <x:v>3570.56</x:v>
      </x:c>
      <x:c r="F8" s="57" t="str">
        <x:f>C8&amp;"|"&amp;ROUND(E8,2)</x:f>
        <x:v>REF-1007|3570.56</x:v>
      </x:c>
    </x:row>
    <x:row r="9">
      <x:c r="A9" s="55" t="str">
        <x:v>BNK-0008</x:v>
      </x:c>
      <x:c r="B9" s="76" t="n">
        <x:v>46153</x:v>
      </x:c>
      <x:c r="C9" s="56" t="str">
        <x:v>REF-1008</x:v>
      </x:c>
      <x:c r="D9" s="56" t="str">
        <x:v>Bank Fee</x:v>
      </x:c>
      <x:c r="E9" s="80" t="n">
        <x:v>-3319.95</x:v>
      </x:c>
      <x:c r="F9" s="57" t="str">
        <x:f>C9&amp;"|"&amp;ROUND(E9,2)</x:f>
        <x:v>REF-1008|-3319.95</x:v>
      </x:c>
    </x:row>
    <x:row r="10">
      <x:c r="A10" s="55" t="str">
        <x:v>BNK-0009</x:v>
      </x:c>
      <x:c r="B10" s="76" t="n">
        <x:v>46149</x:v>
      </x:c>
      <x:c r="C10" s="56" t="str">
        <x:v>REF-1009</x:v>
      </x:c>
      <x:c r="D10" s="56" t="str">
        <x:v>Deposit</x:v>
      </x:c>
      <x:c r="E10" s="80" t="n">
        <x:v>4438.93</x:v>
      </x:c>
      <x:c r="F10" s="57" t="str">
        <x:f>C10&amp;"|"&amp;ROUND(E10,2)</x:f>
        <x:v>REF-1009|4438.93</x:v>
      </x:c>
    </x:row>
    <x:row r="11">
      <x:c r="A11" s="55" t="str">
        <x:v>BNK-0010</x:v>
      </x:c>
      <x:c r="B11" s="76" t="n">
        <x:v>46157</x:v>
      </x:c>
      <x:c r="C11" s="56" t="str">
        <x:v>REF-1010</x:v>
      </x:c>
      <x:c r="D11" s="56" t="str">
        <x:v>Bank Fee</x:v>
      </x:c>
      <x:c r="E11" s="80" t="n">
        <x:v>-666.72</x:v>
      </x:c>
      <x:c r="F11" s="57" t="str">
        <x:f>C11&amp;"|"&amp;ROUND(E11,2)</x:f>
        <x:v>REF-1010|-666.72</x:v>
      </x:c>
    </x:row>
    <x:row r="12">
      <x:c r="A12" s="55" t="str">
        <x:v>BNK-0011</x:v>
      </x:c>
      <x:c r="B12" s="76" t="n">
        <x:v>46159</x:v>
      </x:c>
      <x:c r="C12" s="56" t="str">
        <x:v>REF-1011</x:v>
      </x:c>
      <x:c r="D12" s="56" t="str">
        <x:v>Customer EFT</x:v>
      </x:c>
      <x:c r="E12" s="80" t="n">
        <x:v>12165</x:v>
      </x:c>
      <x:c r="F12" s="57" t="str">
        <x:f>C12&amp;"|"&amp;ROUND(E12,2)</x:f>
        <x:v>REF-1011|12165</x:v>
      </x:c>
    </x:row>
    <x:row r="13">
      <x:c r="A13" s="55" t="str">
        <x:v>BNK-0012</x:v>
      </x:c>
      <x:c r="B13" s="76" t="n">
        <x:v>46167</x:v>
      </x:c>
      <x:c r="C13" s="56" t="str">
        <x:v>REF-1012</x:v>
      </x:c>
      <x:c r="D13" s="56" t="str">
        <x:v>Bank Fee</x:v>
      </x:c>
      <x:c r="E13" s="80" t="n">
        <x:v>-7280.51</x:v>
      </x:c>
      <x:c r="F13" s="57" t="str">
        <x:f>C13&amp;"|"&amp;ROUND(E13,2)</x:f>
        <x:v>REF-1012|-7280.51</x:v>
      </x:c>
    </x:row>
    <x:row r="14">
      <x:c r="A14" s="55" t="str">
        <x:v>BNK-0013</x:v>
      </x:c>
      <x:c r="B14" s="76" t="n">
        <x:v>46147</x:v>
      </x:c>
      <x:c r="C14" s="56" t="str">
        <x:v>REF-1013</x:v>
      </x:c>
      <x:c r="D14" s="56" t="str">
        <x:v>Bank Fee</x:v>
      </x:c>
      <x:c r="E14" s="80" t="n">
        <x:v>-5234.09</x:v>
      </x:c>
      <x:c r="F14" s="57" t="str">
        <x:f>C14&amp;"|"&amp;ROUND(E14,2)</x:f>
        <x:v>REF-1013|-5234.09</x:v>
      </x:c>
    </x:row>
    <x:row r="15">
      <x:c r="A15" s="55" t="str">
        <x:v>BNK-0014</x:v>
      </x:c>
      <x:c r="B15" s="76" t="n">
        <x:v>46157</x:v>
      </x:c>
      <x:c r="C15" s="56" t="str">
        <x:v>REF-1014</x:v>
      </x:c>
      <x:c r="D15" s="56" t="str">
        <x:v>Deposit</x:v>
      </x:c>
      <x:c r="E15" s="80" t="n">
        <x:v>5346.42</x:v>
      </x:c>
      <x:c r="F15" s="57" t="str">
        <x:f>C15&amp;"|"&amp;ROUND(E15,2)</x:f>
        <x:v>REF-1014|5346.42</x:v>
      </x:c>
    </x:row>
    <x:row r="16">
      <x:c r="A16" s="55" t="str">
        <x:v>BNK-0015</x:v>
      </x:c>
      <x:c r="B16" s="76" t="n">
        <x:v>46148</x:v>
      </x:c>
      <x:c r="C16" s="56" t="str">
        <x:v>REF-1015</x:v>
      </x:c>
      <x:c r="D16" s="56" t="str">
        <x:v>Bank Fee</x:v>
      </x:c>
      <x:c r="E16" s="80" t="n">
        <x:v>-3432.75</x:v>
      </x:c>
      <x:c r="F16" s="57" t="str">
        <x:f>C16&amp;"|"&amp;ROUND(E16,2)</x:f>
        <x:v>REF-1015|-3432.75</x:v>
      </x:c>
    </x:row>
    <x:row r="17">
      <x:c r="A17" s="55" t="str">
        <x:v>BNK-0016</x:v>
      </x:c>
      <x:c r="B17" s="76" t="n">
        <x:v>46158</x:v>
      </x:c>
      <x:c r="C17" s="56" t="str">
        <x:v>REF-1016</x:v>
      </x:c>
      <x:c r="D17" s="56" t="str">
        <x:v>Deposit</x:v>
      </x:c>
      <x:c r="E17" s="80" t="n">
        <x:v>-5256.88</x:v>
      </x:c>
      <x:c r="F17" s="57" t="str">
        <x:f>C17&amp;"|"&amp;ROUND(E17,2)</x:f>
        <x:v>REF-1016|-5256.88</x:v>
      </x:c>
    </x:row>
    <x:row r="18">
      <x:c r="A18" s="55" t="str">
        <x:v>BNK-0017</x:v>
      </x:c>
      <x:c r="B18" s="76" t="n">
        <x:v>46154</x:v>
      </x:c>
      <x:c r="C18" s="56" t="str">
        <x:v>REF-1017</x:v>
      </x:c>
      <x:c r="D18" s="56" t="str">
        <x:v>Deposit</x:v>
      </x:c>
      <x:c r="E18" s="80" t="n">
        <x:v>4364.64</x:v>
      </x:c>
      <x:c r="F18" s="57" t="str">
        <x:f>C18&amp;"|"&amp;ROUND(E18,2)</x:f>
        <x:v>REF-1017|4364.64</x:v>
      </x:c>
    </x:row>
    <x:row r="19">
      <x:c r="A19" s="55" t="str">
        <x:v>BNK-0018</x:v>
      </x:c>
      <x:c r="B19" s="76" t="n">
        <x:v>46155</x:v>
      </x:c>
      <x:c r="C19" s="56" t="str">
        <x:v>REF-1018</x:v>
      </x:c>
      <x:c r="D19" s="56" t="str">
        <x:v>Supplier Payment</x:v>
      </x:c>
      <x:c r="E19" s="80" t="n">
        <x:v>10160.62</x:v>
      </x:c>
      <x:c r="F19" s="57" t="str">
        <x:f>C19&amp;"|"&amp;ROUND(E19,2)</x:f>
        <x:v>REF-1018|10160.62</x:v>
      </x:c>
    </x:row>
    <x:row r="20">
      <x:c r="A20" s="55" t="str">
        <x:v>BNK-0019</x:v>
      </x:c>
      <x:c r="B20" s="76" t="n">
        <x:v>46155</x:v>
      </x:c>
      <x:c r="C20" s="56" t="str">
        <x:v>REF-1019</x:v>
      </x:c>
      <x:c r="D20" s="56" t="str">
        <x:v>Payroll</x:v>
      </x:c>
      <x:c r="E20" s="80" t="n">
        <x:v>-6907.81</x:v>
      </x:c>
      <x:c r="F20" s="57" t="str">
        <x:f>C20&amp;"|"&amp;ROUND(E20,2)</x:f>
        <x:v>REF-1019|-6907.81</x:v>
      </x:c>
    </x:row>
    <x:row r="21">
      <x:c r="A21" s="55" t="str">
        <x:v>BNK-0020</x:v>
      </x:c>
      <x:c r="B21" s="76" t="n">
        <x:v>46151</x:v>
      </x:c>
      <x:c r="C21" s="56" t="str">
        <x:v>REF-1020</x:v>
      </x:c>
      <x:c r="D21" s="56" t="str">
        <x:v>Bank Fee</x:v>
      </x:c>
      <x:c r="E21" s="80" t="n">
        <x:v>-1806.1</x:v>
      </x:c>
      <x:c r="F21" s="57" t="str">
        <x:f>C21&amp;"|"&amp;ROUND(E21,2)</x:f>
        <x:v>REF-1020|-1806.1</x:v>
      </x:c>
    </x:row>
    <x:row r="22">
      <x:c r="A22" s="55" t="str">
        <x:v>BNK-0021</x:v>
      </x:c>
      <x:c r="B22" s="76" t="n">
        <x:v>46169</x:v>
      </x:c>
      <x:c r="C22" s="56" t="str">
        <x:v>REF-1021</x:v>
      </x:c>
      <x:c r="D22" s="56" t="str">
        <x:v>Payroll</x:v>
      </x:c>
      <x:c r="E22" s="80" t="n">
        <x:v>-7541.84</x:v>
      </x:c>
      <x:c r="F22" s="57" t="str">
        <x:f>C22&amp;"|"&amp;ROUND(E22,2)</x:f>
        <x:v>REF-1021|-7541.84</x:v>
      </x:c>
    </x:row>
    <x:row r="23">
      <x:c r="A23" s="55" t="str">
        <x:v>BNK-0022</x:v>
      </x:c>
      <x:c r="B23" s="76" t="n">
        <x:v>46150</x:v>
      </x:c>
      <x:c r="C23" s="56" t="str">
        <x:v>REF-1022</x:v>
      </x:c>
      <x:c r="D23" s="56" t="str">
        <x:v>Deposit</x:v>
      </x:c>
      <x:c r="E23" s="80" t="n">
        <x:v>14650.94</x:v>
      </x:c>
      <x:c r="F23" s="57" t="str">
        <x:f>C23&amp;"|"&amp;ROUND(E23,2)</x:f>
        <x:v>REF-1022|14650.94</x:v>
      </x:c>
    </x:row>
    <x:row r="24">
      <x:c r="A24" s="55" t="str">
        <x:v>BNK-0023</x:v>
      </x:c>
      <x:c r="B24" s="76" t="n">
        <x:v>46158</x:v>
      </x:c>
      <x:c r="C24" s="56" t="str">
        <x:v>REF-1023</x:v>
      </x:c>
      <x:c r="D24" s="56" t="str">
        <x:v>Deposit</x:v>
      </x:c>
      <x:c r="E24" s="80" t="n">
        <x:v>-714.85</x:v>
      </x:c>
      <x:c r="F24" s="57" t="str">
        <x:f>C24&amp;"|"&amp;ROUND(E24,2)</x:f>
        <x:v>REF-1023|-714.85</x:v>
      </x:c>
    </x:row>
    <x:row r="25">
      <x:c r="A25" s="55" t="str">
        <x:v>BNK-0024</x:v>
      </x:c>
      <x:c r="B25" s="76" t="n">
        <x:v>46145</x:v>
      </x:c>
      <x:c r="C25" s="56" t="str">
        <x:v>REF-1024</x:v>
      </x:c>
      <x:c r="D25" s="56" t="str">
        <x:v>Bank Fee</x:v>
      </x:c>
      <x:c r="E25" s="80" t="n">
        <x:v>-5113.52</x:v>
      </x:c>
      <x:c r="F25" s="57" t="str">
        <x:f>C25&amp;"|"&amp;ROUND(E25,2)</x:f>
        <x:v>REF-1024|-5113.52</x:v>
      </x:c>
    </x:row>
    <x:row r="26">
      <x:c r="A26" s="55" t="str">
        <x:v>BNK-0025</x:v>
      </x:c>
      <x:c r="B26" s="76" t="n">
        <x:v>46159</x:v>
      </x:c>
      <x:c r="C26" s="56" t="str">
        <x:v>REF-1025</x:v>
      </x:c>
      <x:c r="D26" s="56" t="str">
        <x:v>Customer EFT</x:v>
      </x:c>
      <x:c r="E26" s="80" t="n">
        <x:v>-152.04</x:v>
      </x:c>
      <x:c r="F26" s="57" t="str">
        <x:f>C26&amp;"|"&amp;ROUND(E26,2)</x:f>
        <x:v>REF-1025|-152.04</x:v>
      </x:c>
    </x:row>
    <x:row r="27">
      <x:c r="A27" s="55" t="str">
        <x:v>BNK-0026</x:v>
      </x:c>
      <x:c r="B27" s="76" t="n">
        <x:v>46162</x:v>
      </x:c>
      <x:c r="C27" s="56" t="str">
        <x:v>REF-1026</x:v>
      </x:c>
      <x:c r="D27" s="56" t="str">
        <x:v>Customer EFT</x:v>
      </x:c>
      <x:c r="E27" s="80" t="n">
        <x:v>-1280.19</x:v>
      </x:c>
      <x:c r="F27" s="57" t="str">
        <x:f>C27&amp;"|"&amp;ROUND(E27,2)</x:f>
        <x:v>REF-1026|-1280.19</x:v>
      </x:c>
    </x:row>
    <x:row r="28">
      <x:c r="A28" s="55" t="str">
        <x:v>BNK-0027</x:v>
      </x:c>
      <x:c r="B28" s="76" t="n">
        <x:v>46164</x:v>
      </x:c>
      <x:c r="C28" s="56" t="str">
        <x:v>REF-1027</x:v>
      </x:c>
      <x:c r="D28" s="56" t="str">
        <x:v>Bank Fee</x:v>
      </x:c>
      <x:c r="E28" s="80" t="n">
        <x:v>6398.76</x:v>
      </x:c>
      <x:c r="F28" s="57" t="str">
        <x:f>C28&amp;"|"&amp;ROUND(E28,2)</x:f>
        <x:v>REF-1027|6398.76</x:v>
      </x:c>
    </x:row>
    <x:row r="29">
      <x:c r="A29" s="55" t="str">
        <x:v>BNK-0028</x:v>
      </x:c>
      <x:c r="B29" s="76" t="n">
        <x:v>46168</x:v>
      </x:c>
      <x:c r="C29" s="56" t="str">
        <x:v>REF-1028</x:v>
      </x:c>
      <x:c r="D29" s="56" t="str">
        <x:v>Bank Fee</x:v>
      </x:c>
      <x:c r="E29" s="80" t="n">
        <x:v>7043.12</x:v>
      </x:c>
      <x:c r="F29" s="57" t="str">
        <x:f>C29&amp;"|"&amp;ROUND(E29,2)</x:f>
        <x:v>REF-1028|7043.12</x:v>
      </x:c>
    </x:row>
    <x:row r="30">
      <x:c r="A30" s="55" t="str">
        <x:v>BNK-0029</x:v>
      </x:c>
      <x:c r="B30" s="76" t="n">
        <x:v>46168</x:v>
      </x:c>
      <x:c r="C30" s="56" t="str">
        <x:v>REF-1029</x:v>
      </x:c>
      <x:c r="D30" s="56" t="str">
        <x:v>Payroll</x:v>
      </x:c>
      <x:c r="E30" s="80" t="n">
        <x:v>-3525.06</x:v>
      </x:c>
      <x:c r="F30" s="57" t="str">
        <x:f>C30&amp;"|"&amp;ROUND(E30,2)</x:f>
        <x:v>REF-1029|-3525.06</x:v>
      </x:c>
    </x:row>
    <x:row r="31">
      <x:c r="A31" s="55" t="str">
        <x:v>BNK-0030</x:v>
      </x:c>
      <x:c r="B31" s="76" t="n">
        <x:v>46163</x:v>
      </x:c>
      <x:c r="C31" s="56" t="str">
        <x:v>REF-1030</x:v>
      </x:c>
      <x:c r="D31" s="56" t="str">
        <x:v>Deposit</x:v>
      </x:c>
      <x:c r="E31" s="80" t="n">
        <x:v>10951.27</x:v>
      </x:c>
      <x:c r="F31" s="57" t="str">
        <x:f>C31&amp;"|"&amp;ROUND(E31,2)</x:f>
        <x:v>REF-1030|10951.27</x:v>
      </x:c>
    </x:row>
    <x:row r="32">
      <x:c r="A32" s="55" t="str">
        <x:v>BNK-0031</x:v>
      </x:c>
      <x:c r="B32" s="76" t="n">
        <x:v>46172</x:v>
      </x:c>
      <x:c r="C32" s="56" t="str">
        <x:v>REF-1031</x:v>
      </x:c>
      <x:c r="D32" s="56" t="str">
        <x:v>Payroll</x:v>
      </x:c>
      <x:c r="E32" s="80" t="n">
        <x:v>8772.73</x:v>
      </x:c>
      <x:c r="F32" s="57" t="str">
        <x:f>C32&amp;"|"&amp;ROUND(E32,2)</x:f>
        <x:v>REF-1031|8772.73</x:v>
      </x:c>
    </x:row>
    <x:row r="33">
      <x:c r="A33" s="55" t="str">
        <x:v>BNK-0032</x:v>
      </x:c>
      <x:c r="B33" s="76" t="n">
        <x:v>46143</x:v>
      </x:c>
      <x:c r="C33" s="56" t="str">
        <x:v>REF-1032</x:v>
      </x:c>
      <x:c r="D33" s="56" t="str">
        <x:v>Bank Fee</x:v>
      </x:c>
      <x:c r="E33" s="80" t="n">
        <x:v>8906.63</x:v>
      </x:c>
      <x:c r="F33" s="57" t="str">
        <x:f>C33&amp;"|"&amp;ROUND(E33,2)</x:f>
        <x:v>REF-1032|8906.63</x:v>
      </x:c>
    </x:row>
    <x:row r="34">
      <x:c r="A34" s="55" t="str">
        <x:v>BNK-0033</x:v>
      </x:c>
      <x:c r="B34" s="76" t="n">
        <x:v>46173</x:v>
      </x:c>
      <x:c r="C34" s="56" t="str">
        <x:v>REF-1033</x:v>
      </x:c>
      <x:c r="D34" s="56" t="str">
        <x:v>Payroll</x:v>
      </x:c>
      <x:c r="E34" s="80" t="n">
        <x:v>4095.5</x:v>
      </x:c>
      <x:c r="F34" s="57" t="str">
        <x:f>C34&amp;"|"&amp;ROUND(E34,2)</x:f>
        <x:v>REF-1033|4095.5</x:v>
      </x:c>
    </x:row>
    <x:row r="35">
      <x:c r="A35" s="55" t="str">
        <x:v>BNK-0034</x:v>
      </x:c>
      <x:c r="B35" s="76" t="n">
        <x:v>46169</x:v>
      </x:c>
      <x:c r="C35" s="56" t="str">
        <x:v>REF-1034</x:v>
      </x:c>
      <x:c r="D35" s="56" t="str">
        <x:v>Bank Fee</x:v>
      </x:c>
      <x:c r="E35" s="80" t="n">
        <x:v>-1500.67</x:v>
      </x:c>
      <x:c r="F35" s="57" t="str">
        <x:f>C35&amp;"|"&amp;ROUND(E35,2)</x:f>
        <x:v>REF-1034|-1500.67</x:v>
      </x:c>
    </x:row>
    <x:row r="36">
      <x:c r="A36" s="55" t="str">
        <x:v>BNK-0035</x:v>
      </x:c>
      <x:c r="B36" s="76" t="n">
        <x:v>46172</x:v>
      </x:c>
      <x:c r="C36" s="56" t="str">
        <x:v>REF-1035</x:v>
      </x:c>
      <x:c r="D36" s="56" t="str">
        <x:v>Payroll</x:v>
      </x:c>
      <x:c r="E36" s="80" t="n">
        <x:v>10942.58</x:v>
      </x:c>
      <x:c r="F36" s="57" t="str">
        <x:f>C36&amp;"|"&amp;ROUND(E36,2)</x:f>
        <x:v>REF-1035|10942.58</x:v>
      </x:c>
    </x:row>
    <x:row r="37">
      <x:c r="A37" s="55" t="str">
        <x:v>BNK-0036</x:v>
      </x:c>
      <x:c r="B37" s="76" t="n">
        <x:v>46147</x:v>
      </x:c>
      <x:c r="C37" s="56" t="str">
        <x:v>REF-1036</x:v>
      </x:c>
      <x:c r="D37" s="56" t="str">
        <x:v>Deposit</x:v>
      </x:c>
      <x:c r="E37" s="80" t="n">
        <x:v>8422.25</x:v>
      </x:c>
      <x:c r="F37" s="57" t="str">
        <x:f>C37&amp;"|"&amp;ROUND(E37,2)</x:f>
        <x:v>REF-1036|8422.25</x:v>
      </x:c>
    </x:row>
    <x:row r="38">
      <x:c r="A38" s="55" t="str">
        <x:v>BNK-0037</x:v>
      </x:c>
      <x:c r="B38" s="76" t="n">
        <x:v>46172</x:v>
      </x:c>
      <x:c r="C38" s="56" t="str">
        <x:v>REF-1037</x:v>
      </x:c>
      <x:c r="D38" s="56" t="str">
        <x:v>Supplier Payment</x:v>
      </x:c>
      <x:c r="E38" s="80" t="n">
        <x:v>1884.79</x:v>
      </x:c>
      <x:c r="F38" s="57" t="str">
        <x:f>C38&amp;"|"&amp;ROUND(E38,2)</x:f>
        <x:v>REF-1037|1884.79</x:v>
      </x:c>
    </x:row>
    <x:row r="39">
      <x:c r="A39" s="55" t="str">
        <x:v>BNK-0038</x:v>
      </x:c>
      <x:c r="B39" s="76" t="n">
        <x:v>46147</x:v>
      </x:c>
      <x:c r="C39" s="56" t="str">
        <x:v>REF-1038</x:v>
      </x:c>
      <x:c r="D39" s="56" t="str">
        <x:v>Payroll</x:v>
      </x:c>
      <x:c r="E39" s="80" t="n">
        <x:v>-5333.09</x:v>
      </x:c>
      <x:c r="F39" s="57" t="str">
        <x:f>C39&amp;"|"&amp;ROUND(E39,2)</x:f>
        <x:v>REF-1038|-5333.09</x:v>
      </x:c>
    </x:row>
    <x:row r="40">
      <x:c r="A40" s="55" t="str">
        <x:v>BNK-0039</x:v>
      </x:c>
      <x:c r="B40" s="76" t="n">
        <x:v>46152</x:v>
      </x:c>
      <x:c r="C40" s="56" t="str">
        <x:v>REF-1039</x:v>
      </x:c>
      <x:c r="D40" s="56" t="str">
        <x:v>Bank Fee</x:v>
      </x:c>
      <x:c r="E40" s="80" t="n">
        <x:v>6928.25</x:v>
      </x:c>
      <x:c r="F40" s="57" t="str">
        <x:f>C40&amp;"|"&amp;ROUND(E40,2)</x:f>
        <x:v>REF-1039|6928.25</x:v>
      </x:c>
    </x:row>
    <x:row r="41">
      <x:c r="A41" s="55" t="str">
        <x:v>BNK-0040</x:v>
      </x:c>
      <x:c r="B41" s="76" t="n">
        <x:v>46150</x:v>
      </x:c>
      <x:c r="C41" s="56" t="str">
        <x:v>REF-1040</x:v>
      </x:c>
      <x:c r="D41" s="56" t="str">
        <x:v>Deposit</x:v>
      </x:c>
      <x:c r="E41" s="80" t="n">
        <x:v>4083.94</x:v>
      </x:c>
      <x:c r="F41" s="57" t="str">
        <x:f>C41&amp;"|"&amp;ROUND(E41,2)</x:f>
        <x:v>REF-1040|4083.94</x:v>
      </x:c>
    </x:row>
    <x:row r="42">
      <x:c r="A42" s="55" t="str">
        <x:v>BNK-0041</x:v>
      </x:c>
      <x:c r="B42" s="76" t="n">
        <x:v>46143</x:v>
      </x:c>
      <x:c r="C42" s="56" t="str">
        <x:v>REF-1041</x:v>
      </x:c>
      <x:c r="D42" s="56" t="str">
        <x:v>Deposit</x:v>
      </x:c>
      <x:c r="E42" s="80" t="n">
        <x:v>11391.97</x:v>
      </x:c>
      <x:c r="F42" s="57" t="str">
        <x:f>C42&amp;"|"&amp;ROUND(E42,2)</x:f>
        <x:v>REF-1041|11391.97</x:v>
      </x:c>
    </x:row>
    <x:row r="43">
      <x:c r="A43" s="55" t="str">
        <x:v>BNK-0042</x:v>
      </x:c>
      <x:c r="B43" s="76" t="n">
        <x:v>46157</x:v>
      </x:c>
      <x:c r="C43" s="56" t="str">
        <x:v>REF-1042</x:v>
      </x:c>
      <x:c r="D43" s="56" t="str">
        <x:v>Bank Fee</x:v>
      </x:c>
      <x:c r="E43" s="80" t="n">
        <x:v>2859.71</x:v>
      </x:c>
      <x:c r="F43" s="57" t="str">
        <x:f>C43&amp;"|"&amp;ROUND(E43,2)</x:f>
        <x:v>REF-1042|2859.71</x:v>
      </x:c>
    </x:row>
    <x:row r="44">
      <x:c r="A44" s="55" t="str">
        <x:v>BNK-0043</x:v>
      </x:c>
      <x:c r="B44" s="76" t="n">
        <x:v>46162</x:v>
      </x:c>
      <x:c r="C44" s="56" t="str">
        <x:v>REF-1043</x:v>
      </x:c>
      <x:c r="D44" s="56" t="str">
        <x:v>Deposit</x:v>
      </x:c>
      <x:c r="E44" s="80" t="n">
        <x:v>13284.31</x:v>
      </x:c>
      <x:c r="F44" s="57" t="str">
        <x:f>C44&amp;"|"&amp;ROUND(E44,2)</x:f>
        <x:v>REF-1043|13284.31</x:v>
      </x:c>
    </x:row>
    <x:row r="45">
      <x:c r="A45" s="55" t="str">
        <x:v>BNK-0044</x:v>
      </x:c>
      <x:c r="B45" s="76" t="n">
        <x:v>46154</x:v>
      </x:c>
      <x:c r="C45" s="56" t="str">
        <x:v>REF-1044</x:v>
      </x:c>
      <x:c r="D45" s="56" t="str">
        <x:v>Deposit</x:v>
      </x:c>
      <x:c r="E45" s="80" t="n">
        <x:v>8108.67</x:v>
      </x:c>
      <x:c r="F45" s="57" t="str">
        <x:f>C45&amp;"|"&amp;ROUND(E45,2)</x:f>
        <x:v>REF-1044|8108.67</x:v>
      </x:c>
    </x:row>
    <x:row r="46">
      <x:c r="A46" s="55" t="str">
        <x:v>BNK-0045</x:v>
      </x:c>
      <x:c r="B46" s="76" t="n">
        <x:v>46168</x:v>
      </x:c>
      <x:c r="C46" s="56" t="str">
        <x:v>REF-1045</x:v>
      </x:c>
      <x:c r="D46" s="56" t="str">
        <x:v>Deposit</x:v>
      </x:c>
      <x:c r="E46" s="80" t="n">
        <x:v>-7537.68</x:v>
      </x:c>
      <x:c r="F46" s="57" t="str">
        <x:f>C46&amp;"|"&amp;ROUND(E46,2)</x:f>
        <x:v>REF-1045|-7537.68</x:v>
      </x:c>
    </x:row>
    <x:row r="47">
      <x:c r="A47" s="55" t="str">
        <x:v>BNK-0046</x:v>
      </x:c>
      <x:c r="B47" s="76" t="n">
        <x:v>46156</x:v>
      </x:c>
      <x:c r="C47" s="56" t="str">
        <x:v>REF-1046</x:v>
      </x:c>
      <x:c r="D47" s="56" t="str">
        <x:v>Customer EFT</x:v>
      </x:c>
      <x:c r="E47" s="80" t="n">
        <x:v>12598.13</x:v>
      </x:c>
      <x:c r="F47" s="57" t="str">
        <x:f>C47&amp;"|"&amp;ROUND(E47,2)</x:f>
        <x:v>REF-1046|12598.13</x:v>
      </x:c>
    </x:row>
    <x:row r="48">
      <x:c r="A48" s="55" t="str">
        <x:v>BNK-0047</x:v>
      </x:c>
      <x:c r="B48" s="76" t="n">
        <x:v>46146</x:v>
      </x:c>
      <x:c r="C48" s="56" t="str">
        <x:v>REF-1047</x:v>
      </x:c>
      <x:c r="D48" s="56" t="str">
        <x:v>Bank Fee</x:v>
      </x:c>
      <x:c r="E48" s="80" t="n">
        <x:v>12072.77</x:v>
      </x:c>
      <x:c r="F48" s="57" t="str">
        <x:f>C48&amp;"|"&amp;ROUND(E48,2)</x:f>
        <x:v>REF-1047|12072.77</x:v>
      </x:c>
    </x:row>
    <x:row r="49">
      <x:c r="A49" s="55" t="str">
        <x:v>BNK-0048</x:v>
      </x:c>
      <x:c r="B49" s="76" t="n">
        <x:v>46146</x:v>
      </x:c>
      <x:c r="C49" s="56" t="str">
        <x:v>REF-1048</x:v>
      </x:c>
      <x:c r="D49" s="56" t="str">
        <x:v>Payroll</x:v>
      </x:c>
      <x:c r="E49" s="80" t="n">
        <x:v>7471.56</x:v>
      </x:c>
      <x:c r="F49" s="57" t="str">
        <x:f>C49&amp;"|"&amp;ROUND(E49,2)</x:f>
        <x:v>REF-1048|7471.56</x:v>
      </x:c>
    </x:row>
    <x:row r="50">
      <x:c r="A50" s="55" t="str">
        <x:v>BNK-0049</x:v>
      </x:c>
      <x:c r="B50" s="76" t="n">
        <x:v>46150</x:v>
      </x:c>
      <x:c r="C50" s="56" t="str">
        <x:v>REF-1049</x:v>
      </x:c>
      <x:c r="D50" s="56" t="str">
        <x:v>Payroll</x:v>
      </x:c>
      <x:c r="E50" s="80" t="n">
        <x:v>3517.48</x:v>
      </x:c>
      <x:c r="F50" s="57" t="str">
        <x:f>C50&amp;"|"&amp;ROUND(E50,2)</x:f>
        <x:v>REF-1049|3517.48</x:v>
      </x:c>
    </x:row>
    <x:row r="51">
      <x:c r="A51" s="55" t="str">
        <x:v>BNK-0050</x:v>
      </x:c>
      <x:c r="B51" s="76" t="n">
        <x:v>46161</x:v>
      </x:c>
      <x:c r="C51" s="56" t="str">
        <x:v>REF-1050</x:v>
      </x:c>
      <x:c r="D51" s="56" t="str">
        <x:v>Deposit</x:v>
      </x:c>
      <x:c r="E51" s="80" t="n">
        <x:v>7551.65</x:v>
      </x:c>
      <x:c r="F51" s="57" t="str">
        <x:f>C51&amp;"|"&amp;ROUND(E51,2)</x:f>
        <x:v>REF-1050|7551.65</x:v>
      </x:c>
    </x:row>
    <x:row r="52">
      <x:c r="A52" s="55" t="str">
        <x:v>BNK-0051</x:v>
      </x:c>
      <x:c r="B52" s="76" t="n">
        <x:v>46147</x:v>
      </x:c>
      <x:c r="C52" s="56" t="str">
        <x:v>REF-1051</x:v>
      </x:c>
      <x:c r="D52" s="56" t="str">
        <x:v>Supplier Payment</x:v>
      </x:c>
      <x:c r="E52" s="80" t="n">
        <x:v>371.38</x:v>
      </x:c>
      <x:c r="F52" s="57" t="str">
        <x:f>C52&amp;"|"&amp;ROUND(E52,2)</x:f>
        <x:v>REF-1051|371.38</x:v>
      </x:c>
    </x:row>
    <x:row r="53">
      <x:c r="A53" s="55" t="str">
        <x:v>BNK-0052</x:v>
      </x:c>
      <x:c r="B53" s="76" t="n">
        <x:v>46169</x:v>
      </x:c>
      <x:c r="C53" s="56" t="str">
        <x:v>REF-1052</x:v>
      </x:c>
      <x:c r="D53" s="56" t="str">
        <x:v>Customer EFT</x:v>
      </x:c>
      <x:c r="E53" s="80" t="n">
        <x:v>8932.05</x:v>
      </x:c>
      <x:c r="F53" s="57" t="str">
        <x:f>C53&amp;"|"&amp;ROUND(E53,2)</x:f>
        <x:v>REF-1052|8932.05</x:v>
      </x:c>
    </x:row>
    <x:row r="54">
      <x:c r="A54" s="55" t="str">
        <x:v>BNK-0053</x:v>
      </x:c>
      <x:c r="B54" s="76" t="n">
        <x:v>46149</x:v>
      </x:c>
      <x:c r="C54" s="56" t="str">
        <x:v>REF-1053</x:v>
      </x:c>
      <x:c r="D54" s="56" t="str">
        <x:v>Bank Fee</x:v>
      </x:c>
      <x:c r="E54" s="80" t="n">
        <x:v>-6942.54</x:v>
      </x:c>
      <x:c r="F54" s="57" t="str">
        <x:f>C54&amp;"|"&amp;ROUND(E54,2)</x:f>
        <x:v>REF-1053|-6942.54</x:v>
      </x:c>
    </x:row>
    <x:row r="55">
      <x:c r="A55" s="55" t="str">
        <x:v>BNK-0054</x:v>
      </x:c>
      <x:c r="B55" s="76" t="n">
        <x:v>46145</x:v>
      </x:c>
      <x:c r="C55" s="56" t="str">
        <x:v>REF-1054</x:v>
      </x:c>
      <x:c r="D55" s="56" t="str">
        <x:v>Customer EFT</x:v>
      </x:c>
      <x:c r="E55" s="80" t="n">
        <x:v>5494.38</x:v>
      </x:c>
      <x:c r="F55" s="57" t="str">
        <x:f>C55&amp;"|"&amp;ROUND(E55,2)</x:f>
        <x:v>REF-1054|5494.38</x:v>
      </x:c>
    </x:row>
    <x:row r="56">
      <x:c r="A56" s="55" t="str">
        <x:v>BNK-0055</x:v>
      </x:c>
      <x:c r="B56" s="76" t="n">
        <x:v>46172</x:v>
      </x:c>
      <x:c r="C56" s="56" t="str">
        <x:v>REF-1055</x:v>
      </x:c>
      <x:c r="D56" s="56" t="str">
        <x:v>Customer EFT</x:v>
      </x:c>
      <x:c r="E56" s="80" t="n">
        <x:v>13099.23</x:v>
      </x:c>
      <x:c r="F56" s="57" t="str">
        <x:f>C56&amp;"|"&amp;ROUND(E56,2)</x:f>
        <x:v>REF-1055|13099.23</x:v>
      </x:c>
    </x:row>
    <x:row r="57">
      <x:c r="A57" s="55" t="str">
        <x:v>BNK-0056</x:v>
      </x:c>
      <x:c r="B57" s="76" t="n">
        <x:v>46168</x:v>
      </x:c>
      <x:c r="C57" s="56" t="str">
        <x:v>REF-1056</x:v>
      </x:c>
      <x:c r="D57" s="56" t="str">
        <x:v>Payroll</x:v>
      </x:c>
      <x:c r="E57" s="80" t="n">
        <x:v>1896.55</x:v>
      </x:c>
      <x:c r="F57" s="57" t="str">
        <x:f>C57&amp;"|"&amp;ROUND(E57,2)</x:f>
        <x:v>REF-1056|1896.55</x:v>
      </x:c>
    </x:row>
    <x:row r="58">
      <x:c r="A58" s="55" t="str">
        <x:v>BNK-0057</x:v>
      </x:c>
      <x:c r="B58" s="76" t="n">
        <x:v>46167</x:v>
      </x:c>
      <x:c r="C58" s="56" t="str">
        <x:v>REF-1057</x:v>
      </x:c>
      <x:c r="D58" s="56" t="str">
        <x:v>Payroll</x:v>
      </x:c>
      <x:c r="E58" s="80" t="n">
        <x:v>9426.09</x:v>
      </x:c>
      <x:c r="F58" s="57" t="str">
        <x:f>C58&amp;"|"&amp;ROUND(E58,2)</x:f>
        <x:v>REF-1057|9426.09</x:v>
      </x:c>
    </x:row>
    <x:row r="59">
      <x:c r="A59" s="55" t="str">
        <x:v>BNK-0058</x:v>
      </x:c>
      <x:c r="B59" s="76" t="n">
        <x:v>46166</x:v>
      </x:c>
      <x:c r="C59" s="56" t="str">
        <x:v>REF-1058</x:v>
      </x:c>
      <x:c r="D59" s="56" t="str">
        <x:v>Customer EFT</x:v>
      </x:c>
      <x:c r="E59" s="80" t="n">
        <x:v>1707.8</x:v>
      </x:c>
      <x:c r="F59" s="57" t="str">
        <x:f>C59&amp;"|"&amp;ROUND(E59,2)</x:f>
        <x:v>REF-1058|1707.8</x:v>
      </x:c>
    </x:row>
    <x:row r="60">
      <x:c r="A60" s="55" t="str">
        <x:v>BNK-0059</x:v>
      </x:c>
      <x:c r="B60" s="76" t="n">
        <x:v>46160</x:v>
      </x:c>
      <x:c r="C60" s="56" t="str">
        <x:v>REF-1059</x:v>
      </x:c>
      <x:c r="D60" s="56" t="str">
        <x:v>Bank Fee</x:v>
      </x:c>
      <x:c r="E60" s="80" t="n">
        <x:v>-5130.04</x:v>
      </x:c>
      <x:c r="F60" s="57" t="str">
        <x:f>C60&amp;"|"&amp;ROUND(E60,2)</x:f>
        <x:v>REF-1059|-5130.04</x:v>
      </x:c>
    </x:row>
    <x:row r="61">
      <x:c r="A61" s="55" t="str">
        <x:v>BNK-0060</x:v>
      </x:c>
      <x:c r="B61" s="76" t="n">
        <x:v>46144</x:v>
      </x:c>
      <x:c r="C61" s="56" t="str">
        <x:v>REF-1060</x:v>
      </x:c>
      <x:c r="D61" s="56" t="str">
        <x:v>Customer EFT</x:v>
      </x:c>
      <x:c r="E61" s="80" t="n">
        <x:v>-4620.74</x:v>
      </x:c>
      <x:c r="F61" s="57" t="str">
        <x:f>C61&amp;"|"&amp;ROUND(E61,2)</x:f>
        <x:v>REF-1060|-4620.74</x:v>
      </x:c>
    </x:row>
    <x:row r="62">
      <x:c r="A62" s="55" t="str">
        <x:v>BNK-0061</x:v>
      </x:c>
      <x:c r="B62" s="76" t="n">
        <x:v>46164</x:v>
      </x:c>
      <x:c r="C62" s="56" t="str">
        <x:v>REF-1061</x:v>
      </x:c>
      <x:c r="D62" s="56" t="str">
        <x:v>Bank Fee</x:v>
      </x:c>
      <x:c r="E62" s="80" t="n">
        <x:v>10456.38</x:v>
      </x:c>
      <x:c r="F62" s="57" t="str">
        <x:f>C62&amp;"|"&amp;ROUND(E62,2)</x:f>
        <x:v>REF-1061|10456.38</x:v>
      </x:c>
    </x:row>
    <x:row r="63">
      <x:c r="A63" s="55" t="str">
        <x:v>BNK-0062</x:v>
      </x:c>
      <x:c r="B63" s="76" t="n">
        <x:v>46151</x:v>
      </x:c>
      <x:c r="C63" s="56" t="str">
        <x:v>REF-1062</x:v>
      </x:c>
      <x:c r="D63" s="56" t="str">
        <x:v>Deposit</x:v>
      </x:c>
      <x:c r="E63" s="80" t="n">
        <x:v>11600.52</x:v>
      </x:c>
      <x:c r="F63" s="57" t="str">
        <x:f>C63&amp;"|"&amp;ROUND(E63,2)</x:f>
        <x:v>REF-1062|11600.52</x:v>
      </x:c>
    </x:row>
    <x:row r="64">
      <x:c r="A64" s="55" t="str">
        <x:v>BNK-0063</x:v>
      </x:c>
      <x:c r="B64" s="76" t="n">
        <x:v>46147</x:v>
      </x:c>
      <x:c r="C64" s="56" t="str">
        <x:v>REF-1063</x:v>
      </x:c>
      <x:c r="D64" s="56" t="str">
        <x:v>Deposit</x:v>
      </x:c>
      <x:c r="E64" s="80" t="n">
        <x:v>2427.92</x:v>
      </x:c>
      <x:c r="F64" s="57" t="str">
        <x:f>C64&amp;"|"&amp;ROUND(E64,2)</x:f>
        <x:v>REF-1063|2427.92</x:v>
      </x:c>
    </x:row>
    <x:row r="65">
      <x:c r="A65" s="55" t="str">
        <x:v>BNK-0064</x:v>
      </x:c>
      <x:c r="B65" s="76" t="n">
        <x:v>46171</x:v>
      </x:c>
      <x:c r="C65" s="56" t="str">
        <x:v>REF-1064</x:v>
      </x:c>
      <x:c r="D65" s="56" t="str">
        <x:v>Supplier Payment</x:v>
      </x:c>
      <x:c r="E65" s="80" t="n">
        <x:v>5381.7</x:v>
      </x:c>
      <x:c r="F65" s="57" t="str">
        <x:f>C65&amp;"|"&amp;ROUND(E65,2)</x:f>
        <x:v>REF-1064|5381.7</x:v>
      </x:c>
    </x:row>
    <x:row r="66">
      <x:c r="A66" s="55" t="str">
        <x:v>BNK-0065</x:v>
      </x:c>
      <x:c r="B66" s="76" t="n">
        <x:v>46159</x:v>
      </x:c>
      <x:c r="C66" s="56" t="str">
        <x:v>REF-1065</x:v>
      </x:c>
      <x:c r="D66" s="56" t="str">
        <x:v>Deposit</x:v>
      </x:c>
      <x:c r="E66" s="80" t="n">
        <x:v>11997</x:v>
      </x:c>
      <x:c r="F66" s="57" t="str">
        <x:f>C66&amp;"|"&amp;ROUND(E66,2)</x:f>
        <x:v>REF-1065|11997</x:v>
      </x:c>
    </x:row>
    <x:row r="67">
      <x:c r="A67" s="55" t="str">
        <x:v>BNK-0066</x:v>
      </x:c>
      <x:c r="B67" s="76" t="n">
        <x:v>46161</x:v>
      </x:c>
      <x:c r="C67" s="56" t="str">
        <x:v>REF-1066</x:v>
      </x:c>
      <x:c r="D67" s="56" t="str">
        <x:v>Payroll</x:v>
      </x:c>
      <x:c r="E67" s="80" t="n">
        <x:v>4368.51</x:v>
      </x:c>
      <x:c r="F67" s="57" t="str">
        <x:f>C67&amp;"|"&amp;ROUND(E67,2)</x:f>
        <x:v>REF-1066|4368.51</x:v>
      </x:c>
    </x:row>
    <x:row r="68">
      <x:c r="A68" s="55" t="str">
        <x:v>BNK-0067</x:v>
      </x:c>
      <x:c r="B68" s="76" t="n">
        <x:v>46150</x:v>
      </x:c>
      <x:c r="C68" s="56" t="str">
        <x:v>REF-1067</x:v>
      </x:c>
      <x:c r="D68" s="56" t="str">
        <x:v>Bank Fee</x:v>
      </x:c>
      <x:c r="E68" s="80" t="n">
        <x:v>10577.76</x:v>
      </x:c>
      <x:c r="F68" s="57" t="str">
        <x:f>C68&amp;"|"&amp;ROUND(E68,2)</x:f>
        <x:v>REF-1067|10577.76</x:v>
      </x:c>
    </x:row>
    <x:row r="69">
      <x:c r="A69" s="55" t="str">
        <x:v>BNK-0068</x:v>
      </x:c>
      <x:c r="B69" s="76" t="n">
        <x:v>46151</x:v>
      </x:c>
      <x:c r="C69" s="56" t="str">
        <x:v>REF-1068</x:v>
      </x:c>
      <x:c r="D69" s="56" t="str">
        <x:v>Payroll</x:v>
      </x:c>
      <x:c r="E69" s="80" t="n">
        <x:v>-6384.02</x:v>
      </x:c>
      <x:c r="F69" s="57" t="str">
        <x:f>C69&amp;"|"&amp;ROUND(E69,2)</x:f>
        <x:v>REF-1068|-6384.02</x:v>
      </x:c>
    </x:row>
    <x:row r="70">
      <x:c r="A70" s="55" t="str">
        <x:v>BNK-0069</x:v>
      </x:c>
      <x:c r="B70" s="76" t="n">
        <x:v>46157</x:v>
      </x:c>
      <x:c r="C70" s="56" t="str">
        <x:v>REF-1069</x:v>
      </x:c>
      <x:c r="D70" s="56" t="str">
        <x:v>Bank Fee</x:v>
      </x:c>
      <x:c r="E70" s="80" t="n">
        <x:v>-5876.97</x:v>
      </x:c>
      <x:c r="F70" s="57" t="str">
        <x:f>C70&amp;"|"&amp;ROUND(E70,2)</x:f>
        <x:v>REF-1069|-5876.97</x:v>
      </x:c>
    </x:row>
    <x:row r="71">
      <x:c r="A71" s="55" t="str">
        <x:v>BNK-0070</x:v>
      </x:c>
      <x:c r="B71" s="76" t="n">
        <x:v>46168</x:v>
      </x:c>
      <x:c r="C71" s="56" t="str">
        <x:v>REF-1070</x:v>
      </x:c>
      <x:c r="D71" s="56" t="str">
        <x:v>Payroll</x:v>
      </x:c>
      <x:c r="E71" s="80" t="n">
        <x:v>8118.2</x:v>
      </x:c>
      <x:c r="F71" s="57" t="str">
        <x:f>C71&amp;"|"&amp;ROUND(E71,2)</x:f>
        <x:v>REF-1070|8118.2</x:v>
      </x:c>
    </x:row>
    <x:row r="72">
      <x:c r="A72" s="55" t="str">
        <x:v>BNK-0071</x:v>
      </x:c>
      <x:c r="B72" s="76" t="n">
        <x:v>46165</x:v>
      </x:c>
      <x:c r="C72" s="56" t="str">
        <x:v>REF-1071</x:v>
      </x:c>
      <x:c r="D72" s="56" t="str">
        <x:v>Bank Fee</x:v>
      </x:c>
      <x:c r="E72" s="80" t="n">
        <x:v>6689.41</x:v>
      </x:c>
      <x:c r="F72" s="57" t="str">
        <x:f>C72&amp;"|"&amp;ROUND(E72,2)</x:f>
        <x:v>REF-1071|6689.41</x:v>
      </x:c>
    </x:row>
    <x:row r="73">
      <x:c r="A73" s="55" t="str">
        <x:v>BNK-0072</x:v>
      </x:c>
      <x:c r="B73" s="76" t="n">
        <x:v>46145</x:v>
      </x:c>
      <x:c r="C73" s="56" t="str">
        <x:v>REF-1072</x:v>
      </x:c>
      <x:c r="D73" s="56" t="str">
        <x:v>Customer EFT</x:v>
      </x:c>
      <x:c r="E73" s="80" t="n">
        <x:v>-3832.17</x:v>
      </x:c>
      <x:c r="F73" s="57" t="str">
        <x:f>C73&amp;"|"&amp;ROUND(E73,2)</x:f>
        <x:v>REF-1072|-3832.17</x:v>
      </x:c>
    </x:row>
    <x:row r="74">
      <x:c r="A74" s="55" t="str">
        <x:v>BNK-0073</x:v>
      </x:c>
      <x:c r="B74" s="76" t="n">
        <x:v>46156</x:v>
      </x:c>
      <x:c r="C74" s="56" t="str">
        <x:v>REF-1073</x:v>
      </x:c>
      <x:c r="D74" s="56" t="str">
        <x:v>Customer EFT</x:v>
      </x:c>
      <x:c r="E74" s="80" t="n">
        <x:v>13777.43</x:v>
      </x:c>
      <x:c r="F74" s="57" t="str">
        <x:f>C74&amp;"|"&amp;ROUND(E74,2)</x:f>
        <x:v>REF-1073|13777.43</x:v>
      </x:c>
    </x:row>
    <x:row r="75">
      <x:c r="A75" s="55" t="str">
        <x:v>BNK-0074</x:v>
      </x:c>
      <x:c r="B75" s="76" t="n">
        <x:v>46153</x:v>
      </x:c>
      <x:c r="C75" s="56" t="str">
        <x:v>REF-1074</x:v>
      </x:c>
      <x:c r="D75" s="56" t="str">
        <x:v>Bank Fee</x:v>
      </x:c>
      <x:c r="E75" s="80" t="n">
        <x:v>-4753.34</x:v>
      </x:c>
      <x:c r="F75" s="57" t="str">
        <x:f>C75&amp;"|"&amp;ROUND(E75,2)</x:f>
        <x:v>REF-1074|-4753.34</x:v>
      </x:c>
    </x:row>
    <x:row r="76">
      <x:c r="A76" s="55" t="str">
        <x:v>BNK-0075</x:v>
      </x:c>
      <x:c r="B76" s="76" t="n">
        <x:v>46152</x:v>
      </x:c>
      <x:c r="C76" s="56" t="str">
        <x:v>REF-1075</x:v>
      </x:c>
      <x:c r="D76" s="56" t="str">
        <x:v>Bank Fee</x:v>
      </x:c>
      <x:c r="E76" s="80" t="n">
        <x:v>-6344.22</x:v>
      </x:c>
      <x:c r="F76" s="57" t="str">
        <x:f>C76&amp;"|"&amp;ROUND(E76,2)</x:f>
        <x:v>REF-1075|-6344.22</x:v>
      </x:c>
    </x:row>
    <x:row r="77">
      <x:c r="A77" s="55" t="str">
        <x:v>BNK-0076</x:v>
      </x:c>
      <x:c r="B77" s="76" t="n">
        <x:v>46167</x:v>
      </x:c>
      <x:c r="C77" s="56" t="str">
        <x:v>REF-1076</x:v>
      </x:c>
      <x:c r="D77" s="56" t="str">
        <x:v>Deposit</x:v>
      </x:c>
      <x:c r="E77" s="80" t="n">
        <x:v>8975.92</x:v>
      </x:c>
      <x:c r="F77" s="57" t="str">
        <x:f>C77&amp;"|"&amp;ROUND(E77,2)</x:f>
        <x:v>REF-1076|8975.92</x:v>
      </x:c>
    </x:row>
    <x:row r="78">
      <x:c r="A78" s="55" t="str">
        <x:v>BNK-0077</x:v>
      </x:c>
      <x:c r="B78" s="76" t="n">
        <x:v>46159</x:v>
      </x:c>
      <x:c r="C78" s="56" t="str">
        <x:v>REF-1077</x:v>
      </x:c>
      <x:c r="D78" s="56" t="str">
        <x:v>Deposit</x:v>
      </x:c>
      <x:c r="E78" s="80" t="n">
        <x:v>-3002.03</x:v>
      </x:c>
      <x:c r="F78" s="57" t="str">
        <x:f>C78&amp;"|"&amp;ROUND(E78,2)</x:f>
        <x:v>REF-1077|-3002.03</x:v>
      </x:c>
    </x:row>
    <x:row r="79">
      <x:c r="A79" s="55" t="str">
        <x:v>BNK-0078</x:v>
      </x:c>
      <x:c r="B79" s="76" t="n">
        <x:v>46151</x:v>
      </x:c>
      <x:c r="C79" s="56" t="str">
        <x:v>REF-1078</x:v>
      </x:c>
      <x:c r="D79" s="56" t="str">
        <x:v>Supplier Payment</x:v>
      </x:c>
      <x:c r="E79" s="80" t="n">
        <x:v>10839.3</x:v>
      </x:c>
      <x:c r="F79" s="57" t="str">
        <x:f>C79&amp;"|"&amp;ROUND(E79,2)</x:f>
        <x:v>REF-1078|10839.3</x:v>
      </x:c>
    </x:row>
    <x:row r="80">
      <x:c r="A80" s="55" t="str">
        <x:v>BNK-0079</x:v>
      </x:c>
      <x:c r="B80" s="76" t="n">
        <x:v>46150</x:v>
      </x:c>
      <x:c r="C80" s="56" t="str">
        <x:v>REF-1079</x:v>
      </x:c>
      <x:c r="D80" s="56" t="str">
        <x:v>Supplier Payment</x:v>
      </x:c>
      <x:c r="E80" s="80" t="n">
        <x:v>2347.9</x:v>
      </x:c>
      <x:c r="F80" s="57" t="str">
        <x:f>C80&amp;"|"&amp;ROUND(E80,2)</x:f>
        <x:v>REF-1079|2347.9</x:v>
      </x:c>
    </x:row>
    <x:row r="81">
      <x:c r="A81" s="55" t="str">
        <x:v>BNK-0080</x:v>
      </x:c>
      <x:c r="B81" s="76" t="n">
        <x:v>46157</x:v>
      </x:c>
      <x:c r="C81" s="56" t="str">
        <x:v>REF-1080</x:v>
      </x:c>
      <x:c r="D81" s="56" t="str">
        <x:v>Deposit</x:v>
      </x:c>
      <x:c r="E81" s="80" t="n">
        <x:v>2157.26</x:v>
      </x:c>
      <x:c r="F81" s="57" t="str">
        <x:f>C81&amp;"|"&amp;ROUND(E81,2)</x:f>
        <x:v>REF-1080|2157.26</x:v>
      </x:c>
    </x:row>
    <x:row r="82">
      <x:c r="A82" s="55" t="str">
        <x:v>BNK-0081</x:v>
      </x:c>
      <x:c r="B82" s="76" t="n">
        <x:v>46154</x:v>
      </x:c>
      <x:c r="C82" s="56" t="str">
        <x:v>REF-1081</x:v>
      </x:c>
      <x:c r="D82" s="56" t="str">
        <x:v>Supplier Payment</x:v>
      </x:c>
      <x:c r="E82" s="80" t="n">
        <x:v>4033.71</x:v>
      </x:c>
      <x:c r="F82" s="57" t="str">
        <x:f>C82&amp;"|"&amp;ROUND(E82,2)</x:f>
        <x:v>REF-1081|4033.71</x:v>
      </x:c>
    </x:row>
    <x:row r="83">
      <x:c r="A83" s="55" t="str">
        <x:v>BNK-0082</x:v>
      </x:c>
      <x:c r="B83" s="76" t="n">
        <x:v>46149</x:v>
      </x:c>
      <x:c r="C83" s="56" t="str">
        <x:v>REF-1082</x:v>
      </x:c>
      <x:c r="D83" s="56" t="str">
        <x:v>Bank Fee</x:v>
      </x:c>
      <x:c r="E83" s="80" t="n">
        <x:v>1857.34</x:v>
      </x:c>
      <x:c r="F83" s="57" t="str">
        <x:f>C83&amp;"|"&amp;ROUND(E83,2)</x:f>
        <x:v>REF-1082|1857.34</x:v>
      </x:c>
    </x:row>
    <x:row r="84">
      <x:c r="A84" s="55" t="str">
        <x:v>BNK-0083</x:v>
      </x:c>
      <x:c r="B84" s="76" t="n">
        <x:v>46145</x:v>
      </x:c>
      <x:c r="C84" s="56" t="str">
        <x:v>REF-1083</x:v>
      </x:c>
      <x:c r="D84" s="56" t="str">
        <x:v>Bank Fee</x:v>
      </x:c>
      <x:c r="E84" s="80" t="n">
        <x:v>11212.67</x:v>
      </x:c>
      <x:c r="F84" s="57" t="str">
        <x:f>C84&amp;"|"&amp;ROUND(E84,2)</x:f>
        <x:v>REF-1083|11212.67</x:v>
      </x:c>
    </x:row>
    <x:row r="85">
      <x:c r="A85" s="55" t="str">
        <x:v>BNK-0084</x:v>
      </x:c>
      <x:c r="B85" s="76" t="n">
        <x:v>46160</x:v>
      </x:c>
      <x:c r="C85" s="56" t="str">
        <x:v>REF-1084</x:v>
      </x:c>
      <x:c r="D85" s="56" t="str">
        <x:v>Customer EFT</x:v>
      </x:c>
      <x:c r="E85" s="80" t="n">
        <x:v>-6268.24</x:v>
      </x:c>
      <x:c r="F85" s="57" t="str">
        <x:f>C85&amp;"|"&amp;ROUND(E85,2)</x:f>
        <x:v>REF-1084|-6268.24</x:v>
      </x:c>
    </x:row>
    <x:row r="86">
      <x:c r="A86" s="55" t="str">
        <x:v>BNK-0085</x:v>
      </x:c>
      <x:c r="B86" s="76" t="n">
        <x:v>46147</x:v>
      </x:c>
      <x:c r="C86" s="56" t="str">
        <x:v>REF-1085</x:v>
      </x:c>
      <x:c r="D86" s="56" t="str">
        <x:v>Customer EFT</x:v>
      </x:c>
      <x:c r="E86" s="80" t="n">
        <x:v>14740.4</x:v>
      </x:c>
      <x:c r="F86" s="57" t="str">
        <x:f>C86&amp;"|"&amp;ROUND(E86,2)</x:f>
        <x:v>REF-1085|14740.4</x:v>
      </x:c>
    </x:row>
    <x:row r="87">
      <x:c r="A87" s="55" t="str">
        <x:v>BNK-0086</x:v>
      </x:c>
      <x:c r="B87" s="76" t="n">
        <x:v>46172</x:v>
      </x:c>
      <x:c r="C87" s="56" t="str">
        <x:v>REF-1086</x:v>
      </x:c>
      <x:c r="D87" s="56" t="str">
        <x:v>Supplier Payment</x:v>
      </x:c>
      <x:c r="E87" s="80" t="n">
        <x:v>-7699.16</x:v>
      </x:c>
      <x:c r="F87" s="57" t="str">
        <x:f>C87&amp;"|"&amp;ROUND(E87,2)</x:f>
        <x:v>REF-1086|-7699.16</x:v>
      </x:c>
    </x:row>
    <x:row r="88">
      <x:c r="A88" s="55" t="str">
        <x:v>BNK-0087</x:v>
      </x:c>
      <x:c r="B88" s="76" t="n">
        <x:v>46165</x:v>
      </x:c>
      <x:c r="C88" s="56" t="str">
        <x:v>REF-1087</x:v>
      </x:c>
      <x:c r="D88" s="56" t="str">
        <x:v>Bank Fee</x:v>
      </x:c>
      <x:c r="E88" s="80" t="n">
        <x:v>-4665.65</x:v>
      </x:c>
      <x:c r="F88" s="57" t="str">
        <x:f>C88&amp;"|"&amp;ROUND(E88,2)</x:f>
        <x:v>REF-1087|-4665.65</x:v>
      </x:c>
    </x:row>
    <x:row r="89">
      <x:c r="A89" s="55" t="str">
        <x:v>BNK-0088</x:v>
      </x:c>
      <x:c r="B89" s="76" t="n">
        <x:v>46165</x:v>
      </x:c>
      <x:c r="C89" s="56" t="str">
        <x:v>REF-1088</x:v>
      </x:c>
      <x:c r="D89" s="56" t="str">
        <x:v>Deposit</x:v>
      </x:c>
      <x:c r="E89" s="80" t="n">
        <x:v>6491.94</x:v>
      </x:c>
      <x:c r="F89" s="57" t="str">
        <x:f>C89&amp;"|"&amp;ROUND(E89,2)</x:f>
        <x:v>REF-1088|6491.94</x:v>
      </x:c>
    </x:row>
    <x:row r="90">
      <x:c r="A90" s="55" t="str">
        <x:v>BNK-0089</x:v>
      </x:c>
      <x:c r="B90" s="76" t="n">
        <x:v>46155</x:v>
      </x:c>
      <x:c r="C90" s="56" t="str">
        <x:v>REF-1089</x:v>
      </x:c>
      <x:c r="D90" s="56" t="str">
        <x:v>Deposit</x:v>
      </x:c>
      <x:c r="E90" s="80" t="n">
        <x:v>1163.78</x:v>
      </x:c>
      <x:c r="F90" s="57" t="str">
        <x:f>C90&amp;"|"&amp;ROUND(E90,2)</x:f>
        <x:v>REF-1089|1163.78</x:v>
      </x:c>
    </x:row>
    <x:row r="91">
      <x:c r="A91" s="55" t="str">
        <x:v>BNK-0090</x:v>
      </x:c>
      <x:c r="B91" s="76" t="n">
        <x:v>46169</x:v>
      </x:c>
      <x:c r="C91" s="56" t="str">
        <x:v>REF-1090</x:v>
      </x:c>
      <x:c r="D91" s="56" t="str">
        <x:v>Bank Fee</x:v>
      </x:c>
      <x:c r="E91" s="80" t="n">
        <x:v>650.74</x:v>
      </x:c>
      <x:c r="F91" s="57" t="str">
        <x:f>C91&amp;"|"&amp;ROUND(E91,2)</x:f>
        <x:v>REF-1090|650.74</x:v>
      </x:c>
    </x:row>
    <x:row r="92">
      <x:c r="A92" s="55" t="str">
        <x:v>BNK-0091</x:v>
      </x:c>
      <x:c r="B92" s="76" t="n">
        <x:v>46153</x:v>
      </x:c>
      <x:c r="C92" s="56" t="str">
        <x:v>REF-1091</x:v>
      </x:c>
      <x:c r="D92" s="56" t="str">
        <x:v>Customer EFT</x:v>
      </x:c>
      <x:c r="E92" s="80" t="n">
        <x:v>266.95</x:v>
      </x:c>
      <x:c r="F92" s="57" t="str">
        <x:f>C92&amp;"|"&amp;ROUND(E92,2)</x:f>
        <x:v>REF-1091|266.95</x:v>
      </x:c>
    </x:row>
    <x:row r="93">
      <x:c r="A93" s="55" t="str">
        <x:v>BNK-0092</x:v>
      </x:c>
      <x:c r="B93" s="76" t="n">
        <x:v>46159</x:v>
      </x:c>
      <x:c r="C93" s="56" t="str">
        <x:v>REF-1092</x:v>
      </x:c>
      <x:c r="D93" s="56" t="str">
        <x:v>Payroll</x:v>
      </x:c>
      <x:c r="E93" s="80" t="n">
        <x:v>7536</x:v>
      </x:c>
      <x:c r="F93" s="57" t="str">
        <x:f>C93&amp;"|"&amp;ROUND(E93,2)</x:f>
        <x:v>REF-1092|7536</x:v>
      </x:c>
    </x:row>
    <x:row r="94">
      <x:c r="A94" s="55" t="str">
        <x:v>BNK-0093</x:v>
      </x:c>
      <x:c r="B94" s="76" t="n">
        <x:v>46145</x:v>
      </x:c>
      <x:c r="C94" s="56" t="str">
        <x:v>REF-1093</x:v>
      </x:c>
      <x:c r="D94" s="56" t="str">
        <x:v>Deposit</x:v>
      </x:c>
      <x:c r="E94" s="80" t="n">
        <x:v>13124.54</x:v>
      </x:c>
      <x:c r="F94" s="57" t="str">
        <x:f>C94&amp;"|"&amp;ROUND(E94,2)</x:f>
        <x:v>REF-1093|13124.54</x:v>
      </x:c>
    </x:row>
    <x:row r="95">
      <x:c r="A95" s="55" t="str">
        <x:v>BNK-0094</x:v>
      </x:c>
      <x:c r="B95" s="76" t="n">
        <x:v>46155</x:v>
      </x:c>
      <x:c r="C95" s="56" t="str">
        <x:v>REF-1094</x:v>
      </x:c>
      <x:c r="D95" s="56" t="str">
        <x:v>Deposit</x:v>
      </x:c>
      <x:c r="E95" s="80" t="n">
        <x:v>10807.13</x:v>
      </x:c>
      <x:c r="F95" s="57" t="str">
        <x:f>C95&amp;"|"&amp;ROUND(E95,2)</x:f>
        <x:v>REF-1094|10807.13</x:v>
      </x:c>
    </x:row>
    <x:row r="96">
      <x:c r="A96" s="55" t="str">
        <x:v>BNK-0095</x:v>
      </x:c>
      <x:c r="B96" s="76" t="n">
        <x:v>46146</x:v>
      </x:c>
      <x:c r="C96" s="56" t="str">
        <x:v>REF-1095</x:v>
      </x:c>
      <x:c r="D96" s="56" t="str">
        <x:v>Deposit</x:v>
      </x:c>
      <x:c r="E96" s="80" t="n">
        <x:v>7093.79</x:v>
      </x:c>
      <x:c r="F96" s="57" t="str">
        <x:f>C96&amp;"|"&amp;ROUND(E96,2)</x:f>
        <x:v>REF-1095|7093.79</x:v>
      </x:c>
    </x:row>
    <x:row r="97">
      <x:c r="A97" s="55" t="str">
        <x:v>BNK-0096</x:v>
      </x:c>
      <x:c r="B97" s="76" t="n">
        <x:v>46158</x:v>
      </x:c>
      <x:c r="C97" s="56" t="str">
        <x:v>REF-1096</x:v>
      </x:c>
      <x:c r="D97" s="56" t="str">
        <x:v>Payroll</x:v>
      </x:c>
      <x:c r="E97" s="80" t="n">
        <x:v>1955.68</x:v>
      </x:c>
      <x:c r="F97" s="57" t="str">
        <x:f>C97&amp;"|"&amp;ROUND(E97,2)</x:f>
        <x:v>REF-1096|1955.68</x:v>
      </x:c>
    </x:row>
    <x:row r="98">
      <x:c r="A98" s="55" t="str">
        <x:v>BNK-0097</x:v>
      </x:c>
      <x:c r="B98" s="76" t="n">
        <x:v>46166</x:v>
      </x:c>
      <x:c r="C98" s="56" t="str">
        <x:v>REF-1097</x:v>
      </x:c>
      <x:c r="D98" s="56" t="str">
        <x:v>Supplier Payment</x:v>
      </x:c>
      <x:c r="E98" s="80" t="n">
        <x:v>-1085.74</x:v>
      </x:c>
      <x:c r="F98" s="57" t="str">
        <x:f>C98&amp;"|"&amp;ROUND(E98,2)</x:f>
        <x:v>REF-1097|-1085.74</x:v>
      </x:c>
    </x:row>
    <x:row r="99">
      <x:c r="A99" s="55" t="str">
        <x:v>BNK-0098</x:v>
      </x:c>
      <x:c r="B99" s="76" t="n">
        <x:v>46154</x:v>
      </x:c>
      <x:c r="C99" s="56" t="str">
        <x:v>REF-1098</x:v>
      </x:c>
      <x:c r="D99" s="56" t="str">
        <x:v>Payroll</x:v>
      </x:c>
      <x:c r="E99" s="80" t="n">
        <x:v>10259.12</x:v>
      </x:c>
      <x:c r="F99" s="57" t="str">
        <x:f>C99&amp;"|"&amp;ROUND(E99,2)</x:f>
        <x:v>REF-1098|10259.12</x:v>
      </x:c>
    </x:row>
    <x:row r="100">
      <x:c r="A100" s="55" t="str">
        <x:v>BNK-0099</x:v>
      </x:c>
      <x:c r="B100" s="76" t="n">
        <x:v>46149</x:v>
      </x:c>
      <x:c r="C100" s="56" t="str">
        <x:v>REF-1099</x:v>
      </x:c>
      <x:c r="D100" s="56" t="str">
        <x:v>Deposit</x:v>
      </x:c>
      <x:c r="E100" s="80" t="n">
        <x:v>-4292.69</x:v>
      </x:c>
      <x:c r="F100" s="57" t="str">
        <x:f>C100&amp;"|"&amp;ROUND(E100,2)</x:f>
        <x:v>REF-1099|-4292.69</x:v>
      </x:c>
    </x:row>
    <x:row r="101">
      <x:c r="A101" s="55" t="str">
        <x:v>BNK-0100</x:v>
      </x:c>
      <x:c r="B101" s="76" t="n">
        <x:v>46155</x:v>
      </x:c>
      <x:c r="C101" s="56" t="str">
        <x:v>REF-1100</x:v>
      </x:c>
      <x:c r="D101" s="56" t="str">
        <x:v>Payroll</x:v>
      </x:c>
      <x:c r="E101" s="80" t="n">
        <x:v>13674.82</x:v>
      </x:c>
      <x:c r="F101" s="57" t="str">
        <x:f>C101&amp;"|"&amp;ROUND(E101,2)</x:f>
        <x:v>REF-1100|13674.82</x:v>
      </x:c>
    </x:row>
    <x:row r="102">
      <x:c r="A102" s="55" t="str">
        <x:v>BNK-0101</x:v>
      </x:c>
      <x:c r="B102" s="76" t="n">
        <x:v>46152</x:v>
      </x:c>
      <x:c r="C102" s="56" t="str">
        <x:v>REF-1101</x:v>
      </x:c>
      <x:c r="D102" s="56" t="str">
        <x:v>Payroll</x:v>
      </x:c>
      <x:c r="E102" s="80" t="n">
        <x:v>13782.57</x:v>
      </x:c>
      <x:c r="F102" s="57" t="str">
        <x:f>C102&amp;"|"&amp;ROUND(E102,2)</x:f>
        <x:v>REF-1101|13782.57</x:v>
      </x:c>
    </x:row>
    <x:row r="103">
      <x:c r="A103" s="55" t="str">
        <x:v>BNK-0102</x:v>
      </x:c>
      <x:c r="B103" s="76" t="n">
        <x:v>46173</x:v>
      </x:c>
      <x:c r="C103" s="56" t="str">
        <x:v>REF-1102</x:v>
      </x:c>
      <x:c r="D103" s="56" t="str">
        <x:v>Payroll</x:v>
      </x:c>
      <x:c r="E103" s="80" t="n">
        <x:v>-5107.28</x:v>
      </x:c>
      <x:c r="F103" s="57" t="str">
        <x:f>C103&amp;"|"&amp;ROUND(E103,2)</x:f>
        <x:v>REF-1102|-5107.28</x:v>
      </x:c>
    </x:row>
    <x:row r="104">
      <x:c r="A104" s="55" t="str">
        <x:v>BNK-0103</x:v>
      </x:c>
      <x:c r="B104" s="76" t="n">
        <x:v>46158</x:v>
      </x:c>
      <x:c r="C104" s="56" t="str">
        <x:v>REF-1103</x:v>
      </x:c>
      <x:c r="D104" s="56" t="str">
        <x:v>Payroll</x:v>
      </x:c>
      <x:c r="E104" s="80" t="n">
        <x:v>-1613.78</x:v>
      </x:c>
      <x:c r="F104" s="57" t="str">
        <x:f>C104&amp;"|"&amp;ROUND(E104,2)</x:f>
        <x:v>REF-1103|-1613.78</x:v>
      </x:c>
    </x:row>
    <x:row r="105">
      <x:c r="A105" s="55" t="str">
        <x:v>BNK-0104</x:v>
      </x:c>
      <x:c r="B105" s="76" t="n">
        <x:v>46161</x:v>
      </x:c>
      <x:c r="C105" s="56" t="str">
        <x:v>REF-1104</x:v>
      </x:c>
      <x:c r="D105" s="56" t="str">
        <x:v>Deposit</x:v>
      </x:c>
      <x:c r="E105" s="80" t="n">
        <x:v>13107.43</x:v>
      </x:c>
      <x:c r="F105" s="57" t="str">
        <x:f>C105&amp;"|"&amp;ROUND(E105,2)</x:f>
        <x:v>REF-1104|13107.43</x:v>
      </x:c>
    </x:row>
    <x:row r="106">
      <x:c r="A106" s="55" t="str">
        <x:v>BNK-0105</x:v>
      </x:c>
      <x:c r="B106" s="76" t="n">
        <x:v>46149</x:v>
      </x:c>
      <x:c r="C106" s="56" t="str">
        <x:v>REF-1105</x:v>
      </x:c>
      <x:c r="D106" s="56" t="str">
        <x:v>Deposit</x:v>
      </x:c>
      <x:c r="E106" s="80" t="n">
        <x:v>4067.12</x:v>
      </x:c>
      <x:c r="F106" s="57" t="str">
        <x:f>C106&amp;"|"&amp;ROUND(E106,2)</x:f>
        <x:v>REF-1105|4067.12</x:v>
      </x:c>
    </x:row>
    <x:row r="107">
      <x:c r="A107" s="55" t="str">
        <x:v>BNK-0106</x:v>
      </x:c>
      <x:c r="B107" s="76" t="n">
        <x:v>46153</x:v>
      </x:c>
      <x:c r="C107" s="56" t="str">
        <x:v>REF-1106</x:v>
      </x:c>
      <x:c r="D107" s="56" t="str">
        <x:v>Supplier Payment</x:v>
      </x:c>
      <x:c r="E107" s="80" t="n">
        <x:v>14508.88</x:v>
      </x:c>
      <x:c r="F107" s="57" t="str">
        <x:f>C107&amp;"|"&amp;ROUND(E107,2)</x:f>
        <x:v>REF-1106|14508.88</x:v>
      </x:c>
    </x:row>
    <x:row r="108">
      <x:c r="A108" s="55" t="str">
        <x:v>BNK-0107</x:v>
      </x:c>
      <x:c r="B108" s="76" t="n">
        <x:v>46152</x:v>
      </x:c>
      <x:c r="C108" s="56" t="str">
        <x:v>REF-1107</x:v>
      </x:c>
      <x:c r="D108" s="56" t="str">
        <x:v>Bank Fee</x:v>
      </x:c>
      <x:c r="E108" s="80" t="n">
        <x:v>10609.32</x:v>
      </x:c>
      <x:c r="F108" s="57" t="str">
        <x:f>C108&amp;"|"&amp;ROUND(E108,2)</x:f>
        <x:v>REF-1107|10609.32</x:v>
      </x:c>
    </x:row>
    <x:row r="109">
      <x:c r="A109" s="55" t="str">
        <x:v>BNK-0108</x:v>
      </x:c>
      <x:c r="B109" s="76" t="n">
        <x:v>46148</x:v>
      </x:c>
      <x:c r="C109" s="56" t="str">
        <x:v>REF-1108</x:v>
      </x:c>
      <x:c r="D109" s="56" t="str">
        <x:v>Bank Fee</x:v>
      </x:c>
      <x:c r="E109" s="80" t="n">
        <x:v>7994.32</x:v>
      </x:c>
      <x:c r="F109" s="57" t="str">
        <x:f>C109&amp;"|"&amp;ROUND(E109,2)</x:f>
        <x:v>REF-1108|7994.32</x:v>
      </x:c>
    </x:row>
    <x:row r="110">
      <x:c r="A110" s="55" t="str">
        <x:v>BNK-0109</x:v>
      </x:c>
      <x:c r="B110" s="76" t="n">
        <x:v>46158</x:v>
      </x:c>
      <x:c r="C110" s="56" t="str">
        <x:v>REF-1109</x:v>
      </x:c>
      <x:c r="D110" s="56" t="str">
        <x:v>Supplier Payment</x:v>
      </x:c>
      <x:c r="E110" s="80" t="n">
        <x:v>2484.42</x:v>
      </x:c>
      <x:c r="F110" s="57" t="str">
        <x:f>C110&amp;"|"&amp;ROUND(E110,2)</x:f>
        <x:v>REF-1109|2484.42</x:v>
      </x:c>
    </x:row>
    <x:row r="111">
      <x:c r="A111" s="55" t="str">
        <x:v>BNK-0110</x:v>
      </x:c>
      <x:c r="B111" s="76" t="n">
        <x:v>46143</x:v>
      </x:c>
      <x:c r="C111" s="56" t="str">
        <x:v>REF-1110</x:v>
      </x:c>
      <x:c r="D111" s="56" t="str">
        <x:v>Payroll</x:v>
      </x:c>
      <x:c r="E111" s="80" t="n">
        <x:v>9407.33</x:v>
      </x:c>
      <x:c r="F111" s="57" t="str">
        <x:f>C111&amp;"|"&amp;ROUND(E111,2)</x:f>
        <x:v>REF-1110|9407.33</x:v>
      </x:c>
    </x:row>
    <x:row r="112">
      <x:c r="A112" s="55" t="str">
        <x:v>BNK-0111</x:v>
      </x:c>
      <x:c r="B112" s="76" t="n">
        <x:v>46156</x:v>
      </x:c>
      <x:c r="C112" s="56" t="str">
        <x:v>REF-1111</x:v>
      </x:c>
      <x:c r="D112" s="56" t="str">
        <x:v>Deposit</x:v>
      </x:c>
      <x:c r="E112" s="80" t="n">
        <x:v>11644.89</x:v>
      </x:c>
      <x:c r="F112" s="57" t="str">
        <x:f>C112&amp;"|"&amp;ROUND(E112,2)</x:f>
        <x:v>REF-1111|11644.89</x:v>
      </x:c>
    </x:row>
    <x:row r="113">
      <x:c r="A113" s="55" t="str">
        <x:v>BNK-0112</x:v>
      </x:c>
      <x:c r="B113" s="76" t="n">
        <x:v>46153</x:v>
      </x:c>
      <x:c r="C113" s="56" t="str">
        <x:v>REF-1112</x:v>
      </x:c>
      <x:c r="D113" s="56" t="str">
        <x:v>Deposit</x:v>
      </x:c>
      <x:c r="E113" s="80" t="n">
        <x:v>13894.85</x:v>
      </x:c>
      <x:c r="F113" s="57" t="str">
        <x:f>C113&amp;"|"&amp;ROUND(E113,2)</x:f>
        <x:v>REF-1112|13894.85</x:v>
      </x:c>
    </x:row>
    <x:row r="114">
      <x:c r="A114" s="55" t="str">
        <x:v>BNK-0113</x:v>
      </x:c>
      <x:c r="B114" s="76" t="n">
        <x:v>46154</x:v>
      </x:c>
      <x:c r="C114" s="56" t="str">
        <x:v>REF-1113</x:v>
      </x:c>
      <x:c r="D114" s="56" t="str">
        <x:v>Customer EFT</x:v>
      </x:c>
      <x:c r="E114" s="80" t="n">
        <x:v>6170.01</x:v>
      </x:c>
      <x:c r="F114" s="57" t="str">
        <x:f>C114&amp;"|"&amp;ROUND(E114,2)</x:f>
        <x:v>REF-1113|6170.01</x:v>
      </x:c>
    </x:row>
    <x:row r="115">
      <x:c r="A115" s="55" t="str">
        <x:v>BNK-0114</x:v>
      </x:c>
      <x:c r="B115" s="76" t="n">
        <x:v>46153</x:v>
      </x:c>
      <x:c r="C115" s="56" t="str">
        <x:v>REF-1114</x:v>
      </x:c>
      <x:c r="D115" s="56" t="str">
        <x:v>Deposit</x:v>
      </x:c>
      <x:c r="E115" s="80" t="n">
        <x:v>-558.84</x:v>
      </x:c>
      <x:c r="F115" s="57" t="str">
        <x:f>C115&amp;"|"&amp;ROUND(E115,2)</x:f>
        <x:v>REF-1114|-558.84</x:v>
      </x:c>
    </x:row>
    <x:row r="116">
      <x:c r="A116" s="55" t="str">
        <x:v>BNK-0115</x:v>
      </x:c>
      <x:c r="B116" s="76" t="n">
        <x:v>46173</x:v>
      </x:c>
      <x:c r="C116" s="56" t="str">
        <x:v>REF-1115</x:v>
      </x:c>
      <x:c r="D116" s="56" t="str">
        <x:v>Payroll</x:v>
      </x:c>
      <x:c r="E116" s="80" t="n">
        <x:v>-7660.24</x:v>
      </x:c>
      <x:c r="F116" s="57" t="str">
        <x:f>C116&amp;"|"&amp;ROUND(E116,2)</x:f>
        <x:v>REF-1115|-7660.24</x:v>
      </x:c>
    </x:row>
    <x:row r="117">
      <x:c r="A117" s="55" t="str">
        <x:v>BNK-0116</x:v>
      </x:c>
      <x:c r="B117" s="76" t="n">
        <x:v>46149</x:v>
      </x:c>
      <x:c r="C117" s="56" t="str">
        <x:v>REF-1116</x:v>
      </x:c>
      <x:c r="D117" s="56" t="str">
        <x:v>Supplier Payment</x:v>
      </x:c>
      <x:c r="E117" s="80" t="n">
        <x:v>628.95</x:v>
      </x:c>
      <x:c r="F117" s="57" t="str">
        <x:f>C117&amp;"|"&amp;ROUND(E117,2)</x:f>
        <x:v>REF-1116|628.95</x:v>
      </x:c>
    </x:row>
    <x:row r="118">
      <x:c r="A118" s="55" t="str">
        <x:v>BNK-0117</x:v>
      </x:c>
      <x:c r="B118" s="76" t="n">
        <x:v>46166</x:v>
      </x:c>
      <x:c r="C118" s="56" t="str">
        <x:v>REF-1117</x:v>
      </x:c>
      <x:c r="D118" s="56" t="str">
        <x:v>Customer EFT</x:v>
      </x:c>
      <x:c r="E118" s="80" t="n">
        <x:v>9451.36</x:v>
      </x:c>
      <x:c r="F118" s="57" t="str">
        <x:f>C118&amp;"|"&amp;ROUND(E118,2)</x:f>
        <x:v>REF-1117|9451.36</x:v>
      </x:c>
    </x:row>
    <x:row r="119">
      <x:c r="A119" s="55" t="str">
        <x:v>BNK-0118</x:v>
      </x:c>
      <x:c r="B119" s="76" t="n">
        <x:v>46168</x:v>
      </x:c>
      <x:c r="C119" s="56" t="str">
        <x:v>REF-1118</x:v>
      </x:c>
      <x:c r="D119" s="56" t="str">
        <x:v>Supplier Payment</x:v>
      </x:c>
      <x:c r="E119" s="80" t="n">
        <x:v>-8470.35</x:v>
      </x:c>
      <x:c r="F119" s="57" t="str">
        <x:f>C119&amp;"|"&amp;ROUND(E119,2)</x:f>
        <x:v>REF-1118|-8470.35</x:v>
      </x:c>
    </x:row>
    <x:row r="120">
      <x:c r="A120" s="55" t="str">
        <x:v>BNK-0119</x:v>
      </x:c>
      <x:c r="B120" s="76" t="n">
        <x:v>46158</x:v>
      </x:c>
      <x:c r="C120" s="56" t="str">
        <x:v>REF-1119</x:v>
      </x:c>
      <x:c r="D120" s="56" t="str">
        <x:v>Payroll</x:v>
      </x:c>
      <x:c r="E120" s="80" t="n">
        <x:v>-5520.97</x:v>
      </x:c>
      <x:c r="F120" s="57" t="str">
        <x:f>C120&amp;"|"&amp;ROUND(E120,2)</x:f>
        <x:v>REF-1119|-5520.97</x:v>
      </x:c>
    </x:row>
    <x:row r="121">
      <x:c r="A121" s="58" t="str">
        <x:v>BNK-0120</x:v>
      </x:c>
      <x:c r="B121" s="77" t="n">
        <x:v>46169</x:v>
      </x:c>
      <x:c r="C121" s="59" t="str">
        <x:v>REF-1120</x:v>
      </x:c>
      <x:c r="D121" s="59" t="str">
        <x:v>Supplier Payment</x:v>
      </x:c>
      <x:c r="E121" s="81" t="n">
        <x:v>-5028.61</x:v>
      </x:c>
      <x:c r="F121" s="60" t="str">
        <x:f>C121&amp;"|"&amp;ROUND(E121,2)</x:f>
        <x:v>REF-1120|-5028.61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22" hidden="0" customWidth="1"/>
    <x:col min="5" max="5" width="14" hidden="0" customWidth="1"/>
    <x:col min="6" max="6" width="24" hidden="0" customWidth="1"/>
    <x:col min="7" max="7" width="20" hidden="0" customWidth="1"/>
    <x:col min="8" max="8" width="14" hidden="0" customWidth="1"/>
  </x:cols>
  <x:sheetData>
    <x:row r="1" ht="30" customHeight="1">
      <x:c r="A1" s="94" t="str">
        <x:v>GL_ID</x:v>
      </x:c>
      <x:c r="B1" s="95" t="str">
        <x:v>Posting_Date</x:v>
      </x:c>
      <x:c r="C1" s="95" t="str">
        <x:v>Reference</x:v>
      </x:c>
      <x:c r="D1" s="95" t="str">
        <x:v>Description</x:v>
      </x:c>
      <x:c r="E1" s="95" t="str">
        <x:v>GL_Amount</x:v>
      </x:c>
      <x:c r="F1" s="95" t="str">
        <x:v>Match_Key</x:v>
      </x:c>
      <x:c r="G1" s="95" t="str">
        <x:v>Recon_Status</x:v>
      </x:c>
      <x:c r="H1" s="96" t="str">
        <x:v>Variance</x:v>
      </x:c>
    </x:row>
    <x:row r="2">
      <x:c r="A2" s="55" t="str">
        <x:v>GL-0001</x:v>
      </x:c>
      <x:c r="B2" s="76" t="n">
        <x:v>46164</x:v>
      </x:c>
      <x:c r="C2" s="56" t="str">
        <x:v>REF-1001</x:v>
      </x:c>
      <x:c r="D2" s="56" t="str">
        <x:v>Cash posting</x:v>
      </x:c>
      <x:c r="E2" s="80" t="n">
        <x:v>-4477.35</x:v>
      </x:c>
      <x:c r="F2" s="56" t="str">
        <x:f>C2&amp;"|"&amp;ROUND(E2,2)</x:f>
        <x:v>REF-1001|-4477.35</x:v>
      </x:c>
      <x:c r="G2" s="56" t="str">
        <x:f>IF(COUNTIF(Bank_Statement!$F:$F,F2)&gt;0,"Matched","Unmatched GL Item")</x:f>
        <x:v>Matched</x:v>
      </x:c>
      <x:c r="H2" s="100" t="n">
        <x:f>IF(G2="Matched",0,E2)</x:f>
        <x:v>0</x:v>
      </x:c>
    </x:row>
    <x:row r="3">
      <x:c r="A3" s="55" t="str">
        <x:v>GL-0002</x:v>
      </x:c>
      <x:c r="B3" s="76" t="n">
        <x:v>46157</x:v>
      </x:c>
      <x:c r="C3" s="56" t="str">
        <x:v>REF-1002</x:v>
      </x:c>
      <x:c r="D3" s="56" t="str">
        <x:v>Cash posting</x:v>
      </x:c>
      <x:c r="E3" s="80" t="n">
        <x:v>-294.75</x:v>
      </x:c>
      <x:c r="F3" s="56" t="str">
        <x:f>C3&amp;"|"&amp;ROUND(E3,2)</x:f>
        <x:v>REF-1002|-294.75</x:v>
      </x:c>
      <x:c r="G3" s="56" t="str">
        <x:f>IF(COUNTIF(Bank_Statement!$F:$F,F3)&gt;0,"Matched","Unmatched GL Item")</x:f>
        <x:v>Matched</x:v>
      </x:c>
      <x:c r="H3" s="100" t="n">
        <x:f>IF(G3="Matched",0,E3)</x:f>
        <x:v>0</x:v>
      </x:c>
    </x:row>
    <x:row r="4">
      <x:c r="A4" s="55" t="str">
        <x:v>GL-0003</x:v>
      </x:c>
      <x:c r="B4" s="76" t="n">
        <x:v>46159</x:v>
      </x:c>
      <x:c r="C4" s="56" t="str">
        <x:v>REF-1003</x:v>
      </x:c>
      <x:c r="D4" s="56" t="str">
        <x:v>Cash posting</x:v>
      </x:c>
      <x:c r="E4" s="80" t="n">
        <x:v>11298.63</x:v>
      </x:c>
      <x:c r="F4" s="56" t="str">
        <x:f>C4&amp;"|"&amp;ROUND(E4,2)</x:f>
        <x:v>REF-1003|11298.63</x:v>
      </x:c>
      <x:c r="G4" s="56" t="str">
        <x:f>IF(COUNTIF(Bank_Statement!$F:$F,F4)&gt;0,"Matched","Unmatched GL Item")</x:f>
        <x:v>Matched</x:v>
      </x:c>
      <x:c r="H4" s="100" t="n">
        <x:f>IF(G4="Matched",0,E4)</x:f>
        <x:v>0</x:v>
      </x:c>
    </x:row>
    <x:row r="5">
      <x:c r="A5" s="55" t="str">
        <x:v>GL-0004</x:v>
      </x:c>
      <x:c r="B5" s="76" t="n">
        <x:v>46152</x:v>
      </x:c>
      <x:c r="C5" s="56" t="str">
        <x:v>REF-1005</x:v>
      </x:c>
      <x:c r="D5" s="56" t="str">
        <x:v>Cash posting</x:v>
      </x:c>
      <x:c r="E5" s="80" t="n">
        <x:v>-886.58</x:v>
      </x:c>
      <x:c r="F5" s="56" t="str">
        <x:f>C5&amp;"|"&amp;ROUND(E5,2)</x:f>
        <x:v>REF-1005|-886.58</x:v>
      </x:c>
      <x:c r="G5" s="56" t="str">
        <x:f>IF(COUNTIF(Bank_Statement!$F:$F,F5)&gt;0,"Matched","Unmatched GL Item")</x:f>
        <x:v>Matched</x:v>
      </x:c>
      <x:c r="H5" s="100" t="n">
        <x:f>IF(G5="Matched",0,E5)</x:f>
        <x:v>0</x:v>
      </x:c>
    </x:row>
    <x:row r="6">
      <x:c r="A6" s="55" t="str">
        <x:v>GL-0005</x:v>
      </x:c>
      <x:c r="B6" s="76" t="n">
        <x:v>46145</x:v>
      </x:c>
      <x:c r="C6" s="56" t="str">
        <x:v>REF-1006</x:v>
      </x:c>
      <x:c r="D6" s="56" t="str">
        <x:v>Cash posting</x:v>
      </x:c>
      <x:c r="E6" s="80" t="n">
        <x:v>-2630.77</x:v>
      </x:c>
      <x:c r="F6" s="56" t="str">
        <x:f>C6&amp;"|"&amp;ROUND(E6,2)</x:f>
        <x:v>REF-1006|-2630.77</x:v>
      </x:c>
      <x:c r="G6" s="56" t="str">
        <x:f>IF(COUNTIF(Bank_Statement!$F:$F,F6)&gt;0,"Matched","Unmatched GL Item")</x:f>
        <x:v>Matched</x:v>
      </x:c>
      <x:c r="H6" s="100" t="n">
        <x:f>IF(G6="Matched",0,E6)</x:f>
        <x:v>0</x:v>
      </x:c>
    </x:row>
    <x:row r="7">
      <x:c r="A7" s="55" t="str">
        <x:v>GL-0006</x:v>
      </x:c>
      <x:c r="B7" s="76" t="n">
        <x:v>46169</x:v>
      </x:c>
      <x:c r="C7" s="56" t="str">
        <x:v>REF-1007</x:v>
      </x:c>
      <x:c r="D7" s="56" t="str">
        <x:v>Cash posting</x:v>
      </x:c>
      <x:c r="E7" s="80" t="n">
        <x:v>3570.56</x:v>
      </x:c>
      <x:c r="F7" s="56" t="str">
        <x:f>C7&amp;"|"&amp;ROUND(E7,2)</x:f>
        <x:v>REF-1007|3570.56</x:v>
      </x:c>
      <x:c r="G7" s="56" t="str">
        <x:f>IF(COUNTIF(Bank_Statement!$F:$F,F7)&gt;0,"Matched","Unmatched GL Item")</x:f>
        <x:v>Matched</x:v>
      </x:c>
      <x:c r="H7" s="100" t="n">
        <x:f>IF(G7="Matched",0,E7)</x:f>
        <x:v>0</x:v>
      </x:c>
    </x:row>
    <x:row r="8">
      <x:c r="A8" s="55" t="str">
        <x:v>GL-0007</x:v>
      </x:c>
      <x:c r="B8" s="76" t="n">
        <x:v>46150</x:v>
      </x:c>
      <x:c r="C8" s="56" t="str">
        <x:v>REF-1008</x:v>
      </x:c>
      <x:c r="D8" s="56" t="str">
        <x:v>Cash posting</x:v>
      </x:c>
      <x:c r="E8" s="80" t="n">
        <x:v>-3319.95</x:v>
      </x:c>
      <x:c r="F8" s="56" t="str">
        <x:f>C8&amp;"|"&amp;ROUND(E8,2)</x:f>
        <x:v>REF-1008|-3319.95</x:v>
      </x:c>
      <x:c r="G8" s="56" t="str">
        <x:f>IF(COUNTIF(Bank_Statement!$F:$F,F8)&gt;0,"Matched","Unmatched GL Item")</x:f>
        <x:v>Matched</x:v>
      </x:c>
      <x:c r="H8" s="100" t="n">
        <x:f>IF(G8="Matched",0,E8)</x:f>
        <x:v>0</x:v>
      </x:c>
    </x:row>
    <x:row r="9">
      <x:c r="A9" s="55" t="str">
        <x:v>GL-0008</x:v>
      </x:c>
      <x:c r="B9" s="76" t="n">
        <x:v>46173</x:v>
      </x:c>
      <x:c r="C9" s="56" t="str">
        <x:v>REF-1009</x:v>
      </x:c>
      <x:c r="D9" s="56" t="str">
        <x:v>Cash posting</x:v>
      </x:c>
      <x:c r="E9" s="80" t="n">
        <x:v>4438.93</x:v>
      </x:c>
      <x:c r="F9" s="56" t="str">
        <x:f>C9&amp;"|"&amp;ROUND(E9,2)</x:f>
        <x:v>REF-1009|4438.93</x:v>
      </x:c>
      <x:c r="G9" s="56" t="str">
        <x:f>IF(COUNTIF(Bank_Statement!$F:$F,F9)&gt;0,"Matched","Unmatched GL Item")</x:f>
        <x:v>Matched</x:v>
      </x:c>
      <x:c r="H9" s="100" t="n">
        <x:f>IF(G9="Matched",0,E9)</x:f>
        <x:v>0</x:v>
      </x:c>
    </x:row>
    <x:row r="10">
      <x:c r="A10" s="55" t="str">
        <x:v>GL-0009</x:v>
      </x:c>
      <x:c r="B10" s="76" t="n">
        <x:v>46157</x:v>
      </x:c>
      <x:c r="C10" s="56" t="str">
        <x:v>REF-1012</x:v>
      </x:c>
      <x:c r="D10" s="56" t="str">
        <x:v>Cash posting</x:v>
      </x:c>
      <x:c r="E10" s="80" t="n">
        <x:v>-7280.51</x:v>
      </x:c>
      <x:c r="F10" s="56" t="str">
        <x:f>C10&amp;"|"&amp;ROUND(E10,2)</x:f>
        <x:v>REF-1012|-7280.51</x:v>
      </x:c>
      <x:c r="G10" s="56" t="str">
        <x:f>IF(COUNTIF(Bank_Statement!$F:$F,F10)&gt;0,"Matched","Unmatched GL Item")</x:f>
        <x:v>Matched</x:v>
      </x:c>
      <x:c r="H10" s="100" t="n">
        <x:f>IF(G10="Matched",0,E10)</x:f>
        <x:v>0</x:v>
      </x:c>
    </x:row>
    <x:row r="11">
      <x:c r="A11" s="55" t="str">
        <x:v>GL-0010</x:v>
      </x:c>
      <x:c r="B11" s="76" t="n">
        <x:v>46163</x:v>
      </x:c>
      <x:c r="C11" s="56" t="str">
        <x:v>REF-1013</x:v>
      </x:c>
      <x:c r="D11" s="56" t="str">
        <x:v>Cash posting</x:v>
      </x:c>
      <x:c r="E11" s="80" t="n">
        <x:v>-5234.09</x:v>
      </x:c>
      <x:c r="F11" s="56" t="str">
        <x:f>C11&amp;"|"&amp;ROUND(E11,2)</x:f>
        <x:v>REF-1013|-5234.09</x:v>
      </x:c>
      <x:c r="G11" s="56" t="str">
        <x:f>IF(COUNTIF(Bank_Statement!$F:$F,F11)&gt;0,"Matched","Unmatched GL Item")</x:f>
        <x:v>Matched</x:v>
      </x:c>
      <x:c r="H11" s="100" t="n">
        <x:f>IF(G11="Matched",0,E11)</x:f>
        <x:v>0</x:v>
      </x:c>
    </x:row>
    <x:row r="12">
      <x:c r="A12" s="55" t="str">
        <x:v>GL-0011</x:v>
      </x:c>
      <x:c r="B12" s="76" t="n">
        <x:v>46171</x:v>
      </x:c>
      <x:c r="C12" s="56" t="str">
        <x:v>REF-1014</x:v>
      </x:c>
      <x:c r="D12" s="56" t="str">
        <x:v>Cash posting</x:v>
      </x:c>
      <x:c r="E12" s="80" t="n">
        <x:v>5342.67</x:v>
      </x:c>
      <x:c r="F12" s="56" t="str">
        <x:f>C12&amp;"|"&amp;ROUND(E12,2)</x:f>
        <x:v>REF-1014|5342.67</x:v>
      </x:c>
      <x:c r="G12" s="56" t="str">
        <x:f>IF(COUNTIF(Bank_Statement!$F:$F,F12)&gt;0,"Matched","Unmatched GL Item")</x:f>
        <x:v>Unmatched GL Item</x:v>
      </x:c>
      <x:c r="H12" s="100" t="n">
        <x:f>IF(G12="Matched",0,E12)</x:f>
        <x:v>5342.67</x:v>
      </x:c>
    </x:row>
    <x:row r="13">
      <x:c r="A13" s="55" t="str">
        <x:v>GL-0012</x:v>
      </x:c>
      <x:c r="B13" s="76" t="n">
        <x:v>46154</x:v>
      </x:c>
      <x:c r="C13" s="56" t="str">
        <x:v>REF-1015</x:v>
      </x:c>
      <x:c r="D13" s="56" t="str">
        <x:v>Cash posting</x:v>
      </x:c>
      <x:c r="E13" s="80" t="n">
        <x:v>-3432.75</x:v>
      </x:c>
      <x:c r="F13" s="56" t="str">
        <x:f>C13&amp;"|"&amp;ROUND(E13,2)</x:f>
        <x:v>REF-1015|-3432.75</x:v>
      </x:c>
      <x:c r="G13" s="56" t="str">
        <x:f>IF(COUNTIF(Bank_Statement!$F:$F,F13)&gt;0,"Matched","Unmatched GL Item")</x:f>
        <x:v>Matched</x:v>
      </x:c>
      <x:c r="H13" s="100" t="n">
        <x:f>IF(G13="Matched",0,E13)</x:f>
        <x:v>0</x:v>
      </x:c>
    </x:row>
    <x:row r="14">
      <x:c r="A14" s="55" t="str">
        <x:v>GL-0013</x:v>
      </x:c>
      <x:c r="B14" s="76" t="n">
        <x:v>46167</x:v>
      </x:c>
      <x:c r="C14" s="56" t="str">
        <x:v>REF-1016</x:v>
      </x:c>
      <x:c r="D14" s="56" t="str">
        <x:v>Cash posting</x:v>
      </x:c>
      <x:c r="E14" s="80" t="n">
        <x:v>-5256.88</x:v>
      </x:c>
      <x:c r="F14" s="56" t="str">
        <x:f>C14&amp;"|"&amp;ROUND(E14,2)</x:f>
        <x:v>REF-1016|-5256.88</x:v>
      </x:c>
      <x:c r="G14" s="56" t="str">
        <x:f>IF(COUNTIF(Bank_Statement!$F:$F,F14)&gt;0,"Matched","Unmatched GL Item")</x:f>
        <x:v>Matched</x:v>
      </x:c>
      <x:c r="H14" s="100" t="n">
        <x:f>IF(G14="Matched",0,E14)</x:f>
        <x:v>0</x:v>
      </x:c>
    </x:row>
    <x:row r="15">
      <x:c r="A15" s="55" t="str">
        <x:v>GL-0014</x:v>
      </x:c>
      <x:c r="B15" s="76" t="n">
        <x:v>46152</x:v>
      </x:c>
      <x:c r="C15" s="56" t="str">
        <x:v>REF-1017</x:v>
      </x:c>
      <x:c r="D15" s="56" t="str">
        <x:v>Cash posting</x:v>
      </x:c>
      <x:c r="E15" s="80" t="n">
        <x:v>4364.64</x:v>
      </x:c>
      <x:c r="F15" s="56" t="str">
        <x:f>C15&amp;"|"&amp;ROUND(E15,2)</x:f>
        <x:v>REF-1017|4364.64</x:v>
      </x:c>
      <x:c r="G15" s="56" t="str">
        <x:f>IF(COUNTIF(Bank_Statement!$F:$F,F15)&gt;0,"Matched","Unmatched GL Item")</x:f>
        <x:v>Matched</x:v>
      </x:c>
      <x:c r="H15" s="100" t="n">
        <x:f>IF(G15="Matched",0,E15)</x:f>
        <x:v>0</x:v>
      </x:c>
    </x:row>
    <x:row r="16">
      <x:c r="A16" s="55" t="str">
        <x:v>GL-0015</x:v>
      </x:c>
      <x:c r="B16" s="76" t="n">
        <x:v>46167</x:v>
      </x:c>
      <x:c r="C16" s="56" t="str">
        <x:v>REF-1018</x:v>
      </x:c>
      <x:c r="D16" s="56" t="str">
        <x:v>Cash posting</x:v>
      </x:c>
      <x:c r="E16" s="80" t="n">
        <x:v>10160.62</x:v>
      </x:c>
      <x:c r="F16" s="56" t="str">
        <x:f>C16&amp;"|"&amp;ROUND(E16,2)</x:f>
        <x:v>REF-1018|10160.62</x:v>
      </x:c>
      <x:c r="G16" s="56" t="str">
        <x:f>IF(COUNTIF(Bank_Statement!$F:$F,F16)&gt;0,"Matched","Unmatched GL Item")</x:f>
        <x:v>Matched</x:v>
      </x:c>
      <x:c r="H16" s="100" t="n">
        <x:f>IF(G16="Matched",0,E16)</x:f>
        <x:v>0</x:v>
      </x:c>
    </x:row>
    <x:row r="17">
      <x:c r="A17" s="55" t="str">
        <x:v>GL-0016</x:v>
      </x:c>
      <x:c r="B17" s="76" t="n">
        <x:v>46154</x:v>
      </x:c>
      <x:c r="C17" s="56" t="str">
        <x:v>REF-1020</x:v>
      </x:c>
      <x:c r="D17" s="56" t="str">
        <x:v>Cash posting</x:v>
      </x:c>
      <x:c r="E17" s="80" t="n">
        <x:v>-1806.1</x:v>
      </x:c>
      <x:c r="F17" s="56" t="str">
        <x:f>C17&amp;"|"&amp;ROUND(E17,2)</x:f>
        <x:v>REF-1020|-1806.1</x:v>
      </x:c>
      <x:c r="G17" s="56" t="str">
        <x:f>IF(COUNTIF(Bank_Statement!$F:$F,F17)&gt;0,"Matched","Unmatched GL Item")</x:f>
        <x:v>Matched</x:v>
      </x:c>
      <x:c r="H17" s="100" t="n">
        <x:f>IF(G17="Matched",0,E17)</x:f>
        <x:v>0</x:v>
      </x:c>
    </x:row>
    <x:row r="18">
      <x:c r="A18" s="55" t="str">
        <x:v>GL-0017</x:v>
      </x:c>
      <x:c r="B18" s="76" t="n">
        <x:v>46153</x:v>
      </x:c>
      <x:c r="C18" s="56" t="str">
        <x:v>REF-1021</x:v>
      </x:c>
      <x:c r="D18" s="56" t="str">
        <x:v>Cash posting</x:v>
      </x:c>
      <x:c r="E18" s="80" t="n">
        <x:v>-7539.57</x:v>
      </x:c>
      <x:c r="F18" s="56" t="str">
        <x:f>C18&amp;"|"&amp;ROUND(E18,2)</x:f>
        <x:v>REF-1021|-7539.57</x:v>
      </x:c>
      <x:c r="G18" s="56" t="str">
        <x:f>IF(COUNTIF(Bank_Statement!$F:$F,F18)&gt;0,"Matched","Unmatched GL Item")</x:f>
        <x:v>Unmatched GL Item</x:v>
      </x:c>
      <x:c r="H18" s="100" t="n">
        <x:f>IF(G18="Matched",0,E18)</x:f>
        <x:v>-7539.57</x:v>
      </x:c>
    </x:row>
    <x:row r="19">
      <x:c r="A19" s="55" t="str">
        <x:v>GL-0018</x:v>
      </x:c>
      <x:c r="B19" s="76" t="n">
        <x:v>46168</x:v>
      </x:c>
      <x:c r="C19" s="56" t="str">
        <x:v>REF-1022</x:v>
      </x:c>
      <x:c r="D19" s="56" t="str">
        <x:v>Cash posting</x:v>
      </x:c>
      <x:c r="E19" s="80" t="n">
        <x:v>14650.94</x:v>
      </x:c>
      <x:c r="F19" s="56" t="str">
        <x:f>C19&amp;"|"&amp;ROUND(E19,2)</x:f>
        <x:v>REF-1022|14650.94</x:v>
      </x:c>
      <x:c r="G19" s="56" t="str">
        <x:f>IF(COUNTIF(Bank_Statement!$F:$F,F19)&gt;0,"Matched","Unmatched GL Item")</x:f>
        <x:v>Matched</x:v>
      </x:c>
      <x:c r="H19" s="100" t="n">
        <x:f>IF(G19="Matched",0,E19)</x:f>
        <x:v>0</x:v>
      </x:c>
    </x:row>
    <x:row r="20">
      <x:c r="A20" s="55" t="str">
        <x:v>GL-0019</x:v>
      </x:c>
      <x:c r="B20" s="76" t="n">
        <x:v>46143</x:v>
      </x:c>
      <x:c r="C20" s="56" t="str">
        <x:v>REF-1023</x:v>
      </x:c>
      <x:c r="D20" s="56" t="str">
        <x:v>Cash posting</x:v>
      </x:c>
      <x:c r="E20" s="80" t="n">
        <x:v>-711.91</x:v>
      </x:c>
      <x:c r="F20" s="56" t="str">
        <x:f>C20&amp;"|"&amp;ROUND(E20,2)</x:f>
        <x:v>REF-1023|-711.91</x:v>
      </x:c>
      <x:c r="G20" s="56" t="str">
        <x:f>IF(COUNTIF(Bank_Statement!$F:$F,F20)&gt;0,"Matched","Unmatched GL Item")</x:f>
        <x:v>Unmatched GL Item</x:v>
      </x:c>
      <x:c r="H20" s="100" t="n">
        <x:f>IF(G20="Matched",0,E20)</x:f>
        <x:v>-711.91</x:v>
      </x:c>
    </x:row>
    <x:row r="21">
      <x:c r="A21" s="55" t="str">
        <x:v>GL-0020</x:v>
      </x:c>
      <x:c r="B21" s="76" t="n">
        <x:v>46150</x:v>
      </x:c>
      <x:c r="C21" s="56" t="str">
        <x:v>REF-1024</x:v>
      </x:c>
      <x:c r="D21" s="56" t="str">
        <x:v>Cash posting</x:v>
      </x:c>
      <x:c r="E21" s="80" t="n">
        <x:v>-5113.52</x:v>
      </x:c>
      <x:c r="F21" s="56" t="str">
        <x:f>C21&amp;"|"&amp;ROUND(E21,2)</x:f>
        <x:v>REF-1024|-5113.52</x:v>
      </x:c>
      <x:c r="G21" s="56" t="str">
        <x:f>IF(COUNTIF(Bank_Statement!$F:$F,F21)&gt;0,"Matched","Unmatched GL Item")</x:f>
        <x:v>Matched</x:v>
      </x:c>
      <x:c r="H21" s="100" t="n">
        <x:f>IF(G21="Matched",0,E21)</x:f>
        <x:v>0</x:v>
      </x:c>
    </x:row>
    <x:row r="22">
      <x:c r="A22" s="55" t="str">
        <x:v>GL-0021</x:v>
      </x:c>
      <x:c r="B22" s="76" t="n">
        <x:v>46151</x:v>
      </x:c>
      <x:c r="C22" s="56" t="str">
        <x:v>REF-1025</x:v>
      </x:c>
      <x:c r="D22" s="56" t="str">
        <x:v>Cash posting</x:v>
      </x:c>
      <x:c r="E22" s="80" t="n">
        <x:v>-152.04</x:v>
      </x:c>
      <x:c r="F22" s="56" t="str">
        <x:f>C22&amp;"|"&amp;ROUND(E22,2)</x:f>
        <x:v>REF-1025|-152.04</x:v>
      </x:c>
      <x:c r="G22" s="56" t="str">
        <x:f>IF(COUNTIF(Bank_Statement!$F:$F,F22)&gt;0,"Matched","Unmatched GL Item")</x:f>
        <x:v>Matched</x:v>
      </x:c>
      <x:c r="H22" s="100" t="n">
        <x:f>IF(G22="Matched",0,E22)</x:f>
        <x:v>0</x:v>
      </x:c>
    </x:row>
    <x:row r="23">
      <x:c r="A23" s="55" t="str">
        <x:v>GL-0022</x:v>
      </x:c>
      <x:c r="B23" s="76" t="n">
        <x:v>46146</x:v>
      </x:c>
      <x:c r="C23" s="56" t="str">
        <x:v>REF-1026</x:v>
      </x:c>
      <x:c r="D23" s="56" t="str">
        <x:v>Cash posting</x:v>
      </x:c>
      <x:c r="E23" s="80" t="n">
        <x:v>-1278.44</x:v>
      </x:c>
      <x:c r="F23" s="56" t="str">
        <x:f>C23&amp;"|"&amp;ROUND(E23,2)</x:f>
        <x:v>REF-1026|-1278.44</x:v>
      </x:c>
      <x:c r="G23" s="56" t="str">
        <x:f>IF(COUNTIF(Bank_Statement!$F:$F,F23)&gt;0,"Matched","Unmatched GL Item")</x:f>
        <x:v>Unmatched GL Item</x:v>
      </x:c>
      <x:c r="H23" s="100" t="n">
        <x:f>IF(G23="Matched",0,E23)</x:f>
        <x:v>-1278.44</x:v>
      </x:c>
    </x:row>
    <x:row r="24">
      <x:c r="A24" s="55" t="str">
        <x:v>GL-0023</x:v>
      </x:c>
      <x:c r="B24" s="76" t="n">
        <x:v>46149</x:v>
      </x:c>
      <x:c r="C24" s="56" t="str">
        <x:v>REF-1027</x:v>
      </x:c>
      <x:c r="D24" s="56" t="str">
        <x:v>Cash posting</x:v>
      </x:c>
      <x:c r="E24" s="80" t="n">
        <x:v>6398.76</x:v>
      </x:c>
      <x:c r="F24" s="56" t="str">
        <x:f>C24&amp;"|"&amp;ROUND(E24,2)</x:f>
        <x:v>REF-1027|6398.76</x:v>
      </x:c>
      <x:c r="G24" s="56" t="str">
        <x:f>IF(COUNTIF(Bank_Statement!$F:$F,F24)&gt;0,"Matched","Unmatched GL Item")</x:f>
        <x:v>Matched</x:v>
      </x:c>
      <x:c r="H24" s="100" t="n">
        <x:f>IF(G24="Matched",0,E24)</x:f>
        <x:v>0</x:v>
      </x:c>
    </x:row>
    <x:row r="25">
      <x:c r="A25" s="55" t="str">
        <x:v>GL-0024</x:v>
      </x:c>
      <x:c r="B25" s="76" t="n">
        <x:v>46151</x:v>
      </x:c>
      <x:c r="C25" s="56" t="str">
        <x:v>REF-1028</x:v>
      </x:c>
      <x:c r="D25" s="56" t="str">
        <x:v>Cash posting</x:v>
      </x:c>
      <x:c r="E25" s="80" t="n">
        <x:v>7043.12</x:v>
      </x:c>
      <x:c r="F25" s="56" t="str">
        <x:f>C25&amp;"|"&amp;ROUND(E25,2)</x:f>
        <x:v>REF-1028|7043.12</x:v>
      </x:c>
      <x:c r="G25" s="56" t="str">
        <x:f>IF(COUNTIF(Bank_Statement!$F:$F,F25)&gt;0,"Matched","Unmatched GL Item")</x:f>
        <x:v>Matched</x:v>
      </x:c>
      <x:c r="H25" s="100" t="n">
        <x:f>IF(G25="Matched",0,E25)</x:f>
        <x:v>0</x:v>
      </x:c>
    </x:row>
    <x:row r="26">
      <x:c r="A26" s="55" t="str">
        <x:v>GL-0025</x:v>
      </x:c>
      <x:c r="B26" s="76" t="n">
        <x:v>46149</x:v>
      </x:c>
      <x:c r="C26" s="56" t="str">
        <x:v>REF-1029</x:v>
      </x:c>
      <x:c r="D26" s="56" t="str">
        <x:v>Cash posting</x:v>
      </x:c>
      <x:c r="E26" s="80" t="n">
        <x:v>-3525.06</x:v>
      </x:c>
      <x:c r="F26" s="56" t="str">
        <x:f>C26&amp;"|"&amp;ROUND(E26,2)</x:f>
        <x:v>REF-1029|-3525.06</x:v>
      </x:c>
      <x:c r="G26" s="56" t="str">
        <x:f>IF(COUNTIF(Bank_Statement!$F:$F,F26)&gt;0,"Matched","Unmatched GL Item")</x:f>
        <x:v>Matched</x:v>
      </x:c>
      <x:c r="H26" s="100" t="n">
        <x:f>IF(G26="Matched",0,E26)</x:f>
        <x:v>0</x:v>
      </x:c>
    </x:row>
    <x:row r="27">
      <x:c r="A27" s="55" t="str">
        <x:v>GL-0026</x:v>
      </x:c>
      <x:c r="B27" s="76" t="n">
        <x:v>46148</x:v>
      </x:c>
      <x:c r="C27" s="56" t="str">
        <x:v>REF-1030</x:v>
      </x:c>
      <x:c r="D27" s="56" t="str">
        <x:v>Cash posting</x:v>
      </x:c>
      <x:c r="E27" s="80" t="n">
        <x:v>10951.27</x:v>
      </x:c>
      <x:c r="F27" s="56" t="str">
        <x:f>C27&amp;"|"&amp;ROUND(E27,2)</x:f>
        <x:v>REF-1030|10951.27</x:v>
      </x:c>
      <x:c r="G27" s="56" t="str">
        <x:f>IF(COUNTIF(Bank_Statement!$F:$F,F27)&gt;0,"Matched","Unmatched GL Item")</x:f>
        <x:v>Matched</x:v>
      </x:c>
      <x:c r="H27" s="100" t="n">
        <x:f>IF(G27="Matched",0,E27)</x:f>
        <x:v>0</x:v>
      </x:c>
    </x:row>
    <x:row r="28">
      <x:c r="A28" s="55" t="str">
        <x:v>GL-0027</x:v>
      </x:c>
      <x:c r="B28" s="76" t="n">
        <x:v>46149</x:v>
      </x:c>
      <x:c r="C28" s="56" t="str">
        <x:v>REF-1031</x:v>
      </x:c>
      <x:c r="D28" s="56" t="str">
        <x:v>Cash posting</x:v>
      </x:c>
      <x:c r="E28" s="80" t="n">
        <x:v>8775.73</x:v>
      </x:c>
      <x:c r="F28" s="56" t="str">
        <x:f>C28&amp;"|"&amp;ROUND(E28,2)</x:f>
        <x:v>REF-1031|8775.73</x:v>
      </x:c>
      <x:c r="G28" s="56" t="str">
        <x:f>IF(COUNTIF(Bank_Statement!$F:$F,F28)&gt;0,"Matched","Unmatched GL Item")</x:f>
        <x:v>Unmatched GL Item</x:v>
      </x:c>
      <x:c r="H28" s="100" t="n">
        <x:f>IF(G28="Matched",0,E28)</x:f>
        <x:v>8775.73</x:v>
      </x:c>
    </x:row>
    <x:row r="29">
      <x:c r="A29" s="55" t="str">
        <x:v>GL-0028</x:v>
      </x:c>
      <x:c r="B29" s="76" t="n">
        <x:v>46165</x:v>
      </x:c>
      <x:c r="C29" s="56" t="str">
        <x:v>REF-1033</x:v>
      </x:c>
      <x:c r="D29" s="56" t="str">
        <x:v>Cash posting</x:v>
      </x:c>
      <x:c r="E29" s="80" t="n">
        <x:v>4095.5</x:v>
      </x:c>
      <x:c r="F29" s="56" t="str">
        <x:f>C29&amp;"|"&amp;ROUND(E29,2)</x:f>
        <x:v>REF-1033|4095.5</x:v>
      </x:c>
      <x:c r="G29" s="56" t="str">
        <x:f>IF(COUNTIF(Bank_Statement!$F:$F,F29)&gt;0,"Matched","Unmatched GL Item")</x:f>
        <x:v>Matched</x:v>
      </x:c>
      <x:c r="H29" s="100" t="n">
        <x:f>IF(G29="Matched",0,E29)</x:f>
        <x:v>0</x:v>
      </x:c>
    </x:row>
    <x:row r="30">
      <x:c r="A30" s="55" t="str">
        <x:v>GL-0029</x:v>
      </x:c>
      <x:c r="B30" s="76" t="n">
        <x:v>46146</x:v>
      </x:c>
      <x:c r="C30" s="56" t="str">
        <x:v>REF-1034</x:v>
      </x:c>
      <x:c r="D30" s="56" t="str">
        <x:v>Cash posting</x:v>
      </x:c>
      <x:c r="E30" s="80" t="n">
        <x:v>-1500.67</x:v>
      </x:c>
      <x:c r="F30" s="56" t="str">
        <x:f>C30&amp;"|"&amp;ROUND(E30,2)</x:f>
        <x:v>REF-1034|-1500.67</x:v>
      </x:c>
      <x:c r="G30" s="56" t="str">
        <x:f>IF(COUNTIF(Bank_Statement!$F:$F,F30)&gt;0,"Matched","Unmatched GL Item")</x:f>
        <x:v>Matched</x:v>
      </x:c>
      <x:c r="H30" s="100" t="n">
        <x:f>IF(G30="Matched",0,E30)</x:f>
        <x:v>0</x:v>
      </x:c>
    </x:row>
    <x:row r="31">
      <x:c r="A31" s="55" t="str">
        <x:v>GL-0030</x:v>
      </x:c>
      <x:c r="B31" s="76" t="n">
        <x:v>46160</x:v>
      </x:c>
      <x:c r="C31" s="56" t="str">
        <x:v>REF-1035</x:v>
      </x:c>
      <x:c r="D31" s="56" t="str">
        <x:v>Cash posting</x:v>
      </x:c>
      <x:c r="E31" s="80" t="n">
        <x:v>10944.89</x:v>
      </x:c>
      <x:c r="F31" s="56" t="str">
        <x:f>C31&amp;"|"&amp;ROUND(E31,2)</x:f>
        <x:v>REF-1035|10944.89</x:v>
      </x:c>
      <x:c r="G31" s="56" t="str">
        <x:f>IF(COUNTIF(Bank_Statement!$F:$F,F31)&gt;0,"Matched","Unmatched GL Item")</x:f>
        <x:v>Unmatched GL Item</x:v>
      </x:c>
      <x:c r="H31" s="100" t="n">
        <x:f>IF(G31="Matched",0,E31)</x:f>
        <x:v>10944.89</x:v>
      </x:c>
    </x:row>
    <x:row r="32">
      <x:c r="A32" s="55" t="str">
        <x:v>GL-0031</x:v>
      </x:c>
      <x:c r="B32" s="76" t="n">
        <x:v>46148</x:v>
      </x:c>
      <x:c r="C32" s="56" t="str">
        <x:v>REF-1036</x:v>
      </x:c>
      <x:c r="D32" s="56" t="str">
        <x:v>Cash posting</x:v>
      </x:c>
      <x:c r="E32" s="80" t="n">
        <x:v>8422.25</x:v>
      </x:c>
      <x:c r="F32" s="56" t="str">
        <x:f>C32&amp;"|"&amp;ROUND(E32,2)</x:f>
        <x:v>REF-1036|8422.25</x:v>
      </x:c>
      <x:c r="G32" s="56" t="str">
        <x:f>IF(COUNTIF(Bank_Statement!$F:$F,F32)&gt;0,"Matched","Unmatched GL Item")</x:f>
        <x:v>Matched</x:v>
      </x:c>
      <x:c r="H32" s="100" t="n">
        <x:f>IF(G32="Matched",0,E32)</x:f>
        <x:v>0</x:v>
      </x:c>
    </x:row>
    <x:row r="33">
      <x:c r="A33" s="55" t="str">
        <x:v>GL-0032</x:v>
      </x:c>
      <x:c r="B33" s="76" t="n">
        <x:v>46153</x:v>
      </x:c>
      <x:c r="C33" s="56" t="str">
        <x:v>REF-1037</x:v>
      </x:c>
      <x:c r="D33" s="56" t="str">
        <x:v>Cash posting</x:v>
      </x:c>
      <x:c r="E33" s="80" t="n">
        <x:v>1884.79</x:v>
      </x:c>
      <x:c r="F33" s="56" t="str">
        <x:f>C33&amp;"|"&amp;ROUND(E33,2)</x:f>
        <x:v>REF-1037|1884.79</x:v>
      </x:c>
      <x:c r="G33" s="56" t="str">
        <x:f>IF(COUNTIF(Bank_Statement!$F:$F,F33)&gt;0,"Matched","Unmatched GL Item")</x:f>
        <x:v>Matched</x:v>
      </x:c>
      <x:c r="H33" s="100" t="n">
        <x:f>IF(G33="Matched",0,E33)</x:f>
        <x:v>0</x:v>
      </x:c>
    </x:row>
    <x:row r="34">
      <x:c r="A34" s="55" t="str">
        <x:v>GL-0033</x:v>
      </x:c>
      <x:c r="B34" s="76" t="n">
        <x:v>46143</x:v>
      </x:c>
      <x:c r="C34" s="56" t="str">
        <x:v>REF-1038</x:v>
      </x:c>
      <x:c r="D34" s="56" t="str">
        <x:v>Cash posting</x:v>
      </x:c>
      <x:c r="E34" s="80" t="n">
        <x:v>-5335.12</x:v>
      </x:c>
      <x:c r="F34" s="56" t="str">
        <x:f>C34&amp;"|"&amp;ROUND(E34,2)</x:f>
        <x:v>REF-1038|-5335.12</x:v>
      </x:c>
      <x:c r="G34" s="56" t="str">
        <x:f>IF(COUNTIF(Bank_Statement!$F:$F,F34)&gt;0,"Matched","Unmatched GL Item")</x:f>
        <x:v>Unmatched GL Item</x:v>
      </x:c>
      <x:c r="H34" s="100" t="n">
        <x:f>IF(G34="Matched",0,E34)</x:f>
        <x:v>-5335.12</x:v>
      </x:c>
    </x:row>
    <x:row r="35">
      <x:c r="A35" s="55" t="str">
        <x:v>GL-0034</x:v>
      </x:c>
      <x:c r="B35" s="76" t="n">
        <x:v>46153</x:v>
      </x:c>
      <x:c r="C35" s="56" t="str">
        <x:v>REF-1039</x:v>
      </x:c>
      <x:c r="D35" s="56" t="str">
        <x:v>Cash posting</x:v>
      </x:c>
      <x:c r="E35" s="80" t="n">
        <x:v>6928.25</x:v>
      </x:c>
      <x:c r="F35" s="56" t="str">
        <x:f>C35&amp;"|"&amp;ROUND(E35,2)</x:f>
        <x:v>REF-1039|6928.25</x:v>
      </x:c>
      <x:c r="G35" s="56" t="str">
        <x:f>IF(COUNTIF(Bank_Statement!$F:$F,F35)&gt;0,"Matched","Unmatched GL Item")</x:f>
        <x:v>Matched</x:v>
      </x:c>
      <x:c r="H35" s="100" t="n">
        <x:f>IF(G35="Matched",0,E35)</x:f>
        <x:v>0</x:v>
      </x:c>
    </x:row>
    <x:row r="36">
      <x:c r="A36" s="55" t="str">
        <x:v>GL-0035</x:v>
      </x:c>
      <x:c r="B36" s="76" t="n">
        <x:v>46143</x:v>
      </x:c>
      <x:c r="C36" s="56" t="str">
        <x:v>REF-1040</x:v>
      </x:c>
      <x:c r="D36" s="56" t="str">
        <x:v>Cash posting</x:v>
      </x:c>
      <x:c r="E36" s="80" t="n">
        <x:v>4083.94</x:v>
      </x:c>
      <x:c r="F36" s="56" t="str">
        <x:f>C36&amp;"|"&amp;ROUND(E36,2)</x:f>
        <x:v>REF-1040|4083.94</x:v>
      </x:c>
      <x:c r="G36" s="56" t="str">
        <x:f>IF(COUNTIF(Bank_Statement!$F:$F,F36)&gt;0,"Matched","Unmatched GL Item")</x:f>
        <x:v>Matched</x:v>
      </x:c>
      <x:c r="H36" s="100" t="n">
        <x:f>IF(G36="Matched",0,E36)</x:f>
        <x:v>0</x:v>
      </x:c>
    </x:row>
    <x:row r="37">
      <x:c r="A37" s="55" t="str">
        <x:v>GL-0036</x:v>
      </x:c>
      <x:c r="B37" s="76" t="n">
        <x:v>46144</x:v>
      </x:c>
      <x:c r="C37" s="56" t="str">
        <x:v>REF-1044</x:v>
      </x:c>
      <x:c r="D37" s="56" t="str">
        <x:v>Cash posting</x:v>
      </x:c>
      <x:c r="E37" s="80" t="n">
        <x:v>8108.67</x:v>
      </x:c>
      <x:c r="F37" s="56" t="str">
        <x:f>C37&amp;"|"&amp;ROUND(E37,2)</x:f>
        <x:v>REF-1044|8108.67</x:v>
      </x:c>
      <x:c r="G37" s="56" t="str">
        <x:f>IF(COUNTIF(Bank_Statement!$F:$F,F37)&gt;0,"Matched","Unmatched GL Item")</x:f>
        <x:v>Matched</x:v>
      </x:c>
      <x:c r="H37" s="100" t="n">
        <x:f>IF(G37="Matched",0,E37)</x:f>
        <x:v>0</x:v>
      </x:c>
    </x:row>
    <x:row r="38">
      <x:c r="A38" s="55" t="str">
        <x:v>GL-0037</x:v>
      </x:c>
      <x:c r="B38" s="76" t="n">
        <x:v>46166</x:v>
      </x:c>
      <x:c r="C38" s="56" t="str">
        <x:v>REF-1045</x:v>
      </x:c>
      <x:c r="D38" s="56" t="str">
        <x:v>Cash posting</x:v>
      </x:c>
      <x:c r="E38" s="80" t="n">
        <x:v>-7537.68</x:v>
      </x:c>
      <x:c r="F38" s="56" t="str">
        <x:f>C38&amp;"|"&amp;ROUND(E38,2)</x:f>
        <x:v>REF-1045|-7537.68</x:v>
      </x:c>
      <x:c r="G38" s="56" t="str">
        <x:f>IF(COUNTIF(Bank_Statement!$F:$F,F38)&gt;0,"Matched","Unmatched GL Item")</x:f>
        <x:v>Matched</x:v>
      </x:c>
      <x:c r="H38" s="100" t="n">
        <x:f>IF(G38="Matched",0,E38)</x:f>
        <x:v>0</x:v>
      </x:c>
    </x:row>
    <x:row r="39">
      <x:c r="A39" s="55" t="str">
        <x:v>GL-0038</x:v>
      </x:c>
      <x:c r="B39" s="76" t="n">
        <x:v>46154</x:v>
      </x:c>
      <x:c r="C39" s="56" t="str">
        <x:v>REF-1046</x:v>
      </x:c>
      <x:c r="D39" s="56" t="str">
        <x:v>Cash posting</x:v>
      </x:c>
      <x:c r="E39" s="80" t="n">
        <x:v>12598.13</x:v>
      </x:c>
      <x:c r="F39" s="56" t="str">
        <x:f>C39&amp;"|"&amp;ROUND(E39,2)</x:f>
        <x:v>REF-1046|12598.13</x:v>
      </x:c>
      <x:c r="G39" s="56" t="str">
        <x:f>IF(COUNTIF(Bank_Statement!$F:$F,F39)&gt;0,"Matched","Unmatched GL Item")</x:f>
        <x:v>Matched</x:v>
      </x:c>
      <x:c r="H39" s="100" t="n">
        <x:f>IF(G39="Matched",0,E39)</x:f>
        <x:v>0</x:v>
      </x:c>
    </x:row>
    <x:row r="40">
      <x:c r="A40" s="55" t="str">
        <x:v>GL-0039</x:v>
      </x:c>
      <x:c r="B40" s="76" t="n">
        <x:v>46159</x:v>
      </x:c>
      <x:c r="C40" s="56" t="str">
        <x:v>REF-1047</x:v>
      </x:c>
      <x:c r="D40" s="56" t="str">
        <x:v>Cash posting</x:v>
      </x:c>
      <x:c r="E40" s="80" t="n">
        <x:v>12072.77</x:v>
      </x:c>
      <x:c r="F40" s="56" t="str">
        <x:f>C40&amp;"|"&amp;ROUND(E40,2)</x:f>
        <x:v>REF-1047|12072.77</x:v>
      </x:c>
      <x:c r="G40" s="56" t="str">
        <x:f>IF(COUNTIF(Bank_Statement!$F:$F,F40)&gt;0,"Matched","Unmatched GL Item")</x:f>
        <x:v>Matched</x:v>
      </x:c>
      <x:c r="H40" s="100" t="n">
        <x:f>IF(G40="Matched",0,E40)</x:f>
        <x:v>0</x:v>
      </x:c>
    </x:row>
    <x:row r="41">
      <x:c r="A41" s="55" t="str">
        <x:v>GL-0040</x:v>
      </x:c>
      <x:c r="B41" s="76" t="n">
        <x:v>46173</x:v>
      </x:c>
      <x:c r="C41" s="56" t="str">
        <x:v>REF-1048</x:v>
      </x:c>
      <x:c r="D41" s="56" t="str">
        <x:v>Cash posting</x:v>
      </x:c>
      <x:c r="E41" s="80" t="n">
        <x:v>7471.56</x:v>
      </x:c>
      <x:c r="F41" s="56" t="str">
        <x:f>C41&amp;"|"&amp;ROUND(E41,2)</x:f>
        <x:v>REF-1048|7471.56</x:v>
      </x:c>
      <x:c r="G41" s="56" t="str">
        <x:f>IF(COUNTIF(Bank_Statement!$F:$F,F41)&gt;0,"Matched","Unmatched GL Item")</x:f>
        <x:v>Matched</x:v>
      </x:c>
      <x:c r="H41" s="100" t="n">
        <x:f>IF(G41="Matched",0,E41)</x:f>
        <x:v>0</x:v>
      </x:c>
    </x:row>
    <x:row r="42">
      <x:c r="A42" s="55" t="str">
        <x:v>GL-0041</x:v>
      </x:c>
      <x:c r="B42" s="76" t="n">
        <x:v>46146</x:v>
      </x:c>
      <x:c r="C42" s="56" t="str">
        <x:v>REF-1049</x:v>
      </x:c>
      <x:c r="D42" s="56" t="str">
        <x:v>Cash posting</x:v>
      </x:c>
      <x:c r="E42" s="80" t="n">
        <x:v>3518.66</x:v>
      </x:c>
      <x:c r="F42" s="56" t="str">
        <x:f>C42&amp;"|"&amp;ROUND(E42,2)</x:f>
        <x:v>REF-1049|3518.66</x:v>
      </x:c>
      <x:c r="G42" s="56" t="str">
        <x:f>IF(COUNTIF(Bank_Statement!$F:$F,F42)&gt;0,"Matched","Unmatched GL Item")</x:f>
        <x:v>Unmatched GL Item</x:v>
      </x:c>
      <x:c r="H42" s="100" t="n">
        <x:f>IF(G42="Matched",0,E42)</x:f>
        <x:v>3518.66</x:v>
      </x:c>
    </x:row>
    <x:row r="43">
      <x:c r="A43" s="55" t="str">
        <x:v>GL-0042</x:v>
      </x:c>
      <x:c r="B43" s="76" t="n">
        <x:v>46156</x:v>
      </x:c>
      <x:c r="C43" s="56" t="str">
        <x:v>REF-1050</x:v>
      </x:c>
      <x:c r="D43" s="56" t="str">
        <x:v>Cash posting</x:v>
      </x:c>
      <x:c r="E43" s="80" t="n">
        <x:v>7551.65</x:v>
      </x:c>
      <x:c r="F43" s="56" t="str">
        <x:f>C43&amp;"|"&amp;ROUND(E43,2)</x:f>
        <x:v>REF-1050|7551.65</x:v>
      </x:c>
      <x:c r="G43" s="56" t="str">
        <x:f>IF(COUNTIF(Bank_Statement!$F:$F,F43)&gt;0,"Matched","Unmatched GL Item")</x:f>
        <x:v>Matched</x:v>
      </x:c>
      <x:c r="H43" s="100" t="n">
        <x:f>IF(G43="Matched",0,E43)</x:f>
        <x:v>0</x:v>
      </x:c>
    </x:row>
    <x:row r="44">
      <x:c r="A44" s="55" t="str">
        <x:v>GL-0043</x:v>
      </x:c>
      <x:c r="B44" s="76" t="n">
        <x:v>46156</x:v>
      </x:c>
      <x:c r="C44" s="56" t="str">
        <x:v>REF-1051</x:v>
      </x:c>
      <x:c r="D44" s="56" t="str">
        <x:v>Cash posting</x:v>
      </x:c>
      <x:c r="E44" s="80" t="n">
        <x:v>371.38</x:v>
      </x:c>
      <x:c r="F44" s="56" t="str">
        <x:f>C44&amp;"|"&amp;ROUND(E44,2)</x:f>
        <x:v>REF-1051|371.38</x:v>
      </x:c>
      <x:c r="G44" s="56" t="str">
        <x:f>IF(COUNTIF(Bank_Statement!$F:$F,F44)&gt;0,"Matched","Unmatched GL Item")</x:f>
        <x:v>Matched</x:v>
      </x:c>
      <x:c r="H44" s="100" t="n">
        <x:f>IF(G44="Matched",0,E44)</x:f>
        <x:v>0</x:v>
      </x:c>
    </x:row>
    <x:row r="45">
      <x:c r="A45" s="55" t="str">
        <x:v>GL-0044</x:v>
      </x:c>
      <x:c r="B45" s="76" t="n">
        <x:v>46147</x:v>
      </x:c>
      <x:c r="C45" s="56" t="str">
        <x:v>REF-1052</x:v>
      </x:c>
      <x:c r="D45" s="56" t="str">
        <x:v>Cash posting</x:v>
      </x:c>
      <x:c r="E45" s="80" t="n">
        <x:v>8932.05</x:v>
      </x:c>
      <x:c r="F45" s="56" t="str">
        <x:f>C45&amp;"|"&amp;ROUND(E45,2)</x:f>
        <x:v>REF-1052|8932.05</x:v>
      </x:c>
      <x:c r="G45" s="56" t="str">
        <x:f>IF(COUNTIF(Bank_Statement!$F:$F,F45)&gt;0,"Matched","Unmatched GL Item")</x:f>
        <x:v>Matched</x:v>
      </x:c>
      <x:c r="H45" s="100" t="n">
        <x:f>IF(G45="Matched",0,E45)</x:f>
        <x:v>0</x:v>
      </x:c>
    </x:row>
    <x:row r="46">
      <x:c r="A46" s="55" t="str">
        <x:v>GL-0045</x:v>
      </x:c>
      <x:c r="B46" s="76" t="n">
        <x:v>46149</x:v>
      </x:c>
      <x:c r="C46" s="56" t="str">
        <x:v>REF-1053</x:v>
      </x:c>
      <x:c r="D46" s="56" t="str">
        <x:v>Cash posting</x:v>
      </x:c>
      <x:c r="E46" s="80" t="n">
        <x:v>-6941.29</x:v>
      </x:c>
      <x:c r="F46" s="56" t="str">
        <x:f>C46&amp;"|"&amp;ROUND(E46,2)</x:f>
        <x:v>REF-1053|-6941.29</x:v>
      </x:c>
      <x:c r="G46" s="56" t="str">
        <x:f>IF(COUNTIF(Bank_Statement!$F:$F,F46)&gt;0,"Matched","Unmatched GL Item")</x:f>
        <x:v>Unmatched GL Item</x:v>
      </x:c>
      <x:c r="H46" s="100" t="n">
        <x:f>IF(G46="Matched",0,E46)</x:f>
        <x:v>-6941.29</x:v>
      </x:c>
    </x:row>
    <x:row r="47">
      <x:c r="A47" s="55" t="str">
        <x:v>GL-0046</x:v>
      </x:c>
      <x:c r="B47" s="76" t="n">
        <x:v>46149</x:v>
      </x:c>
      <x:c r="C47" s="56" t="str">
        <x:v>REF-1054</x:v>
      </x:c>
      <x:c r="D47" s="56" t="str">
        <x:v>Cash posting</x:v>
      </x:c>
      <x:c r="E47" s="80" t="n">
        <x:v>5494.38</x:v>
      </x:c>
      <x:c r="F47" s="56" t="str">
        <x:f>C47&amp;"|"&amp;ROUND(E47,2)</x:f>
        <x:v>REF-1054|5494.38</x:v>
      </x:c>
      <x:c r="G47" s="56" t="str">
        <x:f>IF(COUNTIF(Bank_Statement!$F:$F,F47)&gt;0,"Matched","Unmatched GL Item")</x:f>
        <x:v>Matched</x:v>
      </x:c>
      <x:c r="H47" s="100" t="n">
        <x:f>IF(G47="Matched",0,E47)</x:f>
        <x:v>0</x:v>
      </x:c>
    </x:row>
    <x:row r="48">
      <x:c r="A48" s="55" t="str">
        <x:v>GL-0047</x:v>
      </x:c>
      <x:c r="B48" s="76" t="n">
        <x:v>46147</x:v>
      </x:c>
      <x:c r="C48" s="56" t="str">
        <x:v>REF-1055</x:v>
      </x:c>
      <x:c r="D48" s="56" t="str">
        <x:v>Cash posting</x:v>
      </x:c>
      <x:c r="E48" s="80" t="n">
        <x:v>13099.23</x:v>
      </x:c>
      <x:c r="F48" s="56" t="str">
        <x:f>C48&amp;"|"&amp;ROUND(E48,2)</x:f>
        <x:v>REF-1055|13099.23</x:v>
      </x:c>
      <x:c r="G48" s="56" t="str">
        <x:f>IF(COUNTIF(Bank_Statement!$F:$F,F48)&gt;0,"Matched","Unmatched GL Item")</x:f>
        <x:v>Matched</x:v>
      </x:c>
      <x:c r="H48" s="100" t="n">
        <x:f>IF(G48="Matched",0,E48)</x:f>
        <x:v>0</x:v>
      </x:c>
    </x:row>
    <x:row r="49">
      <x:c r="A49" s="55" t="str">
        <x:v>GL-0048</x:v>
      </x:c>
      <x:c r="B49" s="76" t="n">
        <x:v>46167</x:v>
      </x:c>
      <x:c r="C49" s="56" t="str">
        <x:v>REF-1056</x:v>
      </x:c>
      <x:c r="D49" s="56" t="str">
        <x:v>Cash posting</x:v>
      </x:c>
      <x:c r="E49" s="80" t="n">
        <x:v>1896.55</x:v>
      </x:c>
      <x:c r="F49" s="56" t="str">
        <x:f>C49&amp;"|"&amp;ROUND(E49,2)</x:f>
        <x:v>REF-1056|1896.55</x:v>
      </x:c>
      <x:c r="G49" s="56" t="str">
        <x:f>IF(COUNTIF(Bank_Statement!$F:$F,F49)&gt;0,"Matched","Unmatched GL Item")</x:f>
        <x:v>Matched</x:v>
      </x:c>
      <x:c r="H49" s="100" t="n">
        <x:f>IF(G49="Matched",0,E49)</x:f>
        <x:v>0</x:v>
      </x:c>
    </x:row>
    <x:row r="50">
      <x:c r="A50" s="55" t="str">
        <x:v>GL-0049</x:v>
      </x:c>
      <x:c r="B50" s="76" t="n">
        <x:v>46155</x:v>
      </x:c>
      <x:c r="C50" s="56" t="str">
        <x:v>REF-1057</x:v>
      </x:c>
      <x:c r="D50" s="56" t="str">
        <x:v>Cash posting</x:v>
      </x:c>
      <x:c r="E50" s="80" t="n">
        <x:v>9426.09</x:v>
      </x:c>
      <x:c r="F50" s="56" t="str">
        <x:f>C50&amp;"|"&amp;ROUND(E50,2)</x:f>
        <x:v>REF-1057|9426.09</x:v>
      </x:c>
      <x:c r="G50" s="56" t="str">
        <x:f>IF(COUNTIF(Bank_Statement!$F:$F,F50)&gt;0,"Matched","Unmatched GL Item")</x:f>
        <x:v>Matched</x:v>
      </x:c>
      <x:c r="H50" s="100" t="n">
        <x:f>IF(G50="Matched",0,E50)</x:f>
        <x:v>0</x:v>
      </x:c>
    </x:row>
    <x:row r="51">
      <x:c r="A51" s="55" t="str">
        <x:v>GL-0050</x:v>
      </x:c>
      <x:c r="B51" s="76" t="n">
        <x:v>46144</x:v>
      </x:c>
      <x:c r="C51" s="56" t="str">
        <x:v>REF-1058</x:v>
      </x:c>
      <x:c r="D51" s="56" t="str">
        <x:v>Cash posting</x:v>
      </x:c>
      <x:c r="E51" s="80" t="n">
        <x:v>1707.8</x:v>
      </x:c>
      <x:c r="F51" s="56" t="str">
        <x:f>C51&amp;"|"&amp;ROUND(E51,2)</x:f>
        <x:v>REF-1058|1707.8</x:v>
      </x:c>
      <x:c r="G51" s="56" t="str">
        <x:f>IF(COUNTIF(Bank_Statement!$F:$F,F51)&gt;0,"Matched","Unmatched GL Item")</x:f>
        <x:v>Matched</x:v>
      </x:c>
      <x:c r="H51" s="100" t="n">
        <x:f>IF(G51="Matched",0,E51)</x:f>
        <x:v>0</x:v>
      </x:c>
    </x:row>
    <x:row r="52">
      <x:c r="A52" s="55" t="str">
        <x:v>GL-0051</x:v>
      </x:c>
      <x:c r="B52" s="76" t="n">
        <x:v>46148</x:v>
      </x:c>
      <x:c r="C52" s="56" t="str">
        <x:v>REF-1059</x:v>
      </x:c>
      <x:c r="D52" s="56" t="str">
        <x:v>Cash posting</x:v>
      </x:c>
      <x:c r="E52" s="80" t="n">
        <x:v>-5130.04</x:v>
      </x:c>
      <x:c r="F52" s="56" t="str">
        <x:f>C52&amp;"|"&amp;ROUND(E52,2)</x:f>
        <x:v>REF-1059|-5130.04</x:v>
      </x:c>
      <x:c r="G52" s="56" t="str">
        <x:f>IF(COUNTIF(Bank_Statement!$F:$F,F52)&gt;0,"Matched","Unmatched GL Item")</x:f>
        <x:v>Matched</x:v>
      </x:c>
      <x:c r="H52" s="100" t="n">
        <x:f>IF(G52="Matched",0,E52)</x:f>
        <x:v>0</x:v>
      </x:c>
    </x:row>
    <x:row r="53">
      <x:c r="A53" s="55" t="str">
        <x:v>GL-0052</x:v>
      </x:c>
      <x:c r="B53" s="76" t="n">
        <x:v>46162</x:v>
      </x:c>
      <x:c r="C53" s="56" t="str">
        <x:v>REF-1060</x:v>
      </x:c>
      <x:c r="D53" s="56" t="str">
        <x:v>Cash posting</x:v>
      </x:c>
      <x:c r="E53" s="80" t="n">
        <x:v>-4620.74</x:v>
      </x:c>
      <x:c r="F53" s="56" t="str">
        <x:f>C53&amp;"|"&amp;ROUND(E53,2)</x:f>
        <x:v>REF-1060|-4620.74</x:v>
      </x:c>
      <x:c r="G53" s="56" t="str">
        <x:f>IF(COUNTIF(Bank_Statement!$F:$F,F53)&gt;0,"Matched","Unmatched GL Item")</x:f>
        <x:v>Matched</x:v>
      </x:c>
      <x:c r="H53" s="100" t="n">
        <x:f>IF(G53="Matched",0,E53)</x:f>
        <x:v>0</x:v>
      </x:c>
    </x:row>
    <x:row r="54">
      <x:c r="A54" s="55" t="str">
        <x:v>GL-0053</x:v>
      </x:c>
      <x:c r="B54" s="76" t="n">
        <x:v>46171</x:v>
      </x:c>
      <x:c r="C54" s="56" t="str">
        <x:v>REF-1061</x:v>
      </x:c>
      <x:c r="D54" s="56" t="str">
        <x:v>Cash posting</x:v>
      </x:c>
      <x:c r="E54" s="80" t="n">
        <x:v>10456.38</x:v>
      </x:c>
      <x:c r="F54" s="56" t="str">
        <x:f>C54&amp;"|"&amp;ROUND(E54,2)</x:f>
        <x:v>REF-1061|10456.38</x:v>
      </x:c>
      <x:c r="G54" s="56" t="str">
        <x:f>IF(COUNTIF(Bank_Statement!$F:$F,F54)&gt;0,"Matched","Unmatched GL Item")</x:f>
        <x:v>Matched</x:v>
      </x:c>
      <x:c r="H54" s="100" t="n">
        <x:f>IF(G54="Matched",0,E54)</x:f>
        <x:v>0</x:v>
      </x:c>
    </x:row>
    <x:row r="55">
      <x:c r="A55" s="55" t="str">
        <x:v>GL-0054</x:v>
      </x:c>
      <x:c r="B55" s="76" t="n">
        <x:v>46156</x:v>
      </x:c>
      <x:c r="C55" s="56" t="str">
        <x:v>REF-1062</x:v>
      </x:c>
      <x:c r="D55" s="56" t="str">
        <x:v>Cash posting</x:v>
      </x:c>
      <x:c r="E55" s="80" t="n">
        <x:v>11600.52</x:v>
      </x:c>
      <x:c r="F55" s="56" t="str">
        <x:f>C55&amp;"|"&amp;ROUND(E55,2)</x:f>
        <x:v>REF-1062|11600.52</x:v>
      </x:c>
      <x:c r="G55" s="56" t="str">
        <x:f>IF(COUNTIF(Bank_Statement!$F:$F,F55)&gt;0,"Matched","Unmatched GL Item")</x:f>
        <x:v>Matched</x:v>
      </x:c>
      <x:c r="H55" s="100" t="n">
        <x:f>IF(G55="Matched",0,E55)</x:f>
        <x:v>0</x:v>
      </x:c>
    </x:row>
    <x:row r="56">
      <x:c r="A56" s="55" t="str">
        <x:v>GL-0055</x:v>
      </x:c>
      <x:c r="B56" s="76" t="n">
        <x:v>46154</x:v>
      </x:c>
      <x:c r="C56" s="56" t="str">
        <x:v>REF-1064</x:v>
      </x:c>
      <x:c r="D56" s="56" t="str">
        <x:v>Cash posting</x:v>
      </x:c>
      <x:c r="E56" s="80" t="n">
        <x:v>5381.7</x:v>
      </x:c>
      <x:c r="F56" s="56" t="str">
        <x:f>C56&amp;"|"&amp;ROUND(E56,2)</x:f>
        <x:v>REF-1064|5381.7</x:v>
      </x:c>
      <x:c r="G56" s="56" t="str">
        <x:f>IF(COUNTIF(Bank_Statement!$F:$F,F56)&gt;0,"Matched","Unmatched GL Item")</x:f>
        <x:v>Matched</x:v>
      </x:c>
      <x:c r="H56" s="100" t="n">
        <x:f>IF(G56="Matched",0,E56)</x:f>
        <x:v>0</x:v>
      </x:c>
    </x:row>
    <x:row r="57">
      <x:c r="A57" s="55" t="str">
        <x:v>GL-0056</x:v>
      </x:c>
      <x:c r="B57" s="76" t="n">
        <x:v>46169</x:v>
      </x:c>
      <x:c r="C57" s="56" t="str">
        <x:v>REF-1066</x:v>
      </x:c>
      <x:c r="D57" s="56" t="str">
        <x:v>Cash posting</x:v>
      </x:c>
      <x:c r="E57" s="80" t="n">
        <x:v>4371.38</x:v>
      </x:c>
      <x:c r="F57" s="56" t="str">
        <x:f>C57&amp;"|"&amp;ROUND(E57,2)</x:f>
        <x:v>REF-1066|4371.38</x:v>
      </x:c>
      <x:c r="G57" s="56" t="str">
        <x:f>IF(COUNTIF(Bank_Statement!$F:$F,F57)&gt;0,"Matched","Unmatched GL Item")</x:f>
        <x:v>Unmatched GL Item</x:v>
      </x:c>
      <x:c r="H57" s="100" t="n">
        <x:f>IF(G57="Matched",0,E57)</x:f>
        <x:v>4371.38</x:v>
      </x:c>
    </x:row>
    <x:row r="58">
      <x:c r="A58" s="55" t="str">
        <x:v>GL-0057</x:v>
      </x:c>
      <x:c r="B58" s="76" t="n">
        <x:v>46143</x:v>
      </x:c>
      <x:c r="C58" s="56" t="str">
        <x:v>REF-1067</x:v>
      </x:c>
      <x:c r="D58" s="56" t="str">
        <x:v>Cash posting</x:v>
      </x:c>
      <x:c r="E58" s="80" t="n">
        <x:v>10577.76</x:v>
      </x:c>
      <x:c r="F58" s="56" t="str">
        <x:f>C58&amp;"|"&amp;ROUND(E58,2)</x:f>
        <x:v>REF-1067|10577.76</x:v>
      </x:c>
      <x:c r="G58" s="56" t="str">
        <x:f>IF(COUNTIF(Bank_Statement!$F:$F,F58)&gt;0,"Matched","Unmatched GL Item")</x:f>
        <x:v>Matched</x:v>
      </x:c>
      <x:c r="H58" s="100" t="n">
        <x:f>IF(G58="Matched",0,E58)</x:f>
        <x:v>0</x:v>
      </x:c>
    </x:row>
    <x:row r="59">
      <x:c r="A59" s="55" t="str">
        <x:v>GL-0058</x:v>
      </x:c>
      <x:c r="B59" s="76" t="n">
        <x:v>46169</x:v>
      </x:c>
      <x:c r="C59" s="56" t="str">
        <x:v>REF-1068</x:v>
      </x:c>
      <x:c r="D59" s="56" t="str">
        <x:v>Cash posting</x:v>
      </x:c>
      <x:c r="E59" s="80" t="n">
        <x:v>-6384.02</x:v>
      </x:c>
      <x:c r="F59" s="56" t="str">
        <x:f>C59&amp;"|"&amp;ROUND(E59,2)</x:f>
        <x:v>REF-1068|-6384.02</x:v>
      </x:c>
      <x:c r="G59" s="56" t="str">
        <x:f>IF(COUNTIF(Bank_Statement!$F:$F,F59)&gt;0,"Matched","Unmatched GL Item")</x:f>
        <x:v>Matched</x:v>
      </x:c>
      <x:c r="H59" s="100" t="n">
        <x:f>IF(G59="Matched",0,E59)</x:f>
        <x:v>0</x:v>
      </x:c>
    </x:row>
    <x:row r="60">
      <x:c r="A60" s="55" t="str">
        <x:v>GL-0059</x:v>
      </x:c>
      <x:c r="B60" s="76" t="n">
        <x:v>46162</x:v>
      </x:c>
      <x:c r="C60" s="56" t="str">
        <x:v>REF-1069</x:v>
      </x:c>
      <x:c r="D60" s="56" t="str">
        <x:v>Cash posting</x:v>
      </x:c>
      <x:c r="E60" s="80" t="n">
        <x:v>-5876.97</x:v>
      </x:c>
      <x:c r="F60" s="56" t="str">
        <x:f>C60&amp;"|"&amp;ROUND(E60,2)</x:f>
        <x:v>REF-1069|-5876.97</x:v>
      </x:c>
      <x:c r="G60" s="56" t="str">
        <x:f>IF(COUNTIF(Bank_Statement!$F:$F,F60)&gt;0,"Matched","Unmatched GL Item")</x:f>
        <x:v>Matched</x:v>
      </x:c>
      <x:c r="H60" s="100" t="n">
        <x:f>IF(G60="Matched",0,E60)</x:f>
        <x:v>0</x:v>
      </x:c>
    </x:row>
    <x:row r="61">
      <x:c r="A61" s="55" t="str">
        <x:v>GL-0060</x:v>
      </x:c>
      <x:c r="B61" s="76" t="n">
        <x:v>46155</x:v>
      </x:c>
      <x:c r="C61" s="56" t="str">
        <x:v>REF-1071</x:v>
      </x:c>
      <x:c r="D61" s="56" t="str">
        <x:v>Cash posting</x:v>
      </x:c>
      <x:c r="E61" s="80" t="n">
        <x:v>6689.41</x:v>
      </x:c>
      <x:c r="F61" s="56" t="str">
        <x:f>C61&amp;"|"&amp;ROUND(E61,2)</x:f>
        <x:v>REF-1071|6689.41</x:v>
      </x:c>
      <x:c r="G61" s="56" t="str">
        <x:f>IF(COUNTIF(Bank_Statement!$F:$F,F61)&gt;0,"Matched","Unmatched GL Item")</x:f>
        <x:v>Matched</x:v>
      </x:c>
      <x:c r="H61" s="100" t="n">
        <x:f>IF(G61="Matched",0,E61)</x:f>
        <x:v>0</x:v>
      </x:c>
    </x:row>
    <x:row r="62">
      <x:c r="A62" s="55" t="str">
        <x:v>GL-0061</x:v>
      </x:c>
      <x:c r="B62" s="76" t="n">
        <x:v>46168</x:v>
      </x:c>
      <x:c r="C62" s="56" t="str">
        <x:v>REF-1072</x:v>
      </x:c>
      <x:c r="D62" s="56" t="str">
        <x:v>Cash posting</x:v>
      </x:c>
      <x:c r="E62" s="80" t="n">
        <x:v>-3832.13</x:v>
      </x:c>
      <x:c r="F62" s="56" t="str">
        <x:f>C62&amp;"|"&amp;ROUND(E62,2)</x:f>
        <x:v>REF-1072|-3832.13</x:v>
      </x:c>
      <x:c r="G62" s="56" t="str">
        <x:f>IF(COUNTIF(Bank_Statement!$F:$F,F62)&gt;0,"Matched","Unmatched GL Item")</x:f>
        <x:v>Unmatched GL Item</x:v>
      </x:c>
      <x:c r="H62" s="100" t="n">
        <x:f>IF(G62="Matched",0,E62)</x:f>
        <x:v>-3832.13</x:v>
      </x:c>
    </x:row>
    <x:row r="63">
      <x:c r="A63" s="55" t="str">
        <x:v>GL-0062</x:v>
      </x:c>
      <x:c r="B63" s="76" t="n">
        <x:v>46169</x:v>
      </x:c>
      <x:c r="C63" s="56" t="str">
        <x:v>REF-1074</x:v>
      </x:c>
      <x:c r="D63" s="56" t="str">
        <x:v>Cash posting</x:v>
      </x:c>
      <x:c r="E63" s="80" t="n">
        <x:v>-4753.34</x:v>
      </x:c>
      <x:c r="F63" s="56" t="str">
        <x:f>C63&amp;"|"&amp;ROUND(E63,2)</x:f>
        <x:v>REF-1074|-4753.34</x:v>
      </x:c>
      <x:c r="G63" s="56" t="str">
        <x:f>IF(COUNTIF(Bank_Statement!$F:$F,F63)&gt;0,"Matched","Unmatched GL Item")</x:f>
        <x:v>Matched</x:v>
      </x:c>
      <x:c r="H63" s="100" t="n">
        <x:f>IF(G63="Matched",0,E63)</x:f>
        <x:v>0</x:v>
      </x:c>
    </x:row>
    <x:row r="64">
      <x:c r="A64" s="55" t="str">
        <x:v>GL-0063</x:v>
      </x:c>
      <x:c r="B64" s="76" t="n">
        <x:v>46157</x:v>
      </x:c>
      <x:c r="C64" s="56" t="str">
        <x:v>REF-1075</x:v>
      </x:c>
      <x:c r="D64" s="56" t="str">
        <x:v>Cash posting</x:v>
      </x:c>
      <x:c r="E64" s="80" t="n">
        <x:v>-6344.22</x:v>
      </x:c>
      <x:c r="F64" s="56" t="str">
        <x:f>C64&amp;"|"&amp;ROUND(E64,2)</x:f>
        <x:v>REF-1075|-6344.22</x:v>
      </x:c>
      <x:c r="G64" s="56" t="str">
        <x:f>IF(COUNTIF(Bank_Statement!$F:$F,F64)&gt;0,"Matched","Unmatched GL Item")</x:f>
        <x:v>Matched</x:v>
      </x:c>
      <x:c r="H64" s="100" t="n">
        <x:f>IF(G64="Matched",0,E64)</x:f>
        <x:v>0</x:v>
      </x:c>
    </x:row>
    <x:row r="65">
      <x:c r="A65" s="55" t="str">
        <x:v>GL-0064</x:v>
      </x:c>
      <x:c r="B65" s="76" t="n">
        <x:v>46151</x:v>
      </x:c>
      <x:c r="C65" s="56" t="str">
        <x:v>REF-1076</x:v>
      </x:c>
      <x:c r="D65" s="56" t="str">
        <x:v>Cash posting</x:v>
      </x:c>
      <x:c r="E65" s="80" t="n">
        <x:v>8975.92</x:v>
      </x:c>
      <x:c r="F65" s="56" t="str">
        <x:f>C65&amp;"|"&amp;ROUND(E65,2)</x:f>
        <x:v>REF-1076|8975.92</x:v>
      </x:c>
      <x:c r="G65" s="56" t="str">
        <x:f>IF(COUNTIF(Bank_Statement!$F:$F,F65)&gt;0,"Matched","Unmatched GL Item")</x:f>
        <x:v>Matched</x:v>
      </x:c>
      <x:c r="H65" s="100" t="n">
        <x:f>IF(G65="Matched",0,E65)</x:f>
        <x:v>0</x:v>
      </x:c>
    </x:row>
    <x:row r="66">
      <x:c r="A66" s="55" t="str">
        <x:v>GL-0065</x:v>
      </x:c>
      <x:c r="B66" s="76" t="n">
        <x:v>46158</x:v>
      </x:c>
      <x:c r="C66" s="56" t="str">
        <x:v>REF-1077</x:v>
      </x:c>
      <x:c r="D66" s="56" t="str">
        <x:v>Cash posting</x:v>
      </x:c>
      <x:c r="E66" s="80" t="n">
        <x:v>-3001.39</x:v>
      </x:c>
      <x:c r="F66" s="56" t="str">
        <x:f>C66&amp;"|"&amp;ROUND(E66,2)</x:f>
        <x:v>REF-1077|-3001.39</x:v>
      </x:c>
      <x:c r="G66" s="56" t="str">
        <x:f>IF(COUNTIF(Bank_Statement!$F:$F,F66)&gt;0,"Matched","Unmatched GL Item")</x:f>
        <x:v>Unmatched GL Item</x:v>
      </x:c>
      <x:c r="H66" s="100" t="n">
        <x:f>IF(G66="Matched",0,E66)</x:f>
        <x:v>-3001.39</x:v>
      </x:c>
    </x:row>
    <x:row r="67">
      <x:c r="A67" s="55" t="str">
        <x:v>GL-0066</x:v>
      </x:c>
      <x:c r="B67" s="76" t="n">
        <x:v>46151</x:v>
      </x:c>
      <x:c r="C67" s="56" t="str">
        <x:v>REF-1078</x:v>
      </x:c>
      <x:c r="D67" s="56" t="str">
        <x:v>Cash posting</x:v>
      </x:c>
      <x:c r="E67" s="80" t="n">
        <x:v>10839.3</x:v>
      </x:c>
      <x:c r="F67" s="56" t="str">
        <x:f>C67&amp;"|"&amp;ROUND(E67,2)</x:f>
        <x:v>REF-1078|10839.3</x:v>
      </x:c>
      <x:c r="G67" s="56" t="str">
        <x:f>IF(COUNTIF(Bank_Statement!$F:$F,F67)&gt;0,"Matched","Unmatched GL Item")</x:f>
        <x:v>Matched</x:v>
      </x:c>
      <x:c r="H67" s="100" t="n">
        <x:f>IF(G67="Matched",0,E67)</x:f>
        <x:v>0</x:v>
      </x:c>
    </x:row>
    <x:row r="68">
      <x:c r="A68" s="55" t="str">
        <x:v>GL-0067</x:v>
      </x:c>
      <x:c r="B68" s="76" t="n">
        <x:v>46170</x:v>
      </x:c>
      <x:c r="C68" s="56" t="str">
        <x:v>REF-1079</x:v>
      </x:c>
      <x:c r="D68" s="56" t="str">
        <x:v>Cash posting</x:v>
      </x:c>
      <x:c r="E68" s="80" t="n">
        <x:v>2344.6</x:v>
      </x:c>
      <x:c r="F68" s="56" t="str">
        <x:f>C68&amp;"|"&amp;ROUND(E68,2)</x:f>
        <x:v>REF-1079|2344.6</x:v>
      </x:c>
      <x:c r="G68" s="56" t="str">
        <x:f>IF(COUNTIF(Bank_Statement!$F:$F,F68)&gt;0,"Matched","Unmatched GL Item")</x:f>
        <x:v>Unmatched GL Item</x:v>
      </x:c>
      <x:c r="H68" s="100" t="n">
        <x:f>IF(G68="Matched",0,E68)</x:f>
        <x:v>2344.6</x:v>
      </x:c>
    </x:row>
    <x:row r="69">
      <x:c r="A69" s="55" t="str">
        <x:v>GL-0068</x:v>
      </x:c>
      <x:c r="B69" s="76" t="n">
        <x:v>46169</x:v>
      </x:c>
      <x:c r="C69" s="56" t="str">
        <x:v>REF-1081</x:v>
      </x:c>
      <x:c r="D69" s="56" t="str">
        <x:v>Cash posting</x:v>
      </x:c>
      <x:c r="E69" s="80" t="n">
        <x:v>4034.71</x:v>
      </x:c>
      <x:c r="F69" s="56" t="str">
        <x:f>C69&amp;"|"&amp;ROUND(E69,2)</x:f>
        <x:v>REF-1081|4034.71</x:v>
      </x:c>
      <x:c r="G69" s="56" t="str">
        <x:f>IF(COUNTIF(Bank_Statement!$F:$F,F69)&gt;0,"Matched","Unmatched GL Item")</x:f>
        <x:v>Unmatched GL Item</x:v>
      </x:c>
      <x:c r="H69" s="100" t="n">
        <x:f>IF(G69="Matched",0,E69)</x:f>
        <x:v>4034.71</x:v>
      </x:c>
    </x:row>
    <x:row r="70">
      <x:c r="A70" s="55" t="str">
        <x:v>GL-0069</x:v>
      </x:c>
      <x:c r="B70" s="76" t="n">
        <x:v>46144</x:v>
      </x:c>
      <x:c r="C70" s="56" t="str">
        <x:v>REF-1083</x:v>
      </x:c>
      <x:c r="D70" s="56" t="str">
        <x:v>Cash posting</x:v>
      </x:c>
      <x:c r="E70" s="80" t="n">
        <x:v>11212.67</x:v>
      </x:c>
      <x:c r="F70" s="56" t="str">
        <x:f>C70&amp;"|"&amp;ROUND(E70,2)</x:f>
        <x:v>REF-1083|11212.67</x:v>
      </x:c>
      <x:c r="G70" s="56" t="str">
        <x:f>IF(COUNTIF(Bank_Statement!$F:$F,F70)&gt;0,"Matched","Unmatched GL Item")</x:f>
        <x:v>Matched</x:v>
      </x:c>
      <x:c r="H70" s="100" t="n">
        <x:f>IF(G70="Matched",0,E70)</x:f>
        <x:v>0</x:v>
      </x:c>
    </x:row>
    <x:row r="71">
      <x:c r="A71" s="55" t="str">
        <x:v>GL-0070</x:v>
      </x:c>
      <x:c r="B71" s="76" t="n">
        <x:v>46172</x:v>
      </x:c>
      <x:c r="C71" s="56" t="str">
        <x:v>REF-1084</x:v>
      </x:c>
      <x:c r="D71" s="56" t="str">
        <x:v>Cash posting</x:v>
      </x:c>
      <x:c r="E71" s="80" t="n">
        <x:v>-6268.32</x:v>
      </x:c>
      <x:c r="F71" s="56" t="str">
        <x:f>C71&amp;"|"&amp;ROUND(E71,2)</x:f>
        <x:v>REF-1084|-6268.32</x:v>
      </x:c>
      <x:c r="G71" s="56" t="str">
        <x:f>IF(COUNTIF(Bank_Statement!$F:$F,F71)&gt;0,"Matched","Unmatched GL Item")</x:f>
        <x:v>Unmatched GL Item</x:v>
      </x:c>
      <x:c r="H71" s="100" t="n">
        <x:f>IF(G71="Matched",0,E71)</x:f>
        <x:v>-6268.32</x:v>
      </x:c>
    </x:row>
    <x:row r="72">
      <x:c r="A72" s="55" t="str">
        <x:v>GL-0071</x:v>
      </x:c>
      <x:c r="B72" s="76" t="n">
        <x:v>46164</x:v>
      </x:c>
      <x:c r="C72" s="56" t="str">
        <x:v>REF-1085</x:v>
      </x:c>
      <x:c r="D72" s="56" t="str">
        <x:v>Cash posting</x:v>
      </x:c>
      <x:c r="E72" s="80" t="n">
        <x:v>14740.4</x:v>
      </x:c>
      <x:c r="F72" s="56" t="str">
        <x:f>C72&amp;"|"&amp;ROUND(E72,2)</x:f>
        <x:v>REF-1085|14740.4</x:v>
      </x:c>
      <x:c r="G72" s="56" t="str">
        <x:f>IF(COUNTIF(Bank_Statement!$F:$F,F72)&gt;0,"Matched","Unmatched GL Item")</x:f>
        <x:v>Matched</x:v>
      </x:c>
      <x:c r="H72" s="100" t="n">
        <x:f>IF(G72="Matched",0,E72)</x:f>
        <x:v>0</x:v>
      </x:c>
    </x:row>
    <x:row r="73">
      <x:c r="A73" s="55" t="str">
        <x:v>GL-0072</x:v>
      </x:c>
      <x:c r="B73" s="76" t="n">
        <x:v>46154</x:v>
      </x:c>
      <x:c r="C73" s="56" t="str">
        <x:v>REF-1086</x:v>
      </x:c>
      <x:c r="D73" s="56" t="str">
        <x:v>Cash posting</x:v>
      </x:c>
      <x:c r="E73" s="80" t="n">
        <x:v>-7699.16</x:v>
      </x:c>
      <x:c r="F73" s="56" t="str">
        <x:f>C73&amp;"|"&amp;ROUND(E73,2)</x:f>
        <x:v>REF-1086|-7699.16</x:v>
      </x:c>
      <x:c r="G73" s="56" t="str">
        <x:f>IF(COUNTIF(Bank_Statement!$F:$F,F73)&gt;0,"Matched","Unmatched GL Item")</x:f>
        <x:v>Matched</x:v>
      </x:c>
      <x:c r="H73" s="100" t="n">
        <x:f>IF(G73="Matched",0,E73)</x:f>
        <x:v>0</x:v>
      </x:c>
    </x:row>
    <x:row r="74">
      <x:c r="A74" s="55" t="str">
        <x:v>GL-0073</x:v>
      </x:c>
      <x:c r="B74" s="76" t="n">
        <x:v>46151</x:v>
      </x:c>
      <x:c r="C74" s="56" t="str">
        <x:v>REF-1088</x:v>
      </x:c>
      <x:c r="D74" s="56" t="str">
        <x:v>Cash posting</x:v>
      </x:c>
      <x:c r="E74" s="80" t="n">
        <x:v>6492.88</x:v>
      </x:c>
      <x:c r="F74" s="56" t="str">
        <x:f>C74&amp;"|"&amp;ROUND(E74,2)</x:f>
        <x:v>REF-1088|6492.88</x:v>
      </x:c>
      <x:c r="G74" s="56" t="str">
        <x:f>IF(COUNTIF(Bank_Statement!$F:$F,F74)&gt;0,"Matched","Unmatched GL Item")</x:f>
        <x:v>Unmatched GL Item</x:v>
      </x:c>
      <x:c r="H74" s="100" t="n">
        <x:f>IF(G74="Matched",0,E74)</x:f>
        <x:v>6492.88</x:v>
      </x:c>
    </x:row>
    <x:row r="75">
      <x:c r="A75" s="55" t="str">
        <x:v>GL-0074</x:v>
      </x:c>
      <x:c r="B75" s="76" t="n">
        <x:v>46165</x:v>
      </x:c>
      <x:c r="C75" s="56" t="str">
        <x:v>REF-1089</x:v>
      </x:c>
      <x:c r="D75" s="56" t="str">
        <x:v>Cash posting</x:v>
      </x:c>
      <x:c r="E75" s="80" t="n">
        <x:v>1161.47</x:v>
      </x:c>
      <x:c r="F75" s="56" t="str">
        <x:f>C75&amp;"|"&amp;ROUND(E75,2)</x:f>
        <x:v>REF-1089|1161.47</x:v>
      </x:c>
      <x:c r="G75" s="56" t="str">
        <x:f>IF(COUNTIF(Bank_Statement!$F:$F,F75)&gt;0,"Matched","Unmatched GL Item")</x:f>
        <x:v>Unmatched GL Item</x:v>
      </x:c>
      <x:c r="H75" s="100" t="n">
        <x:f>IF(G75="Matched",0,E75)</x:f>
        <x:v>1161.47</x:v>
      </x:c>
    </x:row>
    <x:row r="76">
      <x:c r="A76" s="55" t="str">
        <x:v>GL-0075</x:v>
      </x:c>
      <x:c r="B76" s="76" t="n">
        <x:v>46162</x:v>
      </x:c>
      <x:c r="C76" s="56" t="str">
        <x:v>REF-1090</x:v>
      </x:c>
      <x:c r="D76" s="56" t="str">
        <x:v>Cash posting</x:v>
      </x:c>
      <x:c r="E76" s="80" t="n">
        <x:v>650.74</x:v>
      </x:c>
      <x:c r="F76" s="56" t="str">
        <x:f>C76&amp;"|"&amp;ROUND(E76,2)</x:f>
        <x:v>REF-1090|650.74</x:v>
      </x:c>
      <x:c r="G76" s="56" t="str">
        <x:f>IF(COUNTIF(Bank_Statement!$F:$F,F76)&gt;0,"Matched","Unmatched GL Item")</x:f>
        <x:v>Matched</x:v>
      </x:c>
      <x:c r="H76" s="100" t="n">
        <x:f>IF(G76="Matched",0,E76)</x:f>
        <x:v>0</x:v>
      </x:c>
    </x:row>
    <x:row r="77">
      <x:c r="A77" s="55" t="str">
        <x:v>GL-0076</x:v>
      </x:c>
      <x:c r="B77" s="76" t="n">
        <x:v>46147</x:v>
      </x:c>
      <x:c r="C77" s="56" t="str">
        <x:v>REF-1091</x:v>
      </x:c>
      <x:c r="D77" s="56" t="str">
        <x:v>Cash posting</x:v>
      </x:c>
      <x:c r="E77" s="80" t="n">
        <x:v>266.95</x:v>
      </x:c>
      <x:c r="F77" s="56" t="str">
        <x:f>C77&amp;"|"&amp;ROUND(E77,2)</x:f>
        <x:v>REF-1091|266.95</x:v>
      </x:c>
      <x:c r="G77" s="56" t="str">
        <x:f>IF(COUNTIF(Bank_Statement!$F:$F,F77)&gt;0,"Matched","Unmatched GL Item")</x:f>
        <x:v>Matched</x:v>
      </x:c>
      <x:c r="H77" s="100" t="n">
        <x:f>IF(G77="Matched",0,E77)</x:f>
        <x:v>0</x:v>
      </x:c>
    </x:row>
    <x:row r="78">
      <x:c r="A78" s="55" t="str">
        <x:v>GL-0077</x:v>
      </x:c>
      <x:c r="B78" s="76" t="n">
        <x:v>46144</x:v>
      </x:c>
      <x:c r="C78" s="56" t="str">
        <x:v>REF-1092</x:v>
      </x:c>
      <x:c r="D78" s="56" t="str">
        <x:v>Cash posting</x:v>
      </x:c>
      <x:c r="E78" s="80" t="n">
        <x:v>7536</x:v>
      </x:c>
      <x:c r="F78" s="56" t="str">
        <x:f>C78&amp;"|"&amp;ROUND(E78,2)</x:f>
        <x:v>REF-1092|7536</x:v>
      </x:c>
      <x:c r="G78" s="56" t="str">
        <x:f>IF(COUNTIF(Bank_Statement!$F:$F,F78)&gt;0,"Matched","Unmatched GL Item")</x:f>
        <x:v>Matched</x:v>
      </x:c>
      <x:c r="H78" s="100" t="n">
        <x:f>IF(G78="Matched",0,E78)</x:f>
        <x:v>0</x:v>
      </x:c>
    </x:row>
    <x:row r="79">
      <x:c r="A79" s="55" t="str">
        <x:v>GL-0078</x:v>
      </x:c>
      <x:c r="B79" s="76" t="n">
        <x:v>46160</x:v>
      </x:c>
      <x:c r="C79" s="56" t="str">
        <x:v>REF-1094</x:v>
      </x:c>
      <x:c r="D79" s="56" t="str">
        <x:v>Cash posting</x:v>
      </x:c>
      <x:c r="E79" s="80" t="n">
        <x:v>10810.73</x:v>
      </x:c>
      <x:c r="F79" s="56" t="str">
        <x:f>C79&amp;"|"&amp;ROUND(E79,2)</x:f>
        <x:v>REF-1094|10810.73</x:v>
      </x:c>
      <x:c r="G79" s="56" t="str">
        <x:f>IF(COUNTIF(Bank_Statement!$F:$F,F79)&gt;0,"Matched","Unmatched GL Item")</x:f>
        <x:v>Unmatched GL Item</x:v>
      </x:c>
      <x:c r="H79" s="100" t="n">
        <x:f>IF(G79="Matched",0,E79)</x:f>
        <x:v>10810.73</x:v>
      </x:c>
    </x:row>
    <x:row r="80">
      <x:c r="A80" s="55" t="str">
        <x:v>GL-0079</x:v>
      </x:c>
      <x:c r="B80" s="76" t="n">
        <x:v>46148</x:v>
      </x:c>
      <x:c r="C80" s="56" t="str">
        <x:v>REF-1095</x:v>
      </x:c>
      <x:c r="D80" s="56" t="str">
        <x:v>Cash posting</x:v>
      </x:c>
      <x:c r="E80" s="80" t="n">
        <x:v>7093.79</x:v>
      </x:c>
      <x:c r="F80" s="56" t="str">
        <x:f>C80&amp;"|"&amp;ROUND(E80,2)</x:f>
        <x:v>REF-1095|7093.79</x:v>
      </x:c>
      <x:c r="G80" s="56" t="str">
        <x:f>IF(COUNTIF(Bank_Statement!$F:$F,F80)&gt;0,"Matched","Unmatched GL Item")</x:f>
        <x:v>Matched</x:v>
      </x:c>
      <x:c r="H80" s="100" t="n">
        <x:f>IF(G80="Matched",0,E80)</x:f>
        <x:v>0</x:v>
      </x:c>
    </x:row>
    <x:row r="81">
      <x:c r="A81" s="55" t="str">
        <x:v>GL-0080</x:v>
      </x:c>
      <x:c r="B81" s="76" t="n">
        <x:v>46151</x:v>
      </x:c>
      <x:c r="C81" s="56" t="str">
        <x:v>REF-1096</x:v>
      </x:c>
      <x:c r="D81" s="56" t="str">
        <x:v>Cash posting</x:v>
      </x:c>
      <x:c r="E81" s="80" t="n">
        <x:v>1955.68</x:v>
      </x:c>
      <x:c r="F81" s="56" t="str">
        <x:f>C81&amp;"|"&amp;ROUND(E81,2)</x:f>
        <x:v>REF-1096|1955.68</x:v>
      </x:c>
      <x:c r="G81" s="56" t="str">
        <x:f>IF(COUNTIF(Bank_Statement!$F:$F,F81)&gt;0,"Matched","Unmatched GL Item")</x:f>
        <x:v>Matched</x:v>
      </x:c>
      <x:c r="H81" s="100" t="n">
        <x:f>IF(G81="Matched",0,E81)</x:f>
        <x:v>0</x:v>
      </x:c>
    </x:row>
    <x:row r="82">
      <x:c r="A82" s="55" t="str">
        <x:v>GL-0081</x:v>
      </x:c>
      <x:c r="B82" s="76" t="n">
        <x:v>46145</x:v>
      </x:c>
      <x:c r="C82" s="56" t="str">
        <x:v>REF-1097</x:v>
      </x:c>
      <x:c r="D82" s="56" t="str">
        <x:v>Cash posting</x:v>
      </x:c>
      <x:c r="E82" s="80" t="n">
        <x:v>-1085.74</x:v>
      </x:c>
      <x:c r="F82" s="56" t="str">
        <x:f>C82&amp;"|"&amp;ROUND(E82,2)</x:f>
        <x:v>REF-1097|-1085.74</x:v>
      </x:c>
      <x:c r="G82" s="56" t="str">
        <x:f>IF(COUNTIF(Bank_Statement!$F:$F,F82)&gt;0,"Matched","Unmatched GL Item")</x:f>
        <x:v>Matched</x:v>
      </x:c>
      <x:c r="H82" s="100" t="n">
        <x:f>IF(G82="Matched",0,E82)</x:f>
        <x:v>0</x:v>
      </x:c>
    </x:row>
    <x:row r="83">
      <x:c r="A83" s="55" t="str">
        <x:v>GL-0082</x:v>
      </x:c>
      <x:c r="B83" s="76" t="n">
        <x:v>46161</x:v>
      </x:c>
      <x:c r="C83" s="56" t="str">
        <x:v>REF-1098</x:v>
      </x:c>
      <x:c r="D83" s="56" t="str">
        <x:v>Cash posting</x:v>
      </x:c>
      <x:c r="E83" s="80" t="n">
        <x:v>10259.12</x:v>
      </x:c>
      <x:c r="F83" s="56" t="str">
        <x:f>C83&amp;"|"&amp;ROUND(E83,2)</x:f>
        <x:v>REF-1098|10259.12</x:v>
      </x:c>
      <x:c r="G83" s="56" t="str">
        <x:f>IF(COUNTIF(Bank_Statement!$F:$F,F83)&gt;0,"Matched","Unmatched GL Item")</x:f>
        <x:v>Matched</x:v>
      </x:c>
      <x:c r="H83" s="100" t="n">
        <x:f>IF(G83="Matched",0,E83)</x:f>
        <x:v>0</x:v>
      </x:c>
    </x:row>
    <x:row r="84">
      <x:c r="A84" s="55" t="str">
        <x:v>GL-0083</x:v>
      </x:c>
      <x:c r="B84" s="76" t="n">
        <x:v>46155</x:v>
      </x:c>
      <x:c r="C84" s="56" t="str">
        <x:v>REF-1099</x:v>
      </x:c>
      <x:c r="D84" s="56" t="str">
        <x:v>Cash posting</x:v>
      </x:c>
      <x:c r="E84" s="80" t="n">
        <x:v>-4292.69</x:v>
      </x:c>
      <x:c r="F84" s="56" t="str">
        <x:f>C84&amp;"|"&amp;ROUND(E84,2)</x:f>
        <x:v>REF-1099|-4292.69</x:v>
      </x:c>
      <x:c r="G84" s="56" t="str">
        <x:f>IF(COUNTIF(Bank_Statement!$F:$F,F84)&gt;0,"Matched","Unmatched GL Item")</x:f>
        <x:v>Matched</x:v>
      </x:c>
      <x:c r="H84" s="100" t="n">
        <x:f>IF(G84="Matched",0,E84)</x:f>
        <x:v>0</x:v>
      </x:c>
    </x:row>
    <x:row r="85">
      <x:c r="A85" s="55" t="str">
        <x:v>GL-0084</x:v>
      </x:c>
      <x:c r="B85" s="76" t="n">
        <x:v>46143</x:v>
      </x:c>
      <x:c r="C85" s="56" t="str">
        <x:v>REF-1100</x:v>
      </x:c>
      <x:c r="D85" s="56" t="str">
        <x:v>Cash posting</x:v>
      </x:c>
      <x:c r="E85" s="80" t="n">
        <x:v>13673.86</x:v>
      </x:c>
      <x:c r="F85" s="56" t="str">
        <x:f>C85&amp;"|"&amp;ROUND(E85,2)</x:f>
        <x:v>REF-1100|13673.86</x:v>
      </x:c>
      <x:c r="G85" s="56" t="str">
        <x:f>IF(COUNTIF(Bank_Statement!$F:$F,F85)&gt;0,"Matched","Unmatched GL Item")</x:f>
        <x:v>Unmatched GL Item</x:v>
      </x:c>
      <x:c r="H85" s="100" t="n">
        <x:f>IF(G85="Matched",0,E85)</x:f>
        <x:v>13673.86</x:v>
      </x:c>
    </x:row>
    <x:row r="86">
      <x:c r="A86" s="55" t="str">
        <x:v>GL-0085</x:v>
      </x:c>
      <x:c r="B86" s="76" t="n">
        <x:v>46172</x:v>
      </x:c>
      <x:c r="C86" s="56" t="str">
        <x:v>REF-1101</x:v>
      </x:c>
      <x:c r="D86" s="56" t="str">
        <x:v>Cash posting</x:v>
      </x:c>
      <x:c r="E86" s="80" t="n">
        <x:v>13782.57</x:v>
      </x:c>
      <x:c r="F86" s="56" t="str">
        <x:f>C86&amp;"|"&amp;ROUND(E86,2)</x:f>
        <x:v>REF-1101|13782.57</x:v>
      </x:c>
      <x:c r="G86" s="56" t="str">
        <x:f>IF(COUNTIF(Bank_Statement!$F:$F,F86)&gt;0,"Matched","Unmatched GL Item")</x:f>
        <x:v>Matched</x:v>
      </x:c>
      <x:c r="H86" s="100" t="n">
        <x:f>IF(G86="Matched",0,E86)</x:f>
        <x:v>0</x:v>
      </x:c>
    </x:row>
    <x:row r="87">
      <x:c r="A87" s="55" t="str">
        <x:v>GL-0086</x:v>
      </x:c>
      <x:c r="B87" s="76" t="n">
        <x:v>46155</x:v>
      </x:c>
      <x:c r="C87" s="56" t="str">
        <x:v>REF-1102</x:v>
      </x:c>
      <x:c r="D87" s="56" t="str">
        <x:v>Cash posting</x:v>
      </x:c>
      <x:c r="E87" s="80" t="n">
        <x:v>-5107.28</x:v>
      </x:c>
      <x:c r="F87" s="56" t="str">
        <x:f>C87&amp;"|"&amp;ROUND(E87,2)</x:f>
        <x:v>REF-1102|-5107.28</x:v>
      </x:c>
      <x:c r="G87" s="56" t="str">
        <x:f>IF(COUNTIF(Bank_Statement!$F:$F,F87)&gt;0,"Matched","Unmatched GL Item")</x:f>
        <x:v>Matched</x:v>
      </x:c>
      <x:c r="H87" s="100" t="n">
        <x:f>IF(G87="Matched",0,E87)</x:f>
        <x:v>0</x:v>
      </x:c>
    </x:row>
    <x:row r="88">
      <x:c r="A88" s="55" t="str">
        <x:v>GL-0087</x:v>
      </x:c>
      <x:c r="B88" s="76" t="n">
        <x:v>46158</x:v>
      </x:c>
      <x:c r="C88" s="56" t="str">
        <x:v>REF-1104</x:v>
      </x:c>
      <x:c r="D88" s="56" t="str">
        <x:v>Cash posting</x:v>
      </x:c>
      <x:c r="E88" s="80" t="n">
        <x:v>13107.43</x:v>
      </x:c>
      <x:c r="F88" s="56" t="str">
        <x:f>C88&amp;"|"&amp;ROUND(E88,2)</x:f>
        <x:v>REF-1104|13107.43</x:v>
      </x:c>
      <x:c r="G88" s="56" t="str">
        <x:f>IF(COUNTIF(Bank_Statement!$F:$F,F88)&gt;0,"Matched","Unmatched GL Item")</x:f>
        <x:v>Matched</x:v>
      </x:c>
      <x:c r="H88" s="100" t="n">
        <x:f>IF(G88="Matched",0,E88)</x:f>
        <x:v>0</x:v>
      </x:c>
    </x:row>
    <x:row r="89">
      <x:c r="A89" s="55" t="str">
        <x:v>GL-0088</x:v>
      </x:c>
      <x:c r="B89" s="76" t="n">
        <x:v>46172</x:v>
      </x:c>
      <x:c r="C89" s="56" t="str">
        <x:v>REF-1105</x:v>
      </x:c>
      <x:c r="D89" s="56" t="str">
        <x:v>Cash posting</x:v>
      </x:c>
      <x:c r="E89" s="80" t="n">
        <x:v>4067.12</x:v>
      </x:c>
      <x:c r="F89" s="56" t="str">
        <x:f>C89&amp;"|"&amp;ROUND(E89,2)</x:f>
        <x:v>REF-1105|4067.12</x:v>
      </x:c>
      <x:c r="G89" s="56" t="str">
        <x:f>IF(COUNTIF(Bank_Statement!$F:$F,F89)&gt;0,"Matched","Unmatched GL Item")</x:f>
        <x:v>Matched</x:v>
      </x:c>
      <x:c r="H89" s="100" t="n">
        <x:f>IF(G89="Matched",0,E89)</x:f>
        <x:v>0</x:v>
      </x:c>
    </x:row>
    <x:row r="90">
      <x:c r="A90" s="55" t="str">
        <x:v>GL-0089</x:v>
      </x:c>
      <x:c r="B90" s="76" t="n">
        <x:v>46163</x:v>
      </x:c>
      <x:c r="C90" s="56" t="str">
        <x:v>REF-1106</x:v>
      </x:c>
      <x:c r="D90" s="56" t="str">
        <x:v>Cash posting</x:v>
      </x:c>
      <x:c r="E90" s="80" t="n">
        <x:v>14508.88</x:v>
      </x:c>
      <x:c r="F90" s="56" t="str">
        <x:f>C90&amp;"|"&amp;ROUND(E90,2)</x:f>
        <x:v>REF-1106|14508.88</x:v>
      </x:c>
      <x:c r="G90" s="56" t="str">
        <x:f>IF(COUNTIF(Bank_Statement!$F:$F,F90)&gt;0,"Matched","Unmatched GL Item")</x:f>
        <x:v>Matched</x:v>
      </x:c>
      <x:c r="H90" s="100" t="n">
        <x:f>IF(G90="Matched",0,E90)</x:f>
        <x:v>0</x:v>
      </x:c>
    </x:row>
    <x:row r="91">
      <x:c r="A91" s="55" t="str">
        <x:v>GL-0090</x:v>
      </x:c>
      <x:c r="B91" s="76" t="n">
        <x:v>46143</x:v>
      </x:c>
      <x:c r="C91" s="56" t="str">
        <x:v>REF-1107</x:v>
      </x:c>
      <x:c r="D91" s="56" t="str">
        <x:v>Cash posting</x:v>
      </x:c>
      <x:c r="E91" s="80" t="n">
        <x:v>10609.32</x:v>
      </x:c>
      <x:c r="F91" s="56" t="str">
        <x:f>C91&amp;"|"&amp;ROUND(E91,2)</x:f>
        <x:v>REF-1107|10609.32</x:v>
      </x:c>
      <x:c r="G91" s="56" t="str">
        <x:f>IF(COUNTIF(Bank_Statement!$F:$F,F91)&gt;0,"Matched","Unmatched GL Item")</x:f>
        <x:v>Matched</x:v>
      </x:c>
      <x:c r="H91" s="100" t="n">
        <x:f>IF(G91="Matched",0,E91)</x:f>
        <x:v>0</x:v>
      </x:c>
    </x:row>
    <x:row r="92">
      <x:c r="A92" s="55" t="str">
        <x:v>GL-0091</x:v>
      </x:c>
      <x:c r="B92" s="76" t="n">
        <x:v>46153</x:v>
      </x:c>
      <x:c r="C92" s="56" t="str">
        <x:v>REF-1108</x:v>
      </x:c>
      <x:c r="D92" s="56" t="str">
        <x:v>Cash posting</x:v>
      </x:c>
      <x:c r="E92" s="80" t="n">
        <x:v>7994.32</x:v>
      </x:c>
      <x:c r="F92" s="56" t="str">
        <x:f>C92&amp;"|"&amp;ROUND(E92,2)</x:f>
        <x:v>REF-1108|7994.32</x:v>
      </x:c>
      <x:c r="G92" s="56" t="str">
        <x:f>IF(COUNTIF(Bank_Statement!$F:$F,F92)&gt;0,"Matched","Unmatched GL Item")</x:f>
        <x:v>Matched</x:v>
      </x:c>
      <x:c r="H92" s="100" t="n">
        <x:f>IF(G92="Matched",0,E92)</x:f>
        <x:v>0</x:v>
      </x:c>
    </x:row>
    <x:row r="93">
      <x:c r="A93" s="55" t="str">
        <x:v>GL-0092</x:v>
      </x:c>
      <x:c r="B93" s="76" t="n">
        <x:v>46150</x:v>
      </x:c>
      <x:c r="C93" s="56" t="str">
        <x:v>REF-1109</x:v>
      </x:c>
      <x:c r="D93" s="56" t="str">
        <x:v>Cash posting</x:v>
      </x:c>
      <x:c r="E93" s="80" t="n">
        <x:v>2484.42</x:v>
      </x:c>
      <x:c r="F93" s="56" t="str">
        <x:f>C93&amp;"|"&amp;ROUND(E93,2)</x:f>
        <x:v>REF-1109|2484.42</x:v>
      </x:c>
      <x:c r="G93" s="56" t="str">
        <x:f>IF(COUNTIF(Bank_Statement!$F:$F,F93)&gt;0,"Matched","Unmatched GL Item")</x:f>
        <x:v>Matched</x:v>
      </x:c>
      <x:c r="H93" s="100" t="n">
        <x:f>IF(G93="Matched",0,E93)</x:f>
        <x:v>0</x:v>
      </x:c>
    </x:row>
    <x:row r="94">
      <x:c r="A94" s="55" t="str">
        <x:v>GL-0093</x:v>
      </x:c>
      <x:c r="B94" s="76" t="n">
        <x:v>46147</x:v>
      </x:c>
      <x:c r="C94" s="56" t="str">
        <x:v>REF-1110</x:v>
      </x:c>
      <x:c r="D94" s="56" t="str">
        <x:v>Cash posting</x:v>
      </x:c>
      <x:c r="E94" s="80" t="n">
        <x:v>9410.76</x:v>
      </x:c>
      <x:c r="F94" s="56" t="str">
        <x:f>C94&amp;"|"&amp;ROUND(E94,2)</x:f>
        <x:v>REF-1110|9410.76</x:v>
      </x:c>
      <x:c r="G94" s="56" t="str">
        <x:f>IF(COUNTIF(Bank_Statement!$F:$F,F94)&gt;0,"Matched","Unmatched GL Item")</x:f>
        <x:v>Unmatched GL Item</x:v>
      </x:c>
      <x:c r="H94" s="100" t="n">
        <x:f>IF(G94="Matched",0,E94)</x:f>
        <x:v>9410.76</x:v>
      </x:c>
    </x:row>
    <x:row r="95">
      <x:c r="A95" s="55" t="str">
        <x:v>GL-0094</x:v>
      </x:c>
      <x:c r="B95" s="76" t="n">
        <x:v>46143</x:v>
      </x:c>
      <x:c r="C95" s="56" t="str">
        <x:v>REF-1111</x:v>
      </x:c>
      <x:c r="D95" s="56" t="str">
        <x:v>Cash posting</x:v>
      </x:c>
      <x:c r="E95" s="80" t="n">
        <x:v>11644.89</x:v>
      </x:c>
      <x:c r="F95" s="56" t="str">
        <x:f>C95&amp;"|"&amp;ROUND(E95,2)</x:f>
        <x:v>REF-1111|11644.89</x:v>
      </x:c>
      <x:c r="G95" s="56" t="str">
        <x:f>IF(COUNTIF(Bank_Statement!$F:$F,F95)&gt;0,"Matched","Unmatched GL Item")</x:f>
        <x:v>Matched</x:v>
      </x:c>
      <x:c r="H95" s="100" t="n">
        <x:f>IF(G95="Matched",0,E95)</x:f>
        <x:v>0</x:v>
      </x:c>
    </x:row>
    <x:row r="96">
      <x:c r="A96" s="55" t="str">
        <x:v>GL-0095</x:v>
      </x:c>
      <x:c r="B96" s="76" t="n">
        <x:v>46144</x:v>
      </x:c>
      <x:c r="C96" s="56" t="str">
        <x:v>REF-1113</x:v>
      </x:c>
      <x:c r="D96" s="56" t="str">
        <x:v>Cash posting</x:v>
      </x:c>
      <x:c r="E96" s="80" t="n">
        <x:v>6170.01</x:v>
      </x:c>
      <x:c r="F96" s="56" t="str">
        <x:f>C96&amp;"|"&amp;ROUND(E96,2)</x:f>
        <x:v>REF-1113|6170.01</x:v>
      </x:c>
      <x:c r="G96" s="56" t="str">
        <x:f>IF(COUNTIF(Bank_Statement!$F:$F,F96)&gt;0,"Matched","Unmatched GL Item")</x:f>
        <x:v>Matched</x:v>
      </x:c>
      <x:c r="H96" s="100" t="n">
        <x:f>IF(G96="Matched",0,E96)</x:f>
        <x:v>0</x:v>
      </x:c>
    </x:row>
    <x:row r="97">
      <x:c r="A97" s="55" t="str">
        <x:v>GL-0096</x:v>
      </x:c>
      <x:c r="B97" s="76" t="n">
        <x:v>46144</x:v>
      </x:c>
      <x:c r="C97" s="56" t="str">
        <x:v>REF-1114</x:v>
      </x:c>
      <x:c r="D97" s="56" t="str">
        <x:v>Cash posting</x:v>
      </x:c>
      <x:c r="E97" s="80" t="n">
        <x:v>-558.84</x:v>
      </x:c>
      <x:c r="F97" s="56" t="str">
        <x:f>C97&amp;"|"&amp;ROUND(E97,2)</x:f>
        <x:v>REF-1114|-558.84</x:v>
      </x:c>
      <x:c r="G97" s="56" t="str">
        <x:f>IF(COUNTIF(Bank_Statement!$F:$F,F97)&gt;0,"Matched","Unmatched GL Item")</x:f>
        <x:v>Matched</x:v>
      </x:c>
      <x:c r="H97" s="100" t="n">
        <x:f>IF(G97="Matched",0,E97)</x:f>
        <x:v>0</x:v>
      </x:c>
    </x:row>
    <x:row r="98">
      <x:c r="A98" s="55" t="str">
        <x:v>GL-0097</x:v>
      </x:c>
      <x:c r="B98" s="76" t="n">
        <x:v>46159</x:v>
      </x:c>
      <x:c r="C98" s="56" t="str">
        <x:v>REF-1115</x:v>
      </x:c>
      <x:c r="D98" s="56" t="str">
        <x:v>Cash posting</x:v>
      </x:c>
      <x:c r="E98" s="80" t="n">
        <x:v>-7660.24</x:v>
      </x:c>
      <x:c r="F98" s="56" t="str">
        <x:f>C98&amp;"|"&amp;ROUND(E98,2)</x:f>
        <x:v>REF-1115|-7660.24</x:v>
      </x:c>
      <x:c r="G98" s="56" t="str">
        <x:f>IF(COUNTIF(Bank_Statement!$F:$F,F98)&gt;0,"Matched","Unmatched GL Item")</x:f>
        <x:v>Matched</x:v>
      </x:c>
      <x:c r="H98" s="100" t="n">
        <x:f>IF(G98="Matched",0,E98)</x:f>
        <x:v>0</x:v>
      </x:c>
    </x:row>
    <x:row r="99">
      <x:c r="A99" s="55" t="str">
        <x:v>GL-0098</x:v>
      </x:c>
      <x:c r="B99" s="76" t="n">
        <x:v>46156</x:v>
      </x:c>
      <x:c r="C99" s="56" t="str">
        <x:v>REF-1116</x:v>
      </x:c>
      <x:c r="D99" s="56" t="str">
        <x:v>Cash posting</x:v>
      </x:c>
      <x:c r="E99" s="80" t="n">
        <x:v>628.95</x:v>
      </x:c>
      <x:c r="F99" s="56" t="str">
        <x:f>C99&amp;"|"&amp;ROUND(E99,2)</x:f>
        <x:v>REF-1116|628.95</x:v>
      </x:c>
      <x:c r="G99" s="56" t="str">
        <x:f>IF(COUNTIF(Bank_Statement!$F:$F,F99)&gt;0,"Matched","Unmatched GL Item")</x:f>
        <x:v>Matched</x:v>
      </x:c>
      <x:c r="H99" s="100" t="n">
        <x:f>IF(G99="Matched",0,E99)</x:f>
        <x:v>0</x:v>
      </x:c>
    </x:row>
    <x:row r="100">
      <x:c r="A100" s="55" t="str">
        <x:v>GL-0099</x:v>
      </x:c>
      <x:c r="B100" s="76" t="n">
        <x:v>46151</x:v>
      </x:c>
      <x:c r="C100" s="56" t="str">
        <x:v>REF-1117</x:v>
      </x:c>
      <x:c r="D100" s="56" t="str">
        <x:v>Cash posting</x:v>
      </x:c>
      <x:c r="E100" s="80" t="n">
        <x:v>9451.36</x:v>
      </x:c>
      <x:c r="F100" s="56" t="str">
        <x:f>C100&amp;"|"&amp;ROUND(E100,2)</x:f>
        <x:v>REF-1117|9451.36</x:v>
      </x:c>
      <x:c r="G100" s="56" t="str">
        <x:f>IF(COUNTIF(Bank_Statement!$F:$F,F100)&gt;0,"Matched","Unmatched GL Item")</x:f>
        <x:v>Matched</x:v>
      </x:c>
      <x:c r="H100" s="100" t="n">
        <x:f>IF(G100="Matched",0,E100)</x:f>
        <x:v>0</x:v>
      </x:c>
    </x:row>
    <x:row r="101">
      <x:c r="A101" s="55" t="str">
        <x:v>GL-0100</x:v>
      </x:c>
      <x:c r="B101" s="76" t="n">
        <x:v>46169</x:v>
      </x:c>
      <x:c r="C101" s="56" t="str">
        <x:v>REF-1118</x:v>
      </x:c>
      <x:c r="D101" s="56" t="str">
        <x:v>Cash posting</x:v>
      </x:c>
      <x:c r="E101" s="80" t="n">
        <x:v>-8470.35</x:v>
      </x:c>
      <x:c r="F101" s="56" t="str">
        <x:f>C101&amp;"|"&amp;ROUND(E101,2)</x:f>
        <x:v>REF-1118|-8470.35</x:v>
      </x:c>
      <x:c r="G101" s="56" t="str">
        <x:f>IF(COUNTIF(Bank_Statement!$F:$F,F101)&gt;0,"Matched","Unmatched GL Item")</x:f>
        <x:v>Matched</x:v>
      </x:c>
      <x:c r="H101" s="100" t="n">
        <x:f>IF(G101="Matched",0,E101)</x:f>
        <x:v>0</x:v>
      </x:c>
    </x:row>
    <x:row r="102">
      <x:c r="A102" s="55" t="str">
        <x:v>GL-0101</x:v>
      </x:c>
      <x:c r="B102" s="76" t="n">
        <x:v>46154</x:v>
      </x:c>
      <x:c r="C102" s="56" t="str">
        <x:v>GLONLY-101</x:v>
      </x:c>
      <x:c r="D102" s="56" t="str">
        <x:v>Manual entry</x:v>
      </x:c>
      <x:c r="E102" s="80" t="n">
        <x:v>-469.1</x:v>
      </x:c>
      <x:c r="F102" s="56" t="str">
        <x:f>C102&amp;"|"&amp;ROUND(E102,2)</x:f>
        <x:v>GLONLY-101|-469.1</x:v>
      </x:c>
      <x:c r="G102" s="56" t="str">
        <x:f>IF(COUNTIF(Bank_Statement!$F:$F,F102)&gt;0,"Matched","Unmatched GL Item")</x:f>
        <x:v>Unmatched GL Item</x:v>
      </x:c>
      <x:c r="H102" s="100" t="n">
        <x:f>IF(G102="Matched",0,E102)</x:f>
        <x:v>-469.1</x:v>
      </x:c>
    </x:row>
    <x:row r="103">
      <x:c r="A103" s="55" t="str">
        <x:v>GL-0102</x:v>
      </x:c>
      <x:c r="B103" s="76" t="n">
        <x:v>46173</x:v>
      </x:c>
      <x:c r="C103" s="56" t="str">
        <x:v>GLONLY-102</x:v>
      </x:c>
      <x:c r="D103" s="56" t="str">
        <x:v>Manual entry</x:v>
      </x:c>
      <x:c r="E103" s="80" t="n">
        <x:v>2347.23</x:v>
      </x:c>
      <x:c r="F103" s="56" t="str">
        <x:f>C103&amp;"|"&amp;ROUND(E103,2)</x:f>
        <x:v>GLONLY-102|2347.23</x:v>
      </x:c>
      <x:c r="G103" s="56" t="str">
        <x:f>IF(COUNTIF(Bank_Statement!$F:$F,F103)&gt;0,"Matched","Unmatched GL Item")</x:f>
        <x:v>Unmatched GL Item</x:v>
      </x:c>
      <x:c r="H103" s="100" t="n">
        <x:f>IF(G103="Matched",0,E103)</x:f>
        <x:v>2347.23</x:v>
      </x:c>
    </x:row>
    <x:row r="104">
      <x:c r="A104" s="55" t="str">
        <x:v>GL-0103</x:v>
      </x:c>
      <x:c r="B104" s="76" t="n">
        <x:v>46166</x:v>
      </x:c>
      <x:c r="C104" s="56" t="str">
        <x:v>GLONLY-103</x:v>
      </x:c>
      <x:c r="D104" s="56" t="str">
        <x:v>Manual entry</x:v>
      </x:c>
      <x:c r="E104" s="80" t="n">
        <x:v>1476.67</x:v>
      </x:c>
      <x:c r="F104" s="56" t="str">
        <x:f>C104&amp;"|"&amp;ROUND(E104,2)</x:f>
        <x:v>GLONLY-103|1476.67</x:v>
      </x:c>
      <x:c r="G104" s="56" t="str">
        <x:f>IF(COUNTIF(Bank_Statement!$F:$F,F104)&gt;0,"Matched","Unmatched GL Item")</x:f>
        <x:v>Unmatched GL Item</x:v>
      </x:c>
      <x:c r="H104" s="100" t="n">
        <x:f>IF(G104="Matched",0,E104)</x:f>
        <x:v>1476.67</x:v>
      </x:c>
    </x:row>
    <x:row r="105">
      <x:c r="A105" s="55" t="str">
        <x:v>GL-0104</x:v>
      </x:c>
      <x:c r="B105" s="76" t="n">
        <x:v>46144</x:v>
      </x:c>
      <x:c r="C105" s="56" t="str">
        <x:v>GLONLY-104</x:v>
      </x:c>
      <x:c r="D105" s="56" t="str">
        <x:v>Manual entry</x:v>
      </x:c>
      <x:c r="E105" s="80" t="n">
        <x:v>1743.09</x:v>
      </x:c>
      <x:c r="F105" s="56" t="str">
        <x:f>C105&amp;"|"&amp;ROUND(E105,2)</x:f>
        <x:v>GLONLY-104|1743.09</x:v>
      </x:c>
      <x:c r="G105" s="56" t="str">
        <x:f>IF(COUNTIF(Bank_Statement!$F:$F,F105)&gt;0,"Matched","Unmatched GL Item")</x:f>
        <x:v>Unmatched GL Item</x:v>
      </x:c>
      <x:c r="H105" s="100" t="n">
        <x:f>IF(G105="Matched",0,E105)</x:f>
        <x:v>1743.09</x:v>
      </x:c>
    </x:row>
    <x:row r="106">
      <x:c r="A106" s="55" t="str">
        <x:v>GL-0105</x:v>
      </x:c>
      <x:c r="B106" s="76" t="n">
        <x:v>46162</x:v>
      </x:c>
      <x:c r="C106" s="56" t="str">
        <x:v>GLONLY-105</x:v>
      </x:c>
      <x:c r="D106" s="56" t="str">
        <x:v>Manual entry</x:v>
      </x:c>
      <x:c r="E106" s="80" t="n">
        <x:v>298.15</x:v>
      </x:c>
      <x:c r="F106" s="56" t="str">
        <x:f>C106&amp;"|"&amp;ROUND(E106,2)</x:f>
        <x:v>GLONLY-105|298.15</x:v>
      </x:c>
      <x:c r="G106" s="56" t="str">
        <x:f>IF(COUNTIF(Bank_Statement!$F:$F,F106)&gt;0,"Matched","Unmatched GL Item")</x:f>
        <x:v>Unmatched GL Item</x:v>
      </x:c>
      <x:c r="H106" s="100" t="n">
        <x:f>IF(G106="Matched",0,E106)</x:f>
        <x:v>298.15</x:v>
      </x:c>
    </x:row>
    <x:row r="107">
      <x:c r="A107" s="55" t="str">
        <x:v>GL-0106</x:v>
      </x:c>
      <x:c r="B107" s="76" t="n">
        <x:v>46159</x:v>
      </x:c>
      <x:c r="C107" s="56" t="str">
        <x:v>GLONLY-106</x:v>
      </x:c>
      <x:c r="D107" s="56" t="str">
        <x:v>Manual entry</x:v>
      </x:c>
      <x:c r="E107" s="80" t="n">
        <x:v>4459.85</x:v>
      </x:c>
      <x:c r="F107" s="56" t="str">
        <x:f>C107&amp;"|"&amp;ROUND(E107,2)</x:f>
        <x:v>GLONLY-106|4459.85</x:v>
      </x:c>
      <x:c r="G107" s="56" t="str">
        <x:f>IF(COUNTIF(Bank_Statement!$F:$F,F107)&gt;0,"Matched","Unmatched GL Item")</x:f>
        <x:v>Unmatched GL Item</x:v>
      </x:c>
      <x:c r="H107" s="100" t="n">
        <x:f>IF(G107="Matched",0,E107)</x:f>
        <x:v>4459.85</x:v>
      </x:c>
    </x:row>
    <x:row r="108">
      <x:c r="A108" s="55" t="str">
        <x:v>GL-0107</x:v>
      </x:c>
      <x:c r="B108" s="76" t="n">
        <x:v>46157</x:v>
      </x:c>
      <x:c r="C108" s="56" t="str">
        <x:v>GLONLY-107</x:v>
      </x:c>
      <x:c r="D108" s="56" t="str">
        <x:v>Manual entry</x:v>
      </x:c>
      <x:c r="E108" s="80" t="n">
        <x:v>-4960.23</x:v>
      </x:c>
      <x:c r="F108" s="56" t="str">
        <x:f>C108&amp;"|"&amp;ROUND(E108,2)</x:f>
        <x:v>GLONLY-107|-4960.23</x:v>
      </x:c>
      <x:c r="G108" s="56" t="str">
        <x:f>IF(COUNTIF(Bank_Statement!$F:$F,F108)&gt;0,"Matched","Unmatched GL Item")</x:f>
        <x:v>Unmatched GL Item</x:v>
      </x:c>
      <x:c r="H108" s="100" t="n">
        <x:f>IF(G108="Matched",0,E108)</x:f>
        <x:v>-4960.23</x:v>
      </x:c>
    </x:row>
    <x:row r="109">
      <x:c r="A109" s="55" t="str">
        <x:v>GL-0108</x:v>
      </x:c>
      <x:c r="B109" s="76" t="n">
        <x:v>46147</x:v>
      </x:c>
      <x:c r="C109" s="56" t="str">
        <x:v>GLONLY-108</x:v>
      </x:c>
      <x:c r="D109" s="56" t="str">
        <x:v>Manual entry</x:v>
      </x:c>
      <x:c r="E109" s="80" t="n">
        <x:v>-3002.7</x:v>
      </x:c>
      <x:c r="F109" s="56" t="str">
        <x:f>C109&amp;"|"&amp;ROUND(E109,2)</x:f>
        <x:v>GLONLY-108|-3002.7</x:v>
      </x:c>
      <x:c r="G109" s="56" t="str">
        <x:f>IF(COUNTIF(Bank_Statement!$F:$F,F109)&gt;0,"Matched","Unmatched GL Item")</x:f>
        <x:v>Unmatched GL Item</x:v>
      </x:c>
      <x:c r="H109" s="100" t="n">
        <x:f>IF(G109="Matched",0,E109)</x:f>
        <x:v>-3002.7</x:v>
      </x:c>
    </x:row>
    <x:row r="110">
      <x:c r="A110" s="55" t="str">
        <x:v>GL-0109</x:v>
      </x:c>
      <x:c r="B110" s="76" t="n">
        <x:v>46144</x:v>
      </x:c>
      <x:c r="C110" s="56" t="str">
        <x:v>GLONLY-109</x:v>
      </x:c>
      <x:c r="D110" s="56" t="str">
        <x:v>Manual entry</x:v>
      </x:c>
      <x:c r="E110" s="80" t="n">
        <x:v>-3621.96</x:v>
      </x:c>
      <x:c r="F110" s="56" t="str">
        <x:f>C110&amp;"|"&amp;ROUND(E110,2)</x:f>
        <x:v>GLONLY-109|-3621.96</x:v>
      </x:c>
      <x:c r="G110" s="56" t="str">
        <x:f>IF(COUNTIF(Bank_Statement!$F:$F,F110)&gt;0,"Matched","Unmatched GL Item")</x:f>
        <x:v>Unmatched GL Item</x:v>
      </x:c>
      <x:c r="H110" s="100" t="n">
        <x:f>IF(G110="Matched",0,E110)</x:f>
        <x:v>-3621.96</x:v>
      </x:c>
    </x:row>
    <x:row r="111">
      <x:c r="A111" s="55" t="str">
        <x:v>GL-0110</x:v>
      </x:c>
      <x:c r="B111" s="76" t="n">
        <x:v>46151</x:v>
      </x:c>
      <x:c r="C111" s="56" t="str">
        <x:v>GLONLY-110</x:v>
      </x:c>
      <x:c r="D111" s="56" t="str">
        <x:v>Manual entry</x:v>
      </x:c>
      <x:c r="E111" s="80" t="n">
        <x:v>2400.77</x:v>
      </x:c>
      <x:c r="F111" s="56" t="str">
        <x:f>C111&amp;"|"&amp;ROUND(E111,2)</x:f>
        <x:v>GLONLY-110|2400.77</x:v>
      </x:c>
      <x:c r="G111" s="56" t="str">
        <x:f>IF(COUNTIF(Bank_Statement!$F:$F,F111)&gt;0,"Matched","Unmatched GL Item")</x:f>
        <x:v>Unmatched GL Item</x:v>
      </x:c>
      <x:c r="H111" s="100" t="n">
        <x:f>IF(G111="Matched",0,E111)</x:f>
        <x:v>2400.77</x:v>
      </x:c>
    </x:row>
    <x:row r="112">
      <x:c r="A112" s="55" t="str">
        <x:v>GL-0111</x:v>
      </x:c>
      <x:c r="B112" s="76" t="n">
        <x:v>46160</x:v>
      </x:c>
      <x:c r="C112" s="56" t="str">
        <x:v>GLONLY-111</x:v>
      </x:c>
      <x:c r="D112" s="56" t="str">
        <x:v>Manual entry</x:v>
      </x:c>
      <x:c r="E112" s="80" t="n">
        <x:v>-4315.31</x:v>
      </x:c>
      <x:c r="F112" s="56" t="str">
        <x:f>C112&amp;"|"&amp;ROUND(E112,2)</x:f>
        <x:v>GLONLY-111|-4315.31</x:v>
      </x:c>
      <x:c r="G112" s="56" t="str">
        <x:f>IF(COUNTIF(Bank_Statement!$F:$F,F112)&gt;0,"Matched","Unmatched GL Item")</x:f>
        <x:v>Unmatched GL Item</x:v>
      </x:c>
      <x:c r="H112" s="100" t="n">
        <x:f>IF(G112="Matched",0,E112)</x:f>
        <x:v>-4315.31</x:v>
      </x:c>
    </x:row>
    <x:row r="113">
      <x:c r="A113" s="55" t="str">
        <x:v>GL-0112</x:v>
      </x:c>
      <x:c r="B113" s="76" t="n">
        <x:v>46152</x:v>
      </x:c>
      <x:c r="C113" s="56" t="str">
        <x:v>GLONLY-112</x:v>
      </x:c>
      <x:c r="D113" s="56" t="str">
        <x:v>Manual entry</x:v>
      </x:c>
      <x:c r="E113" s="80" t="n">
        <x:v>-4296.27</x:v>
      </x:c>
      <x:c r="F113" s="56" t="str">
        <x:f>C113&amp;"|"&amp;ROUND(E113,2)</x:f>
        <x:v>GLONLY-112|-4296.27</x:v>
      </x:c>
      <x:c r="G113" s="56" t="str">
        <x:f>IF(COUNTIF(Bank_Statement!$F:$F,F113)&gt;0,"Matched","Unmatched GL Item")</x:f>
        <x:v>Unmatched GL Item</x:v>
      </x:c>
      <x:c r="H113" s="100" t="n">
        <x:f>IF(G113="Matched",0,E113)</x:f>
        <x:v>-4296.27</x:v>
      </x:c>
    </x:row>
    <x:row r="114">
      <x:c r="A114" s="55" t="str">
        <x:v>GL-0113</x:v>
      </x:c>
      <x:c r="B114" s="76" t="n">
        <x:v>46157</x:v>
      </x:c>
      <x:c r="C114" s="56" t="str">
        <x:v>GLONLY-113</x:v>
      </x:c>
      <x:c r="D114" s="56" t="str">
        <x:v>Manual entry</x:v>
      </x:c>
      <x:c r="E114" s="80" t="n">
        <x:v>2406.47</x:v>
      </x:c>
      <x:c r="F114" s="56" t="str">
        <x:f>C114&amp;"|"&amp;ROUND(E114,2)</x:f>
        <x:v>GLONLY-113|2406.47</x:v>
      </x:c>
      <x:c r="G114" s="56" t="str">
        <x:f>IF(COUNTIF(Bank_Statement!$F:$F,F114)&gt;0,"Matched","Unmatched GL Item")</x:f>
        <x:v>Unmatched GL Item</x:v>
      </x:c>
      <x:c r="H114" s="100" t="n">
        <x:f>IF(G114="Matched",0,E114)</x:f>
        <x:v>2406.47</x:v>
      </x:c>
    </x:row>
    <x:row r="115">
      <x:c r="A115" s="55" t="str">
        <x:v>GL-0114</x:v>
      </x:c>
      <x:c r="B115" s="76" t="n">
        <x:v>46158</x:v>
      </x:c>
      <x:c r="C115" s="56" t="str">
        <x:v>GLONLY-114</x:v>
      </x:c>
      <x:c r="D115" s="56" t="str">
        <x:v>Manual entry</x:v>
      </x:c>
      <x:c r="E115" s="80" t="n">
        <x:v>-2323.16</x:v>
      </x:c>
      <x:c r="F115" s="56" t="str">
        <x:f>C115&amp;"|"&amp;ROUND(E115,2)</x:f>
        <x:v>GLONLY-114|-2323.16</x:v>
      </x:c>
      <x:c r="G115" s="56" t="str">
        <x:f>IF(COUNTIF(Bank_Statement!$F:$F,F115)&gt;0,"Matched","Unmatched GL Item")</x:f>
        <x:v>Unmatched GL Item</x:v>
      </x:c>
      <x:c r="H115" s="100" t="n">
        <x:f>IF(G115="Matched",0,E115)</x:f>
        <x:v>-2323.16</x:v>
      </x:c>
    </x:row>
    <x:row r="116">
      <x:c r="A116" s="58" t="str">
        <x:v>GL-0115</x:v>
      </x:c>
      <x:c r="B116" s="77" t="n">
        <x:v>46153</x:v>
      </x:c>
      <x:c r="C116" s="59" t="str">
        <x:v>GLONLY-115</x:v>
      </x:c>
      <x:c r="D116" s="59" t="str">
        <x:v>Manual entry</x:v>
      </x:c>
      <x:c r="E116" s="81" t="n">
        <x:v>-3168.24</x:v>
      </x:c>
      <x:c r="F116" s="59" t="str">
        <x:f>C116&amp;"|"&amp;ROUND(E116,2)</x:f>
        <x:v>GLONLY-115|-3168.24</x:v>
      </x:c>
      <x:c r="G116" s="59" t="str">
        <x:f>IF(COUNTIF(Bank_Statement!$F:$F,F116)&gt;0,"Matched","Unmatched GL Item")</x:f>
        <x:v>Unmatched GL Item</x:v>
      </x:c>
      <x:c r="H116" s="101" t="n">
        <x:f>IF(G116="Matched",0,E116)</x:f>
        <x:v>-3168.24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0" customHeight="1">
      <x:c r="A1" s="108" t="str">
        <x:v>GL_ID</x:v>
      </x:c>
      <x:c r="B1" s="108" t="str">
        <x:v>Posting_Date</x:v>
      </x:c>
      <x:c r="C1" s="108" t="str">
        <x:v>Reference</x:v>
      </x:c>
      <x:c r="D1" s="108" t="str">
        <x:v>Description</x:v>
      </x:c>
      <x:c r="E1" s="108" t="str">
        <x:v>GL_Amount</x:v>
      </x:c>
      <x:c r="F1" s="108" t="str">
        <x:v>Match_Key</x:v>
      </x:c>
      <x:c r="G1" s="108" t="str">
        <x:v>Recon_Status</x:v>
      </x:c>
      <x:c r="H1" s="108" t="str">
        <x:v>Variance</x:v>
      </x:c>
    </x:row>
    <x:row r="2">
      <x:c r="A2" t="e">
        <x:f>FILTER(GL_Cash_Book!A:H,GL_Cash_Book!G:G&lt;&gt;"Matched","No unmatched GL items")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116" t="str">
        <x:v>Bank Reconciliation Dashboard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41" t="str">
        <x:v>Category</x:v>
      </x:c>
      <x:c r="E4" s="41" t="str">
        <x:v>Value</x:v>
      </x:c>
    </x:row>
    <x:row r="5">
      <x:c r="A5" s="125" t="str">
        <x:v>Bank Balance</x:v>
      </x:c>
      <x:c r="B5" s="130" t="n">
        <x:f>SUM(Bank_Statement!$E$2:$E$121)</x:f>
        <x:v>415116.8400000001</x:v>
      </x:c>
      <x:c r="D5" t="str">
        <x:v>Matched</x:v>
      </x:c>
      <x:c r="E5" s="122" t="n">
        <x:f>COUNTIF(GL_Cash_Book!$G:$G,"Matched")</x:f>
        <x:v>80</x:v>
      </x:c>
    </x:row>
    <x:row r="6">
      <x:c r="A6" s="125" t="str">
        <x:v>GL Balance</x:v>
      </x:c>
      <x:c r="B6" s="130" t="n">
        <x:f>SUM(GL_Cash_Book!$E$2:$E$116)</x:f>
        <x:v>314225.1700000001</x:v>
      </x:c>
      <x:c r="D6" t="str">
        <x:v>Unmatched GL Item</x:v>
      </x:c>
      <x:c r="E6" s="122" t="n">
        <x:f>COUNTIF(GL_Cash_Book!$G:$G,"Unmatched GL Item")</x:f>
        <x:v>35</x:v>
      </x:c>
    </x:row>
    <x:row r="7">
      <x:c r="A7" s="125" t="str">
        <x:v>Difference</x:v>
      </x:c>
      <x:c r="B7" s="130" t="n">
        <x:f>B5-B6</x:f>
        <x:v>100891.66999999998</x:v>
      </x:c>
    </x:row>
    <x:row r="8">
      <x:c r="A8" s="125" t="str">
        <x:v>Matched GL Items</x:v>
      </x:c>
      <x:c r="B8" s="131" t="n">
        <x:f>COUNTIF(GL_Cash_Book!$G:$G,"Matched")</x:f>
        <x:v>80</x:v>
      </x:c>
    </x:row>
    <x:row r="9">
      <x:c r="A9" s="125" t="str">
        <x:v>Unmatched GL Items</x:v>
      </x:c>
      <x:c r="B9" s="131" t="n">
        <x:f>COUNTIF(GL_Cash_Book!$G:$G,"Unmatched GL Item")</x:f>
        <x:v>35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5407a63725864327"/>
</x:worksheet>
</file>